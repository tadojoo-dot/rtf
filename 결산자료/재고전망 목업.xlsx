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주민규\"/>
    </mc:Choice>
  </mc:AlternateContent>
  <bookViews>
    <workbookView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17" i="1"/>
  <c r="J16" i="1"/>
  <c r="E26" i="1"/>
  <c r="E25" i="1"/>
  <c r="E24" i="1"/>
  <c r="E23" i="1"/>
  <c r="E22" i="1"/>
  <c r="E21" i="1"/>
  <c r="E20" i="1"/>
  <c r="E18" i="1"/>
  <c r="G23" i="1"/>
  <c r="G17" i="1"/>
  <c r="G16" i="1" s="1"/>
  <c r="D23" i="1"/>
  <c r="D17" i="1"/>
  <c r="D16" i="1" l="1"/>
  <c r="F17" i="1" s="1"/>
  <c r="E17" i="1"/>
  <c r="F18" i="1" l="1"/>
  <c r="F25" i="1"/>
  <c r="F24" i="1"/>
  <c r="F22" i="1"/>
  <c r="F20" i="1"/>
  <c r="F26" i="1"/>
  <c r="F23" i="1"/>
  <c r="F21" i="1"/>
  <c r="E16" i="1"/>
</calcChain>
</file>

<file path=xl/sharedStrings.xml><?xml version="1.0" encoding="utf-8"?>
<sst xmlns="http://schemas.openxmlformats.org/spreadsheetml/2006/main" count="82" uniqueCount="36">
  <si>
    <t>차트 영역</t>
    <phoneticPr fontId="2" type="noConversion"/>
  </si>
  <si>
    <t>2월</t>
    <phoneticPr fontId="2" type="noConversion"/>
  </si>
  <si>
    <t>품목군</t>
  </si>
  <si>
    <t>상품</t>
    <phoneticPr fontId="2" type="noConversion"/>
  </si>
  <si>
    <t>A</t>
  </si>
  <si>
    <t>A</t>
    <phoneticPr fontId="2" type="noConversion"/>
  </si>
  <si>
    <t>유형</t>
  </si>
  <si>
    <t>1월</t>
  </si>
  <si>
    <t>재고금액</t>
    <phoneticPr fontId="2" type="noConversion"/>
  </si>
  <si>
    <t>재고일수</t>
    <phoneticPr fontId="2" type="noConversion"/>
  </si>
  <si>
    <t>비중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</si>
  <si>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</si>
  <si>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</si>
  <si>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</si>
  <si>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</si>
  <si>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</si>
  <si>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</si>
  <si>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</si>
  <si>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</si>
  <si>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</si>
  <si>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</si>
  <si>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B</t>
  </si>
  <si>
    <t>B</t>
    <phoneticPr fontId="2" type="noConversion"/>
  </si>
  <si>
    <t>C</t>
  </si>
  <si>
    <t>C</t>
    <phoneticPr fontId="2" type="noConversion"/>
  </si>
  <si>
    <t>D</t>
  </si>
  <si>
    <t>완제품</t>
    <phoneticPr fontId="2" type="noConversion"/>
  </si>
  <si>
    <t>재고금액 비중 우선순위</t>
    <phoneticPr fontId="2" type="noConversion"/>
  </si>
  <si>
    <t>전체</t>
    <phoneticPr fontId="2" type="noConversion"/>
  </si>
  <si>
    <t>소계</t>
    <phoneticPr fontId="2" type="noConversion"/>
  </si>
  <si>
    <t>(-40억)</t>
    <phoneticPr fontId="2" type="noConversion"/>
  </si>
  <si>
    <t>(-20일)</t>
    <phoneticPr fontId="2" type="noConversion"/>
  </si>
  <si>
    <t>전망</t>
    <phoneticPr fontId="2" type="noConversion"/>
  </si>
  <si>
    <t>실적</t>
    <phoneticPr fontId="2" type="noConversion"/>
  </si>
  <si>
    <t>제상품, 원부자재</t>
    <phoneticPr fontId="2" type="noConversion"/>
  </si>
  <si>
    <t xml:space="preserve">AI 진단 - 어떤 어떤 품목이 1월 어떻게 증가요인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</si>
</sst>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color rgb="FF00B05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8" xfId="0" applyBorder="1" applyAlignment="1">
      <alignment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7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0" xfId="0" applyFill="1" applyBorder="1" applyAlignment="1">
      <alignment vertical="center" shrinkToFit="1"/>
    </xf>
    <xf numFmtId="0" fontId="0" fillId="2" borderId="6" xfId="0" applyFill="1" applyBorder="1" applyAlignment="1">
      <alignment vertical="center" shrinkToFit="1"/>
    </xf>
    <xf numFmtId="0" fontId="3" fillId="4" borderId="2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shrinkToFit="1"/>
    </xf>
    <xf numFmtId="0" fontId="3" fillId="4" borderId="0" xfId="0" applyFont="1" applyFill="1" applyBorder="1" applyAlignment="1">
      <alignment vertical="center" shrinkToFit="1"/>
    </xf>
    <xf numFmtId="0" fontId="3" fillId="4" borderId="6" xfId="0" applyFont="1" applyFill="1" applyBorder="1" applyAlignment="1">
      <alignment vertical="center" shrinkToFit="1"/>
    </xf>
    <xf numFmtId="0" fontId="3" fillId="4" borderId="4" xfId="0" applyFont="1" applyFill="1" applyBorder="1">
      <alignment vertical="center"/>
    </xf>
    <xf numFmtId="0" fontId="3" fillId="4" borderId="6" xfId="0" applyFont="1" applyFill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shrinkToFit="1"/>
    </xf>
    <xf numFmtId="0" fontId="0" fillId="2" borderId="5" xfId="0" applyFill="1" applyBorder="1" applyAlignment="1">
      <alignment vertical="center" shrinkToFit="1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shrinkToFit="1"/>
    </xf>
    <xf numFmtId="9" fontId="0" fillId="2" borderId="6" xfId="1" applyFont="1" applyFill="1" applyBorder="1" applyAlignment="1">
      <alignment vertical="center" shrinkToFit="1"/>
    </xf>
    <xf numFmtId="9" fontId="0" fillId="0" borderId="9" xfId="1" applyFont="1" applyBorder="1" applyAlignment="1">
      <alignment vertical="center" shrinkToFit="1"/>
    </xf>
    <xf numFmtId="0" fontId="0" fillId="5" borderId="10" xfId="0" applyFill="1" applyBorder="1" applyAlignment="1">
      <alignment horizontal="center" vertical="center" shrinkToFit="1"/>
    </xf>
    <xf numFmtId="0" fontId="0" fillId="5" borderId="11" xfId="0" applyFill="1" applyBorder="1" applyAlignment="1">
      <alignment horizontal="center" vertical="center" shrinkToFit="1"/>
    </xf>
    <xf numFmtId="0" fontId="0" fillId="5" borderId="10" xfId="0" applyFill="1" applyBorder="1" applyAlignment="1">
      <alignment vertical="center" shrinkToFit="1"/>
    </xf>
    <xf numFmtId="0" fontId="0" fillId="5" borderId="12" xfId="0" applyFill="1" applyBorder="1" applyAlignment="1">
      <alignment vertical="center" shrinkToFit="1"/>
    </xf>
    <xf numFmtId="0" fontId="0" fillId="5" borderId="11" xfId="0" applyFill="1" applyBorder="1" applyAlignment="1">
      <alignment vertical="center" shrinkToFit="1"/>
    </xf>
    <xf numFmtId="0" fontId="0" fillId="0" borderId="13" xfId="0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9" fontId="0" fillId="0" borderId="4" xfId="1" applyFont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9" fontId="0" fillId="0" borderId="9" xfId="1" applyFont="1" applyBorder="1" applyAlignment="1">
      <alignment horizontal="center" vertical="center" shrinkToFit="1"/>
    </xf>
    <xf numFmtId="0" fontId="4" fillId="0" borderId="7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shrinkToFit="1"/>
    </xf>
    <xf numFmtId="0" fontId="3" fillId="3" borderId="0" xfId="0" applyFont="1" applyFill="1" applyBorder="1" applyAlignment="1">
      <alignment vertical="center" shrinkToFit="1"/>
    </xf>
    <xf numFmtId="0" fontId="3" fillId="3" borderId="6" xfId="0" applyFont="1" applyFill="1" applyBorder="1" applyAlignment="1">
      <alignment vertical="center" shrinkToFi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9" fontId="0" fillId="2" borderId="4" xfId="1" applyFont="1" applyFill="1" applyBorder="1" applyAlignment="1">
      <alignment vertical="center" shrinkToFit="1"/>
    </xf>
    <xf numFmtId="0" fontId="0" fillId="2" borderId="4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Fill="1" applyBorder="1" applyAlignment="1">
      <alignment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0" xfId="0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9" fontId="0" fillId="0" borderId="11" xfId="1" applyFont="1" applyBorder="1" applyAlignment="1">
      <alignment vertical="center" shrinkToFit="1"/>
    </xf>
    <xf numFmtId="0" fontId="0" fillId="0" borderId="11" xfId="0" applyBorder="1" applyAlignment="1">
      <alignment vertical="center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0" fillId="0" borderId="12" xfId="0" applyFill="1" applyBorder="1" applyAlignment="1">
      <alignment vertical="center" shrinkToFit="1"/>
    </xf>
    <xf numFmtId="0" fontId="0" fillId="2" borderId="4" xfId="0" applyFill="1" applyBorder="1" applyAlignment="1">
      <alignment horizontal="center" vertical="center" shrinkToFit="1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56"/>
  <sheetViews>
    <sheetView showGridLines="0" tabSelected="1" workbookViewId="0">
      <selection activeCell="B3" sqref="B3"/>
    </sheetView>
  </sheetViews>
  <sheetFormatPr defaultRowHeight="17.399999999999999" x14ac:dyDescent="0.4"/>
  <cols>
    <col min="2" max="2" width="3.796875" customWidth="1"/>
    <col min="3" max="3" width="15.09765625" customWidth="1"/>
    <col min="4" max="39" width="3.796875" customWidth="1"/>
  </cols>
  <sheetData>
    <row r="3" spans="1:39" x14ac:dyDescent="0.4">
      <c r="B3" s="78" t="s">
        <v>0</v>
      </c>
      <c r="C3" s="7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</row>
    <row r="4" spans="1:39" x14ac:dyDescent="0.4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5"/>
    </row>
    <row r="5" spans="1:39" x14ac:dyDescent="0.4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5"/>
    </row>
    <row r="6" spans="1:39" x14ac:dyDescent="0.4">
      <c r="B6" s="6"/>
      <c r="C6" s="7"/>
      <c r="D6" s="8" t="s">
        <v>7</v>
      </c>
      <c r="E6" s="8"/>
      <c r="F6" s="8"/>
      <c r="G6" s="8" t="s">
        <v>1</v>
      </c>
      <c r="H6" s="8"/>
      <c r="I6" s="8"/>
      <c r="J6" s="8" t="s">
        <v>11</v>
      </c>
      <c r="K6" s="8"/>
      <c r="L6" s="8"/>
      <c r="M6" s="8" t="s">
        <v>12</v>
      </c>
      <c r="N6" s="8"/>
      <c r="O6" s="8"/>
      <c r="P6" s="8" t="s">
        <v>13</v>
      </c>
      <c r="Q6" s="8"/>
      <c r="R6" s="8"/>
      <c r="S6" s="8" t="s">
        <v>14</v>
      </c>
      <c r="T6" s="8"/>
      <c r="U6" s="8"/>
      <c r="V6" s="8" t="s">
        <v>15</v>
      </c>
      <c r="W6" s="8"/>
      <c r="X6" s="8"/>
      <c r="Y6" s="8" t="s">
        <v>16</v>
      </c>
      <c r="Z6" s="8"/>
      <c r="AA6" s="8"/>
      <c r="AB6" s="8" t="s">
        <v>17</v>
      </c>
      <c r="AC6" s="8"/>
      <c r="AD6" s="8"/>
      <c r="AE6" s="8" t="s">
        <v>18</v>
      </c>
      <c r="AF6" s="8"/>
      <c r="AG6" s="8"/>
      <c r="AH6" s="8" t="s">
        <v>19</v>
      </c>
      <c r="AI6" s="8"/>
      <c r="AJ6" s="8"/>
      <c r="AK6" s="8" t="s">
        <v>20</v>
      </c>
      <c r="AL6" s="8"/>
      <c r="AM6" s="18"/>
    </row>
    <row r="7" spans="1:39" x14ac:dyDescent="0.4">
      <c r="B7" s="4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4"/>
    </row>
    <row r="8" spans="1:39" x14ac:dyDescent="0.4">
      <c r="B8" s="20" t="s">
        <v>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4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x14ac:dyDescent="0.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x14ac:dyDescent="0.4">
      <c r="B11" s="20" t="s">
        <v>34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x14ac:dyDescent="0.4">
      <c r="B12" s="2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4">
      <c r="A13" s="21"/>
      <c r="B13" s="23" t="s">
        <v>33</v>
      </c>
      <c r="C13" s="2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20" t="s">
        <v>32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x14ac:dyDescent="0.4">
      <c r="B14" s="27"/>
      <c r="C14" s="33"/>
      <c r="D14" s="35" t="s">
        <v>7</v>
      </c>
      <c r="E14" s="28"/>
      <c r="F14" s="29"/>
      <c r="G14" s="35" t="s">
        <v>1</v>
      </c>
      <c r="H14" s="28"/>
      <c r="I14" s="29"/>
      <c r="J14" s="35" t="s">
        <v>11</v>
      </c>
      <c r="K14" s="28"/>
      <c r="L14" s="29"/>
      <c r="M14" s="35" t="s">
        <v>12</v>
      </c>
      <c r="N14" s="28"/>
      <c r="O14" s="29"/>
      <c r="P14" s="35" t="s">
        <v>13</v>
      </c>
      <c r="Q14" s="28"/>
      <c r="R14" s="29"/>
      <c r="S14" s="35" t="s">
        <v>14</v>
      </c>
      <c r="T14" s="28"/>
      <c r="U14" s="29"/>
      <c r="V14" s="54" t="s">
        <v>15</v>
      </c>
      <c r="W14" s="55"/>
      <c r="X14" s="56"/>
      <c r="Y14" s="54" t="s">
        <v>16</v>
      </c>
      <c r="Z14" s="55"/>
      <c r="AA14" s="56"/>
      <c r="AB14" s="54" t="s">
        <v>17</v>
      </c>
      <c r="AC14" s="55"/>
      <c r="AD14" s="56"/>
      <c r="AE14" s="54" t="s">
        <v>18</v>
      </c>
      <c r="AF14" s="55"/>
      <c r="AG14" s="56"/>
      <c r="AH14" s="54" t="s">
        <v>19</v>
      </c>
      <c r="AI14" s="55"/>
      <c r="AJ14" s="56"/>
      <c r="AK14" s="54" t="s">
        <v>20</v>
      </c>
      <c r="AL14" s="55"/>
      <c r="AM14" s="56"/>
    </row>
    <row r="15" spans="1:39" x14ac:dyDescent="0.4">
      <c r="B15" s="30" t="s">
        <v>6</v>
      </c>
      <c r="C15" s="34" t="s">
        <v>2</v>
      </c>
      <c r="D15" s="36" t="s">
        <v>8</v>
      </c>
      <c r="E15" s="31" t="s">
        <v>9</v>
      </c>
      <c r="F15" s="32" t="s">
        <v>10</v>
      </c>
      <c r="G15" s="36" t="s">
        <v>8</v>
      </c>
      <c r="H15" s="31" t="s">
        <v>9</v>
      </c>
      <c r="I15" s="32" t="s">
        <v>10</v>
      </c>
      <c r="J15" s="36" t="s">
        <v>8</v>
      </c>
      <c r="K15" s="31" t="s">
        <v>9</v>
      </c>
      <c r="L15" s="32" t="s">
        <v>10</v>
      </c>
      <c r="M15" s="36" t="s">
        <v>8</v>
      </c>
      <c r="N15" s="31" t="s">
        <v>9</v>
      </c>
      <c r="O15" s="32" t="s">
        <v>10</v>
      </c>
      <c r="P15" s="36" t="s">
        <v>8</v>
      </c>
      <c r="Q15" s="31" t="s">
        <v>9</v>
      </c>
      <c r="R15" s="32" t="s">
        <v>10</v>
      </c>
      <c r="S15" s="36" t="s">
        <v>8</v>
      </c>
      <c r="T15" s="31" t="s">
        <v>9</v>
      </c>
      <c r="U15" s="32" t="s">
        <v>10</v>
      </c>
      <c r="V15" s="57" t="s">
        <v>8</v>
      </c>
      <c r="W15" s="58" t="s">
        <v>9</v>
      </c>
      <c r="X15" s="59" t="s">
        <v>10</v>
      </c>
      <c r="Y15" s="57" t="s">
        <v>8</v>
      </c>
      <c r="Z15" s="58" t="s">
        <v>9</v>
      </c>
      <c r="AA15" s="59" t="s">
        <v>10</v>
      </c>
      <c r="AB15" s="57" t="s">
        <v>8</v>
      </c>
      <c r="AC15" s="58" t="s">
        <v>9</v>
      </c>
      <c r="AD15" s="59" t="s">
        <v>10</v>
      </c>
      <c r="AE15" s="57" t="s">
        <v>8</v>
      </c>
      <c r="AF15" s="58" t="s">
        <v>9</v>
      </c>
      <c r="AG15" s="59" t="s">
        <v>10</v>
      </c>
      <c r="AH15" s="57" t="s">
        <v>8</v>
      </c>
      <c r="AI15" s="58" t="s">
        <v>9</v>
      </c>
      <c r="AJ15" s="59" t="s">
        <v>10</v>
      </c>
      <c r="AK15" s="57" t="s">
        <v>8</v>
      </c>
      <c r="AL15" s="58" t="s">
        <v>9</v>
      </c>
      <c r="AM15" s="59" t="s">
        <v>10</v>
      </c>
    </row>
    <row r="16" spans="1:39" x14ac:dyDescent="0.4">
      <c r="B16" s="42" t="s">
        <v>28</v>
      </c>
      <c r="C16" s="43"/>
      <c r="D16" s="44">
        <f>SUM(D17,D23)</f>
        <v>260</v>
      </c>
      <c r="E16" s="45">
        <f>D16*30/G16</f>
        <v>18.571428571428573</v>
      </c>
      <c r="F16" s="46"/>
      <c r="G16" s="44">
        <f>SUM(G17,G23)</f>
        <v>420</v>
      </c>
      <c r="H16" s="45">
        <v>30</v>
      </c>
      <c r="I16" s="46"/>
      <c r="J16" s="44">
        <f>SUM(J17,J23)</f>
        <v>490</v>
      </c>
      <c r="K16" s="45"/>
      <c r="L16" s="46"/>
      <c r="M16" s="44"/>
      <c r="N16" s="45"/>
      <c r="O16" s="46"/>
      <c r="P16" s="44"/>
      <c r="Q16" s="45"/>
      <c r="R16" s="46"/>
      <c r="S16" s="44"/>
      <c r="T16" s="45"/>
      <c r="U16" s="46"/>
      <c r="V16" s="44"/>
      <c r="W16" s="45"/>
      <c r="X16" s="46"/>
      <c r="Y16" s="44"/>
      <c r="Z16" s="45"/>
      <c r="AA16" s="46"/>
      <c r="AB16" s="44"/>
      <c r="AC16" s="45"/>
      <c r="AD16" s="46"/>
      <c r="AE16" s="44"/>
      <c r="AF16" s="45"/>
      <c r="AG16" s="46"/>
      <c r="AH16" s="44"/>
      <c r="AI16" s="45"/>
      <c r="AJ16" s="46"/>
      <c r="AK16" s="44"/>
      <c r="AL16" s="45"/>
      <c r="AM16" s="46"/>
    </row>
    <row r="17" spans="2:39" x14ac:dyDescent="0.4">
      <c r="B17" s="60" t="s">
        <v>3</v>
      </c>
      <c r="C17" s="61" t="s">
        <v>29</v>
      </c>
      <c r="D17" s="62">
        <f>SUM(D18:D22)</f>
        <v>200</v>
      </c>
      <c r="E17" s="63">
        <f t="shared" ref="E17:E26" si="0">D17*30/G17</f>
        <v>25</v>
      </c>
      <c r="F17" s="64">
        <f>D17/$D$16</f>
        <v>0.76923076923076927</v>
      </c>
      <c r="G17" s="62">
        <f>SUM(G18:G22)</f>
        <v>240</v>
      </c>
      <c r="H17" s="63">
        <v>30</v>
      </c>
      <c r="I17" s="65"/>
      <c r="J17" s="62">
        <f>SUM(J18:J22)</f>
        <v>280</v>
      </c>
      <c r="K17" s="63"/>
      <c r="L17" s="65"/>
      <c r="M17" s="62"/>
      <c r="N17" s="63"/>
      <c r="O17" s="65"/>
      <c r="P17" s="62"/>
      <c r="Q17" s="63"/>
      <c r="R17" s="65"/>
      <c r="S17" s="62"/>
      <c r="T17" s="63"/>
      <c r="U17" s="65"/>
      <c r="V17" s="62"/>
      <c r="W17" s="63"/>
      <c r="X17" s="65"/>
      <c r="Y17" s="62"/>
      <c r="Z17" s="63"/>
      <c r="AA17" s="65"/>
      <c r="AB17" s="62"/>
      <c r="AC17" s="63"/>
      <c r="AD17" s="65"/>
      <c r="AE17" s="62"/>
      <c r="AF17" s="63"/>
      <c r="AG17" s="65"/>
      <c r="AH17" s="62"/>
      <c r="AI17" s="63"/>
      <c r="AJ17" s="65"/>
      <c r="AK17" s="62"/>
      <c r="AL17" s="63"/>
      <c r="AM17" s="65"/>
    </row>
    <row r="18" spans="2:39" ht="26.4" customHeight="1" x14ac:dyDescent="0.4">
      <c r="B18" s="38"/>
      <c r="C18" s="47" t="s">
        <v>4</v>
      </c>
      <c r="D18" s="48">
        <v>100</v>
      </c>
      <c r="E18" s="15">
        <f t="shared" si="0"/>
        <v>50</v>
      </c>
      <c r="F18" s="49">
        <f t="shared" ref="F18:F26" si="1">D18/$D$16</f>
        <v>0.38461538461538464</v>
      </c>
      <c r="G18" s="9">
        <v>60</v>
      </c>
      <c r="H18" s="10">
        <v>30</v>
      </c>
      <c r="I18" s="11"/>
      <c r="J18" s="9">
        <v>70</v>
      </c>
      <c r="K18" s="10"/>
      <c r="L18" s="11"/>
      <c r="M18" s="9"/>
      <c r="N18" s="10"/>
      <c r="O18" s="11"/>
      <c r="P18" s="9"/>
      <c r="Q18" s="10"/>
      <c r="R18" s="11"/>
      <c r="S18" s="9"/>
      <c r="T18" s="10"/>
      <c r="U18" s="11"/>
      <c r="V18" s="9"/>
      <c r="W18" s="10"/>
      <c r="X18" s="11"/>
      <c r="Y18" s="9"/>
      <c r="Z18" s="10"/>
      <c r="AA18" s="11"/>
      <c r="AB18" s="9"/>
      <c r="AC18" s="10"/>
      <c r="AD18" s="11"/>
      <c r="AE18" s="9"/>
      <c r="AF18" s="10"/>
      <c r="AG18" s="11"/>
      <c r="AH18" s="9"/>
      <c r="AI18" s="10"/>
      <c r="AJ18" s="11"/>
      <c r="AK18" s="9"/>
      <c r="AL18" s="10"/>
      <c r="AM18" s="11"/>
    </row>
    <row r="19" spans="2:39" ht="26.4" customHeight="1" x14ac:dyDescent="0.4">
      <c r="B19" s="38"/>
      <c r="C19" s="50"/>
      <c r="D19" s="12"/>
      <c r="E19" s="13"/>
      <c r="F19" s="51"/>
      <c r="G19" s="52" t="s">
        <v>30</v>
      </c>
      <c r="H19" s="53" t="s">
        <v>31</v>
      </c>
      <c r="I19" s="17"/>
      <c r="J19" s="16"/>
      <c r="K19" s="14"/>
      <c r="L19" s="17"/>
      <c r="M19" s="16"/>
      <c r="N19" s="14"/>
      <c r="O19" s="17"/>
      <c r="P19" s="16"/>
      <c r="Q19" s="14"/>
      <c r="R19" s="17"/>
      <c r="S19" s="16"/>
      <c r="T19" s="14"/>
      <c r="U19" s="17"/>
      <c r="V19" s="16"/>
      <c r="W19" s="14"/>
      <c r="X19" s="17"/>
      <c r="Y19" s="16"/>
      <c r="Z19" s="14"/>
      <c r="AA19" s="17"/>
      <c r="AB19" s="16"/>
      <c r="AC19" s="14"/>
      <c r="AD19" s="17"/>
      <c r="AE19" s="16"/>
      <c r="AF19" s="14"/>
      <c r="AG19" s="17"/>
      <c r="AH19" s="16"/>
      <c r="AI19" s="14"/>
      <c r="AJ19" s="17"/>
      <c r="AK19" s="16"/>
      <c r="AL19" s="14"/>
      <c r="AM19" s="17"/>
    </row>
    <row r="20" spans="2:39" x14ac:dyDescent="0.4">
      <c r="B20" s="38"/>
      <c r="C20" s="73" t="s">
        <v>21</v>
      </c>
      <c r="D20" s="69">
        <v>50</v>
      </c>
      <c r="E20" s="70">
        <f t="shared" si="0"/>
        <v>25</v>
      </c>
      <c r="F20" s="71">
        <f t="shared" si="1"/>
        <v>0.19230769230769232</v>
      </c>
      <c r="G20" s="69">
        <v>60</v>
      </c>
      <c r="H20" s="70">
        <v>30</v>
      </c>
      <c r="I20" s="72"/>
      <c r="J20" s="69">
        <v>70</v>
      </c>
      <c r="K20" s="70"/>
      <c r="L20" s="72"/>
      <c r="M20" s="69"/>
      <c r="N20" s="70"/>
      <c r="O20" s="72"/>
      <c r="P20" s="69"/>
      <c r="Q20" s="70"/>
      <c r="R20" s="72"/>
      <c r="S20" s="69"/>
      <c r="T20" s="70"/>
      <c r="U20" s="72"/>
      <c r="V20" s="69"/>
      <c r="W20" s="70"/>
      <c r="X20" s="72"/>
      <c r="Y20" s="69"/>
      <c r="Z20" s="70"/>
      <c r="AA20" s="72"/>
      <c r="AB20" s="69"/>
      <c r="AC20" s="70"/>
      <c r="AD20" s="72"/>
      <c r="AE20" s="69"/>
      <c r="AF20" s="70"/>
      <c r="AG20" s="72"/>
      <c r="AH20" s="69"/>
      <c r="AI20" s="70"/>
      <c r="AJ20" s="72"/>
      <c r="AK20" s="69"/>
      <c r="AL20" s="70"/>
      <c r="AM20" s="72"/>
    </row>
    <row r="21" spans="2:39" x14ac:dyDescent="0.4">
      <c r="B21" s="38"/>
      <c r="C21" s="73" t="s">
        <v>23</v>
      </c>
      <c r="D21" s="69">
        <v>30</v>
      </c>
      <c r="E21" s="70">
        <f t="shared" si="0"/>
        <v>15</v>
      </c>
      <c r="F21" s="71">
        <f t="shared" si="1"/>
        <v>0.11538461538461539</v>
      </c>
      <c r="G21" s="69">
        <v>60</v>
      </c>
      <c r="H21" s="70">
        <v>30</v>
      </c>
      <c r="I21" s="72"/>
      <c r="J21" s="69">
        <v>70</v>
      </c>
      <c r="K21" s="70"/>
      <c r="L21" s="72"/>
      <c r="M21" s="69"/>
      <c r="N21" s="70"/>
      <c r="O21" s="72"/>
      <c r="P21" s="69"/>
      <c r="Q21" s="70"/>
      <c r="R21" s="72"/>
      <c r="S21" s="69"/>
      <c r="T21" s="70"/>
      <c r="U21" s="72"/>
      <c r="V21" s="69"/>
      <c r="W21" s="70"/>
      <c r="X21" s="72"/>
      <c r="Y21" s="69"/>
      <c r="Z21" s="70"/>
      <c r="AA21" s="72"/>
      <c r="AB21" s="69"/>
      <c r="AC21" s="70"/>
      <c r="AD21" s="72"/>
      <c r="AE21" s="69"/>
      <c r="AF21" s="70"/>
      <c r="AG21" s="72"/>
      <c r="AH21" s="69"/>
      <c r="AI21" s="70"/>
      <c r="AJ21" s="72"/>
      <c r="AK21" s="69"/>
      <c r="AL21" s="70"/>
      <c r="AM21" s="72"/>
    </row>
    <row r="22" spans="2:39" x14ac:dyDescent="0.4">
      <c r="B22" s="66"/>
      <c r="C22" s="74" t="s">
        <v>25</v>
      </c>
      <c r="D22" s="16">
        <v>20</v>
      </c>
      <c r="E22" s="67">
        <f t="shared" si="0"/>
        <v>10</v>
      </c>
      <c r="F22" s="41">
        <f t="shared" si="1"/>
        <v>7.6923076923076927E-2</v>
      </c>
      <c r="G22" s="16">
        <v>60</v>
      </c>
      <c r="H22" s="67">
        <v>30</v>
      </c>
      <c r="I22" s="17"/>
      <c r="J22" s="16">
        <v>70</v>
      </c>
      <c r="K22" s="14"/>
      <c r="L22" s="17"/>
      <c r="M22" s="16"/>
      <c r="N22" s="14"/>
      <c r="O22" s="17"/>
      <c r="P22" s="16"/>
      <c r="Q22" s="14"/>
      <c r="R22" s="17"/>
      <c r="S22" s="16"/>
      <c r="T22" s="14"/>
      <c r="U22" s="17"/>
      <c r="V22" s="16"/>
      <c r="W22" s="14"/>
      <c r="X22" s="17"/>
      <c r="Y22" s="16"/>
      <c r="Z22" s="14"/>
      <c r="AA22" s="17"/>
      <c r="AB22" s="16"/>
      <c r="AC22" s="14"/>
      <c r="AD22" s="17"/>
      <c r="AE22" s="16"/>
      <c r="AF22" s="14"/>
      <c r="AG22" s="17"/>
      <c r="AH22" s="16"/>
      <c r="AI22" s="14"/>
      <c r="AJ22" s="17"/>
      <c r="AK22" s="16"/>
      <c r="AL22" s="14"/>
      <c r="AM22" s="17"/>
    </row>
    <row r="23" spans="2:39" x14ac:dyDescent="0.4">
      <c r="B23" s="24" t="s">
        <v>26</v>
      </c>
      <c r="C23" s="76" t="s">
        <v>29</v>
      </c>
      <c r="D23" s="37">
        <f>SUM(D24:D26)</f>
        <v>60</v>
      </c>
      <c r="E23" s="25">
        <f t="shared" si="0"/>
        <v>10</v>
      </c>
      <c r="F23" s="40">
        <f t="shared" si="1"/>
        <v>0.23076923076923078</v>
      </c>
      <c r="G23" s="37">
        <f>SUM(G24:G26)</f>
        <v>180</v>
      </c>
      <c r="H23" s="25">
        <v>30</v>
      </c>
      <c r="I23" s="26"/>
      <c r="J23" s="37">
        <f>SUM(J24:J26)</f>
        <v>210</v>
      </c>
      <c r="K23" s="25"/>
      <c r="L23" s="26"/>
      <c r="M23" s="37"/>
      <c r="N23" s="25"/>
      <c r="O23" s="26"/>
      <c r="P23" s="37"/>
      <c r="Q23" s="25"/>
      <c r="R23" s="26"/>
      <c r="S23" s="37"/>
      <c r="T23" s="25"/>
      <c r="U23" s="26"/>
      <c r="V23" s="37"/>
      <c r="W23" s="25"/>
      <c r="X23" s="26"/>
      <c r="Y23" s="37"/>
      <c r="Z23" s="25"/>
      <c r="AA23" s="26"/>
      <c r="AB23" s="37"/>
      <c r="AC23" s="25"/>
      <c r="AD23" s="26"/>
      <c r="AE23" s="37"/>
      <c r="AF23" s="25"/>
      <c r="AG23" s="26"/>
      <c r="AH23" s="37"/>
      <c r="AI23" s="25"/>
      <c r="AJ23" s="26"/>
      <c r="AK23" s="37"/>
      <c r="AL23" s="25"/>
      <c r="AM23" s="26"/>
    </row>
    <row r="24" spans="2:39" x14ac:dyDescent="0.4">
      <c r="B24" s="24"/>
      <c r="C24" s="68" t="s">
        <v>5</v>
      </c>
      <c r="D24" s="69">
        <v>30</v>
      </c>
      <c r="E24" s="75">
        <f t="shared" si="0"/>
        <v>15</v>
      </c>
      <c r="F24" s="71">
        <f t="shared" si="1"/>
        <v>0.11538461538461539</v>
      </c>
      <c r="G24" s="69">
        <v>60</v>
      </c>
      <c r="H24" s="75">
        <v>30</v>
      </c>
      <c r="I24" s="72"/>
      <c r="J24" s="69">
        <v>70</v>
      </c>
      <c r="K24" s="70"/>
      <c r="L24" s="72"/>
      <c r="M24" s="69"/>
      <c r="N24" s="70"/>
      <c r="O24" s="72"/>
      <c r="P24" s="69"/>
      <c r="Q24" s="70"/>
      <c r="R24" s="72"/>
      <c r="S24" s="69"/>
      <c r="T24" s="70"/>
      <c r="U24" s="72"/>
      <c r="V24" s="69"/>
      <c r="W24" s="70"/>
      <c r="X24" s="72"/>
      <c r="Y24" s="69"/>
      <c r="Z24" s="70"/>
      <c r="AA24" s="72"/>
      <c r="AB24" s="69"/>
      <c r="AC24" s="70"/>
      <c r="AD24" s="72"/>
      <c r="AE24" s="69"/>
      <c r="AF24" s="70"/>
      <c r="AG24" s="72"/>
      <c r="AH24" s="69"/>
      <c r="AI24" s="70"/>
      <c r="AJ24" s="72"/>
      <c r="AK24" s="69"/>
      <c r="AL24" s="70"/>
      <c r="AM24" s="72"/>
    </row>
    <row r="25" spans="2:39" x14ac:dyDescent="0.4">
      <c r="B25" s="24"/>
      <c r="C25" s="68" t="s">
        <v>22</v>
      </c>
      <c r="D25" s="69">
        <v>20</v>
      </c>
      <c r="E25" s="75">
        <f t="shared" si="0"/>
        <v>10</v>
      </c>
      <c r="F25" s="71">
        <f t="shared" si="1"/>
        <v>7.6923076923076927E-2</v>
      </c>
      <c r="G25" s="69">
        <v>60</v>
      </c>
      <c r="H25" s="75">
        <v>30</v>
      </c>
      <c r="I25" s="72"/>
      <c r="J25" s="69">
        <v>70</v>
      </c>
      <c r="K25" s="70"/>
      <c r="L25" s="72"/>
      <c r="M25" s="69"/>
      <c r="N25" s="70"/>
      <c r="O25" s="72"/>
      <c r="P25" s="69"/>
      <c r="Q25" s="70"/>
      <c r="R25" s="72"/>
      <c r="S25" s="69"/>
      <c r="T25" s="70"/>
      <c r="U25" s="72"/>
      <c r="V25" s="69"/>
      <c r="W25" s="70"/>
      <c r="X25" s="72"/>
      <c r="Y25" s="69"/>
      <c r="Z25" s="70"/>
      <c r="AA25" s="72"/>
      <c r="AB25" s="69"/>
      <c r="AC25" s="70"/>
      <c r="AD25" s="72"/>
      <c r="AE25" s="69"/>
      <c r="AF25" s="70"/>
      <c r="AG25" s="72"/>
      <c r="AH25" s="69"/>
      <c r="AI25" s="70"/>
      <c r="AJ25" s="72"/>
      <c r="AK25" s="69"/>
      <c r="AL25" s="70"/>
      <c r="AM25" s="72"/>
    </row>
    <row r="26" spans="2:39" x14ac:dyDescent="0.4">
      <c r="B26" s="39"/>
      <c r="C26" s="68" t="s">
        <v>24</v>
      </c>
      <c r="D26" s="69">
        <v>10</v>
      </c>
      <c r="E26" s="70">
        <f t="shared" si="0"/>
        <v>5</v>
      </c>
      <c r="F26" s="71">
        <f t="shared" si="1"/>
        <v>3.8461538461538464E-2</v>
      </c>
      <c r="G26" s="69">
        <v>60</v>
      </c>
      <c r="H26" s="70">
        <v>30</v>
      </c>
      <c r="I26" s="72"/>
      <c r="J26" s="69">
        <v>70</v>
      </c>
      <c r="K26" s="70"/>
      <c r="L26" s="72"/>
      <c r="M26" s="69"/>
      <c r="N26" s="70"/>
      <c r="O26" s="72"/>
      <c r="P26" s="69"/>
      <c r="Q26" s="70"/>
      <c r="R26" s="72"/>
      <c r="S26" s="69"/>
      <c r="T26" s="70"/>
      <c r="U26" s="72"/>
      <c r="V26" s="69"/>
      <c r="W26" s="70"/>
      <c r="X26" s="72"/>
      <c r="Y26" s="69"/>
      <c r="Z26" s="70"/>
      <c r="AA26" s="72"/>
      <c r="AB26" s="69"/>
      <c r="AC26" s="70"/>
      <c r="AD26" s="72"/>
      <c r="AE26" s="69"/>
      <c r="AF26" s="70"/>
      <c r="AG26" s="72"/>
      <c r="AH26" s="69"/>
      <c r="AI26" s="70"/>
      <c r="AJ26" s="72"/>
      <c r="AK26" s="69"/>
      <c r="AL26" s="70"/>
      <c r="AM26" s="72"/>
    </row>
    <row r="27" spans="2:39" x14ac:dyDescent="0.4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2:39" x14ac:dyDescent="0.4">
      <c r="B28" s="4" t="s">
        <v>27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2:39" x14ac:dyDescent="0.4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2:39" x14ac:dyDescent="0.4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2:39" x14ac:dyDescent="0.4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2:39" x14ac:dyDescent="0.4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2:14" x14ac:dyDescent="0.4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2:14" x14ac:dyDescent="0.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2:14" x14ac:dyDescent="0.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2:14" x14ac:dyDescent="0.4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4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2:14" x14ac:dyDescent="0.4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2:14" x14ac:dyDescent="0.4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2:14" x14ac:dyDescent="0.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2:14" x14ac:dyDescent="0.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2:14" x14ac:dyDescent="0.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2:14" x14ac:dyDescent="0.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2:14" x14ac:dyDescent="0.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2:14" x14ac:dyDescent="0.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2:14" x14ac:dyDescent="0.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2:14" x14ac:dyDescent="0.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2:14" x14ac:dyDescent="0.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2:14" x14ac:dyDescent="0.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2:14" x14ac:dyDescent="0.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2:14" x14ac:dyDescent="0.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2:14" x14ac:dyDescent="0.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2:14" x14ac:dyDescent="0.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2:14" x14ac:dyDescent="0.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2:14" x14ac:dyDescent="0.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</sheetData>
  <mergeCells count="31">
    <mergeCell ref="B23:B26"/>
    <mergeCell ref="C18:C19"/>
    <mergeCell ref="D18:D19"/>
    <mergeCell ref="E18:E19"/>
    <mergeCell ref="F18:F19"/>
    <mergeCell ref="AB6:AD6"/>
    <mergeCell ref="AE6:AG6"/>
    <mergeCell ref="AH6:AJ6"/>
    <mergeCell ref="AK6:AM6"/>
    <mergeCell ref="B16:C16"/>
    <mergeCell ref="B17:B22"/>
    <mergeCell ref="D6:F6"/>
    <mergeCell ref="G6:I6"/>
    <mergeCell ref="J6:L6"/>
    <mergeCell ref="M6:O6"/>
    <mergeCell ref="P6:R6"/>
    <mergeCell ref="S6:U6"/>
    <mergeCell ref="V6:X6"/>
    <mergeCell ref="Y6:AA6"/>
    <mergeCell ref="V14:X14"/>
    <mergeCell ref="Y14:AA14"/>
    <mergeCell ref="AB14:AD14"/>
    <mergeCell ref="AE14:AG14"/>
    <mergeCell ref="AH14:AJ14"/>
    <mergeCell ref="AK14:AM14"/>
    <mergeCell ref="D14:F14"/>
    <mergeCell ref="G14:I14"/>
    <mergeCell ref="J14:L14"/>
    <mergeCell ref="M14:O14"/>
    <mergeCell ref="P14:R14"/>
    <mergeCell ref="S14:U1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2026-07-11T05:29:24Z</dcterms:created>
  <dcterms:modified xsi:type="dcterms:W3CDTF">2026-07-11T05:44:55Z</dcterms:modified>
</cp:coreProperties>
</file>