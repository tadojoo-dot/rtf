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U:\주민규\"/>
    </mc:Choice>
  </mc:AlternateContent>
  <bookViews>
    <workbookView xWindow="10350" yWindow="0" windowWidth="23040" windowHeight="9105"/>
  </bookViews>
  <sheets>
    <sheet name="예상 SHORTAGE" sheetId="12" r:id="rId1"/>
    <sheet name="Visibilty_ERP" sheetId="7" state="hidden" r:id="rId2"/>
    <sheet name="RTF" sheetId="9" state="hidden" r:id="rId3"/>
    <sheet name="판가(W20)" sheetId="20" state="hidden" r:id="rId4"/>
  </sheets>
  <definedNames>
    <definedName name="_xlnm._FilterDatabase" localSheetId="0" hidden="1">'예상 SHORTAGE'!$B$7:$N$25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6" i="7" l="1"/>
  <c r="B6" i="7"/>
  <c r="C6" i="7"/>
  <c r="A7" i="7"/>
  <c r="B7" i="7"/>
  <c r="C7" i="7"/>
  <c r="A8" i="7"/>
  <c r="B8" i="7"/>
  <c r="C8" i="7"/>
  <c r="A9" i="7"/>
  <c r="B9" i="7"/>
  <c r="C9" i="7"/>
  <c r="A10" i="7"/>
  <c r="B10" i="7"/>
  <c r="C10" i="7"/>
  <c r="A11" i="7"/>
  <c r="B11" i="7"/>
  <c r="C11" i="7"/>
  <c r="A12" i="7"/>
  <c r="B12" i="7"/>
  <c r="C12" i="7"/>
  <c r="A13" i="7"/>
  <c r="B13" i="7"/>
  <c r="C13" i="7"/>
  <c r="A14" i="7"/>
  <c r="B14" i="7"/>
  <c r="C14" i="7"/>
  <c r="A15" i="7"/>
  <c r="B15" i="7"/>
  <c r="C15" i="7"/>
  <c r="A16" i="7"/>
  <c r="B16" i="7"/>
  <c r="C16" i="7"/>
  <c r="A17" i="7"/>
  <c r="B17" i="7"/>
  <c r="C17" i="7"/>
  <c r="A18" i="7"/>
  <c r="B18" i="7"/>
  <c r="C18" i="7"/>
  <c r="A19" i="7"/>
  <c r="B19" i="7"/>
  <c r="C19" i="7"/>
  <c r="A20" i="7"/>
  <c r="B20" i="7"/>
  <c r="C20" i="7"/>
  <c r="A21" i="7"/>
  <c r="B21" i="7"/>
  <c r="C21" i="7"/>
  <c r="A22" i="7"/>
  <c r="B22" i="7"/>
  <c r="C22" i="7"/>
  <c r="A23" i="7"/>
  <c r="B23" i="7"/>
  <c r="C23" i="7"/>
  <c r="A24" i="7"/>
  <c r="B24" i="7"/>
  <c r="C24" i="7"/>
  <c r="A25" i="7"/>
  <c r="B25" i="7"/>
  <c r="C25" i="7"/>
  <c r="A26" i="7"/>
  <c r="B26" i="7"/>
  <c r="C26" i="7"/>
  <c r="A27" i="7"/>
  <c r="B27" i="7"/>
  <c r="C27" i="7"/>
  <c r="A28" i="7"/>
  <c r="B28" i="7"/>
  <c r="C28" i="7"/>
  <c r="A29" i="7"/>
  <c r="B29" i="7"/>
  <c r="C29" i="7"/>
  <c r="A30" i="7"/>
  <c r="B30" i="7"/>
  <c r="C30" i="7"/>
  <c r="A31" i="7"/>
  <c r="B31" i="7"/>
  <c r="C31" i="7"/>
  <c r="A32" i="7"/>
  <c r="B32" i="7"/>
  <c r="C32" i="7"/>
  <c r="A33" i="7"/>
  <c r="B33" i="7"/>
  <c r="C33" i="7"/>
  <c r="A34" i="7"/>
  <c r="B34" i="7"/>
  <c r="C34" i="7"/>
  <c r="A35" i="7"/>
  <c r="B35" i="7"/>
  <c r="C35" i="7"/>
  <c r="A36" i="7"/>
  <c r="B36" i="7"/>
  <c r="C36" i="7"/>
  <c r="A37" i="7"/>
  <c r="B37" i="7"/>
  <c r="C37" i="7"/>
  <c r="A38" i="7"/>
  <c r="B38" i="7"/>
  <c r="C38" i="7"/>
  <c r="A39" i="7"/>
  <c r="B39" i="7"/>
  <c r="C39" i="7"/>
  <c r="A40" i="7"/>
  <c r="B40" i="7"/>
  <c r="C40" i="7"/>
  <c r="A41" i="7"/>
  <c r="B41" i="7"/>
  <c r="C41" i="7"/>
  <c r="A42" i="7"/>
  <c r="B42" i="7"/>
  <c r="C42" i="7"/>
  <c r="A43" i="7"/>
  <c r="B43" i="7"/>
  <c r="C43" i="7"/>
  <c r="A44" i="7"/>
  <c r="B44" i="7"/>
  <c r="C44" i="7"/>
  <c r="A45" i="7"/>
  <c r="B45" i="7"/>
  <c r="C45" i="7"/>
  <c r="A46" i="7"/>
  <c r="B46" i="7"/>
  <c r="C46" i="7"/>
  <c r="A47" i="7"/>
  <c r="B47" i="7"/>
  <c r="C47" i="7"/>
  <c r="A48" i="7"/>
  <c r="B48" i="7"/>
  <c r="C48" i="7"/>
  <c r="A49" i="7"/>
  <c r="B49" i="7"/>
  <c r="C49" i="7"/>
  <c r="A50" i="7"/>
  <c r="B50" i="7"/>
  <c r="C50" i="7"/>
  <c r="A51" i="7"/>
  <c r="B51" i="7"/>
  <c r="C51" i="7"/>
  <c r="A52" i="7"/>
  <c r="B52" i="7"/>
  <c r="C52" i="7"/>
  <c r="A53" i="7"/>
  <c r="B53" i="7"/>
  <c r="C53" i="7"/>
  <c r="A54" i="7"/>
  <c r="B54" i="7"/>
  <c r="C54" i="7"/>
  <c r="A55" i="7"/>
  <c r="B55" i="7"/>
  <c r="C55" i="7"/>
  <c r="A56" i="7"/>
  <c r="B56" i="7"/>
  <c r="C56" i="7"/>
  <c r="A57" i="7"/>
  <c r="B57" i="7"/>
  <c r="C57" i="7"/>
  <c r="A58" i="7"/>
  <c r="B58" i="7"/>
  <c r="C58" i="7"/>
  <c r="A59" i="7"/>
  <c r="B59" i="7"/>
  <c r="C59" i="7"/>
  <c r="A60" i="7"/>
  <c r="B60" i="7"/>
  <c r="C60" i="7"/>
  <c r="A61" i="7"/>
  <c r="B61" i="7"/>
  <c r="C61" i="7"/>
  <c r="A62" i="7"/>
  <c r="B62" i="7"/>
  <c r="C62" i="7"/>
  <c r="A63" i="7"/>
  <c r="B63" i="7"/>
  <c r="C63" i="7"/>
  <c r="A64" i="7"/>
  <c r="B64" i="7"/>
  <c r="C64" i="7"/>
  <c r="A65" i="7"/>
  <c r="B65" i="7"/>
  <c r="C65" i="7"/>
  <c r="A66" i="7"/>
  <c r="B66" i="7"/>
  <c r="C66" i="7"/>
  <c r="A67" i="7"/>
  <c r="B67" i="7"/>
  <c r="C67" i="7"/>
  <c r="A68" i="7"/>
  <c r="B68" i="7"/>
  <c r="C68" i="7"/>
  <c r="A69" i="7"/>
  <c r="B69" i="7"/>
  <c r="C69" i="7"/>
  <c r="A70" i="7"/>
  <c r="B70" i="7"/>
  <c r="C70" i="7"/>
  <c r="A71" i="7"/>
  <c r="B71" i="7"/>
  <c r="C71" i="7"/>
  <c r="A72" i="7"/>
  <c r="B72" i="7"/>
  <c r="C72" i="7"/>
  <c r="A73" i="7"/>
  <c r="B73" i="7"/>
  <c r="C73" i="7"/>
  <c r="A74" i="7"/>
  <c r="B74" i="7"/>
  <c r="C74" i="7"/>
  <c r="A75" i="7"/>
  <c r="B75" i="7"/>
  <c r="C75" i="7"/>
  <c r="A76" i="7"/>
  <c r="B76" i="7"/>
  <c r="C76" i="7"/>
  <c r="A77" i="7"/>
  <c r="B77" i="7"/>
  <c r="C77" i="7"/>
  <c r="A78" i="7"/>
  <c r="B78" i="7"/>
  <c r="C78" i="7"/>
  <c r="A79" i="7"/>
  <c r="B79" i="7"/>
  <c r="C79" i="7"/>
  <c r="A80" i="7"/>
  <c r="B80" i="7"/>
  <c r="C80" i="7"/>
  <c r="A81" i="7"/>
  <c r="B81" i="7"/>
  <c r="C81" i="7"/>
  <c r="A82" i="7"/>
  <c r="B82" i="7"/>
  <c r="C82" i="7"/>
  <c r="A83" i="7"/>
  <c r="B83" i="7"/>
  <c r="C83" i="7"/>
  <c r="A84" i="7"/>
  <c r="B84" i="7"/>
  <c r="C84" i="7"/>
  <c r="A85" i="7"/>
  <c r="B85" i="7"/>
  <c r="C85" i="7"/>
  <c r="A86" i="7"/>
  <c r="B86" i="7"/>
  <c r="C86" i="7"/>
  <c r="A87" i="7"/>
  <c r="B87" i="7"/>
  <c r="C87" i="7"/>
  <c r="A88" i="7"/>
  <c r="B88" i="7"/>
  <c r="C88" i="7"/>
  <c r="A89" i="7"/>
  <c r="B89" i="7"/>
  <c r="C89" i="7"/>
  <c r="A90" i="7"/>
  <c r="B90" i="7"/>
  <c r="C90" i="7"/>
  <c r="A91" i="7"/>
  <c r="B91" i="7"/>
  <c r="C91" i="7"/>
  <c r="A92" i="7"/>
  <c r="B92" i="7"/>
  <c r="C92" i="7"/>
  <c r="A93" i="7"/>
  <c r="B93" i="7"/>
  <c r="C93" i="7"/>
  <c r="A94" i="7"/>
  <c r="B94" i="7"/>
  <c r="C94" i="7"/>
  <c r="A95" i="7"/>
  <c r="B95" i="7"/>
  <c r="C95" i="7"/>
  <c r="A96" i="7"/>
  <c r="B96" i="7"/>
  <c r="C96" i="7"/>
  <c r="A97" i="7"/>
  <c r="B97" i="7"/>
  <c r="C97" i="7"/>
  <c r="A98" i="7"/>
  <c r="B98" i="7"/>
  <c r="C98" i="7"/>
  <c r="A99" i="7"/>
  <c r="B99" i="7"/>
  <c r="C99" i="7"/>
  <c r="A100" i="7"/>
  <c r="B100" i="7"/>
  <c r="C100" i="7"/>
  <c r="A101" i="7"/>
  <c r="B101" i="7"/>
  <c r="C101" i="7"/>
  <c r="A102" i="7"/>
  <c r="B102" i="7"/>
  <c r="C102" i="7"/>
  <c r="A103" i="7"/>
  <c r="B103" i="7"/>
  <c r="C103" i="7"/>
  <c r="A104" i="7"/>
  <c r="B104" i="7"/>
  <c r="C104" i="7"/>
  <c r="A105" i="7"/>
  <c r="B105" i="7"/>
  <c r="C105" i="7"/>
  <c r="A106" i="7"/>
  <c r="B106" i="7"/>
  <c r="C106" i="7"/>
  <c r="A107" i="7"/>
  <c r="B107" i="7"/>
  <c r="C107" i="7"/>
  <c r="A108" i="7"/>
  <c r="B108" i="7"/>
  <c r="C108" i="7"/>
  <c r="A109" i="7"/>
  <c r="B109" i="7"/>
  <c r="C109" i="7"/>
  <c r="A110" i="7"/>
  <c r="B110" i="7"/>
  <c r="C110" i="7"/>
  <c r="A111" i="7"/>
  <c r="B111" i="7"/>
  <c r="C111" i="7"/>
  <c r="A112" i="7"/>
  <c r="B112" i="7"/>
  <c r="C112" i="7"/>
  <c r="A113" i="7"/>
  <c r="B113" i="7"/>
  <c r="C113" i="7"/>
  <c r="A114" i="7"/>
  <c r="B114" i="7"/>
  <c r="C114" i="7"/>
  <c r="A115" i="7"/>
  <c r="B115" i="7"/>
  <c r="C115" i="7"/>
  <c r="A116" i="7"/>
  <c r="B116" i="7"/>
  <c r="C116" i="7"/>
  <c r="A117" i="7"/>
  <c r="B117" i="7"/>
  <c r="C117" i="7"/>
  <c r="A118" i="7"/>
  <c r="B118" i="7"/>
  <c r="C118" i="7"/>
  <c r="A119" i="7"/>
  <c r="B119" i="7"/>
  <c r="C119" i="7"/>
  <c r="A120" i="7"/>
  <c r="B120" i="7"/>
  <c r="C120" i="7"/>
  <c r="A121" i="7"/>
  <c r="B121" i="7"/>
  <c r="C121" i="7"/>
  <c r="A122" i="7"/>
  <c r="B122" i="7"/>
  <c r="C122" i="7"/>
  <c r="A123" i="7"/>
  <c r="B123" i="7"/>
  <c r="C123" i="7"/>
  <c r="A124" i="7"/>
  <c r="B124" i="7"/>
  <c r="C124" i="7"/>
  <c r="A125" i="7"/>
  <c r="B125" i="7"/>
  <c r="C125" i="7"/>
  <c r="A126" i="7"/>
  <c r="B126" i="7"/>
  <c r="C126" i="7"/>
  <c r="A127" i="7"/>
  <c r="B127" i="7"/>
  <c r="C127" i="7"/>
  <c r="A128" i="7"/>
  <c r="B128" i="7"/>
  <c r="C128" i="7"/>
  <c r="A129" i="7"/>
  <c r="B129" i="7"/>
  <c r="C129" i="7"/>
  <c r="A130" i="7"/>
  <c r="B130" i="7"/>
  <c r="C130" i="7"/>
  <c r="A131" i="7"/>
  <c r="B131" i="7"/>
  <c r="C131" i="7"/>
  <c r="A132" i="7"/>
  <c r="B132" i="7"/>
  <c r="C132" i="7"/>
  <c r="A133" i="7"/>
  <c r="B133" i="7"/>
  <c r="C133" i="7"/>
  <c r="A134" i="7"/>
  <c r="B134" i="7"/>
  <c r="C134" i="7"/>
  <c r="A135" i="7"/>
  <c r="B135" i="7"/>
  <c r="C135" i="7"/>
  <c r="A136" i="7"/>
  <c r="B136" i="7"/>
  <c r="C136" i="7"/>
  <c r="A137" i="7"/>
  <c r="B137" i="7"/>
  <c r="C137" i="7"/>
  <c r="A138" i="7"/>
  <c r="B138" i="7"/>
  <c r="C138" i="7"/>
  <c r="A139" i="7"/>
  <c r="B139" i="7"/>
  <c r="C139" i="7"/>
  <c r="A140" i="7"/>
  <c r="B140" i="7"/>
  <c r="C140" i="7"/>
  <c r="A141" i="7"/>
  <c r="B141" i="7"/>
  <c r="C141" i="7"/>
  <c r="A142" i="7"/>
  <c r="B142" i="7"/>
  <c r="C142" i="7"/>
  <c r="A143" i="7"/>
  <c r="B143" i="7"/>
  <c r="C143" i="7"/>
  <c r="A144" i="7"/>
  <c r="B144" i="7"/>
  <c r="C144" i="7"/>
  <c r="A145" i="7"/>
  <c r="B145" i="7"/>
  <c r="C145" i="7"/>
  <c r="A146" i="7"/>
  <c r="B146" i="7"/>
  <c r="C146" i="7"/>
  <c r="A147" i="7"/>
  <c r="B147" i="7"/>
  <c r="C147" i="7"/>
  <c r="A148" i="7"/>
  <c r="B148" i="7"/>
  <c r="C148" i="7"/>
  <c r="A149" i="7"/>
  <c r="B149" i="7"/>
  <c r="C149" i="7"/>
  <c r="A150" i="7"/>
  <c r="B150" i="7"/>
  <c r="C150" i="7"/>
  <c r="A151" i="7"/>
  <c r="B151" i="7"/>
  <c r="C151" i="7"/>
  <c r="A152" i="7"/>
  <c r="B152" i="7"/>
  <c r="C152" i="7"/>
  <c r="A153" i="7"/>
  <c r="B153" i="7"/>
  <c r="C153" i="7"/>
  <c r="A154" i="7"/>
  <c r="B154" i="7"/>
  <c r="C154" i="7"/>
  <c r="A155" i="7"/>
  <c r="B155" i="7"/>
  <c r="C155" i="7"/>
  <c r="A156" i="7"/>
  <c r="B156" i="7"/>
  <c r="C156" i="7"/>
  <c r="A157" i="7"/>
  <c r="B157" i="7"/>
  <c r="C157" i="7"/>
  <c r="A158" i="7"/>
  <c r="B158" i="7"/>
  <c r="C158" i="7"/>
  <c r="A159" i="7"/>
  <c r="B159" i="7"/>
  <c r="C159" i="7"/>
  <c r="A160" i="7"/>
  <c r="B160" i="7"/>
  <c r="C160" i="7"/>
  <c r="A161" i="7"/>
  <c r="B161" i="7"/>
  <c r="C161" i="7"/>
  <c r="A162" i="7"/>
  <c r="B162" i="7"/>
  <c r="C162" i="7"/>
  <c r="A163" i="7"/>
  <c r="B163" i="7"/>
  <c r="C163" i="7"/>
  <c r="A164" i="7"/>
  <c r="B164" i="7"/>
  <c r="C164" i="7"/>
  <c r="A165" i="7"/>
  <c r="B165" i="7"/>
  <c r="C165" i="7"/>
  <c r="A166" i="7"/>
  <c r="B166" i="7"/>
  <c r="C166" i="7"/>
  <c r="A167" i="7"/>
  <c r="B167" i="7"/>
  <c r="C167" i="7"/>
  <c r="A168" i="7"/>
  <c r="B168" i="7"/>
  <c r="C168" i="7"/>
  <c r="A169" i="7"/>
  <c r="B169" i="7"/>
  <c r="C169" i="7"/>
  <c r="A170" i="7"/>
  <c r="B170" i="7"/>
  <c r="C170" i="7"/>
  <c r="A171" i="7"/>
  <c r="B171" i="7"/>
  <c r="C171" i="7"/>
  <c r="A172" i="7"/>
  <c r="B172" i="7"/>
  <c r="C172" i="7"/>
  <c r="A173" i="7"/>
  <c r="B173" i="7"/>
  <c r="C173" i="7"/>
  <c r="A174" i="7"/>
  <c r="B174" i="7"/>
  <c r="C174" i="7"/>
  <c r="A175" i="7"/>
  <c r="B175" i="7"/>
  <c r="C175" i="7"/>
  <c r="A176" i="7"/>
  <c r="B176" i="7"/>
  <c r="C176" i="7"/>
  <c r="A177" i="7"/>
  <c r="B177" i="7"/>
  <c r="C177" i="7"/>
  <c r="A178" i="7"/>
  <c r="B178" i="7"/>
  <c r="C178" i="7"/>
  <c r="A179" i="7"/>
  <c r="B179" i="7"/>
  <c r="C179" i="7"/>
  <c r="A180" i="7"/>
  <c r="B180" i="7"/>
  <c r="C180" i="7"/>
  <c r="A181" i="7"/>
  <c r="B181" i="7"/>
  <c r="C181" i="7"/>
  <c r="A182" i="7"/>
  <c r="B182" i="7"/>
  <c r="C182" i="7"/>
  <c r="A183" i="7"/>
  <c r="B183" i="7"/>
  <c r="C183" i="7"/>
  <c r="A184" i="7"/>
  <c r="B184" i="7"/>
  <c r="C184" i="7"/>
  <c r="A185" i="7"/>
  <c r="B185" i="7"/>
  <c r="C185" i="7"/>
  <c r="A186" i="7"/>
  <c r="B186" i="7"/>
  <c r="C186" i="7"/>
  <c r="A187" i="7"/>
  <c r="B187" i="7"/>
  <c r="C187" i="7"/>
  <c r="A188" i="7"/>
  <c r="B188" i="7"/>
  <c r="C188" i="7"/>
  <c r="A189" i="7"/>
  <c r="B189" i="7"/>
  <c r="C189" i="7"/>
  <c r="A190" i="7"/>
  <c r="B190" i="7"/>
  <c r="C190" i="7"/>
  <c r="A191" i="7"/>
  <c r="B191" i="7"/>
  <c r="C191" i="7"/>
  <c r="A192" i="7"/>
  <c r="B192" i="7"/>
  <c r="C192" i="7"/>
  <c r="A193" i="7"/>
  <c r="B193" i="7"/>
  <c r="C193" i="7"/>
  <c r="A194" i="7"/>
  <c r="B194" i="7"/>
  <c r="C194" i="7"/>
  <c r="A195" i="7"/>
  <c r="B195" i="7"/>
  <c r="C195" i="7"/>
  <c r="A196" i="7"/>
  <c r="B196" i="7"/>
  <c r="C196" i="7"/>
  <c r="A197" i="7"/>
  <c r="B197" i="7"/>
  <c r="C197" i="7"/>
  <c r="A198" i="7"/>
  <c r="B198" i="7"/>
  <c r="C198" i="7"/>
  <c r="A199" i="7"/>
  <c r="B199" i="7"/>
  <c r="C199" i="7"/>
  <c r="A200" i="7"/>
  <c r="B200" i="7"/>
  <c r="C200" i="7"/>
  <c r="A201" i="7"/>
  <c r="B201" i="7"/>
  <c r="C201" i="7"/>
  <c r="A202" i="7"/>
  <c r="B202" i="7"/>
  <c r="C202" i="7"/>
  <c r="A203" i="7"/>
  <c r="B203" i="7"/>
  <c r="C203" i="7"/>
  <c r="A204" i="7"/>
  <c r="B204" i="7"/>
  <c r="C204" i="7"/>
  <c r="A205" i="7"/>
  <c r="B205" i="7"/>
  <c r="C205" i="7"/>
  <c r="A206" i="7"/>
  <c r="B206" i="7"/>
  <c r="C206" i="7"/>
  <c r="A207" i="7"/>
  <c r="B207" i="7"/>
  <c r="C207" i="7"/>
  <c r="A208" i="7"/>
  <c r="B208" i="7"/>
  <c r="C208" i="7"/>
  <c r="A209" i="7"/>
  <c r="B209" i="7"/>
  <c r="C209" i="7"/>
  <c r="A210" i="7"/>
  <c r="B210" i="7"/>
  <c r="C210" i="7"/>
  <c r="A211" i="7"/>
  <c r="B211" i="7"/>
  <c r="C211" i="7"/>
  <c r="A212" i="7"/>
  <c r="B212" i="7"/>
  <c r="C212" i="7"/>
  <c r="A213" i="7"/>
  <c r="B213" i="7"/>
  <c r="C213" i="7"/>
  <c r="A214" i="7"/>
  <c r="B214" i="7"/>
  <c r="C214" i="7"/>
  <c r="A215" i="7"/>
  <c r="B215" i="7"/>
  <c r="C215" i="7"/>
  <c r="A216" i="7"/>
  <c r="B216" i="7"/>
  <c r="C216" i="7"/>
  <c r="A217" i="7"/>
  <c r="B217" i="7"/>
  <c r="C217" i="7"/>
  <c r="A218" i="7"/>
  <c r="B218" i="7"/>
  <c r="C218" i="7"/>
  <c r="A219" i="7"/>
  <c r="B219" i="7"/>
  <c r="C219" i="7"/>
  <c r="A220" i="7"/>
  <c r="B220" i="7"/>
  <c r="C220" i="7"/>
  <c r="A221" i="7"/>
  <c r="B221" i="7"/>
  <c r="C221" i="7"/>
  <c r="A222" i="7"/>
  <c r="B222" i="7"/>
  <c r="C222" i="7"/>
  <c r="A223" i="7"/>
  <c r="B223" i="7"/>
  <c r="C223" i="7"/>
  <c r="A224" i="7"/>
  <c r="B224" i="7"/>
  <c r="C224" i="7"/>
  <c r="A225" i="7"/>
  <c r="B225" i="7"/>
  <c r="C225" i="7"/>
  <c r="A226" i="7"/>
  <c r="B226" i="7"/>
  <c r="C226" i="7"/>
  <c r="A227" i="7"/>
  <c r="B227" i="7"/>
  <c r="C227" i="7"/>
  <c r="A228" i="7"/>
  <c r="B228" i="7"/>
  <c r="C228" i="7"/>
  <c r="A229" i="7"/>
  <c r="B229" i="7"/>
  <c r="C229" i="7"/>
  <c r="A230" i="7"/>
  <c r="B230" i="7"/>
  <c r="C230" i="7"/>
  <c r="A231" i="7"/>
  <c r="B231" i="7"/>
  <c r="C231" i="7"/>
  <c r="A232" i="7"/>
  <c r="B232" i="7"/>
  <c r="C232" i="7"/>
  <c r="A233" i="7"/>
  <c r="B233" i="7"/>
  <c r="C233" i="7"/>
  <c r="A234" i="7"/>
  <c r="B234" i="7"/>
  <c r="C234" i="7"/>
  <c r="A235" i="7"/>
  <c r="B235" i="7"/>
  <c r="C235" i="7"/>
  <c r="A236" i="7"/>
  <c r="B236" i="7"/>
  <c r="C236" i="7"/>
  <c r="A237" i="7"/>
  <c r="B237" i="7"/>
  <c r="C237" i="7"/>
  <c r="A238" i="7"/>
  <c r="B238" i="7"/>
  <c r="C238" i="7"/>
  <c r="A239" i="7"/>
  <c r="B239" i="7"/>
  <c r="C239" i="7"/>
  <c r="A240" i="7"/>
  <c r="B240" i="7"/>
  <c r="C240" i="7"/>
  <c r="A241" i="7"/>
  <c r="B241" i="7"/>
  <c r="C241" i="7"/>
  <c r="A242" i="7"/>
  <c r="B242" i="7"/>
  <c r="C242" i="7"/>
  <c r="A243" i="7"/>
  <c r="B243" i="7"/>
  <c r="C243" i="7"/>
  <c r="A244" i="7"/>
  <c r="B244" i="7"/>
  <c r="C244" i="7"/>
  <c r="A245" i="7"/>
  <c r="B245" i="7"/>
  <c r="C245" i="7"/>
  <c r="A246" i="7"/>
  <c r="B246" i="7"/>
  <c r="C246" i="7"/>
  <c r="A247" i="7"/>
  <c r="B247" i="7"/>
  <c r="C247" i="7"/>
  <c r="A248" i="7"/>
  <c r="B248" i="7"/>
  <c r="C248" i="7"/>
  <c r="A249" i="7"/>
  <c r="B249" i="7"/>
  <c r="C249" i="7"/>
  <c r="A250" i="7"/>
  <c r="B250" i="7"/>
  <c r="C250" i="7"/>
  <c r="A251" i="7"/>
  <c r="B251" i="7"/>
  <c r="C251" i="7"/>
  <c r="A252" i="7"/>
  <c r="B252" i="7"/>
  <c r="C252" i="7"/>
  <c r="A253" i="7"/>
  <c r="B253" i="7"/>
  <c r="C253" i="7"/>
  <c r="A254" i="7"/>
  <c r="B254" i="7"/>
  <c r="C254" i="7"/>
  <c r="A255" i="7"/>
  <c r="B255" i="7"/>
  <c r="C255" i="7"/>
  <c r="A256" i="7"/>
  <c r="B256" i="7"/>
  <c r="C256" i="7"/>
  <c r="A257" i="7"/>
  <c r="B257" i="7"/>
  <c r="C257" i="7"/>
  <c r="A258" i="7"/>
  <c r="B258" i="7"/>
  <c r="C258" i="7"/>
  <c r="A259" i="7"/>
  <c r="B259" i="7"/>
  <c r="C259" i="7"/>
  <c r="A260" i="7"/>
  <c r="B260" i="7"/>
  <c r="C260" i="7"/>
  <c r="A261" i="7"/>
  <c r="B261" i="7"/>
  <c r="C261" i="7"/>
  <c r="A262" i="7"/>
  <c r="B262" i="7"/>
  <c r="C262" i="7"/>
  <c r="A263" i="7"/>
  <c r="B263" i="7"/>
  <c r="C263" i="7"/>
  <c r="A264" i="7"/>
  <c r="B264" i="7"/>
  <c r="C264" i="7"/>
  <c r="A265" i="7"/>
  <c r="B265" i="7"/>
  <c r="C265" i="7"/>
  <c r="A266" i="7"/>
  <c r="B266" i="7"/>
  <c r="C266" i="7"/>
  <c r="A267" i="7"/>
  <c r="B267" i="7"/>
  <c r="C267" i="7"/>
  <c r="A268" i="7"/>
  <c r="B268" i="7"/>
  <c r="C268" i="7"/>
  <c r="A269" i="7"/>
  <c r="B269" i="7"/>
  <c r="C269" i="7"/>
  <c r="A270" i="7"/>
  <c r="B270" i="7"/>
  <c r="C270" i="7"/>
  <c r="A271" i="7"/>
  <c r="B271" i="7"/>
  <c r="C271" i="7"/>
  <c r="A272" i="7"/>
  <c r="B272" i="7"/>
  <c r="C272" i="7"/>
  <c r="A273" i="7"/>
  <c r="B273" i="7"/>
  <c r="C273" i="7"/>
  <c r="A274" i="7"/>
  <c r="B274" i="7"/>
  <c r="C274" i="7"/>
  <c r="A275" i="7"/>
  <c r="B275" i="7"/>
  <c r="C275" i="7"/>
  <c r="A276" i="7"/>
  <c r="B276" i="7"/>
  <c r="C276" i="7"/>
  <c r="A277" i="7"/>
  <c r="B277" i="7"/>
  <c r="C277" i="7"/>
  <c r="A278" i="7"/>
  <c r="B278" i="7"/>
  <c r="C278" i="7"/>
  <c r="A279" i="7"/>
  <c r="B279" i="7"/>
  <c r="C279" i="7"/>
  <c r="A280" i="7"/>
  <c r="B280" i="7"/>
  <c r="C280" i="7"/>
  <c r="A281" i="7"/>
  <c r="B281" i="7"/>
  <c r="C281" i="7"/>
  <c r="A282" i="7"/>
  <c r="B282" i="7"/>
  <c r="C282" i="7"/>
  <c r="A283" i="7"/>
  <c r="B283" i="7"/>
  <c r="C283" i="7"/>
  <c r="A284" i="7"/>
  <c r="B284" i="7"/>
  <c r="C284" i="7"/>
  <c r="A285" i="7"/>
  <c r="B285" i="7"/>
  <c r="C285" i="7"/>
  <c r="A286" i="7"/>
  <c r="B286" i="7"/>
  <c r="C286" i="7"/>
  <c r="A287" i="7"/>
  <c r="B287" i="7"/>
  <c r="C287" i="7"/>
  <c r="A288" i="7"/>
  <c r="B288" i="7"/>
  <c r="C288" i="7"/>
  <c r="A289" i="7"/>
  <c r="B289" i="7"/>
  <c r="C289" i="7"/>
  <c r="A290" i="7"/>
  <c r="B290" i="7"/>
  <c r="C290" i="7"/>
  <c r="A291" i="7"/>
  <c r="B291" i="7"/>
  <c r="C291" i="7"/>
  <c r="A292" i="7"/>
  <c r="B292" i="7"/>
  <c r="C292" i="7"/>
  <c r="A293" i="7"/>
  <c r="B293" i="7"/>
  <c r="C293" i="7"/>
  <c r="A294" i="7"/>
  <c r="B294" i="7"/>
  <c r="C294" i="7"/>
  <c r="A295" i="7"/>
  <c r="B295" i="7"/>
  <c r="C295" i="7"/>
  <c r="A296" i="7"/>
  <c r="B296" i="7"/>
  <c r="C296" i="7"/>
  <c r="A297" i="7"/>
  <c r="B297" i="7"/>
  <c r="C297" i="7"/>
  <c r="A298" i="7"/>
  <c r="B298" i="7"/>
  <c r="C298" i="7"/>
  <c r="A299" i="7"/>
  <c r="B299" i="7"/>
  <c r="C299" i="7"/>
  <c r="A300" i="7"/>
  <c r="B300" i="7"/>
  <c r="C300" i="7"/>
  <c r="A301" i="7"/>
  <c r="B301" i="7"/>
  <c r="C301" i="7"/>
  <c r="A302" i="7"/>
  <c r="B302" i="7"/>
  <c r="C302" i="7"/>
  <c r="A303" i="7"/>
  <c r="B303" i="7"/>
  <c r="C303" i="7"/>
  <c r="A304" i="7"/>
  <c r="B304" i="7"/>
  <c r="C304" i="7"/>
  <c r="A305" i="7"/>
  <c r="B305" i="7"/>
  <c r="C305" i="7"/>
  <c r="A306" i="7"/>
  <c r="B306" i="7"/>
  <c r="C306" i="7"/>
  <c r="A307" i="7"/>
  <c r="B307" i="7"/>
  <c r="C307" i="7"/>
  <c r="A308" i="7"/>
  <c r="B308" i="7"/>
  <c r="C308" i="7"/>
  <c r="A309" i="7"/>
  <c r="B309" i="7"/>
  <c r="C309" i="7"/>
  <c r="A310" i="7"/>
  <c r="B310" i="7"/>
  <c r="C310" i="7"/>
  <c r="A311" i="7"/>
  <c r="B311" i="7"/>
  <c r="C311" i="7"/>
  <c r="A312" i="7"/>
  <c r="B312" i="7"/>
  <c r="C312" i="7"/>
  <c r="A313" i="7"/>
  <c r="B313" i="7"/>
  <c r="C313" i="7"/>
  <c r="A314" i="7"/>
  <c r="B314" i="7"/>
  <c r="C314" i="7"/>
  <c r="A315" i="7"/>
  <c r="B315" i="7"/>
  <c r="C315" i="7"/>
  <c r="A316" i="7"/>
  <c r="B316" i="7"/>
  <c r="C316" i="7"/>
  <c r="A317" i="7"/>
  <c r="B317" i="7"/>
  <c r="C317" i="7"/>
  <c r="A318" i="7"/>
  <c r="B318" i="7"/>
  <c r="C318" i="7"/>
  <c r="A319" i="7"/>
  <c r="B319" i="7"/>
  <c r="C319" i="7"/>
  <c r="A320" i="7"/>
  <c r="B320" i="7"/>
  <c r="C320" i="7"/>
  <c r="A321" i="7"/>
  <c r="B321" i="7"/>
  <c r="C321" i="7"/>
  <c r="A322" i="7"/>
  <c r="B322" i="7"/>
  <c r="C322" i="7"/>
  <c r="A323" i="7"/>
  <c r="B323" i="7"/>
  <c r="C323" i="7"/>
  <c r="A324" i="7"/>
  <c r="B324" i="7"/>
  <c r="C324" i="7"/>
  <c r="A325" i="7"/>
  <c r="B325" i="7"/>
  <c r="C325" i="7"/>
  <c r="A326" i="7"/>
  <c r="B326" i="7"/>
  <c r="C326" i="7"/>
  <c r="A327" i="7"/>
  <c r="B327" i="7"/>
  <c r="C327" i="7"/>
  <c r="A328" i="7"/>
  <c r="B328" i="7"/>
  <c r="C328" i="7"/>
  <c r="A329" i="7"/>
  <c r="B329" i="7"/>
  <c r="C329" i="7"/>
  <c r="A330" i="7"/>
  <c r="B330" i="7"/>
  <c r="C330" i="7"/>
  <c r="A331" i="7"/>
  <c r="B331" i="7"/>
  <c r="C331" i="7"/>
  <c r="A332" i="7"/>
  <c r="B332" i="7"/>
  <c r="C332" i="7"/>
  <c r="A333" i="7"/>
  <c r="B333" i="7"/>
  <c r="C333" i="7"/>
  <c r="A334" i="7"/>
  <c r="B334" i="7"/>
  <c r="C334" i="7"/>
  <c r="A335" i="7"/>
  <c r="B335" i="7"/>
  <c r="C335" i="7"/>
  <c r="A336" i="7"/>
  <c r="B336" i="7"/>
  <c r="C336" i="7"/>
  <c r="A337" i="7"/>
  <c r="B337" i="7"/>
  <c r="C337" i="7"/>
  <c r="A338" i="7"/>
  <c r="B338" i="7"/>
  <c r="C338" i="7"/>
  <c r="A339" i="7"/>
  <c r="B339" i="7"/>
  <c r="C339" i="7"/>
  <c r="A340" i="7"/>
  <c r="B340" i="7"/>
  <c r="C340" i="7"/>
  <c r="A341" i="7"/>
  <c r="B341" i="7"/>
  <c r="C341" i="7"/>
  <c r="A342" i="7"/>
  <c r="B342" i="7"/>
  <c r="C342" i="7"/>
  <c r="A343" i="7"/>
  <c r="B343" i="7"/>
  <c r="C343" i="7"/>
  <c r="A344" i="7"/>
  <c r="B344" i="7"/>
  <c r="C344" i="7"/>
  <c r="A345" i="7"/>
  <c r="B345" i="7"/>
  <c r="C345" i="7"/>
  <c r="A346" i="7"/>
  <c r="B346" i="7"/>
  <c r="C346" i="7"/>
  <c r="A347" i="7"/>
  <c r="B347" i="7"/>
  <c r="C347" i="7"/>
  <c r="A348" i="7"/>
  <c r="B348" i="7"/>
  <c r="C348" i="7"/>
  <c r="A349" i="7"/>
  <c r="B349" i="7"/>
  <c r="C349" i="7"/>
  <c r="A350" i="7"/>
  <c r="B350" i="7"/>
  <c r="C350" i="7"/>
  <c r="A351" i="7"/>
  <c r="B351" i="7"/>
  <c r="C351" i="7"/>
  <c r="A352" i="7"/>
  <c r="B352" i="7"/>
  <c r="C352" i="7"/>
  <c r="A353" i="7"/>
  <c r="B353" i="7"/>
  <c r="C353" i="7"/>
  <c r="A354" i="7"/>
  <c r="B354" i="7"/>
  <c r="C354" i="7"/>
  <c r="A355" i="7"/>
  <c r="B355" i="7"/>
  <c r="C355" i="7"/>
  <c r="A356" i="7"/>
  <c r="B356" i="7"/>
  <c r="C356" i="7"/>
  <c r="A357" i="7"/>
  <c r="B357" i="7"/>
  <c r="C357" i="7"/>
  <c r="A358" i="7"/>
  <c r="B358" i="7"/>
  <c r="C358" i="7"/>
  <c r="A359" i="7"/>
  <c r="B359" i="7"/>
  <c r="C359" i="7"/>
  <c r="A360" i="7"/>
  <c r="B360" i="7"/>
  <c r="C360" i="7"/>
  <c r="A361" i="7"/>
  <c r="B361" i="7"/>
  <c r="C361" i="7"/>
  <c r="A362" i="7"/>
  <c r="B362" i="7"/>
  <c r="C362" i="7"/>
  <c r="A363" i="7"/>
  <c r="B363" i="7"/>
  <c r="C363" i="7"/>
  <c r="A364" i="7"/>
  <c r="B364" i="7"/>
  <c r="C364" i="7"/>
  <c r="A365" i="7"/>
  <c r="B365" i="7"/>
  <c r="C365" i="7"/>
  <c r="A366" i="7"/>
  <c r="B366" i="7"/>
  <c r="C366" i="7"/>
  <c r="A367" i="7"/>
  <c r="B367" i="7"/>
  <c r="C367" i="7"/>
  <c r="A368" i="7"/>
  <c r="B368" i="7"/>
  <c r="C368" i="7"/>
  <c r="A369" i="7"/>
  <c r="B369" i="7"/>
  <c r="C369" i="7"/>
  <c r="A370" i="7"/>
  <c r="B370" i="7"/>
  <c r="C370" i="7"/>
  <c r="A371" i="7"/>
  <c r="B371" i="7"/>
  <c r="C371" i="7"/>
  <c r="A372" i="7"/>
  <c r="B372" i="7"/>
  <c r="C372" i="7"/>
  <c r="A373" i="7"/>
  <c r="B373" i="7"/>
  <c r="C373" i="7"/>
  <c r="A374" i="7"/>
  <c r="B374" i="7"/>
  <c r="C374" i="7"/>
  <c r="A375" i="7"/>
  <c r="B375" i="7"/>
  <c r="C375" i="7"/>
  <c r="A376" i="7"/>
  <c r="B376" i="7"/>
  <c r="C376" i="7"/>
  <c r="A377" i="7"/>
  <c r="B377" i="7"/>
  <c r="C377" i="7"/>
  <c r="A378" i="7"/>
  <c r="B378" i="7"/>
  <c r="C378" i="7"/>
  <c r="A379" i="7"/>
  <c r="B379" i="7"/>
  <c r="C379" i="7"/>
  <c r="A380" i="7"/>
  <c r="B380" i="7"/>
  <c r="C380" i="7"/>
  <c r="A381" i="7"/>
  <c r="B381" i="7"/>
  <c r="C381" i="7"/>
  <c r="A382" i="7"/>
  <c r="B382" i="7"/>
  <c r="C382" i="7"/>
  <c r="A383" i="7"/>
  <c r="B383" i="7"/>
  <c r="C383" i="7"/>
  <c r="A384" i="7"/>
  <c r="B384" i="7"/>
  <c r="C384" i="7"/>
  <c r="A385" i="7"/>
  <c r="B385" i="7"/>
  <c r="C385" i="7"/>
  <c r="A386" i="7"/>
  <c r="B386" i="7"/>
  <c r="C386" i="7"/>
  <c r="A387" i="7"/>
  <c r="B387" i="7"/>
  <c r="C387" i="7"/>
  <c r="A388" i="7"/>
  <c r="B388" i="7"/>
  <c r="C388" i="7"/>
  <c r="A389" i="7"/>
  <c r="B389" i="7"/>
  <c r="C389" i="7"/>
  <c r="A390" i="7"/>
  <c r="B390" i="7"/>
  <c r="C390" i="7"/>
  <c r="A391" i="7"/>
  <c r="B391" i="7"/>
  <c r="C391" i="7"/>
  <c r="A392" i="7"/>
  <c r="B392" i="7"/>
  <c r="C392" i="7"/>
  <c r="A393" i="7"/>
  <c r="B393" i="7"/>
  <c r="C393" i="7"/>
  <c r="A394" i="7"/>
  <c r="B394" i="7"/>
  <c r="C394" i="7"/>
  <c r="A395" i="7"/>
  <c r="B395" i="7"/>
  <c r="C395" i="7"/>
  <c r="A396" i="7"/>
  <c r="B396" i="7"/>
  <c r="C396" i="7"/>
  <c r="A397" i="7"/>
  <c r="B397" i="7"/>
  <c r="C397" i="7"/>
  <c r="A398" i="7"/>
  <c r="B398" i="7"/>
  <c r="C398" i="7"/>
  <c r="A399" i="7"/>
  <c r="B399" i="7"/>
  <c r="C399" i="7"/>
  <c r="E396" i="7"/>
  <c r="E397" i="7" s="1"/>
  <c r="E398" i="7" s="1"/>
  <c r="E399" i="7" s="1"/>
  <c r="E391" i="7"/>
  <c r="E392" i="7" s="1"/>
  <c r="E393" i="7" s="1"/>
  <c r="E394" i="7" s="1"/>
  <c r="E386" i="7"/>
  <c r="E387" i="7" s="1"/>
  <c r="E388" i="7" s="1"/>
  <c r="E389" i="7" s="1"/>
  <c r="E381" i="7"/>
  <c r="E382" i="7" s="1"/>
  <c r="E383" i="7" s="1"/>
  <c r="E384" i="7" s="1"/>
  <c r="D381" i="7"/>
  <c r="D382" i="7"/>
  <c r="D383" i="7" s="1"/>
  <c r="D384" i="7" s="1"/>
  <c r="D385" i="7" s="1"/>
  <c r="D386" i="7" s="1"/>
  <c r="D387" i="7" s="1"/>
  <c r="D388" i="7" s="1"/>
  <c r="D389" i="7" s="1"/>
  <c r="E376" i="7"/>
  <c r="E377" i="7" s="1"/>
  <c r="E378" i="7" s="1"/>
  <c r="E379" i="7" s="1"/>
  <c r="E371" i="7"/>
  <c r="E372" i="7" s="1"/>
  <c r="E373" i="7" s="1"/>
  <c r="E374" i="7" s="1"/>
  <c r="E366" i="7"/>
  <c r="E367" i="7" s="1"/>
  <c r="E368" i="7" s="1"/>
  <c r="E369" i="7" s="1"/>
  <c r="D366" i="7"/>
  <c r="D367" i="7" s="1"/>
  <c r="D368" i="7" s="1"/>
  <c r="D369" i="7" s="1"/>
  <c r="D370" i="7" s="1"/>
  <c r="D371" i="7" s="1"/>
  <c r="D372" i="7" s="1"/>
  <c r="D373" i="7" s="1"/>
  <c r="D374" i="7" s="1"/>
  <c r="E361" i="7"/>
  <c r="E362" i="7" s="1"/>
  <c r="E363" i="7" s="1"/>
  <c r="E364" i="7" s="1"/>
  <c r="E356" i="7"/>
  <c r="E357" i="7" s="1"/>
  <c r="E358" i="7" s="1"/>
  <c r="E359" i="7" s="1"/>
  <c r="D356" i="7"/>
  <c r="D357" i="7" s="1"/>
  <c r="D358" i="7" s="1"/>
  <c r="D359" i="7" s="1"/>
  <c r="D360" i="7" s="1"/>
  <c r="D361" i="7" s="1"/>
  <c r="D362" i="7" s="1"/>
  <c r="D363" i="7" s="1"/>
  <c r="D364" i="7" s="1"/>
  <c r="E351" i="7"/>
  <c r="E352" i="7" s="1"/>
  <c r="E353" i="7" s="1"/>
  <c r="E354" i="7" s="1"/>
  <c r="E346" i="7"/>
  <c r="E347" i="7" s="1"/>
  <c r="E348" i="7" s="1"/>
  <c r="E349" i="7" s="1"/>
  <c r="D346" i="7"/>
  <c r="D347" i="7" s="1"/>
  <c r="D348" i="7" s="1"/>
  <c r="D349" i="7" s="1"/>
  <c r="D350" i="7" s="1"/>
  <c r="D351" i="7" s="1"/>
  <c r="D352" i="7" s="1"/>
  <c r="D353" i="7" s="1"/>
  <c r="D354" i="7" s="1"/>
  <c r="E341" i="7"/>
  <c r="E342" i="7" s="1"/>
  <c r="E343" i="7" s="1"/>
  <c r="E344" i="7" s="1"/>
  <c r="E336" i="7"/>
  <c r="E337" i="7" s="1"/>
  <c r="E338" i="7" s="1"/>
  <c r="E339" i="7" s="1"/>
  <c r="D336" i="7"/>
  <c r="D337" i="7" s="1"/>
  <c r="D338" i="7" s="1"/>
  <c r="D339" i="7" s="1"/>
  <c r="D340" i="7" s="1"/>
  <c r="D341" i="7" s="1"/>
  <c r="D342" i="7" s="1"/>
  <c r="D343" i="7" s="1"/>
  <c r="D344" i="7" s="1"/>
  <c r="E331" i="7"/>
  <c r="E332" i="7" s="1"/>
  <c r="E333" i="7" s="1"/>
  <c r="E334" i="7" s="1"/>
  <c r="E326" i="7"/>
  <c r="E327" i="7" s="1"/>
  <c r="E328" i="7" s="1"/>
  <c r="E329" i="7" s="1"/>
  <c r="D326" i="7"/>
  <c r="D327" i="7" s="1"/>
  <c r="D328" i="7" s="1"/>
  <c r="D329" i="7" s="1"/>
  <c r="D330" i="7" s="1"/>
  <c r="D331" i="7" s="1"/>
  <c r="D332" i="7" s="1"/>
  <c r="D333" i="7" s="1"/>
  <c r="D334" i="7" s="1"/>
  <c r="E321" i="7"/>
  <c r="E322" i="7" s="1"/>
  <c r="E323" i="7" s="1"/>
  <c r="E324" i="7" s="1"/>
  <c r="E316" i="7"/>
  <c r="E317" i="7" s="1"/>
  <c r="E318" i="7" s="1"/>
  <c r="E319" i="7" s="1"/>
  <c r="D316" i="7"/>
  <c r="D317" i="7" s="1"/>
  <c r="D318" i="7" s="1"/>
  <c r="D319" i="7" s="1"/>
  <c r="D320" i="7" s="1"/>
  <c r="D321" i="7" s="1"/>
  <c r="D322" i="7" s="1"/>
  <c r="D323" i="7" s="1"/>
  <c r="D324" i="7" s="1"/>
  <c r="E311" i="7"/>
  <c r="E312" i="7" s="1"/>
  <c r="E313" i="7" s="1"/>
  <c r="E314" i="7" s="1"/>
  <c r="E306" i="7"/>
  <c r="E307" i="7" s="1"/>
  <c r="E308" i="7" s="1"/>
  <c r="E309" i="7" s="1"/>
  <c r="E301" i="7"/>
  <c r="E302" i="7" s="1"/>
  <c r="E303" i="7" s="1"/>
  <c r="E304" i="7" s="1"/>
  <c r="D301" i="7"/>
  <c r="D302" i="7" s="1"/>
  <c r="D303" i="7" s="1"/>
  <c r="D304" i="7" s="1"/>
  <c r="D305" i="7" s="1"/>
  <c r="D306" i="7" s="1"/>
  <c r="D307" i="7" s="1"/>
  <c r="D308" i="7" s="1"/>
  <c r="D309" i="7" s="1"/>
  <c r="E296" i="7"/>
  <c r="E297" i="7" s="1"/>
  <c r="E298" i="7" s="1"/>
  <c r="E299" i="7" s="1"/>
  <c r="E291" i="7"/>
  <c r="E292" i="7" s="1"/>
  <c r="E293" i="7" s="1"/>
  <c r="E294" i="7" s="1"/>
  <c r="D291" i="7"/>
  <c r="D292" i="7" s="1"/>
  <c r="D293" i="7" s="1"/>
  <c r="D294" i="7" s="1"/>
  <c r="D295" i="7" s="1"/>
  <c r="D296" i="7" s="1"/>
  <c r="D297" i="7" s="1"/>
  <c r="D298" i="7" s="1"/>
  <c r="D299" i="7" s="1"/>
  <c r="E286" i="7"/>
  <c r="E287" i="7" s="1"/>
  <c r="E288" i="7" s="1"/>
  <c r="E289" i="7" s="1"/>
  <c r="E281" i="7"/>
  <c r="E282" i="7" s="1"/>
  <c r="E283" i="7" s="1"/>
  <c r="E284" i="7" s="1"/>
  <c r="D281" i="7"/>
  <c r="D282" i="7" s="1"/>
  <c r="D283" i="7" s="1"/>
  <c r="D284" i="7" s="1"/>
  <c r="D285" i="7" s="1"/>
  <c r="D286" i="7" s="1"/>
  <c r="D287" i="7" s="1"/>
  <c r="D288" i="7" s="1"/>
  <c r="D289" i="7" s="1"/>
  <c r="E276" i="7"/>
  <c r="E277" i="7" s="1"/>
  <c r="E278" i="7" s="1"/>
  <c r="E279" i="7" s="1"/>
  <c r="E271" i="7"/>
  <c r="E272" i="7" s="1"/>
  <c r="E273" i="7" s="1"/>
  <c r="E274" i="7" s="1"/>
  <c r="E266" i="7"/>
  <c r="E267" i="7" s="1"/>
  <c r="E268" i="7" s="1"/>
  <c r="E269" i="7" s="1"/>
  <c r="E261" i="7"/>
  <c r="E262" i="7" s="1"/>
  <c r="E263" i="7" s="1"/>
  <c r="E264" i="7" s="1"/>
  <c r="E256" i="7"/>
  <c r="E257" i="7" s="1"/>
  <c r="E258" i="7" s="1"/>
  <c r="E259" i="7" s="1"/>
  <c r="E251" i="7"/>
  <c r="E252" i="7" s="1"/>
  <c r="E253" i="7" s="1"/>
  <c r="E254" i="7" s="1"/>
  <c r="E246" i="7"/>
  <c r="E247" i="7" s="1"/>
  <c r="E248" i="7" s="1"/>
  <c r="E249" i="7" s="1"/>
  <c r="E241" i="7"/>
  <c r="E242" i="7" s="1"/>
  <c r="E243" i="7" s="1"/>
  <c r="E244" i="7" s="1"/>
  <c r="E236" i="7"/>
  <c r="E237" i="7" s="1"/>
  <c r="E238" i="7" s="1"/>
  <c r="E239" i="7" s="1"/>
  <c r="E231" i="7"/>
  <c r="E232" i="7" s="1"/>
  <c r="E233" i="7" s="1"/>
  <c r="E234" i="7" s="1"/>
  <c r="E226" i="7"/>
  <c r="E227" i="7" s="1"/>
  <c r="E228" i="7" s="1"/>
  <c r="E229" i="7" s="1"/>
  <c r="E221" i="7"/>
  <c r="E222" i="7" s="1"/>
  <c r="E223" i="7" s="1"/>
  <c r="E224" i="7" s="1"/>
  <c r="E216" i="7"/>
  <c r="E217" i="7" s="1"/>
  <c r="E218" i="7" s="1"/>
  <c r="E219" i="7" s="1"/>
  <c r="E211" i="7"/>
  <c r="E212" i="7" s="1"/>
  <c r="E213" i="7" s="1"/>
  <c r="E214" i="7" s="1"/>
  <c r="E206" i="7"/>
  <c r="E207" i="7" s="1"/>
  <c r="E208" i="7" s="1"/>
  <c r="E209" i="7" s="1"/>
  <c r="E201" i="7"/>
  <c r="E202" i="7" s="1"/>
  <c r="E203" i="7" s="1"/>
  <c r="E204" i="7" s="1"/>
  <c r="E196" i="7"/>
  <c r="E197" i="7" s="1"/>
  <c r="E198" i="7" s="1"/>
  <c r="E199" i="7" s="1"/>
  <c r="E191" i="7"/>
  <c r="E192" i="7"/>
  <c r="E193" i="7" s="1"/>
  <c r="E194" i="7" s="1"/>
  <c r="E186" i="7"/>
  <c r="E187" i="7" s="1"/>
  <c r="E188" i="7" s="1"/>
  <c r="E189" i="7" s="1"/>
  <c r="E181" i="7"/>
  <c r="E182" i="7" s="1"/>
  <c r="E183" i="7" s="1"/>
  <c r="E184" i="7" s="1"/>
  <c r="E176" i="7"/>
  <c r="E177" i="7" s="1"/>
  <c r="E178" i="7" s="1"/>
  <c r="E179" i="7" s="1"/>
  <c r="E171" i="7"/>
  <c r="E172" i="7" s="1"/>
  <c r="E173" i="7" s="1"/>
  <c r="E174" i="7" s="1"/>
  <c r="E166" i="7"/>
  <c r="E167" i="7" s="1"/>
  <c r="E168" i="7" s="1"/>
  <c r="E169" i="7" s="1"/>
  <c r="E161" i="7"/>
  <c r="E162" i="7" s="1"/>
  <c r="E163" i="7" s="1"/>
  <c r="E164" i="7" s="1"/>
  <c r="E156" i="7"/>
  <c r="E157" i="7" s="1"/>
  <c r="E158" i="7" s="1"/>
  <c r="E159" i="7" s="1"/>
  <c r="E151" i="7"/>
  <c r="E152" i="7" s="1"/>
  <c r="E153" i="7" s="1"/>
  <c r="E154" i="7" s="1"/>
  <c r="E146" i="7"/>
  <c r="E147" i="7" s="1"/>
  <c r="E148" i="7" s="1"/>
  <c r="E149" i="7" s="1"/>
  <c r="E141" i="7"/>
  <c r="E142" i="7" s="1"/>
  <c r="E143" i="7" s="1"/>
  <c r="E144" i="7" s="1"/>
  <c r="E136" i="7"/>
  <c r="E137" i="7" s="1"/>
  <c r="E138" i="7" s="1"/>
  <c r="E139" i="7" s="1"/>
  <c r="E131" i="7"/>
  <c r="E132" i="7" s="1"/>
  <c r="E133" i="7" s="1"/>
  <c r="E134" i="7" s="1"/>
  <c r="E126" i="7"/>
  <c r="E127" i="7" s="1"/>
  <c r="E128" i="7" s="1"/>
  <c r="E129" i="7" s="1"/>
  <c r="E121" i="7"/>
  <c r="E122" i="7" s="1"/>
  <c r="E123" i="7" s="1"/>
  <c r="E124" i="7" s="1"/>
  <c r="E116" i="7"/>
  <c r="E117" i="7" s="1"/>
  <c r="E118" i="7" s="1"/>
  <c r="E119" i="7" s="1"/>
  <c r="E111" i="7"/>
  <c r="E112" i="7" s="1"/>
  <c r="E113" i="7" s="1"/>
  <c r="E114" i="7" s="1"/>
  <c r="E106" i="7"/>
  <c r="E107" i="7" s="1"/>
  <c r="E108" i="7" s="1"/>
  <c r="E109" i="7" s="1"/>
  <c r="E101" i="7"/>
  <c r="E102" i="7" s="1"/>
  <c r="E103" i="7" s="1"/>
  <c r="E104" i="7" s="1"/>
  <c r="E96" i="7"/>
  <c r="E97" i="7" s="1"/>
  <c r="E98" i="7" s="1"/>
  <c r="E99" i="7" s="1"/>
  <c r="E91" i="7"/>
  <c r="E92" i="7" s="1"/>
  <c r="E93" i="7" s="1"/>
  <c r="E94" i="7" s="1"/>
  <c r="E86" i="7"/>
  <c r="E87" i="7" s="1"/>
  <c r="E88" i="7" s="1"/>
  <c r="E89" i="7" s="1"/>
  <c r="E81" i="7"/>
  <c r="E82" i="7" s="1"/>
  <c r="E83" i="7" s="1"/>
  <c r="E84" i="7" s="1"/>
  <c r="E76" i="7"/>
  <c r="E77" i="7" s="1"/>
  <c r="E78" i="7" s="1"/>
  <c r="E79" i="7" s="1"/>
  <c r="E71" i="7"/>
  <c r="E72" i="7" s="1"/>
  <c r="E73" i="7" s="1"/>
  <c r="E74" i="7" s="1"/>
  <c r="E66" i="7"/>
  <c r="E67" i="7" s="1"/>
  <c r="E68" i="7" s="1"/>
  <c r="E69" i="7" s="1"/>
  <c r="E61" i="7"/>
  <c r="E62" i="7" s="1"/>
  <c r="E63" i="7" s="1"/>
  <c r="E64" i="7" s="1"/>
  <c r="E56" i="7"/>
  <c r="E57" i="7" s="1"/>
  <c r="E58" i="7" s="1"/>
  <c r="E59" i="7" s="1"/>
  <c r="E51" i="7"/>
  <c r="E52" i="7" s="1"/>
  <c r="E53" i="7" s="1"/>
  <c r="E54" i="7" s="1"/>
  <c r="E46" i="7"/>
  <c r="E47" i="7" s="1"/>
  <c r="E48" i="7" s="1"/>
  <c r="E49" i="7" s="1"/>
  <c r="E41" i="7"/>
  <c r="E42" i="7" s="1"/>
  <c r="E43" i="7" s="1"/>
  <c r="E44" i="7" s="1"/>
  <c r="E36" i="7"/>
  <c r="E37" i="7" s="1"/>
  <c r="E38" i="7" s="1"/>
  <c r="E39" i="7" s="1"/>
  <c r="E31" i="7"/>
  <c r="E32" i="7"/>
  <c r="E33" i="7" s="1"/>
  <c r="E34" i="7" s="1"/>
  <c r="E26" i="7"/>
  <c r="E27" i="7" s="1"/>
  <c r="E28" i="7" s="1"/>
  <c r="E29" i="7" s="1"/>
  <c r="E21" i="7"/>
  <c r="E22" i="7" s="1"/>
  <c r="E23" i="7" s="1"/>
  <c r="E24" i="7" s="1"/>
  <c r="E16" i="7"/>
  <c r="E17" i="7" s="1"/>
  <c r="E18" i="7" s="1"/>
  <c r="E19" i="7" s="1"/>
  <c r="E11" i="7"/>
  <c r="E12" i="7" s="1"/>
  <c r="E13" i="7" s="1"/>
  <c r="E14" i="7" s="1"/>
  <c r="E6" i="7"/>
  <c r="E7" i="7" s="1"/>
  <c r="C5" i="7"/>
  <c r="B5" i="7"/>
  <c r="A5" i="7"/>
  <c r="BC6" i="7"/>
  <c r="BD6" i="7"/>
  <c r="BE6" i="7"/>
  <c r="BC7" i="7"/>
  <c r="BD7" i="7"/>
  <c r="BE7" i="7"/>
  <c r="BC8" i="7"/>
  <c r="BD8" i="7"/>
  <c r="BE8" i="7"/>
  <c r="BC9" i="7"/>
  <c r="BD9" i="7"/>
  <c r="BE9" i="7"/>
  <c r="BC10" i="7"/>
  <c r="BD10" i="7"/>
  <c r="BE10" i="7"/>
  <c r="BC11" i="7"/>
  <c r="BD11" i="7"/>
  <c r="BE11" i="7"/>
  <c r="BC12" i="7"/>
  <c r="BD12" i="7"/>
  <c r="BE12" i="7"/>
  <c r="BC13" i="7"/>
  <c r="BD13" i="7"/>
  <c r="BE13" i="7"/>
  <c r="BC14" i="7"/>
  <c r="BD14" i="7"/>
  <c r="BE14" i="7"/>
  <c r="BC15" i="7"/>
  <c r="BD15" i="7"/>
  <c r="BE15" i="7"/>
  <c r="BC16" i="7"/>
  <c r="BD16" i="7"/>
  <c r="BE16" i="7"/>
  <c r="BC17" i="7"/>
  <c r="BD17" i="7"/>
  <c r="BE17" i="7"/>
  <c r="BC18" i="7"/>
  <c r="BD18" i="7"/>
  <c r="BE18" i="7"/>
  <c r="BC19" i="7"/>
  <c r="BD19" i="7"/>
  <c r="BE19" i="7"/>
  <c r="BC20" i="7"/>
  <c r="BD20" i="7"/>
  <c r="BE20" i="7"/>
  <c r="BC21" i="7"/>
  <c r="BD21" i="7"/>
  <c r="BE21" i="7"/>
  <c r="BC22" i="7"/>
  <c r="BD22" i="7"/>
  <c r="BE22" i="7"/>
  <c r="BC23" i="7"/>
  <c r="BD23" i="7"/>
  <c r="BE23" i="7"/>
  <c r="BC24" i="7"/>
  <c r="BD24" i="7"/>
  <c r="BE24" i="7"/>
  <c r="BC25" i="7"/>
  <c r="BD25" i="7"/>
  <c r="BE25" i="7"/>
  <c r="BC26" i="7"/>
  <c r="BD26" i="7"/>
  <c r="BE26" i="7"/>
  <c r="BC27" i="7"/>
  <c r="BD27" i="7"/>
  <c r="BE27" i="7"/>
  <c r="BC28" i="7"/>
  <c r="BD28" i="7"/>
  <c r="BE28" i="7"/>
  <c r="BC29" i="7"/>
  <c r="BD29" i="7"/>
  <c r="BE29" i="7"/>
  <c r="BC30" i="7"/>
  <c r="BD30" i="7"/>
  <c r="BE30" i="7"/>
  <c r="BC31" i="7"/>
  <c r="BD31" i="7"/>
  <c r="BE31" i="7"/>
  <c r="BC32" i="7"/>
  <c r="BD32" i="7"/>
  <c r="BE32" i="7"/>
  <c r="BC33" i="7"/>
  <c r="BD33" i="7"/>
  <c r="BE33" i="7"/>
  <c r="BC34" i="7"/>
  <c r="BD34" i="7"/>
  <c r="BE34" i="7"/>
  <c r="BC35" i="7"/>
  <c r="BD35" i="7"/>
  <c r="BE35" i="7"/>
  <c r="BC36" i="7"/>
  <c r="BD36" i="7"/>
  <c r="BE36" i="7"/>
  <c r="BC37" i="7"/>
  <c r="BD37" i="7"/>
  <c r="BE37" i="7"/>
  <c r="BC38" i="7"/>
  <c r="BD38" i="7"/>
  <c r="BE38" i="7"/>
  <c r="BC39" i="7"/>
  <c r="BD39" i="7"/>
  <c r="BE39" i="7"/>
  <c r="BC40" i="7"/>
  <c r="BD40" i="7"/>
  <c r="BE40" i="7"/>
  <c r="BC41" i="7"/>
  <c r="BD41" i="7"/>
  <c r="BE41" i="7"/>
  <c r="BC42" i="7"/>
  <c r="BD42" i="7"/>
  <c r="BE42" i="7"/>
  <c r="BC43" i="7"/>
  <c r="BD43" i="7"/>
  <c r="BE43" i="7"/>
  <c r="BC44" i="7"/>
  <c r="BD44" i="7"/>
  <c r="BE44" i="7"/>
  <c r="BC45" i="7"/>
  <c r="BD45" i="7"/>
  <c r="BE45" i="7"/>
  <c r="BC46" i="7"/>
  <c r="BD46" i="7"/>
  <c r="BE46" i="7"/>
  <c r="BC47" i="7"/>
  <c r="BD47" i="7"/>
  <c r="BE47" i="7"/>
  <c r="BC48" i="7"/>
  <c r="BD48" i="7"/>
  <c r="BE48" i="7"/>
  <c r="BC49" i="7"/>
  <c r="BD49" i="7"/>
  <c r="BE49" i="7"/>
  <c r="BC50" i="7"/>
  <c r="BD50" i="7"/>
  <c r="BE50" i="7"/>
  <c r="BC51" i="7"/>
  <c r="BD51" i="7"/>
  <c r="BE51" i="7"/>
  <c r="BC52" i="7"/>
  <c r="BD52" i="7"/>
  <c r="BE52" i="7"/>
  <c r="BC53" i="7"/>
  <c r="BD53" i="7"/>
  <c r="BE53" i="7"/>
  <c r="BC54" i="7"/>
  <c r="BD54" i="7"/>
  <c r="BE54" i="7"/>
  <c r="BC55" i="7"/>
  <c r="BD55" i="7"/>
  <c r="BE55" i="7"/>
  <c r="BC56" i="7"/>
  <c r="BD56" i="7"/>
  <c r="BE56" i="7"/>
  <c r="BC57" i="7"/>
  <c r="BD57" i="7"/>
  <c r="BE57" i="7"/>
  <c r="BC58" i="7"/>
  <c r="BD58" i="7"/>
  <c r="BE58" i="7"/>
  <c r="BC59" i="7"/>
  <c r="BD59" i="7"/>
  <c r="BE59" i="7"/>
  <c r="BC60" i="7"/>
  <c r="BD60" i="7"/>
  <c r="BE60" i="7"/>
  <c r="BC61" i="7"/>
  <c r="BD61" i="7"/>
  <c r="BE61" i="7"/>
  <c r="BC62" i="7"/>
  <c r="BD62" i="7"/>
  <c r="BE62" i="7"/>
  <c r="BC63" i="7"/>
  <c r="BD63" i="7"/>
  <c r="BE63" i="7"/>
  <c r="BC64" i="7"/>
  <c r="BD64" i="7"/>
  <c r="BE64" i="7"/>
  <c r="BC65" i="7"/>
  <c r="BD65" i="7"/>
  <c r="BE65" i="7"/>
  <c r="BC66" i="7"/>
  <c r="BD66" i="7"/>
  <c r="BE66" i="7"/>
  <c r="BC67" i="7"/>
  <c r="BD67" i="7"/>
  <c r="BE67" i="7"/>
  <c r="BC68" i="7"/>
  <c r="BD68" i="7"/>
  <c r="BE68" i="7"/>
  <c r="BC69" i="7"/>
  <c r="BD69" i="7"/>
  <c r="BE69" i="7"/>
  <c r="BC70" i="7"/>
  <c r="BD70" i="7"/>
  <c r="BE70" i="7"/>
  <c r="BC71" i="7"/>
  <c r="BD71" i="7"/>
  <c r="BE71" i="7"/>
  <c r="BC72" i="7"/>
  <c r="BD72" i="7"/>
  <c r="BE72" i="7"/>
  <c r="BC73" i="7"/>
  <c r="BD73" i="7"/>
  <c r="BE73" i="7"/>
  <c r="BC74" i="7"/>
  <c r="BD74" i="7"/>
  <c r="BE74" i="7"/>
  <c r="BC75" i="7"/>
  <c r="BD75" i="7"/>
  <c r="BE75" i="7"/>
  <c r="BC76" i="7"/>
  <c r="BD76" i="7"/>
  <c r="BE76" i="7"/>
  <c r="BC77" i="7"/>
  <c r="BD77" i="7"/>
  <c r="BE77" i="7"/>
  <c r="BC78" i="7"/>
  <c r="BD78" i="7"/>
  <c r="BE78" i="7"/>
  <c r="BC79" i="7"/>
  <c r="BD79" i="7"/>
  <c r="BE79" i="7"/>
  <c r="BC80" i="7"/>
  <c r="BD80" i="7"/>
  <c r="BE80" i="7"/>
  <c r="BC81" i="7"/>
  <c r="BD81" i="7"/>
  <c r="BE81" i="7"/>
  <c r="BC82" i="7"/>
  <c r="BD82" i="7"/>
  <c r="BE82" i="7"/>
  <c r="BC83" i="7"/>
  <c r="BD83" i="7"/>
  <c r="BE83" i="7"/>
  <c r="BC84" i="7"/>
  <c r="BD84" i="7"/>
  <c r="BE84" i="7"/>
  <c r="BC85" i="7"/>
  <c r="BD85" i="7"/>
  <c r="BE85" i="7"/>
  <c r="BC86" i="7"/>
  <c r="BD86" i="7"/>
  <c r="BE86" i="7"/>
  <c r="BC87" i="7"/>
  <c r="BD87" i="7"/>
  <c r="BE87" i="7"/>
  <c r="BC88" i="7"/>
  <c r="BD88" i="7"/>
  <c r="BE88" i="7"/>
  <c r="BC89" i="7"/>
  <c r="BD89" i="7"/>
  <c r="BE89" i="7"/>
  <c r="BC90" i="7"/>
  <c r="BD90" i="7"/>
  <c r="BE90" i="7"/>
  <c r="BC91" i="7"/>
  <c r="BD91" i="7"/>
  <c r="BE91" i="7"/>
  <c r="BC92" i="7"/>
  <c r="BD92" i="7"/>
  <c r="BE92" i="7"/>
  <c r="BC93" i="7"/>
  <c r="BD93" i="7"/>
  <c r="BE93" i="7"/>
  <c r="BC94" i="7"/>
  <c r="BD94" i="7"/>
  <c r="BE94" i="7"/>
  <c r="BC95" i="7"/>
  <c r="BD95" i="7"/>
  <c r="BE95" i="7"/>
  <c r="BC96" i="7"/>
  <c r="BD96" i="7"/>
  <c r="BE96" i="7"/>
  <c r="BC97" i="7"/>
  <c r="BD97" i="7"/>
  <c r="BE97" i="7"/>
  <c r="BC98" i="7"/>
  <c r="BD98" i="7"/>
  <c r="BE98" i="7"/>
  <c r="BC99" i="7"/>
  <c r="BD99" i="7"/>
  <c r="BE99" i="7"/>
  <c r="BC100" i="7"/>
  <c r="BD100" i="7"/>
  <c r="BE100" i="7"/>
  <c r="BC101" i="7"/>
  <c r="BD101" i="7"/>
  <c r="BE101" i="7"/>
  <c r="BC102" i="7"/>
  <c r="BD102" i="7"/>
  <c r="BE102" i="7"/>
  <c r="BC103" i="7"/>
  <c r="BD103" i="7"/>
  <c r="BE103" i="7"/>
  <c r="BC104" i="7"/>
  <c r="BD104" i="7"/>
  <c r="BE104" i="7"/>
  <c r="BC105" i="7"/>
  <c r="BD105" i="7"/>
  <c r="BE105" i="7"/>
  <c r="BC106" i="7"/>
  <c r="BD106" i="7"/>
  <c r="BE106" i="7"/>
  <c r="BC107" i="7"/>
  <c r="BD107" i="7"/>
  <c r="BE107" i="7"/>
  <c r="BC108" i="7"/>
  <c r="BD108" i="7"/>
  <c r="BE108" i="7"/>
  <c r="BC109" i="7"/>
  <c r="BD109" i="7"/>
  <c r="BE109" i="7"/>
  <c r="BC110" i="7"/>
  <c r="BD110" i="7"/>
  <c r="BE110" i="7"/>
  <c r="BC111" i="7"/>
  <c r="BD111" i="7"/>
  <c r="BE111" i="7"/>
  <c r="BC112" i="7"/>
  <c r="BD112" i="7"/>
  <c r="BE112" i="7"/>
  <c r="BC113" i="7"/>
  <c r="BD113" i="7"/>
  <c r="BE113" i="7"/>
  <c r="BC114" i="7"/>
  <c r="BD114" i="7"/>
  <c r="BE114" i="7"/>
  <c r="BC115" i="7"/>
  <c r="BD115" i="7"/>
  <c r="BE115" i="7"/>
  <c r="BC116" i="7"/>
  <c r="BD116" i="7"/>
  <c r="BE116" i="7"/>
  <c r="BC117" i="7"/>
  <c r="BD117" i="7"/>
  <c r="BE117" i="7"/>
  <c r="BC118" i="7"/>
  <c r="BD118" i="7"/>
  <c r="BE118" i="7"/>
  <c r="BC119" i="7"/>
  <c r="BD119" i="7"/>
  <c r="BE119" i="7"/>
  <c r="BC120" i="7"/>
  <c r="BD120" i="7"/>
  <c r="BE120" i="7"/>
  <c r="BC121" i="7"/>
  <c r="BD121" i="7"/>
  <c r="BE121" i="7"/>
  <c r="BC122" i="7"/>
  <c r="BD122" i="7"/>
  <c r="BE122" i="7"/>
  <c r="BC123" i="7"/>
  <c r="BD123" i="7"/>
  <c r="BE123" i="7"/>
  <c r="BC124" i="7"/>
  <c r="BD124" i="7"/>
  <c r="BE124" i="7"/>
  <c r="BC125" i="7"/>
  <c r="BD125" i="7"/>
  <c r="BE125" i="7"/>
  <c r="BC126" i="7"/>
  <c r="BD126" i="7"/>
  <c r="BE126" i="7"/>
  <c r="BC127" i="7"/>
  <c r="BD127" i="7"/>
  <c r="BE127" i="7"/>
  <c r="BC128" i="7"/>
  <c r="BD128" i="7"/>
  <c r="BE128" i="7"/>
  <c r="BC129" i="7"/>
  <c r="BD129" i="7"/>
  <c r="BE129" i="7"/>
  <c r="BC130" i="7"/>
  <c r="BD130" i="7"/>
  <c r="BE130" i="7"/>
  <c r="BC131" i="7"/>
  <c r="BD131" i="7"/>
  <c r="BE131" i="7"/>
  <c r="BC132" i="7"/>
  <c r="BD132" i="7"/>
  <c r="BE132" i="7"/>
  <c r="BC133" i="7"/>
  <c r="BD133" i="7"/>
  <c r="BE133" i="7"/>
  <c r="BC134" i="7"/>
  <c r="BD134" i="7"/>
  <c r="BE134" i="7"/>
  <c r="BC135" i="7"/>
  <c r="BD135" i="7"/>
  <c r="BE135" i="7"/>
  <c r="BC136" i="7"/>
  <c r="BD136" i="7"/>
  <c r="BE136" i="7"/>
  <c r="BC137" i="7"/>
  <c r="BD137" i="7"/>
  <c r="BE137" i="7"/>
  <c r="BC138" i="7"/>
  <c r="BD138" i="7"/>
  <c r="BE138" i="7"/>
  <c r="BC139" i="7"/>
  <c r="BD139" i="7"/>
  <c r="BE139" i="7"/>
  <c r="BC140" i="7"/>
  <c r="BD140" i="7"/>
  <c r="BE140" i="7"/>
  <c r="BC141" i="7"/>
  <c r="BD141" i="7"/>
  <c r="BE141" i="7"/>
  <c r="BC142" i="7"/>
  <c r="BD142" i="7"/>
  <c r="BE142" i="7"/>
  <c r="BC143" i="7"/>
  <c r="BD143" i="7"/>
  <c r="BE143" i="7"/>
  <c r="BC144" i="7"/>
  <c r="BD144" i="7"/>
  <c r="BE144" i="7"/>
  <c r="BC145" i="7"/>
  <c r="BD145" i="7"/>
  <c r="BE145" i="7"/>
  <c r="BC146" i="7"/>
  <c r="BD146" i="7"/>
  <c r="BE146" i="7"/>
  <c r="BC147" i="7"/>
  <c r="BD147" i="7"/>
  <c r="BE147" i="7"/>
  <c r="BC148" i="7"/>
  <c r="BD148" i="7"/>
  <c r="BE148" i="7"/>
  <c r="BC149" i="7"/>
  <c r="BD149" i="7"/>
  <c r="BE149" i="7"/>
  <c r="BC150" i="7"/>
  <c r="BD150" i="7"/>
  <c r="BE150" i="7"/>
  <c r="BC151" i="7"/>
  <c r="BD151" i="7"/>
  <c r="BE151" i="7"/>
  <c r="BC152" i="7"/>
  <c r="BD152" i="7"/>
  <c r="BE152" i="7"/>
  <c r="BC153" i="7"/>
  <c r="BD153" i="7"/>
  <c r="BE153" i="7"/>
  <c r="BC154" i="7"/>
  <c r="BD154" i="7"/>
  <c r="BE154" i="7"/>
  <c r="BE5" i="7"/>
  <c r="BD5" i="7"/>
  <c r="BC5" i="7"/>
  <c r="E8" i="7" l="1"/>
  <c r="E9" i="7" l="1"/>
  <c r="N49" i="9" s="1"/>
  <c r="N80" i="9"/>
  <c r="O34" i="9"/>
  <c r="G82" i="9"/>
  <c r="L83" i="9"/>
  <c r="E68" i="9"/>
  <c r="G26" i="9"/>
  <c r="N19" i="9"/>
  <c r="G70" i="9"/>
  <c r="P74" i="9"/>
  <c r="G21" i="9"/>
  <c r="S43" i="9"/>
  <c r="E60" i="9"/>
  <c r="K20" i="9"/>
  <c r="J76" i="9"/>
  <c r="R73" i="9"/>
  <c r="M70" i="9"/>
  <c r="S20" i="9"/>
  <c r="D67" i="9"/>
  <c r="T67" i="9" s="1"/>
  <c r="P15" i="9"/>
  <c r="O11" i="9"/>
  <c r="S65" i="9"/>
  <c r="R10" i="9"/>
  <c r="G38" i="9"/>
  <c r="N11" i="9"/>
  <c r="M77" i="9"/>
  <c r="E11" i="9"/>
  <c r="D83" i="9"/>
  <c r="T83" i="9" s="1"/>
  <c r="F57" i="9"/>
  <c r="S19" i="9"/>
  <c r="O72" i="9"/>
  <c r="G76" i="9"/>
  <c r="L65" i="9"/>
  <c r="S78" i="9"/>
  <c r="M33" i="9"/>
  <c r="C85" i="9"/>
  <c r="M65" i="9"/>
  <c r="L77" i="9"/>
  <c r="Q30" i="9"/>
  <c r="R85" i="9"/>
  <c r="M40" i="9"/>
  <c r="G72" i="9"/>
  <c r="E23" i="9"/>
  <c r="L70" i="9"/>
  <c r="R44" i="9"/>
  <c r="S46" i="9"/>
  <c r="E27" i="9"/>
  <c r="S26" i="9"/>
  <c r="R25" i="9"/>
  <c r="J20" i="9"/>
  <c r="C16" i="9"/>
  <c r="C63" i="9"/>
  <c r="H60" i="9"/>
  <c r="D28" i="9"/>
  <c r="T28" i="9" s="1"/>
  <c r="G34" i="9" l="1"/>
  <c r="K47" i="9"/>
  <c r="H23" i="9"/>
  <c r="N23" i="9"/>
  <c r="R77" i="9"/>
  <c r="L27" i="9"/>
  <c r="S18" i="9"/>
  <c r="L80" i="9"/>
  <c r="Q17" i="9"/>
  <c r="P21" i="9"/>
  <c r="O80" i="9"/>
  <c r="L33" i="9"/>
  <c r="V33" i="9" s="1"/>
  <c r="P85" i="9"/>
  <c r="G74" i="9"/>
  <c r="N75" i="9"/>
  <c r="K18" i="9"/>
  <c r="S45" i="9"/>
  <c r="K76" i="9"/>
  <c r="O62" i="9"/>
  <c r="O44" i="9"/>
  <c r="S38" i="9"/>
  <c r="J63" i="9"/>
  <c r="N27" i="9"/>
  <c r="Q11" i="9"/>
  <c r="Q24" i="9"/>
  <c r="C22" i="9"/>
  <c r="H76" i="9"/>
  <c r="H49" i="9"/>
  <c r="O36" i="9"/>
  <c r="I17" i="9"/>
  <c r="P77" i="9"/>
  <c r="I40" i="9"/>
  <c r="I85" i="9"/>
  <c r="P13" i="9"/>
  <c r="Q15" i="9"/>
  <c r="I52" i="9"/>
  <c r="C14" i="9"/>
  <c r="P65" i="9"/>
  <c r="Q12" i="9"/>
  <c r="E26" i="9"/>
  <c r="G27" i="9"/>
  <c r="O65" i="9"/>
  <c r="D22" i="9"/>
  <c r="T22" i="9" s="1"/>
  <c r="C71" i="9"/>
  <c r="L56" i="9"/>
  <c r="M32" i="9"/>
  <c r="L39" i="9"/>
  <c r="Q69" i="9"/>
  <c r="W69" i="9" s="1"/>
  <c r="S55" i="9"/>
  <c r="L54" i="9"/>
  <c r="V54" i="9" s="1"/>
  <c r="C83" i="9"/>
  <c r="Q68" i="9"/>
  <c r="L17" i="9"/>
  <c r="C76" i="9"/>
  <c r="K17" i="9"/>
  <c r="J75" i="9"/>
  <c r="M45" i="9"/>
  <c r="K57" i="9"/>
  <c r="J60" i="9"/>
  <c r="L50" i="9"/>
  <c r="F16" i="9"/>
  <c r="H52" i="9"/>
  <c r="R22" i="9"/>
  <c r="S40" i="9"/>
  <c r="C64" i="9"/>
  <c r="I9" i="9"/>
  <c r="G41" i="9"/>
  <c r="R32" i="9"/>
  <c r="W32" i="9" s="1"/>
  <c r="P44" i="9"/>
  <c r="W44" i="9" s="1"/>
  <c r="M15" i="9"/>
  <c r="M17" i="9"/>
  <c r="S51" i="9"/>
  <c r="K82" i="9"/>
  <c r="S48" i="9"/>
  <c r="D82" i="9"/>
  <c r="T82" i="9" s="1"/>
  <c r="R79" i="9"/>
  <c r="P69" i="9"/>
  <c r="J33" i="9"/>
  <c r="K67" i="9"/>
  <c r="R59" i="9"/>
  <c r="I76" i="9"/>
  <c r="I11" i="9"/>
  <c r="S35" i="9"/>
  <c r="L48" i="9"/>
  <c r="J55" i="9"/>
  <c r="M36" i="9"/>
  <c r="S81" i="9"/>
  <c r="S33" i="9"/>
  <c r="C24" i="9"/>
  <c r="I41" i="9"/>
  <c r="E22" i="9"/>
  <c r="O39" i="9"/>
  <c r="P22" i="9"/>
  <c r="F14" i="9"/>
  <c r="G19" i="9"/>
  <c r="C29" i="9"/>
  <c r="P16" i="9"/>
  <c r="Q56" i="9"/>
  <c r="O50" i="9"/>
  <c r="D78" i="9"/>
  <c r="T78" i="9" s="1"/>
  <c r="P55" i="9"/>
  <c r="I35" i="9"/>
  <c r="R36" i="9"/>
  <c r="O84" i="9"/>
  <c r="W84" i="9" s="1"/>
  <c r="S41" i="9"/>
  <c r="M31" i="9"/>
  <c r="D51" i="9"/>
  <c r="T51" i="9" s="1"/>
  <c r="P34" i="9"/>
  <c r="R29" i="9"/>
  <c r="K80" i="9"/>
  <c r="E85" i="9"/>
  <c r="D80" i="9"/>
  <c r="T80" i="9" s="1"/>
  <c r="H46" i="9"/>
  <c r="J21" i="9"/>
  <c r="E14" i="9"/>
  <c r="M24" i="9"/>
  <c r="H10" i="9"/>
  <c r="P68" i="9"/>
  <c r="C75" i="9"/>
  <c r="R46" i="9"/>
  <c r="H71" i="9"/>
  <c r="L21" i="9"/>
  <c r="I61" i="9"/>
  <c r="L82" i="9"/>
  <c r="C21" i="9"/>
  <c r="Q78" i="9"/>
  <c r="R58" i="9"/>
  <c r="J81" i="9"/>
  <c r="J57" i="9"/>
  <c r="O42" i="9"/>
  <c r="J32" i="9"/>
  <c r="E31" i="9"/>
  <c r="N16" i="9"/>
  <c r="Q32" i="9"/>
  <c r="L35" i="9"/>
  <c r="C7" i="9"/>
  <c r="M78" i="9"/>
  <c r="O24" i="9"/>
  <c r="W24" i="9" s="1"/>
  <c r="H69" i="9"/>
  <c r="K55" i="9"/>
  <c r="D56" i="9"/>
  <c r="T56" i="9" s="1"/>
  <c r="P20" i="9"/>
  <c r="E58" i="9"/>
  <c r="H48" i="9"/>
  <c r="H37" i="9"/>
  <c r="N13" i="9"/>
  <c r="O54" i="9"/>
  <c r="M22" i="9"/>
  <c r="P31" i="9"/>
  <c r="O52" i="9"/>
  <c r="J53" i="9"/>
  <c r="Q31" i="9"/>
  <c r="G36" i="9"/>
  <c r="M10" i="9"/>
  <c r="K61" i="9"/>
  <c r="K84" i="9"/>
  <c r="O75" i="9"/>
  <c r="W75" i="9" s="1"/>
  <c r="P79" i="9"/>
  <c r="K51" i="9"/>
  <c r="P71" i="9"/>
  <c r="F32" i="9"/>
  <c r="D54" i="9"/>
  <c r="T54" i="9" s="1"/>
  <c r="J37" i="9"/>
  <c r="E79" i="9"/>
  <c r="P53" i="9"/>
  <c r="H40" i="9"/>
  <c r="E32" i="9"/>
  <c r="P57" i="9"/>
  <c r="C66" i="9"/>
  <c r="L74" i="9"/>
  <c r="L40" i="9"/>
  <c r="C49" i="9"/>
  <c r="N22" i="9"/>
  <c r="L51" i="9"/>
  <c r="N62" i="9"/>
  <c r="Q42" i="9"/>
  <c r="G42" i="9"/>
  <c r="U42" i="9" s="1"/>
  <c r="N39" i="9"/>
  <c r="G40" i="9"/>
  <c r="N31" i="9"/>
  <c r="Q81" i="9"/>
  <c r="E76" i="9"/>
  <c r="E38" i="9"/>
  <c r="Q71" i="9"/>
  <c r="P45" i="9"/>
  <c r="G83" i="9"/>
  <c r="P76" i="9"/>
  <c r="R55" i="9"/>
  <c r="P61" i="9"/>
  <c r="M58" i="9"/>
  <c r="J7" i="9"/>
  <c r="E33" i="9"/>
  <c r="M18" i="9"/>
  <c r="O41" i="9"/>
  <c r="E21" i="9"/>
  <c r="U21" i="9" s="1"/>
  <c r="K65" i="9"/>
  <c r="J82" i="9"/>
  <c r="I75" i="9"/>
  <c r="D81" i="9"/>
  <c r="T81" i="9" s="1"/>
  <c r="D30" i="9"/>
  <c r="T30" i="9" s="1"/>
  <c r="J50" i="9"/>
  <c r="O76" i="9"/>
  <c r="P70" i="9"/>
  <c r="R18" i="9"/>
  <c r="J39" i="9"/>
  <c r="Q19" i="9"/>
  <c r="M42" i="9"/>
  <c r="N67" i="9"/>
  <c r="R71" i="9"/>
  <c r="M23" i="9"/>
  <c r="K73" i="9"/>
  <c r="C54" i="9"/>
  <c r="R68" i="9"/>
  <c r="I23" i="9"/>
  <c r="S17" i="9"/>
  <c r="E55" i="9"/>
  <c r="S84" i="9"/>
  <c r="G48" i="9"/>
  <c r="I65" i="9"/>
  <c r="O30" i="9"/>
  <c r="I7" i="9"/>
  <c r="J25" i="9"/>
  <c r="F65" i="9"/>
  <c r="K23" i="9"/>
  <c r="G37" i="9"/>
  <c r="C56" i="9"/>
  <c r="S68" i="9"/>
  <c r="J65" i="9"/>
  <c r="O70" i="9"/>
  <c r="J34" i="9"/>
  <c r="K13" i="9"/>
  <c r="S32" i="9"/>
  <c r="C8" i="9"/>
  <c r="S57" i="9"/>
  <c r="O47" i="9"/>
  <c r="I81" i="9"/>
  <c r="G60" i="9"/>
  <c r="G67" i="9"/>
  <c r="H14" i="9"/>
  <c r="E74" i="9"/>
  <c r="K63" i="9"/>
  <c r="H13" i="9"/>
  <c r="C43" i="9"/>
  <c r="J14" i="9"/>
  <c r="D8" i="9"/>
  <c r="T8" i="9" s="1"/>
  <c r="Q41" i="9"/>
  <c r="Q62" i="9"/>
  <c r="N60" i="9"/>
  <c r="F10" i="9"/>
  <c r="Q27" i="9"/>
  <c r="D36" i="9"/>
  <c r="T36" i="9" s="1"/>
  <c r="H42" i="9"/>
  <c r="F40" i="9"/>
  <c r="J59" i="9"/>
  <c r="O20" i="9"/>
  <c r="E35" i="9"/>
  <c r="J84" i="9"/>
  <c r="H38" i="9"/>
  <c r="G29" i="9"/>
  <c r="Q35" i="9"/>
  <c r="S54" i="9"/>
  <c r="R76" i="9"/>
  <c r="L44" i="9"/>
  <c r="M37" i="9"/>
  <c r="R48" i="9"/>
  <c r="I56" i="9"/>
  <c r="N78" i="9"/>
  <c r="R67" i="9"/>
  <c r="K10" i="9"/>
  <c r="H28" i="9"/>
  <c r="S10" i="9"/>
  <c r="N10" i="9"/>
  <c r="F50" i="9"/>
  <c r="L45" i="9"/>
  <c r="C36" i="9"/>
  <c r="G84" i="9"/>
  <c r="F62" i="9"/>
  <c r="D40" i="9"/>
  <c r="T40" i="9" s="1"/>
  <c r="I19" i="9"/>
  <c r="R37" i="9"/>
  <c r="I58" i="9"/>
  <c r="G50" i="9"/>
  <c r="L29" i="9"/>
  <c r="R39" i="9"/>
  <c r="I16" i="9"/>
  <c r="D75" i="9"/>
  <c r="T75" i="9" s="1"/>
  <c r="L67" i="9"/>
  <c r="L78" i="9"/>
  <c r="D50" i="9"/>
  <c r="T50" i="9" s="1"/>
  <c r="M27" i="9"/>
  <c r="J49" i="9"/>
  <c r="Q23" i="9"/>
  <c r="S82" i="9"/>
  <c r="F67" i="9"/>
  <c r="E50" i="9"/>
  <c r="D17" i="9"/>
  <c r="T17" i="9" s="1"/>
  <c r="K53" i="9"/>
  <c r="R54" i="9"/>
  <c r="C10" i="9"/>
  <c r="P33" i="9"/>
  <c r="Q33" i="9"/>
  <c r="W33" i="9" s="1"/>
  <c r="P59" i="9"/>
  <c r="K44" i="9"/>
  <c r="K16" i="9"/>
  <c r="F26" i="9"/>
  <c r="D42" i="9"/>
  <c r="T42" i="9" s="1"/>
  <c r="F12" i="9"/>
  <c r="C20" i="9"/>
  <c r="E29" i="9"/>
  <c r="I21" i="9"/>
  <c r="F35" i="9"/>
  <c r="P73" i="9"/>
  <c r="P23" i="9"/>
  <c r="G65" i="9"/>
  <c r="C32" i="9"/>
  <c r="F28" i="9"/>
  <c r="P25" i="9"/>
  <c r="L16" i="9"/>
  <c r="M75" i="9"/>
  <c r="I80" i="9"/>
  <c r="Q70" i="9"/>
  <c r="L41" i="9"/>
  <c r="K25" i="9"/>
  <c r="F63" i="9"/>
  <c r="D24" i="9"/>
  <c r="T24" i="9" s="1"/>
  <c r="Q64" i="9"/>
  <c r="R14" i="9"/>
  <c r="K56" i="9"/>
  <c r="L10" i="9"/>
  <c r="N83" i="9"/>
  <c r="I57" i="9"/>
  <c r="D19" i="9"/>
  <c r="T19" i="9" s="1"/>
  <c r="H67" i="9"/>
  <c r="O16" i="9"/>
  <c r="M56" i="9"/>
  <c r="I48" i="9"/>
  <c r="P58" i="9"/>
  <c r="G77" i="9"/>
  <c r="S83" i="9"/>
  <c r="H30" i="9"/>
  <c r="L34" i="9"/>
  <c r="R41" i="9"/>
  <c r="R63" i="9"/>
  <c r="M62" i="9"/>
  <c r="S61" i="9"/>
  <c r="I64" i="9"/>
  <c r="N81" i="9"/>
  <c r="S37" i="9"/>
  <c r="M60" i="9"/>
  <c r="I83" i="9"/>
  <c r="L23" i="9"/>
  <c r="D23" i="9"/>
  <c r="T23" i="9" s="1"/>
  <c r="J67" i="9"/>
  <c r="F81" i="9"/>
  <c r="R24" i="9"/>
  <c r="R66" i="9"/>
  <c r="O49" i="9"/>
  <c r="W49" i="9" s="1"/>
  <c r="M74" i="9"/>
  <c r="L53" i="9"/>
  <c r="S30" i="9"/>
  <c r="N53" i="9"/>
  <c r="C50" i="9"/>
  <c r="E19" i="9"/>
  <c r="N79" i="9"/>
  <c r="G58" i="9"/>
  <c r="S36" i="9"/>
  <c r="I18" i="9"/>
  <c r="K14" i="9"/>
  <c r="F38" i="9"/>
  <c r="O23" i="9"/>
  <c r="J26" i="9"/>
  <c r="N37" i="9"/>
  <c r="E61" i="9"/>
  <c r="O61" i="9"/>
  <c r="W61" i="9" s="1"/>
  <c r="L60" i="9"/>
  <c r="J45" i="9"/>
  <c r="H29" i="9"/>
  <c r="C78" i="9"/>
  <c r="O68" i="9"/>
  <c r="C42" i="9"/>
  <c r="E13" i="9"/>
  <c r="S73" i="9"/>
  <c r="N52" i="9"/>
  <c r="F21" i="9"/>
  <c r="K7" i="9"/>
  <c r="I77" i="9"/>
  <c r="K54" i="9"/>
  <c r="D21" i="9"/>
  <c r="T21" i="9" s="1"/>
  <c r="H73" i="9"/>
  <c r="O19" i="9"/>
  <c r="N44" i="9"/>
  <c r="P41" i="9"/>
  <c r="D58" i="9"/>
  <c r="T58" i="9" s="1"/>
  <c r="I12" i="9"/>
  <c r="I43" i="9"/>
  <c r="D7" i="9"/>
  <c r="T7" i="9" s="1"/>
  <c r="H32" i="9"/>
  <c r="M69" i="9"/>
  <c r="G49" i="9"/>
  <c r="H65" i="9"/>
  <c r="M72" i="9"/>
  <c r="J42" i="9"/>
  <c r="G11" i="9"/>
  <c r="G25" i="9"/>
  <c r="E52" i="9"/>
  <c r="C62" i="9"/>
  <c r="J54" i="9"/>
  <c r="E43" i="9"/>
  <c r="U43" i="9" s="1"/>
  <c r="M47" i="9"/>
  <c r="Q51" i="9"/>
  <c r="G73" i="9"/>
  <c r="U73" i="9" s="1"/>
  <c r="K69" i="9"/>
  <c r="K66" i="9"/>
  <c r="K85" i="9"/>
  <c r="H24" i="9"/>
  <c r="N63" i="9"/>
  <c r="N28" i="9"/>
  <c r="Q83" i="9"/>
  <c r="C34" i="9"/>
  <c r="Q47" i="9"/>
  <c r="R60" i="9"/>
  <c r="G81" i="9"/>
  <c r="O33" i="9"/>
  <c r="E82" i="9"/>
  <c r="N59" i="9"/>
  <c r="Q29" i="9"/>
  <c r="G9" i="9"/>
  <c r="Q34" i="9"/>
  <c r="E78" i="9"/>
  <c r="R74" i="9"/>
  <c r="F44" i="9"/>
  <c r="E47" i="9"/>
  <c r="L69" i="9"/>
  <c r="L81" i="9"/>
  <c r="S25" i="9"/>
  <c r="D37" i="9"/>
  <c r="T37" i="9" s="1"/>
  <c r="L9" i="9"/>
  <c r="G56" i="9"/>
  <c r="L64" i="9"/>
  <c r="K11" i="9"/>
  <c r="I49" i="9"/>
  <c r="G28" i="9"/>
  <c r="J35" i="9"/>
  <c r="C9" i="9"/>
  <c r="Q77" i="9"/>
  <c r="E41" i="9"/>
  <c r="D15" i="9"/>
  <c r="T15" i="9" s="1"/>
  <c r="F19" i="9"/>
  <c r="N26" i="9"/>
  <c r="J48" i="9"/>
  <c r="L26" i="9"/>
  <c r="O22" i="9"/>
  <c r="O53" i="9"/>
  <c r="L31" i="9"/>
  <c r="N71" i="9"/>
  <c r="E69" i="9"/>
  <c r="S60" i="9"/>
  <c r="O8" i="9"/>
  <c r="I39" i="9"/>
  <c r="E51" i="9"/>
  <c r="D31" i="9"/>
  <c r="T31" i="9" s="1"/>
  <c r="J12" i="9"/>
  <c r="V12" i="9" s="1"/>
  <c r="G51" i="9"/>
  <c r="D72" i="9"/>
  <c r="T72" i="9" s="1"/>
  <c r="Q38" i="9"/>
  <c r="I15" i="9"/>
  <c r="J11" i="9"/>
  <c r="F11" i="9"/>
  <c r="L73" i="9"/>
  <c r="E24" i="9"/>
  <c r="J80" i="9"/>
  <c r="K21" i="9"/>
  <c r="E70" i="9"/>
  <c r="L30" i="9"/>
  <c r="C19" i="9"/>
  <c r="E48" i="9"/>
  <c r="Q43" i="9"/>
  <c r="I28" i="9"/>
  <c r="S76" i="9"/>
  <c r="I47" i="9"/>
  <c r="F49" i="9"/>
  <c r="R23" i="9"/>
  <c r="D53" i="9"/>
  <c r="T53" i="9" s="1"/>
  <c r="C67" i="9"/>
  <c r="I63" i="9"/>
  <c r="O40" i="9"/>
  <c r="K9" i="9"/>
  <c r="M43" i="9"/>
  <c r="C53" i="9"/>
  <c r="L20" i="9"/>
  <c r="F43" i="9"/>
  <c r="C39" i="9"/>
  <c r="G44" i="9"/>
  <c r="C84" i="9"/>
  <c r="G7" i="9"/>
  <c r="F47" i="9"/>
  <c r="O12" i="9"/>
  <c r="L42" i="9"/>
  <c r="R20" i="9"/>
  <c r="L84" i="9"/>
  <c r="F39" i="9"/>
  <c r="U39" i="9" s="1"/>
  <c r="C81" i="9"/>
  <c r="M84" i="9"/>
  <c r="R82" i="9"/>
  <c r="C80" i="9"/>
  <c r="H58" i="9"/>
  <c r="R83" i="9"/>
  <c r="F56" i="9"/>
  <c r="K59" i="9"/>
  <c r="P8" i="9"/>
  <c r="K37" i="9"/>
  <c r="C40" i="9"/>
  <c r="S77" i="9"/>
  <c r="P49" i="9"/>
  <c r="R47" i="9"/>
  <c r="N46" i="9"/>
  <c r="P72" i="9"/>
  <c r="Q45" i="9"/>
  <c r="E77" i="9"/>
  <c r="D71" i="9"/>
  <c r="T71" i="9" s="1"/>
  <c r="N72" i="9"/>
  <c r="G62" i="9"/>
  <c r="F23" i="9"/>
  <c r="F80" i="9"/>
  <c r="R16" i="9"/>
  <c r="H15" i="9"/>
  <c r="R13" i="9"/>
  <c r="Q28" i="9"/>
  <c r="R62" i="9"/>
  <c r="L49" i="9"/>
  <c r="H41" i="9"/>
  <c r="M8" i="9"/>
  <c r="I44" i="9"/>
  <c r="G8" i="9"/>
  <c r="P81" i="9"/>
  <c r="I72" i="9"/>
  <c r="L63" i="9"/>
  <c r="V63" i="9" s="1"/>
  <c r="M41" i="9"/>
  <c r="G79" i="9"/>
  <c r="D20" i="9"/>
  <c r="T20" i="9" s="1"/>
  <c r="D11" i="9"/>
  <c r="T11" i="9" s="1"/>
  <c r="K48" i="9"/>
  <c r="K35" i="9"/>
  <c r="R33" i="9"/>
  <c r="N41" i="9"/>
  <c r="J83" i="9"/>
  <c r="C57" i="9"/>
  <c r="D63" i="9"/>
  <c r="T63" i="9" s="1"/>
  <c r="S28" i="9"/>
  <c r="I68" i="9"/>
  <c r="S67" i="9"/>
  <c r="O31" i="9"/>
  <c r="E9" i="9"/>
  <c r="F18" i="9"/>
  <c r="R42" i="9"/>
  <c r="M11" i="9"/>
  <c r="P46" i="9"/>
  <c r="W46" i="9" s="1"/>
  <c r="I36" i="9"/>
  <c r="H26" i="9"/>
  <c r="U26" i="9" s="1"/>
  <c r="D26" i="9"/>
  <c r="T26" i="9" s="1"/>
  <c r="I20" i="9"/>
  <c r="H21" i="9"/>
  <c r="O74" i="9"/>
  <c r="C79" i="9"/>
  <c r="K72" i="9"/>
  <c r="F58" i="9"/>
  <c r="F30" i="9"/>
  <c r="E75" i="9"/>
  <c r="O28" i="9"/>
  <c r="Q13" i="9"/>
  <c r="W13" i="9" s="1"/>
  <c r="J73" i="9"/>
  <c r="C46" i="9"/>
  <c r="G12" i="9"/>
  <c r="U12" i="9" s="1"/>
  <c r="P48" i="9"/>
  <c r="S53" i="9"/>
  <c r="I32" i="9"/>
  <c r="U32" i="9" s="1"/>
  <c r="E64" i="9"/>
  <c r="U64" i="9" s="1"/>
  <c r="D48" i="9"/>
  <c r="T48" i="9" s="1"/>
  <c r="E15" i="9"/>
  <c r="M71" i="9"/>
  <c r="R49" i="9"/>
  <c r="D59" i="9"/>
  <c r="T59" i="9" s="1"/>
  <c r="F27" i="9"/>
  <c r="H59" i="9"/>
  <c r="C69" i="9"/>
  <c r="S16" i="9"/>
  <c r="G39" i="9"/>
  <c r="O43" i="9"/>
  <c r="R75" i="9"/>
  <c r="R52" i="9"/>
  <c r="N8" i="9"/>
  <c r="O46" i="9"/>
  <c r="N76" i="9"/>
  <c r="O79" i="9"/>
  <c r="S11" i="9"/>
  <c r="F52" i="9"/>
  <c r="L58" i="9"/>
  <c r="Q10" i="9"/>
  <c r="S56" i="9"/>
  <c r="C13" i="9"/>
  <c r="N12" i="9"/>
  <c r="N69" i="9"/>
  <c r="G68" i="9"/>
  <c r="Q85" i="9"/>
  <c r="S27" i="9"/>
  <c r="R61" i="9"/>
  <c r="E45" i="9"/>
  <c r="U45" i="9" s="1"/>
  <c r="I55" i="9"/>
  <c r="L66" i="9"/>
  <c r="Q44" i="9"/>
  <c r="E28" i="9"/>
  <c r="U28" i="9" s="1"/>
  <c r="G46" i="9"/>
  <c r="P10" i="9"/>
  <c r="W10" i="9" s="1"/>
  <c r="Q50" i="9"/>
  <c r="M85" i="9"/>
  <c r="E39" i="9"/>
  <c r="P27" i="9"/>
  <c r="S75" i="9"/>
  <c r="K28" i="9"/>
  <c r="Q46" i="9"/>
  <c r="C26" i="9"/>
  <c r="J70" i="9"/>
  <c r="D74" i="9"/>
  <c r="T74" i="9" s="1"/>
  <c r="C33" i="9"/>
  <c r="I42" i="9"/>
  <c r="N61" i="9"/>
  <c r="Q58" i="9"/>
  <c r="P56" i="9"/>
  <c r="R50" i="9"/>
  <c r="J16" i="9"/>
  <c r="V16" i="9" s="1"/>
  <c r="E8" i="9"/>
  <c r="U8" i="9" s="1"/>
  <c r="D12" i="9"/>
  <c r="T12" i="9" s="1"/>
  <c r="S71" i="9"/>
  <c r="S24" i="9"/>
  <c r="Q8" i="9"/>
  <c r="F83" i="9"/>
  <c r="P9" i="9"/>
  <c r="K12" i="9"/>
  <c r="H62" i="9"/>
  <c r="J41" i="9"/>
  <c r="M46" i="9"/>
  <c r="O26" i="9"/>
  <c r="H9" i="9"/>
  <c r="N54" i="9"/>
  <c r="G17" i="9"/>
  <c r="R31" i="9"/>
  <c r="L68" i="9"/>
  <c r="P38" i="9"/>
  <c r="D69" i="9"/>
  <c r="T69" i="9" s="1"/>
  <c r="O25" i="9"/>
  <c r="E10" i="9"/>
  <c r="D47" i="9"/>
  <c r="T47" i="9" s="1"/>
  <c r="K50" i="9"/>
  <c r="H74" i="9"/>
  <c r="R69" i="9"/>
  <c r="O15" i="9"/>
  <c r="E37" i="9"/>
  <c r="O27" i="9"/>
  <c r="I10" i="9"/>
  <c r="K75" i="9"/>
  <c r="H82" i="9"/>
  <c r="N20" i="9"/>
  <c r="O82" i="9"/>
  <c r="W82" i="9" s="1"/>
  <c r="J56" i="9"/>
  <c r="G57" i="9"/>
  <c r="U57" i="9" s="1"/>
  <c r="Q25" i="9"/>
  <c r="G33" i="9"/>
  <c r="H12" i="9"/>
  <c r="H16" i="9"/>
  <c r="E20" i="9"/>
  <c r="M49" i="9"/>
  <c r="K27" i="9"/>
  <c r="K8" i="9"/>
  <c r="H39" i="9"/>
  <c r="S63" i="9"/>
  <c r="G71" i="9"/>
  <c r="S50" i="9"/>
  <c r="I74" i="9"/>
  <c r="L52" i="9"/>
  <c r="S79" i="9"/>
  <c r="D62" i="9"/>
  <c r="T62" i="9" s="1"/>
  <c r="F73" i="9"/>
  <c r="R15" i="9"/>
  <c r="C58" i="9"/>
  <c r="O66" i="9"/>
  <c r="W66" i="9" s="1"/>
  <c r="F77" i="9"/>
  <c r="Q36" i="9"/>
  <c r="N64" i="9"/>
  <c r="I67" i="9"/>
  <c r="K74" i="9"/>
  <c r="Q61" i="9"/>
  <c r="P29" i="9"/>
  <c r="G32" i="9"/>
  <c r="C51" i="9"/>
  <c r="L55" i="9"/>
  <c r="N77" i="9"/>
  <c r="D14" i="9"/>
  <c r="T14" i="9" s="1"/>
  <c r="Q48" i="9"/>
  <c r="F59" i="9"/>
  <c r="K62" i="9"/>
  <c r="H19" i="9"/>
  <c r="U19" i="9" s="1"/>
  <c r="F17" i="9"/>
  <c r="J58" i="9"/>
  <c r="V58" i="9" s="1"/>
  <c r="N43" i="9"/>
  <c r="R78" i="9"/>
  <c r="Q59" i="9"/>
  <c r="L24" i="9"/>
  <c r="D84" i="9"/>
  <c r="T84" i="9" s="1"/>
  <c r="M9" i="9"/>
  <c r="D64" i="9"/>
  <c r="T64" i="9" s="1"/>
  <c r="S13" i="9"/>
  <c r="M29" i="9"/>
  <c r="Q49" i="9"/>
  <c r="Q84" i="9"/>
  <c r="O58" i="9"/>
  <c r="W58" i="9" s="1"/>
  <c r="L47" i="9"/>
  <c r="V47" i="9" s="1"/>
  <c r="O71" i="9"/>
  <c r="W71" i="9" s="1"/>
  <c r="G35" i="9"/>
  <c r="N25" i="9"/>
  <c r="C65" i="9"/>
  <c r="K15" i="9"/>
  <c r="J78" i="9"/>
  <c r="O63" i="9"/>
  <c r="F79" i="9"/>
  <c r="M66" i="9"/>
  <c r="F70" i="9"/>
  <c r="I62" i="9"/>
  <c r="L13" i="9"/>
  <c r="J24" i="9"/>
  <c r="N58" i="9"/>
  <c r="G85" i="9"/>
  <c r="F64" i="9"/>
  <c r="D77" i="9"/>
  <c r="T77" i="9" s="1"/>
  <c r="R17" i="9"/>
  <c r="M19" i="9"/>
  <c r="C82" i="9"/>
  <c r="N36" i="9"/>
  <c r="J19" i="9"/>
  <c r="F66" i="9"/>
  <c r="Q26" i="9"/>
  <c r="G13" i="9"/>
  <c r="M59" i="9"/>
  <c r="J61" i="9"/>
  <c r="J66" i="9"/>
  <c r="R9" i="9"/>
  <c r="P11" i="9"/>
  <c r="K40" i="9"/>
  <c r="L8" i="9"/>
  <c r="L36" i="9"/>
  <c r="M25" i="9"/>
  <c r="K83" i="9"/>
  <c r="M61" i="9"/>
  <c r="M68" i="9"/>
  <c r="D44" i="9"/>
  <c r="T44" i="9" s="1"/>
  <c r="I14" i="9"/>
  <c r="M26" i="9"/>
  <c r="N40" i="9"/>
  <c r="C41" i="9"/>
  <c r="E25" i="9"/>
  <c r="J77" i="9"/>
  <c r="O13" i="9"/>
  <c r="P51" i="9"/>
  <c r="O17" i="9"/>
  <c r="P66" i="9"/>
  <c r="M54" i="9"/>
  <c r="L43" i="9"/>
  <c r="P52" i="9"/>
  <c r="Q75" i="9"/>
  <c r="S23" i="9"/>
  <c r="E18" i="9"/>
  <c r="E44" i="9"/>
  <c r="D29" i="9"/>
  <c r="T29" i="9" s="1"/>
  <c r="S39" i="9"/>
  <c r="M81" i="9"/>
  <c r="L38" i="9"/>
  <c r="P80" i="9"/>
  <c r="E36" i="9"/>
  <c r="P75" i="9"/>
  <c r="J36" i="9"/>
  <c r="D68" i="9"/>
  <c r="T68" i="9" s="1"/>
  <c r="M50" i="9"/>
  <c r="I37" i="9"/>
  <c r="M16" i="9"/>
  <c r="K79" i="9"/>
  <c r="M30" i="9"/>
  <c r="K60" i="9"/>
  <c r="V60" i="9" s="1"/>
  <c r="S59" i="9"/>
  <c r="H85" i="9"/>
  <c r="U85" i="9" s="1"/>
  <c r="E53" i="9"/>
  <c r="H43" i="9"/>
  <c r="H56" i="9"/>
  <c r="I60" i="9"/>
  <c r="P40" i="9"/>
  <c r="Q67" i="9"/>
  <c r="G43" i="9"/>
  <c r="K33" i="9"/>
  <c r="M21" i="9"/>
  <c r="D79" i="9"/>
  <c r="T79" i="9" s="1"/>
  <c r="N42" i="9"/>
  <c r="K22" i="9"/>
  <c r="F7" i="9"/>
  <c r="S14" i="9"/>
  <c r="J62" i="9"/>
  <c r="E54" i="9"/>
  <c r="I45" i="9"/>
  <c r="P19" i="9"/>
  <c r="G64" i="9"/>
  <c r="P32" i="9"/>
  <c r="O38" i="9"/>
  <c r="G31" i="9"/>
  <c r="O29" i="9"/>
  <c r="W29" i="9" s="1"/>
  <c r="S22" i="9"/>
  <c r="L12" i="9"/>
  <c r="M14" i="9"/>
  <c r="R8" i="9"/>
  <c r="R65" i="9"/>
  <c r="K41" i="9"/>
  <c r="K38" i="9"/>
  <c r="S44" i="9"/>
  <c r="Q57" i="9"/>
  <c r="N65" i="9"/>
  <c r="M64" i="9"/>
  <c r="N85" i="9"/>
  <c r="D16" i="9"/>
  <c r="T16" i="9" s="1"/>
  <c r="J10" i="9"/>
  <c r="V10" i="9" s="1"/>
  <c r="S47" i="9"/>
  <c r="O78" i="9"/>
  <c r="R80" i="9"/>
  <c r="L71" i="9"/>
  <c r="H27" i="9"/>
  <c r="S52" i="9"/>
  <c r="I46" i="9"/>
  <c r="L32" i="9"/>
  <c r="L37" i="9"/>
  <c r="V37" i="9" s="1"/>
  <c r="Q66" i="9"/>
  <c r="F20" i="9"/>
  <c r="G20" i="9"/>
  <c r="I34" i="9"/>
  <c r="H68" i="9"/>
  <c r="P47" i="9"/>
  <c r="L85" i="9"/>
  <c r="J51" i="9"/>
  <c r="N51" i="9"/>
  <c r="E73" i="9"/>
  <c r="E84" i="9"/>
  <c r="L11" i="9"/>
  <c r="R72" i="9"/>
  <c r="D33" i="9"/>
  <c r="T33" i="9" s="1"/>
  <c r="C48" i="9"/>
  <c r="I22" i="9"/>
  <c r="O59" i="9"/>
  <c r="W59" i="9" s="1"/>
  <c r="F85" i="9"/>
  <c r="M63" i="9"/>
  <c r="R64" i="9"/>
  <c r="F13" i="9"/>
  <c r="R28" i="9"/>
  <c r="M80" i="9"/>
  <c r="O48" i="9"/>
  <c r="W48" i="9" s="1"/>
  <c r="C30" i="9"/>
  <c r="G22" i="9"/>
  <c r="K52" i="9"/>
  <c r="H61" i="9"/>
  <c r="L14" i="9"/>
  <c r="P54" i="9"/>
  <c r="K78" i="9"/>
  <c r="V78" i="9" s="1"/>
  <c r="M34" i="9"/>
  <c r="N34" i="9"/>
  <c r="F51" i="9"/>
  <c r="M44" i="9"/>
  <c r="N32" i="9"/>
  <c r="D57" i="9"/>
  <c r="T57" i="9" s="1"/>
  <c r="S29" i="9"/>
  <c r="R30" i="9"/>
  <c r="M51" i="9"/>
  <c r="F71" i="9"/>
  <c r="O37" i="9"/>
  <c r="L19" i="9"/>
  <c r="I24" i="9"/>
  <c r="E66" i="9"/>
  <c r="S80" i="9"/>
  <c r="E17" i="9"/>
  <c r="U17" i="9" s="1"/>
  <c r="L79" i="9"/>
  <c r="O69" i="9"/>
  <c r="O32" i="9"/>
  <c r="N17" i="9"/>
  <c r="F53" i="9"/>
  <c r="D35" i="9"/>
  <c r="T35" i="9" s="1"/>
  <c r="C77" i="9"/>
  <c r="H33" i="9"/>
  <c r="N7" i="9"/>
  <c r="G45" i="9"/>
  <c r="Q14" i="9"/>
  <c r="N33" i="9"/>
  <c r="E40" i="9"/>
  <c r="U40" i="9" s="1"/>
  <c r="E42" i="9"/>
  <c r="I66" i="9"/>
  <c r="D60" i="9"/>
  <c r="T60" i="9" s="1"/>
  <c r="I69" i="9"/>
  <c r="J47" i="9"/>
  <c r="H57" i="9"/>
  <c r="F42" i="9"/>
  <c r="R19" i="9"/>
  <c r="D9" i="9"/>
  <c r="T9" i="9" s="1"/>
  <c r="S15" i="9"/>
  <c r="R81" i="9"/>
  <c r="N57" i="9"/>
  <c r="R11" i="9"/>
  <c r="E12" i="9"/>
  <c r="K58" i="9"/>
  <c r="G16" i="9"/>
  <c r="Q22" i="9"/>
  <c r="W22" i="9" s="1"/>
  <c r="I82" i="9"/>
  <c r="M12" i="9"/>
  <c r="C70" i="9"/>
  <c r="Q65" i="9"/>
  <c r="M38" i="9"/>
  <c r="O57" i="9"/>
  <c r="J27" i="9"/>
  <c r="D76" i="9"/>
  <c r="T76" i="9" s="1"/>
  <c r="F8" i="9"/>
  <c r="J68" i="9"/>
  <c r="R21" i="9"/>
  <c r="K43" i="9"/>
  <c r="V43" i="9" s="1"/>
  <c r="C61" i="9"/>
  <c r="K26" i="9"/>
  <c r="V26" i="9" s="1"/>
  <c r="G24" i="9"/>
  <c r="J52" i="9"/>
  <c r="R27" i="9"/>
  <c r="W27" i="9" s="1"/>
  <c r="S72" i="9"/>
  <c r="D61" i="9"/>
  <c r="T61" i="9" s="1"/>
  <c r="O85" i="9"/>
  <c r="J64" i="9"/>
  <c r="K31" i="9"/>
  <c r="M67" i="9"/>
  <c r="N18" i="9"/>
  <c r="F82" i="9"/>
  <c r="G15" i="9"/>
  <c r="H54" i="9"/>
  <c r="L7" i="9"/>
  <c r="J85" i="9"/>
  <c r="V85" i="9" s="1"/>
  <c r="S9" i="9"/>
  <c r="F31" i="9"/>
  <c r="P24" i="9"/>
  <c r="O10" i="9"/>
  <c r="S70" i="9"/>
  <c r="H81" i="9"/>
  <c r="N74" i="9"/>
  <c r="C12" i="9"/>
  <c r="C72" i="9"/>
  <c r="C11" i="9"/>
  <c r="C45" i="9"/>
  <c r="H22" i="9"/>
  <c r="H53" i="9"/>
  <c r="C52" i="9"/>
  <c r="E57" i="9"/>
  <c r="F61" i="9"/>
  <c r="H31" i="9"/>
  <c r="I59" i="9"/>
  <c r="O77" i="9"/>
  <c r="W77" i="9" s="1"/>
  <c r="C23" i="9"/>
  <c r="L28" i="9"/>
  <c r="Q18" i="9"/>
  <c r="O21" i="9"/>
  <c r="I79" i="9"/>
  <c r="K29" i="9"/>
  <c r="O51" i="9"/>
  <c r="S42" i="9"/>
  <c r="E80" i="9"/>
  <c r="H64" i="9"/>
  <c r="H78" i="9"/>
  <c r="I73" i="9"/>
  <c r="O18" i="9"/>
  <c r="H55" i="9"/>
  <c r="N38" i="9"/>
  <c r="C28" i="9"/>
  <c r="K39" i="9"/>
  <c r="N47" i="9"/>
  <c r="F24" i="9"/>
  <c r="U24" i="9" s="1"/>
  <c r="Q73" i="9"/>
  <c r="J72" i="9"/>
  <c r="S64" i="9"/>
  <c r="F76" i="9"/>
  <c r="U76" i="9" s="1"/>
  <c r="W8" i="9"/>
  <c r="F25" i="9"/>
  <c r="Q7" i="9"/>
  <c r="S31" i="9"/>
  <c r="S21" i="9"/>
  <c r="Q20" i="9"/>
  <c r="J22" i="9"/>
  <c r="H63" i="9"/>
  <c r="D55" i="9"/>
  <c r="T55" i="9" s="1"/>
  <c r="F55" i="9"/>
  <c r="H80" i="9"/>
  <c r="G52" i="9"/>
  <c r="H70" i="9"/>
  <c r="M13" i="9"/>
  <c r="P64" i="9"/>
  <c r="S69" i="9"/>
  <c r="P7" i="9"/>
  <c r="G69" i="9"/>
  <c r="D73" i="9"/>
  <c r="T73" i="9" s="1"/>
  <c r="J43" i="9"/>
  <c r="P82" i="9"/>
  <c r="K45" i="9"/>
  <c r="M53" i="9"/>
  <c r="G75" i="9"/>
  <c r="I54" i="9"/>
  <c r="H45" i="9"/>
  <c r="Q16" i="9"/>
  <c r="W16" i="9" s="1"/>
  <c r="V67" i="9"/>
  <c r="U58" i="9"/>
  <c r="W31" i="9"/>
  <c r="D25" i="9"/>
  <c r="T25" i="9" s="1"/>
  <c r="C55" i="9"/>
  <c r="O56" i="9"/>
  <c r="C44" i="9"/>
  <c r="Q82" i="9"/>
  <c r="H83" i="9"/>
  <c r="I13" i="9"/>
  <c r="U13" i="9" s="1"/>
  <c r="I84" i="9"/>
  <c r="F37" i="9"/>
  <c r="U37" i="9" s="1"/>
  <c r="C31" i="9"/>
  <c r="M20" i="9"/>
  <c r="V20" i="9" s="1"/>
  <c r="D66" i="9"/>
  <c r="T66" i="9" s="1"/>
  <c r="G47" i="9"/>
  <c r="R40" i="9"/>
  <c r="R53" i="9"/>
  <c r="J9" i="9"/>
  <c r="L22" i="9"/>
  <c r="D65" i="9"/>
  <c r="T65" i="9" s="1"/>
  <c r="O73" i="9"/>
  <c r="W73" i="9" s="1"/>
  <c r="I33" i="9"/>
  <c r="L72" i="9"/>
  <c r="L57" i="9"/>
  <c r="J44" i="9"/>
  <c r="H50" i="9"/>
  <c r="M28" i="9"/>
  <c r="P17" i="9"/>
  <c r="C15" i="9"/>
  <c r="N55" i="9"/>
  <c r="P36" i="9"/>
  <c r="J8" i="9"/>
  <c r="H7" i="9"/>
  <c r="D85" i="9"/>
  <c r="T85" i="9" s="1"/>
  <c r="P50" i="9"/>
  <c r="W50" i="9" s="1"/>
  <c r="Q39" i="9"/>
  <c r="D34" i="9"/>
  <c r="T34" i="9" s="1"/>
  <c r="L46" i="9"/>
  <c r="Q55" i="9"/>
  <c r="E83" i="9"/>
  <c r="U83" i="9" s="1"/>
  <c r="Q40" i="9"/>
  <c r="F41" i="9"/>
  <c r="G14" i="9"/>
  <c r="D18" i="9"/>
  <c r="T18" i="9" s="1"/>
  <c r="F68" i="9"/>
  <c r="U68" i="9" s="1"/>
  <c r="R45" i="9"/>
  <c r="D32" i="9"/>
  <c r="T32" i="9" s="1"/>
  <c r="C47" i="9"/>
  <c r="J29" i="9"/>
  <c r="O60" i="9"/>
  <c r="C74" i="9"/>
  <c r="R12" i="9"/>
  <c r="N15" i="9"/>
  <c r="J18" i="9"/>
  <c r="Q74" i="9"/>
  <c r="J71" i="9"/>
  <c r="F74" i="9"/>
  <c r="M55" i="9"/>
  <c r="K77" i="9"/>
  <c r="Q79" i="9"/>
  <c r="D27" i="9"/>
  <c r="T27" i="9" s="1"/>
  <c r="E65" i="9"/>
  <c r="U65" i="9" s="1"/>
  <c r="H72" i="9"/>
  <c r="P63" i="9"/>
  <c r="N48" i="9"/>
  <c r="P30" i="9"/>
  <c r="W30" i="9" s="1"/>
  <c r="W15" i="9"/>
  <c r="U82" i="9"/>
  <c r="W25" i="9"/>
  <c r="W65" i="9"/>
  <c r="V41" i="9"/>
  <c r="G78" i="9"/>
  <c r="F54" i="9"/>
  <c r="J30" i="9"/>
  <c r="H25" i="9"/>
  <c r="E71" i="9"/>
  <c r="M57" i="9"/>
  <c r="I31" i="9"/>
  <c r="R70" i="9"/>
  <c r="I30" i="9"/>
  <c r="L18" i="9"/>
  <c r="E62" i="9"/>
  <c r="L76" i="9"/>
  <c r="I78" i="9"/>
  <c r="L59" i="9"/>
  <c r="V59" i="9" s="1"/>
  <c r="O81" i="9"/>
  <c r="E49" i="9"/>
  <c r="J74" i="9"/>
  <c r="P60" i="9"/>
  <c r="H20" i="9"/>
  <c r="U20" i="9" s="1"/>
  <c r="H18" i="9"/>
  <c r="H66" i="9"/>
  <c r="K49" i="9"/>
  <c r="V49" i="9" s="1"/>
  <c r="M79" i="9"/>
  <c r="F45" i="9"/>
  <c r="I70" i="9"/>
  <c r="I38" i="9"/>
  <c r="U38" i="9" s="1"/>
  <c r="E16" i="9"/>
  <c r="I26" i="9"/>
  <c r="N30" i="9"/>
  <c r="R84" i="9"/>
  <c r="S8" i="9"/>
  <c r="S74" i="9"/>
  <c r="F60" i="9"/>
  <c r="O7" i="9"/>
  <c r="I53" i="9"/>
  <c r="D38" i="9"/>
  <c r="T38" i="9" s="1"/>
  <c r="L61" i="9"/>
  <c r="V61" i="9" s="1"/>
  <c r="G59" i="9"/>
  <c r="D10" i="9"/>
  <c r="T10" i="9" s="1"/>
  <c r="K30" i="9"/>
  <c r="R34" i="9"/>
  <c r="W34" i="9" s="1"/>
  <c r="J79" i="9"/>
  <c r="E67" i="9"/>
  <c r="U67" i="9" s="1"/>
  <c r="J15" i="9"/>
  <c r="E30" i="9"/>
  <c r="C68" i="9"/>
  <c r="K70" i="9"/>
  <c r="C37" i="9"/>
  <c r="P62" i="9"/>
  <c r="P14" i="9"/>
  <c r="H34" i="9"/>
  <c r="L15" i="9"/>
  <c r="I8" i="9"/>
  <c r="R43" i="9"/>
  <c r="E81" i="9"/>
  <c r="R56" i="9"/>
  <c r="D13" i="9"/>
  <c r="T13" i="9" s="1"/>
  <c r="H35" i="9"/>
  <c r="U35" i="9" s="1"/>
  <c r="F9" i="9"/>
  <c r="U9" i="9" s="1"/>
  <c r="N68" i="9"/>
  <c r="D45" i="9"/>
  <c r="T45" i="9" s="1"/>
  <c r="D49" i="9"/>
  <c r="T49" i="9" s="1"/>
  <c r="C27" i="9"/>
  <c r="O14" i="9"/>
  <c r="C35" i="9"/>
  <c r="L62" i="9"/>
  <c r="N14" i="9"/>
  <c r="J17" i="9"/>
  <c r="Q63" i="9"/>
  <c r="W23" i="9"/>
  <c r="U70" i="9"/>
  <c r="V80" i="9"/>
  <c r="V11" i="9"/>
  <c r="W11" i="9"/>
  <c r="W74" i="9"/>
  <c r="V27" i="9"/>
  <c r="Q21" i="9"/>
  <c r="P84" i="9"/>
  <c r="Q53" i="9"/>
  <c r="P43" i="9"/>
  <c r="J46" i="9"/>
  <c r="G63" i="9"/>
  <c r="D52" i="9"/>
  <c r="T52" i="9" s="1"/>
  <c r="H75" i="9"/>
  <c r="K42" i="9"/>
  <c r="V42" i="9" s="1"/>
  <c r="I51" i="9"/>
  <c r="J38" i="9"/>
  <c r="V38" i="9" s="1"/>
  <c r="J23" i="9"/>
  <c r="M76" i="9"/>
  <c r="D46" i="9"/>
  <c r="T46" i="9" s="1"/>
  <c r="I71" i="9"/>
  <c r="N73" i="9"/>
  <c r="P18" i="9"/>
  <c r="M35" i="9"/>
  <c r="N56" i="9"/>
  <c r="V56" i="9" s="1"/>
  <c r="F34" i="9"/>
  <c r="J28" i="9"/>
  <c r="V28" i="9" s="1"/>
  <c r="N50" i="9"/>
  <c r="V50" i="9" s="1"/>
  <c r="I29" i="9"/>
  <c r="F75" i="9"/>
  <c r="H79" i="9"/>
  <c r="H17" i="9"/>
  <c r="R38" i="9"/>
  <c r="G61" i="9"/>
  <c r="U61" i="9" s="1"/>
  <c r="G66" i="9"/>
  <c r="U66" i="9" s="1"/>
  <c r="C18" i="9"/>
  <c r="P35" i="9"/>
  <c r="N84" i="9"/>
  <c r="H8" i="9"/>
  <c r="J31" i="9"/>
  <c r="I27" i="9"/>
  <c r="U27" i="9" s="1"/>
  <c r="O55" i="9"/>
  <c r="W55" i="9" s="1"/>
  <c r="D41" i="9"/>
  <c r="T41" i="9" s="1"/>
  <c r="L75" i="9"/>
  <c r="F36" i="9"/>
  <c r="D70" i="9"/>
  <c r="T70" i="9" s="1"/>
  <c r="H11" i="9"/>
  <c r="Q54" i="9"/>
  <c r="P78" i="9"/>
  <c r="W78" i="9" s="1"/>
  <c r="C38" i="9"/>
  <c r="G23" i="9"/>
  <c r="G55" i="9"/>
  <c r="U55" i="9" s="1"/>
  <c r="N21" i="9"/>
  <c r="V21" i="9" s="1"/>
  <c r="F33" i="9"/>
  <c r="R57" i="9"/>
  <c r="F15" i="9"/>
  <c r="U15" i="9" s="1"/>
  <c r="S85" i="9"/>
  <c r="K19" i="9"/>
  <c r="N35" i="9"/>
  <c r="F46" i="9"/>
  <c r="F22" i="9"/>
  <c r="L25" i="9"/>
  <c r="M83" i="9"/>
  <c r="H44" i="9"/>
  <c r="G80" i="9"/>
  <c r="O9" i="9"/>
  <c r="S34" i="9"/>
  <c r="M39" i="9"/>
  <c r="N24" i="9"/>
  <c r="F29" i="9"/>
  <c r="S62" i="9"/>
  <c r="P26" i="9"/>
  <c r="K36" i="9"/>
  <c r="V65" i="9"/>
  <c r="U52" i="9"/>
  <c r="V77" i="9"/>
  <c r="W36" i="9"/>
  <c r="W85" i="9"/>
  <c r="N82" i="9"/>
  <c r="K24" i="9"/>
  <c r="H51" i="9"/>
  <c r="S58" i="9"/>
  <c r="J13" i="9"/>
  <c r="M73" i="9"/>
  <c r="K71" i="9"/>
  <c r="Q76" i="9"/>
  <c r="W76" i="9" s="1"/>
  <c r="E46" i="9"/>
  <c r="O45" i="9"/>
  <c r="W45" i="9" s="1"/>
  <c r="O64" i="9"/>
  <c r="M48" i="9"/>
  <c r="V48" i="9" s="1"/>
  <c r="P67" i="9"/>
  <c r="F84" i="9"/>
  <c r="J40" i="9"/>
  <c r="K64" i="9"/>
  <c r="Q80" i="9"/>
  <c r="G30" i="9"/>
  <c r="D39" i="9"/>
  <c r="T39" i="9" s="1"/>
  <c r="P83" i="9"/>
  <c r="S49" i="9"/>
  <c r="P42" i="9"/>
  <c r="C60" i="9"/>
  <c r="K32" i="9"/>
  <c r="V32" i="9" s="1"/>
  <c r="N70" i="9"/>
  <c r="V70" i="9" s="1"/>
  <c r="M7" i="9"/>
  <c r="V7" i="9" s="1"/>
  <c r="M82" i="9"/>
  <c r="C59" i="9"/>
  <c r="I50" i="9"/>
  <c r="U50" i="9" s="1"/>
  <c r="O83" i="9"/>
  <c r="S7" i="9"/>
  <c r="E63" i="9"/>
  <c r="E72" i="9"/>
  <c r="E59" i="9"/>
  <c r="N9" i="9"/>
  <c r="R51" i="9"/>
  <c r="H36" i="9"/>
  <c r="K46" i="9"/>
  <c r="N45" i="9"/>
  <c r="J69" i="9"/>
  <c r="V69" i="9" s="1"/>
  <c r="P28" i="9"/>
  <c r="W28" i="9" s="1"/>
  <c r="P39" i="9"/>
  <c r="R35" i="9"/>
  <c r="H47" i="9"/>
  <c r="P37" i="9"/>
  <c r="P12" i="9"/>
  <c r="K34" i="9"/>
  <c r="V34" i="9" s="1"/>
  <c r="H84" i="9"/>
  <c r="Q52" i="9"/>
  <c r="H77" i="9"/>
  <c r="F78" i="9"/>
  <c r="G18" i="9"/>
  <c r="K68" i="9"/>
  <c r="R26" i="9"/>
  <c r="O67" i="9"/>
  <c r="E34" i="9"/>
  <c r="U34" i="9" s="1"/>
  <c r="S66" i="9"/>
  <c r="N66" i="9"/>
  <c r="E7" i="9"/>
  <c r="K81" i="9"/>
  <c r="G54" i="9"/>
  <c r="C25" i="9"/>
  <c r="Q9" i="9"/>
  <c r="S12" i="9"/>
  <c r="G10" i="9"/>
  <c r="U10" i="9" s="1"/>
  <c r="I25" i="9"/>
  <c r="Q37" i="9"/>
  <c r="C17" i="9"/>
  <c r="D43" i="9"/>
  <c r="T43" i="9" s="1"/>
  <c r="Q60" i="9"/>
  <c r="M52" i="9"/>
  <c r="C73" i="9"/>
  <c r="F72" i="9"/>
  <c r="E56" i="9"/>
  <c r="G53" i="9"/>
  <c r="F69" i="9"/>
  <c r="O35" i="9"/>
  <c r="F48" i="9"/>
  <c r="R7" i="9"/>
  <c r="N29" i="9"/>
  <c r="Q72" i="9"/>
  <c r="W38" i="9" l="1"/>
  <c r="W12" i="9"/>
  <c r="U23" i="9"/>
  <c r="W72" i="9"/>
  <c r="V39" i="9"/>
  <c r="V8" i="9"/>
  <c r="U81" i="9"/>
  <c r="W39" i="9"/>
  <c r="U54" i="9"/>
  <c r="U44" i="9"/>
  <c r="U47" i="9"/>
  <c r="U75" i="9"/>
  <c r="U48" i="9"/>
  <c r="U7" i="9"/>
  <c r="W17" i="9"/>
  <c r="V66" i="9"/>
  <c r="W42" i="9"/>
  <c r="V83" i="9"/>
  <c r="U49" i="9"/>
  <c r="U53" i="9"/>
  <c r="V45" i="9"/>
  <c r="U51" i="9"/>
  <c r="V25" i="9"/>
  <c r="V75" i="9"/>
  <c r="U60" i="9"/>
  <c r="W81" i="9"/>
  <c r="W20" i="9"/>
  <c r="W19" i="9"/>
  <c r="W64" i="9"/>
  <c r="U79" i="9"/>
  <c r="V74" i="9"/>
  <c r="U69" i="9"/>
  <c r="W53" i="9"/>
  <c r="U56" i="9"/>
  <c r="U22" i="9"/>
  <c r="W21" i="9"/>
  <c r="V17" i="9"/>
  <c r="U14" i="9"/>
  <c r="V44" i="9"/>
  <c r="V53" i="9"/>
  <c r="W35" i="9"/>
  <c r="V14" i="9"/>
  <c r="W62" i="9"/>
  <c r="W79" i="9"/>
  <c r="U41" i="9"/>
  <c r="W18" i="9"/>
  <c r="V62" i="9"/>
  <c r="W40" i="9"/>
  <c r="V72" i="9"/>
  <c r="V51" i="9"/>
  <c r="W41" i="9"/>
  <c r="U80" i="9"/>
  <c r="W80" i="9"/>
  <c r="U11" i="9"/>
  <c r="W43" i="9"/>
  <c r="V52" i="9"/>
  <c r="V31" i="9"/>
  <c r="U18" i="9"/>
  <c r="V40" i="9"/>
  <c r="V73" i="9"/>
  <c r="V13" i="9"/>
  <c r="W51" i="9"/>
  <c r="U62" i="9"/>
  <c r="V64" i="9"/>
  <c r="V84" i="9"/>
  <c r="U77" i="9"/>
  <c r="U63" i="9"/>
  <c r="V36" i="9"/>
  <c r="W57" i="9"/>
  <c r="W70" i="9"/>
  <c r="V22" i="9"/>
  <c r="W54" i="9"/>
  <c r="V81" i="9"/>
  <c r="V68" i="9"/>
  <c r="V19" i="9"/>
  <c r="V55" i="9"/>
  <c r="U59" i="9"/>
  <c r="U74" i="9"/>
  <c r="U78" i="9"/>
  <c r="U16" i="9"/>
  <c r="W52" i="9"/>
  <c r="U33" i="9"/>
  <c r="V23" i="9"/>
  <c r="U31" i="9"/>
  <c r="W68" i="9"/>
  <c r="W47" i="9"/>
  <c r="V24" i="9"/>
  <c r="V35" i="9"/>
  <c r="W83" i="9"/>
  <c r="U46" i="9"/>
  <c r="W14" i="9"/>
  <c r="W67" i="9"/>
  <c r="V82" i="9"/>
  <c r="U29" i="9"/>
  <c r="V79" i="9"/>
  <c r="U36" i="9"/>
  <c r="W26" i="9"/>
  <c r="U84" i="9"/>
  <c r="V76" i="9"/>
  <c r="U25" i="9"/>
  <c r="W63" i="9"/>
  <c r="V57" i="9"/>
  <c r="W37" i="9"/>
  <c r="U30" i="9"/>
  <c r="U71" i="9"/>
  <c r="U72" i="9"/>
  <c r="V15" i="9"/>
  <c r="V18" i="9"/>
  <c r="W60" i="9"/>
  <c r="V9" i="9"/>
  <c r="V46" i="9"/>
  <c r="V30" i="9"/>
  <c r="V29" i="9"/>
  <c r="W56" i="9"/>
  <c r="W9" i="9"/>
  <c r="W7" i="9"/>
  <c r="V71" i="9"/>
</calcChain>
</file>

<file path=xl/sharedStrings.xml><?xml version="1.0" encoding="utf-8"?>
<sst xmlns="http://schemas.openxmlformats.org/spreadsheetml/2006/main" count="30126" uniqueCount="5778">
  <si>
    <t>W19</t>
  </si>
  <si>
    <t>W20</t>
  </si>
  <si>
    <t>W21</t>
  </si>
  <si>
    <t>W23</t>
  </si>
  <si>
    <t>W24</t>
  </si>
  <si>
    <t>W25</t>
  </si>
  <si>
    <t>INV29L04A</t>
  </si>
  <si>
    <t>INVERTER</t>
  </si>
  <si>
    <t>INV46L02D</t>
  </si>
  <si>
    <t>INV46L02F</t>
  </si>
  <si>
    <t>INV46L04D</t>
  </si>
  <si>
    <t>INV46L04W</t>
  </si>
  <si>
    <t>INV32L01A</t>
  </si>
  <si>
    <t>INV32L01B</t>
  </si>
  <si>
    <t>INV37L04A</t>
  </si>
  <si>
    <t>INV40L02A</t>
  </si>
  <si>
    <t>INV40L02A(W1)</t>
  </si>
  <si>
    <t>INV40L02A(W2)</t>
  </si>
  <si>
    <t>INV46L01A(W1)</t>
  </si>
  <si>
    <t>INV46L01A(W2)</t>
  </si>
  <si>
    <t>INV46L02C</t>
  </si>
  <si>
    <t>INV46L02C(W1)</t>
  </si>
  <si>
    <t>INV46L02C(W2)</t>
  </si>
  <si>
    <t>INV48L12A</t>
  </si>
  <si>
    <t>INV48L12B</t>
  </si>
  <si>
    <t>INV46L01A</t>
  </si>
  <si>
    <t>INV46L16D</t>
  </si>
  <si>
    <t>INV46L32A</t>
  </si>
  <si>
    <t>INV46L32B</t>
  </si>
  <si>
    <t>INV85L240A</t>
  </si>
  <si>
    <t>INV98L08A</t>
  </si>
  <si>
    <t>INV55L24B</t>
  </si>
  <si>
    <t>INV55L12A</t>
  </si>
  <si>
    <t>INV55L02G</t>
  </si>
  <si>
    <t>INV55L02G(W1)</t>
  </si>
  <si>
    <t>INV55L02G(W2)</t>
  </si>
  <si>
    <t>INV55L02B(W)</t>
  </si>
  <si>
    <t>INV55L02C</t>
  </si>
  <si>
    <t>INV55L02C(W1)</t>
  </si>
  <si>
    <t>INV55L02C(W2)</t>
  </si>
  <si>
    <t>INV55L02D</t>
  </si>
  <si>
    <t>INV55L02H</t>
  </si>
  <si>
    <t>INV55L04A</t>
  </si>
  <si>
    <t>INV65L04A(W1)</t>
  </si>
  <si>
    <t>INV65L04A(W2)</t>
  </si>
  <si>
    <t>INV65L04A(W3)</t>
  </si>
  <si>
    <t>INV65L04A(W4)</t>
  </si>
  <si>
    <t>INV75L16A</t>
  </si>
  <si>
    <t>INV75L180B</t>
  </si>
  <si>
    <t/>
  </si>
  <si>
    <t>PSIV101801A</t>
  </si>
  <si>
    <t>SMPS</t>
  </si>
  <si>
    <t>PSLF226A01A</t>
  </si>
  <si>
    <t>PSLL141302MA</t>
  </si>
  <si>
    <t>PSLL121401M</t>
  </si>
  <si>
    <t>PSLL121401MA</t>
  </si>
  <si>
    <t>PSLL121501P</t>
  </si>
  <si>
    <t>PSLL171301W</t>
  </si>
  <si>
    <t>PSLL191301W</t>
  </si>
  <si>
    <t>PSLL221501M</t>
  </si>
  <si>
    <t>PSLL211D06M</t>
  </si>
  <si>
    <t>PSLL221501MA</t>
  </si>
  <si>
    <t>PSLL241206M</t>
  </si>
  <si>
    <t>PSLF710A04A</t>
  </si>
  <si>
    <t>PSLF201301L</t>
  </si>
  <si>
    <t>PSLF900701L</t>
  </si>
  <si>
    <t>PSLF531301L</t>
  </si>
  <si>
    <t>PSLF550S05A</t>
  </si>
  <si>
    <t>PSLF570A04A</t>
  </si>
  <si>
    <t>PSLF141Z05A</t>
  </si>
  <si>
    <t>PSLF141401MA</t>
  </si>
  <si>
    <t>PSLL131201W</t>
  </si>
  <si>
    <t>PSLL161201W</t>
  </si>
  <si>
    <t>PSLL221201W</t>
  </si>
  <si>
    <t>PSLF151402M</t>
  </si>
  <si>
    <t>PSLL161B05M</t>
  </si>
  <si>
    <t>PSLF171E01B</t>
  </si>
  <si>
    <t>PSLF171E01C</t>
  </si>
  <si>
    <t>PSLF171301B</t>
  </si>
  <si>
    <t>PSLF211B02A</t>
  </si>
  <si>
    <t>PSLF800A03C</t>
  </si>
  <si>
    <t>PSLF151A03D</t>
  </si>
  <si>
    <t>PSLF121A03A</t>
  </si>
  <si>
    <t>PSLF210S06L</t>
  </si>
  <si>
    <t>PSLF231901A</t>
  </si>
  <si>
    <t>PSLF231C06A</t>
  </si>
  <si>
    <t>PSLF151Q04A</t>
  </si>
  <si>
    <t>PSLF800A03A</t>
  </si>
  <si>
    <t>PSLF261B02A</t>
  </si>
  <si>
    <t>PSLF121A03S</t>
  </si>
  <si>
    <t>PSLF800A03S</t>
  </si>
  <si>
    <t>PSLF171B03A</t>
  </si>
  <si>
    <t>PSLF650B01C</t>
  </si>
  <si>
    <t>PSLF530501A</t>
  </si>
  <si>
    <t>PSLF450A04A</t>
  </si>
  <si>
    <t>PSLF400131A</t>
  </si>
  <si>
    <t>PSLF760C04A</t>
  </si>
  <si>
    <t>PSLF760501A</t>
  </si>
  <si>
    <t>PSLF930C04B</t>
  </si>
  <si>
    <t>PSLF930C04D</t>
  </si>
  <si>
    <t>PSLF172C01A</t>
  </si>
  <si>
    <t>PSLF201C02A</t>
  </si>
  <si>
    <t>PSLF501D03A</t>
  </si>
  <si>
    <t>PSLF790D04C</t>
  </si>
  <si>
    <t>PSLF790D04D</t>
  </si>
  <si>
    <t>PSLF191C01A</t>
  </si>
  <si>
    <t>PSLF201C01A</t>
  </si>
  <si>
    <t>PSLF231C01A</t>
  </si>
  <si>
    <t>PSLF111B04D</t>
  </si>
  <si>
    <t>PSLF131Q04A</t>
  </si>
  <si>
    <t>PSLF141Q04A</t>
  </si>
  <si>
    <t>PSLF161Q04A</t>
  </si>
  <si>
    <t>PSLF560501A</t>
  </si>
  <si>
    <t>PSLF111B04C</t>
  </si>
  <si>
    <t>PSLF101D04A</t>
  </si>
  <si>
    <t>PSLF111B04A</t>
  </si>
  <si>
    <t>PSLF151A03A</t>
  </si>
  <si>
    <t>PSLF109H06A</t>
  </si>
  <si>
    <t>PSLF141H06A</t>
  </si>
  <si>
    <t>PSLF121B04B</t>
  </si>
  <si>
    <t>PSLF121B04A</t>
  </si>
  <si>
    <t>PSLF121S06R</t>
  </si>
  <si>
    <t>PSLF131U07A</t>
  </si>
  <si>
    <t>PSLF151G06A</t>
  </si>
  <si>
    <t>PSLF151G06B</t>
  </si>
  <si>
    <t>PSLF790D04A</t>
  </si>
  <si>
    <t>PSLF151501A</t>
  </si>
  <si>
    <t>PSLF860C04A</t>
  </si>
  <si>
    <t>PSLF371S05A</t>
  </si>
  <si>
    <t>PSLF341U16C</t>
  </si>
  <si>
    <t>PSLF241701B</t>
  </si>
  <si>
    <t>PSLF111B04E</t>
  </si>
  <si>
    <t>PSLF330S05A</t>
  </si>
  <si>
    <t>PSLF330S06A</t>
  </si>
  <si>
    <t>PSLF490S06B</t>
  </si>
  <si>
    <t>PSLF610S05A</t>
  </si>
  <si>
    <t>PSLF121B04E</t>
  </si>
  <si>
    <t>PSLF151X05B</t>
  </si>
  <si>
    <t>PSLF790B04E</t>
  </si>
  <si>
    <t>PSLF241701A</t>
  </si>
  <si>
    <t>PSLF231S05A</t>
  </si>
  <si>
    <t>PSLF231A02X</t>
  </si>
  <si>
    <t>PSLF121S05A</t>
  </si>
  <si>
    <t>PSLF800A03H</t>
  </si>
  <si>
    <t>PSLF790B04A</t>
  </si>
  <si>
    <t>PSLF111S05A</t>
  </si>
  <si>
    <t>PSLF141S05A</t>
  </si>
  <si>
    <t>PSLF151S05A</t>
  </si>
  <si>
    <t>PSLF151S05A(V)</t>
  </si>
  <si>
    <t>PSLF151S05B</t>
  </si>
  <si>
    <t>PSLF151X05A(V)</t>
  </si>
  <si>
    <t>PSLF161X05A(V)</t>
  </si>
  <si>
    <t>PSLF181X05A(V)</t>
  </si>
  <si>
    <t>PSLF181X05B</t>
  </si>
  <si>
    <t>PSLF201F05P</t>
  </si>
  <si>
    <t>PSLF201U05A</t>
  </si>
  <si>
    <t>PSLF221F05P</t>
  </si>
  <si>
    <t>PSLF221U05A</t>
  </si>
  <si>
    <t>PSLF660S05A</t>
  </si>
  <si>
    <t>PSLF770S05A</t>
  </si>
  <si>
    <t>PSLF810S05C</t>
  </si>
  <si>
    <t>PSLF990S05A(V)</t>
  </si>
  <si>
    <t>PSLF171301M</t>
  </si>
  <si>
    <t>PSLL800501P</t>
  </si>
  <si>
    <t>PSLF221302X</t>
  </si>
  <si>
    <t>PSLF221301X</t>
  </si>
  <si>
    <t>PSLF230S04L</t>
  </si>
  <si>
    <t>PSLF161G06A</t>
  </si>
  <si>
    <t>PSLF161G06B</t>
  </si>
  <si>
    <t>PSLF720S05N</t>
  </si>
  <si>
    <t>PSLF720S05L</t>
  </si>
  <si>
    <t>PSLF490S06C</t>
  </si>
  <si>
    <t>PSLF161G04L</t>
  </si>
  <si>
    <t>PSLF171X07A</t>
  </si>
  <si>
    <t>PSLF191S06A</t>
  </si>
  <si>
    <t>PSLF191S07A</t>
  </si>
  <si>
    <t>PSLF191S07B</t>
  </si>
  <si>
    <t>PSLF171X06B</t>
  </si>
  <si>
    <t>PSLF191C16A</t>
  </si>
  <si>
    <t>PSLF281G06A</t>
  </si>
  <si>
    <t>PSLF490S06A</t>
  </si>
  <si>
    <t>PSLF490S06A(KA)</t>
  </si>
  <si>
    <t>PSLF141X06A</t>
  </si>
  <si>
    <t>PSLF521501A</t>
  </si>
  <si>
    <t>PSLF331401M</t>
  </si>
  <si>
    <t>PSLF331401MA</t>
  </si>
  <si>
    <t>PSLF800A03D</t>
  </si>
  <si>
    <t>PSEF231V07A</t>
  </si>
  <si>
    <t>PSEF201V09A</t>
  </si>
  <si>
    <t>PSLF211A01X</t>
  </si>
  <si>
    <t>PSLF211A02X</t>
  </si>
  <si>
    <t>PSLF151E08D</t>
  </si>
  <si>
    <t>PSLF330F06A</t>
  </si>
  <si>
    <t>PSIV610602A</t>
  </si>
  <si>
    <t>PSLF620S06A</t>
  </si>
  <si>
    <t>PSLF620S06A(KA)</t>
  </si>
  <si>
    <t>PSLF191S05A</t>
  </si>
  <si>
    <t>PSLF191S05B</t>
  </si>
  <si>
    <t>PSLF101S06A</t>
  </si>
  <si>
    <t>PSLF101S06A(KA)</t>
  </si>
  <si>
    <t>PSLF101S08A</t>
  </si>
  <si>
    <t>PSLF101S08B(P)</t>
  </si>
  <si>
    <t>PSLF101S08C</t>
  </si>
  <si>
    <t>PSLF121S06A</t>
  </si>
  <si>
    <t>PSLF171X06A</t>
  </si>
  <si>
    <t>PSLF720S06A</t>
  </si>
  <si>
    <t>PSLF720S06L</t>
  </si>
  <si>
    <t>PSLF241401A</t>
  </si>
  <si>
    <t>PSLF121S06N</t>
  </si>
  <si>
    <t>PSLF121S07A</t>
  </si>
  <si>
    <t>PSLF720S07A</t>
  </si>
  <si>
    <t>PSLF720S07B</t>
  </si>
  <si>
    <t>PSLF720S07T</t>
  </si>
  <si>
    <t>PSLF770501A</t>
  </si>
  <si>
    <t>PSLF770G05A</t>
  </si>
  <si>
    <t>PSLF780H06A</t>
  </si>
  <si>
    <t>PSLF780H06B</t>
  </si>
  <si>
    <t>PSLF221301AE</t>
  </si>
  <si>
    <t>PSLF450301A</t>
  </si>
  <si>
    <t>PSLF161G06F</t>
  </si>
  <si>
    <t>PSLF191A02X</t>
  </si>
  <si>
    <t>PSLF241A02X</t>
  </si>
  <si>
    <t>PSLF850402X</t>
  </si>
  <si>
    <t>PSLF870G06A</t>
  </si>
  <si>
    <t>PSLF870G06A(KA)</t>
  </si>
  <si>
    <t>PSLF870G06B</t>
  </si>
  <si>
    <t>PSLF930C04A</t>
  </si>
  <si>
    <t>PSLF970G06A</t>
  </si>
  <si>
    <t>PSLF970G06B</t>
  </si>
  <si>
    <t>PSLF970G06D</t>
  </si>
  <si>
    <t>PSLF970G06F</t>
  </si>
  <si>
    <t>PSLF980C07A</t>
  </si>
  <si>
    <t>PSLF980C07B</t>
  </si>
  <si>
    <t>PSLF980G06A</t>
  </si>
  <si>
    <t>PSLF980G06B</t>
  </si>
  <si>
    <t>PSLF990G05A</t>
  </si>
  <si>
    <t>PSLF990S06A</t>
  </si>
  <si>
    <t>PSLF131C04A</t>
  </si>
  <si>
    <t>PSLL171401P</t>
  </si>
  <si>
    <t>PSLL151701P</t>
  </si>
  <si>
    <t>PSLL111305M</t>
  </si>
  <si>
    <t>PSLL241205M</t>
  </si>
  <si>
    <t>PSLF191E01A</t>
  </si>
  <si>
    <t>PSLF221G02A</t>
  </si>
  <si>
    <t>PSLF360A04A</t>
  </si>
  <si>
    <t>PSLF331151B(L)</t>
  </si>
  <si>
    <t>PSLF331151A(L)</t>
  </si>
  <si>
    <t>PSLF331151A(S)</t>
  </si>
  <si>
    <t>PSLF101P08A</t>
  </si>
  <si>
    <t>PSLF101P08B</t>
  </si>
  <si>
    <t>PSLF231U16L</t>
  </si>
  <si>
    <t>PSLF112F06A</t>
  </si>
  <si>
    <t>PSLF112F06B</t>
  </si>
  <si>
    <t>PSLF361G06E</t>
  </si>
  <si>
    <t>PSLF361G06F</t>
  </si>
  <si>
    <t>PSLF391301A</t>
  </si>
  <si>
    <t>PSLF391301B</t>
  </si>
  <si>
    <t>PSLF141402MA</t>
  </si>
  <si>
    <t>PSLF181A01A</t>
  </si>
  <si>
    <t>PSLF221B01A</t>
  </si>
  <si>
    <t>PSLF231401A</t>
  </si>
  <si>
    <t>PSLF371D05A</t>
  </si>
  <si>
    <t>PSLF321C06A</t>
  </si>
  <si>
    <t>PSLF321C06B</t>
  </si>
  <si>
    <t>PSLF221W07A</t>
  </si>
  <si>
    <t>PSLF281W07A</t>
  </si>
  <si>
    <t>PSLF321E07C</t>
  </si>
  <si>
    <t>PSLF271M07A</t>
  </si>
  <si>
    <t>PSLF271M07B</t>
  </si>
  <si>
    <t>PSLF621P07C</t>
  </si>
  <si>
    <t>PSLF321E07B</t>
  </si>
  <si>
    <t>PSLF441M07A</t>
  </si>
  <si>
    <t>PSLF621P07A</t>
  </si>
  <si>
    <t>PSLF621P07B</t>
  </si>
  <si>
    <t>PSLF321P07A</t>
  </si>
  <si>
    <t>PSLF321P07B</t>
  </si>
  <si>
    <t>PSLF881P07A</t>
  </si>
  <si>
    <t>PSLF881P07B</t>
  </si>
  <si>
    <t>PSLF881P07C</t>
  </si>
  <si>
    <t>PSLF881P07D</t>
  </si>
  <si>
    <t>PSLF141S07A</t>
  </si>
  <si>
    <t>PSLF201S07A</t>
  </si>
  <si>
    <t>PSLF201S09A</t>
  </si>
  <si>
    <t>PSLF261S07B</t>
  </si>
  <si>
    <t>PSLF261S07A(RC)</t>
  </si>
  <si>
    <t>PSLF101S08B(W)</t>
  </si>
  <si>
    <t>PSLF171S08A</t>
  </si>
  <si>
    <t>PSLF291301A</t>
  </si>
  <si>
    <t>PSLF291301B</t>
  </si>
  <si>
    <t>PSLF311E09A(W)</t>
  </si>
  <si>
    <t>PSLF311G06A</t>
  </si>
  <si>
    <t>PSLF321E07A</t>
  </si>
  <si>
    <t>PSLF321E07F</t>
  </si>
  <si>
    <t>PSLF331G06A</t>
  </si>
  <si>
    <t>PSLF361301A</t>
  </si>
  <si>
    <t>PSLF361301B</t>
  </si>
  <si>
    <t>PSLF381S01C</t>
  </si>
  <si>
    <t>PSLF201E08A(C)</t>
  </si>
  <si>
    <t>PSLF201E08A(W)</t>
  </si>
  <si>
    <t>PSLF201E08B</t>
  </si>
  <si>
    <t>PSLF201E08B(P)</t>
  </si>
  <si>
    <t>PSLF201E09C(V)</t>
  </si>
  <si>
    <t>PSLF131S09A</t>
  </si>
  <si>
    <t>PSLF131S09B</t>
  </si>
  <si>
    <t>PSLF141E08C</t>
  </si>
  <si>
    <t>PSLF141E08D</t>
  </si>
  <si>
    <t>PSLF141E08A(RC)</t>
  </si>
  <si>
    <t>PSLF141E08B(RC)</t>
  </si>
  <si>
    <t>PSLF141F09A</t>
  </si>
  <si>
    <t>PSLF151E08A</t>
  </si>
  <si>
    <t>PSLF151E09B</t>
  </si>
  <si>
    <t>PSLF151E09C(V)</t>
  </si>
  <si>
    <t>PSLF151E09D</t>
  </si>
  <si>
    <t>PSLF191E08A</t>
  </si>
  <si>
    <t>PSLF191E08B</t>
  </si>
  <si>
    <t>PSLF191E09A</t>
  </si>
  <si>
    <t>PSLF191E09A(P)</t>
  </si>
  <si>
    <t>PSLF241W06A</t>
  </si>
  <si>
    <t>PSLF241E08A</t>
  </si>
  <si>
    <t>PSLF241E09A</t>
  </si>
  <si>
    <t>PSLF321S08A</t>
  </si>
  <si>
    <t>PSLF411S08A</t>
  </si>
  <si>
    <t>PSLF551S08A</t>
  </si>
  <si>
    <t>PSLF551S08B</t>
  </si>
  <si>
    <t>PSLF141E08L</t>
  </si>
  <si>
    <t>PSLF201E08L</t>
  </si>
  <si>
    <t>PSLF121E10A</t>
  </si>
  <si>
    <t>PSLF121E10B</t>
  </si>
  <si>
    <t>PSLF171301A</t>
  </si>
  <si>
    <t>PSLF171301A(W)</t>
  </si>
  <si>
    <t>PSLF171301A(P)</t>
  </si>
  <si>
    <t>PSLF201410A</t>
  </si>
  <si>
    <t>PSLF301E10A</t>
  </si>
  <si>
    <t>PSLF321E10A</t>
  </si>
  <si>
    <t>PSLF381E10A</t>
  </si>
  <si>
    <t>PSLF301201A</t>
  </si>
  <si>
    <t>PSLF361201A</t>
  </si>
  <si>
    <t>PSLF401201A</t>
  </si>
  <si>
    <t>PSLF181E10A</t>
  </si>
  <si>
    <t>PSLF181E10A(P)</t>
  </si>
  <si>
    <t>PSLF181E10A(W)</t>
  </si>
  <si>
    <t>PSLF181E10B</t>
  </si>
  <si>
    <t>PSLF215E10A</t>
  </si>
  <si>
    <t>PSLF215E10A(P)</t>
  </si>
  <si>
    <t>PSPF371503B</t>
  </si>
  <si>
    <t>PSPF411701A</t>
  </si>
  <si>
    <t>PSPF601601A</t>
  </si>
  <si>
    <t>PSPF231503A</t>
  </si>
  <si>
    <t>PSPF251503A</t>
  </si>
  <si>
    <t>PSPF251503C</t>
  </si>
  <si>
    <t>PSPF251504A</t>
  </si>
  <si>
    <t>PSPF361504A</t>
  </si>
  <si>
    <t>PSPF371504A</t>
  </si>
  <si>
    <t>PSPF371503A</t>
  </si>
  <si>
    <t>PSPF751503A</t>
  </si>
  <si>
    <t>PSPF881503A</t>
  </si>
  <si>
    <t>PSLF251503A</t>
  </si>
  <si>
    <t>PSLF251503E</t>
  </si>
  <si>
    <t>PSLF251503L</t>
  </si>
  <si>
    <t>PSLF361501A</t>
  </si>
  <si>
    <t>PSLF531501D</t>
  </si>
  <si>
    <t>PSLF650101A</t>
  </si>
  <si>
    <t>PSLF650101B</t>
  </si>
  <si>
    <t>PSLF760101A</t>
  </si>
  <si>
    <t>PSLF850101A</t>
  </si>
  <si>
    <t>PSIV121C01A</t>
  </si>
  <si>
    <t>IP-BOARD</t>
  </si>
  <si>
    <t>PSIV260401A</t>
  </si>
  <si>
    <t>PSLF590101A</t>
  </si>
  <si>
    <t>PSIV121411A</t>
  </si>
  <si>
    <t>PSIV121411B</t>
  </si>
  <si>
    <t>PSIV121411C</t>
  </si>
  <si>
    <t>PSIV281609A</t>
  </si>
  <si>
    <t>PSIV361610A</t>
  </si>
  <si>
    <t>PSGV050201A</t>
  </si>
  <si>
    <t>PSGV050201B</t>
  </si>
  <si>
    <t>PSGV320201A</t>
  </si>
  <si>
    <t>PSGV100201A</t>
  </si>
  <si>
    <t>PSGV100201B</t>
  </si>
  <si>
    <t>PSGV110301A</t>
  </si>
  <si>
    <t>PSGV110301B</t>
  </si>
  <si>
    <t>PSGV160301A</t>
  </si>
  <si>
    <t>PSGV160301B</t>
  </si>
  <si>
    <t>PSGV450201A</t>
  </si>
  <si>
    <t>PSAF112501A</t>
  </si>
  <si>
    <t>PSAH112501A</t>
  </si>
  <si>
    <t>PSAF120201C</t>
  </si>
  <si>
    <t>PSAF121701A</t>
  </si>
  <si>
    <t>PSAF121701B</t>
  </si>
  <si>
    <t>PSAF122701A</t>
  </si>
  <si>
    <t>PSAF122701B</t>
  </si>
  <si>
    <t>PSAF152S07A</t>
  </si>
  <si>
    <t>PSAF152S07B</t>
  </si>
  <si>
    <t>PSAF152501B</t>
  </si>
  <si>
    <t>PSAF200401A</t>
  </si>
  <si>
    <t>PSAF200401B</t>
  </si>
  <si>
    <t>PSAF301601A</t>
  </si>
  <si>
    <t>PSAH301601A</t>
  </si>
  <si>
    <t>PSAH301701A</t>
  </si>
  <si>
    <t>PSAL301601A</t>
  </si>
  <si>
    <t>PSAL301701A</t>
  </si>
  <si>
    <t>PSCV600120K</t>
  </si>
  <si>
    <t>ADAPTER</t>
  </si>
  <si>
    <t>PSCV150102B(BC)</t>
  </si>
  <si>
    <t>PSCV150102B(DC)</t>
  </si>
  <si>
    <t>PSCV150102B(A)</t>
  </si>
  <si>
    <t>PSCV150102D(BC)</t>
  </si>
  <si>
    <t>PSCV150102D(A)</t>
  </si>
  <si>
    <t>PSCV150102F(BC)</t>
  </si>
  <si>
    <t>PSCV150102F(DC)</t>
  </si>
  <si>
    <t>PSCV150102F(A)</t>
  </si>
  <si>
    <t>PSCV150102H(A)</t>
  </si>
  <si>
    <t>PSCV150102K(BC)</t>
  </si>
  <si>
    <t>PSCV150102K(DC)</t>
  </si>
  <si>
    <t>PSCV150102K(A)</t>
  </si>
  <si>
    <t>PSCV150102M(DC)</t>
  </si>
  <si>
    <t>PSCV150102P(BC)</t>
  </si>
  <si>
    <t>PSCV150102T(VC)</t>
  </si>
  <si>
    <t>PSCV150102V(VC)</t>
  </si>
  <si>
    <t>PSCV150102V(DC)</t>
  </si>
  <si>
    <t>PSCV150102X(C)</t>
  </si>
  <si>
    <t>PSCV150102Z(BC)</t>
  </si>
  <si>
    <t>PSCV150102Z(DC)</t>
  </si>
  <si>
    <t>PSCV150103B(BC)</t>
  </si>
  <si>
    <t>PSCV150103B(A)</t>
  </si>
  <si>
    <t>PSCV150103B(DC)</t>
  </si>
  <si>
    <t>PSCV150103D(BC)</t>
  </si>
  <si>
    <t>PSCV150103J(DC)</t>
  </si>
  <si>
    <t>PSCV150103N(VC)</t>
  </si>
  <si>
    <t>PSCV150103N(DC)</t>
  </si>
  <si>
    <t>PSCV150103L(A)</t>
  </si>
  <si>
    <t>PSCV150104J(DC)</t>
  </si>
  <si>
    <t>PSCV150104K(DC)</t>
  </si>
  <si>
    <t>PSCV150103T(BC)</t>
  </si>
  <si>
    <t>PSCV150103W(BC)</t>
  </si>
  <si>
    <t>PSCV150103Z(BC)</t>
  </si>
  <si>
    <t>PSCV150104A(DC)</t>
  </si>
  <si>
    <t>PSCV150104B(BC)</t>
  </si>
  <si>
    <t>PSCV150104C(BC)</t>
  </si>
  <si>
    <t>PSCV150104G(DC)</t>
  </si>
  <si>
    <t>PSCV150104H(BC)</t>
  </si>
  <si>
    <t>PSCV150108A</t>
  </si>
  <si>
    <t>PSCV150104J(C)</t>
  </si>
  <si>
    <t>PSCV150104P</t>
  </si>
  <si>
    <t>PSCV150104Q</t>
  </si>
  <si>
    <t>PSCV150104S(DC)</t>
  </si>
  <si>
    <t>PSCV150104R</t>
  </si>
  <si>
    <t>PSCV150104T</t>
  </si>
  <si>
    <t>PSCV150104U</t>
  </si>
  <si>
    <t>PSCV150104V</t>
  </si>
  <si>
    <t>PSCV150104W</t>
  </si>
  <si>
    <t>PSCV150104X</t>
  </si>
  <si>
    <t>PSCV150104Z</t>
  </si>
  <si>
    <t>PSCV150104Y(DC)</t>
  </si>
  <si>
    <t>PSCV150104L(BC)</t>
  </si>
  <si>
    <t>PSCV150105A(C)</t>
  </si>
  <si>
    <t>PSCV150105B(C)</t>
  </si>
  <si>
    <t>PSCV150105C(C)</t>
  </si>
  <si>
    <t>PSCV150105D(C)</t>
  </si>
  <si>
    <t>PSCV150105E</t>
  </si>
  <si>
    <t>PSCV150105H</t>
  </si>
  <si>
    <t>PSCV150105J</t>
  </si>
  <si>
    <t>PSCV150105K</t>
  </si>
  <si>
    <t>PSCV150105M</t>
  </si>
  <si>
    <t>PSCV150105N</t>
  </si>
  <si>
    <t>PSCV150105P</t>
  </si>
  <si>
    <t>PSCV150105Q</t>
  </si>
  <si>
    <t>PSCV150106C(C)</t>
  </si>
  <si>
    <t>PSCV150107A</t>
  </si>
  <si>
    <t>PSCV150107B</t>
  </si>
  <si>
    <t>PSCV150107D</t>
  </si>
  <si>
    <t>PSCV150107E</t>
  </si>
  <si>
    <t>PSCV150107F</t>
  </si>
  <si>
    <t>PSCV150107G</t>
  </si>
  <si>
    <t>PSCV150107H</t>
  </si>
  <si>
    <t>PSCV150107J(A)</t>
  </si>
  <si>
    <t>PSCV150107K</t>
  </si>
  <si>
    <t>PSCV150107L</t>
  </si>
  <si>
    <t>PSCV150107M</t>
  </si>
  <si>
    <t>PSCV150107N</t>
  </si>
  <si>
    <t>PSCV150107P</t>
  </si>
  <si>
    <t>PSCV150107Q</t>
  </si>
  <si>
    <t>PSCV150107A(B)</t>
  </si>
  <si>
    <t>PSCV150107B(B)</t>
  </si>
  <si>
    <t>PSCV150107D(B)</t>
  </si>
  <si>
    <t>PSCV150107E(B)</t>
  </si>
  <si>
    <t>PSCV150107F(B)</t>
  </si>
  <si>
    <t>PSCV150107G(B)</t>
  </si>
  <si>
    <t>PSCV150107H(B)</t>
  </si>
  <si>
    <t>PSCV150107J(B)</t>
  </si>
  <si>
    <t>PSCV150107K(B)</t>
  </si>
  <si>
    <t>PSCV150107L(B)</t>
  </si>
  <si>
    <t>PSCV150107M(B)</t>
  </si>
  <si>
    <t>PSCV150107N(B)</t>
  </si>
  <si>
    <t>PSCV150107P(B)</t>
  </si>
  <si>
    <t>PSCV150107Q(B)</t>
  </si>
  <si>
    <t>PSCV150107R(B)</t>
  </si>
  <si>
    <t>PSCV150107S(B)</t>
  </si>
  <si>
    <t>PSCV150107R</t>
  </si>
  <si>
    <t>PSCV150107T</t>
  </si>
  <si>
    <t>PSCV150107U</t>
  </si>
  <si>
    <t>PSCV150107V</t>
  </si>
  <si>
    <t>PSCV150107W</t>
  </si>
  <si>
    <t>PSCV150107X</t>
  </si>
  <si>
    <t>PSCV150107Y</t>
  </si>
  <si>
    <t>PSCV150108B</t>
  </si>
  <si>
    <t>PSCV150108D</t>
  </si>
  <si>
    <t>PSCV150110A</t>
  </si>
  <si>
    <t>PSCV150110B</t>
  </si>
  <si>
    <t>PSCV150110C</t>
  </si>
  <si>
    <t>PSCV150110E</t>
  </si>
  <si>
    <t>PSCV150111A</t>
  </si>
  <si>
    <t>PSCV150113Q</t>
  </si>
  <si>
    <t>PSCV160102A</t>
  </si>
  <si>
    <t>PSCV160102B</t>
  </si>
  <si>
    <t>PSCV160102C</t>
  </si>
  <si>
    <t>PSCV250103A(D)</t>
  </si>
  <si>
    <t>PSCV250103B(D)</t>
  </si>
  <si>
    <t>PSCV250103C(C)</t>
  </si>
  <si>
    <t>PSCV250103D(D)</t>
  </si>
  <si>
    <t>PSCV250103E(D)</t>
  </si>
  <si>
    <t>PSCV250103G(D)</t>
  </si>
  <si>
    <t>PSCV250103H(C)</t>
  </si>
  <si>
    <t>PSCV250103H(D)</t>
  </si>
  <si>
    <t>PSCV250103L(D)</t>
  </si>
  <si>
    <t>PSCV250103M(C)</t>
  </si>
  <si>
    <t>PSCV250103N(C)</t>
  </si>
  <si>
    <t>PSCV250103N(D)</t>
  </si>
  <si>
    <t>PSCV250103P(C)</t>
  </si>
  <si>
    <t>PSCV250103R(C)</t>
  </si>
  <si>
    <t>PSCV250103T(C)</t>
  </si>
  <si>
    <t>PSCV250103T(D)</t>
  </si>
  <si>
    <t>PSCV250103U(D)</t>
  </si>
  <si>
    <t>PSCV250105A</t>
  </si>
  <si>
    <t>PSCV250105D</t>
  </si>
  <si>
    <t>PSCV250105E</t>
  </si>
  <si>
    <t>PSCV250105F</t>
  </si>
  <si>
    <t>PSCV250105G</t>
  </si>
  <si>
    <t>PSCV250105H</t>
  </si>
  <si>
    <t>PSCV250201A</t>
  </si>
  <si>
    <t>PSCV250201B</t>
  </si>
  <si>
    <t>PSCV180101F(C)</t>
  </si>
  <si>
    <t>PSCV180101A(C)</t>
  </si>
  <si>
    <t>PSCV180101C(C)</t>
  </si>
  <si>
    <t>PSCV180101G(C)</t>
  </si>
  <si>
    <t>PSCV180101J(C)</t>
  </si>
  <si>
    <t>PSCV180101K(C)</t>
  </si>
  <si>
    <t>PSCV180101L(C)</t>
  </si>
  <si>
    <t>PSCV180101M(C)</t>
  </si>
  <si>
    <t>PSCV180101N(C)</t>
  </si>
  <si>
    <t>PSCV180101R(C)</t>
  </si>
  <si>
    <t>PSCV180101T(C)</t>
  </si>
  <si>
    <t>PSCV150109A</t>
  </si>
  <si>
    <t>PSCV150109B</t>
  </si>
  <si>
    <t>PSCV150109D</t>
  </si>
  <si>
    <t>PSCV150109E</t>
  </si>
  <si>
    <t>PSCV150109F</t>
  </si>
  <si>
    <t>PSCV150109H</t>
  </si>
  <si>
    <t>PSCV150109J</t>
  </si>
  <si>
    <t>PSCV150109K</t>
  </si>
  <si>
    <t>PSCV150109L</t>
  </si>
  <si>
    <t>PSCV150109M</t>
  </si>
  <si>
    <t>PSCV150109N</t>
  </si>
  <si>
    <t>PSCV150109P</t>
  </si>
  <si>
    <t>PSCV150109Q</t>
  </si>
  <si>
    <t>PSCV150109R</t>
  </si>
  <si>
    <t>PSCV150109S</t>
  </si>
  <si>
    <t>PSCV150109T</t>
  </si>
  <si>
    <t>PSCV150109U</t>
  </si>
  <si>
    <t>PSCV150109V</t>
  </si>
  <si>
    <t>PSCV150109W</t>
  </si>
  <si>
    <t>PSCV150109X</t>
  </si>
  <si>
    <t>PSAV600101A</t>
  </si>
  <si>
    <t>PSAV600101B</t>
  </si>
  <si>
    <t>PSAV630101A</t>
  </si>
  <si>
    <t>PSAV630101B</t>
  </si>
  <si>
    <t>PSAV630101C</t>
  </si>
  <si>
    <t>PSCV650104A</t>
  </si>
  <si>
    <t>PSCV650105A</t>
  </si>
  <si>
    <t>PSCV200106A(C)</t>
  </si>
  <si>
    <t>PSCV300107A(C)</t>
  </si>
  <si>
    <t>PSCV400101A</t>
  </si>
  <si>
    <t>PSCV150103A</t>
  </si>
  <si>
    <t>PSCV150103E</t>
  </si>
  <si>
    <t>PSCV181101A</t>
  </si>
  <si>
    <t>PSCV180201A</t>
  </si>
  <si>
    <t>PSCV250101B</t>
  </si>
  <si>
    <t>PSCV250101D</t>
  </si>
  <si>
    <t>PSCV250102E</t>
  </si>
  <si>
    <t>PSCV250102B</t>
  </si>
  <si>
    <t>PSCV250102C</t>
  </si>
  <si>
    <t>PSCV350102A</t>
  </si>
  <si>
    <t>PSCV450101A</t>
  </si>
  <si>
    <t>PSCV450101B</t>
  </si>
  <si>
    <t>PSCV450101C</t>
  </si>
  <si>
    <t>PSCV450101D</t>
  </si>
  <si>
    <t>PSCV450161A</t>
  </si>
  <si>
    <t>PSCV480101A</t>
  </si>
  <si>
    <t>PSCV480101A(VE)</t>
  </si>
  <si>
    <t>PSCV480101B(VE)</t>
  </si>
  <si>
    <t>PSCV480101C(VE)</t>
  </si>
  <si>
    <t>PSCV480101D(VE)</t>
  </si>
  <si>
    <t>PSCV480101E(VE)</t>
  </si>
  <si>
    <t>PSCV480101F</t>
  </si>
  <si>
    <t>PSCV480101G</t>
  </si>
  <si>
    <t>PSCV480101H</t>
  </si>
  <si>
    <t>PSCV480102E</t>
  </si>
  <si>
    <t>PSCV480102H</t>
  </si>
  <si>
    <t>PSCV480102M</t>
  </si>
  <si>
    <t>PSCV480102P</t>
  </si>
  <si>
    <t>PSCV480102R</t>
  </si>
  <si>
    <t>PSCV480201A</t>
  </si>
  <si>
    <t>PSCV580101A</t>
  </si>
  <si>
    <t>PSCV580101B</t>
  </si>
  <si>
    <t>PSCV580101C</t>
  </si>
  <si>
    <t>PSCV590101A</t>
  </si>
  <si>
    <t>PSCV590102A</t>
  </si>
  <si>
    <t>PSCV590101B</t>
  </si>
  <si>
    <t>PSCV660101A</t>
  </si>
  <si>
    <t>PSCV360113A</t>
  </si>
  <si>
    <t>PSCV630103A</t>
  </si>
  <si>
    <t>PSCV630103B</t>
  </si>
  <si>
    <t>PSCV630103D</t>
  </si>
  <si>
    <t>PSCV630103E</t>
  </si>
  <si>
    <t>PSCV780101A</t>
  </si>
  <si>
    <t>PSCV100131A</t>
  </si>
  <si>
    <t>PSCV240103A</t>
  </si>
  <si>
    <t>PSCV240131A</t>
  </si>
  <si>
    <t>PSCV450131A</t>
  </si>
  <si>
    <t>PSCV450201A</t>
  </si>
  <si>
    <t>PSCV600131A</t>
  </si>
  <si>
    <t>PSDH200421A</t>
  </si>
  <si>
    <t>LIGHT</t>
  </si>
  <si>
    <t>PSDH200421S</t>
  </si>
  <si>
    <t>PSDH400701A</t>
  </si>
  <si>
    <t>PSDH420901A</t>
  </si>
  <si>
    <t>PSDH440901A</t>
  </si>
  <si>
    <t>PSDH450801A</t>
  </si>
  <si>
    <t>PSDH470102A</t>
  </si>
  <si>
    <t>PSDH470102B</t>
  </si>
  <si>
    <t>PSDH510102A</t>
  </si>
  <si>
    <t>PSDV110241A</t>
  </si>
  <si>
    <t>PSDV130281A</t>
  </si>
  <si>
    <t>PSDV130281B</t>
  </si>
  <si>
    <t>PSDV130281M</t>
  </si>
  <si>
    <t>PSDV160351A</t>
  </si>
  <si>
    <t>PSDV160351B</t>
  </si>
  <si>
    <t>PSDV160351M</t>
  </si>
  <si>
    <t>PSDV200701A</t>
  </si>
  <si>
    <t>PSDV220571A</t>
  </si>
  <si>
    <t>PSDV250701A</t>
  </si>
  <si>
    <t>PSDV270571B</t>
  </si>
  <si>
    <t>PSDV270571E</t>
  </si>
  <si>
    <t>PSNH400701A</t>
  </si>
  <si>
    <t>PSNH400701D</t>
  </si>
  <si>
    <t>PSNH450801A</t>
  </si>
  <si>
    <t>PSNH450801D</t>
  </si>
  <si>
    <t>PSNH470102A</t>
  </si>
  <si>
    <t>PSNH350621A</t>
  </si>
  <si>
    <t>PSNH460102A</t>
  </si>
  <si>
    <t>PSNH520901B</t>
  </si>
  <si>
    <t>PSNH520901D</t>
  </si>
  <si>
    <t>PSNH530122A</t>
  </si>
  <si>
    <t>PSNH530122B</t>
  </si>
  <si>
    <t>PSNH600132A</t>
  </si>
  <si>
    <t>PSNH600132B</t>
  </si>
  <si>
    <t>PSNV230421B</t>
  </si>
  <si>
    <t>PSNV170571H</t>
  </si>
  <si>
    <t>PSNV170571G</t>
  </si>
  <si>
    <t>PSNV320571H</t>
  </si>
  <si>
    <t>PSNV230421D</t>
  </si>
  <si>
    <t>PSNV320571A</t>
  </si>
  <si>
    <t>PSNV320571B</t>
  </si>
  <si>
    <t>PSNV320571E</t>
  </si>
  <si>
    <t>PSNV320571G</t>
  </si>
  <si>
    <t>PSNV100181A</t>
  </si>
  <si>
    <t>PSNV240441A</t>
  </si>
  <si>
    <t>PSDV400701A</t>
  </si>
  <si>
    <t>PSDV400701S</t>
  </si>
  <si>
    <t>PSDV550102A</t>
  </si>
  <si>
    <t>PSDV600102A</t>
  </si>
  <si>
    <t>PSDV700142A</t>
  </si>
  <si>
    <t>PSOH131701A</t>
  </si>
  <si>
    <t>PSOH131701B</t>
  </si>
  <si>
    <t>PSOH420901A</t>
  </si>
  <si>
    <t>PSOH470102A</t>
  </si>
  <si>
    <t>PSOH500701A</t>
  </si>
  <si>
    <t>PSOH500701B</t>
  </si>
  <si>
    <t>PSOV250351U</t>
  </si>
  <si>
    <t>PSOV250701A</t>
  </si>
  <si>
    <t>PSOV131701A</t>
  </si>
  <si>
    <t>PSOV121142A</t>
  </si>
  <si>
    <t>PSOV121212A</t>
  </si>
  <si>
    <t>PSOV121701A</t>
  </si>
  <si>
    <t>PSOV131701A(N)</t>
  </si>
  <si>
    <t>PSOV131701B</t>
  </si>
  <si>
    <t>PSOV131701B(N)</t>
  </si>
  <si>
    <t>PSOV201162U</t>
  </si>
  <si>
    <t>PSOV201701A</t>
  </si>
  <si>
    <t>PSOV201701A(N)</t>
  </si>
  <si>
    <t>PSOV300601S</t>
  </si>
  <si>
    <t>PSOV530122S</t>
  </si>
  <si>
    <t>PSOV550102A</t>
  </si>
  <si>
    <t>PSOV750701A</t>
  </si>
  <si>
    <t>PSOV750701A(N)</t>
  </si>
  <si>
    <t>PSOV750701B</t>
  </si>
  <si>
    <t>PSOV750701U</t>
  </si>
  <si>
    <t>PSOV850182S</t>
  </si>
  <si>
    <t>PSOV900212A</t>
  </si>
  <si>
    <t>PSZV151701S</t>
  </si>
  <si>
    <t>PSZV201701S</t>
  </si>
  <si>
    <t>PSDV151101B</t>
  </si>
  <si>
    <t>PSDMDAD101A</t>
  </si>
  <si>
    <t>PSDMXAD102A</t>
  </si>
  <si>
    <t>PSDV250102B</t>
  </si>
  <si>
    <t>PSDV390101U</t>
  </si>
  <si>
    <t>PSDV500102B</t>
  </si>
  <si>
    <t>PSDV750401A</t>
  </si>
  <si>
    <t>PSGV060201A</t>
  </si>
  <si>
    <t>PSGV060401A</t>
  </si>
  <si>
    <t>PSDV151101D</t>
  </si>
  <si>
    <t>PSDV151104A</t>
  </si>
  <si>
    <t>PSDV151104B</t>
  </si>
  <si>
    <t>PSDV480101A</t>
  </si>
  <si>
    <t>PSDV720101A</t>
  </si>
  <si>
    <t>PSDV900104U</t>
  </si>
  <si>
    <t>PSDV900106U</t>
  </si>
  <si>
    <t>PSDV180101U</t>
  </si>
  <si>
    <t>PSDL110101B</t>
  </si>
  <si>
    <t>PSQH400701A</t>
  </si>
  <si>
    <t>PSSF201101A</t>
  </si>
  <si>
    <t>SERVER</t>
  </si>
  <si>
    <t>PSSF132202A</t>
  </si>
  <si>
    <t>PSSF132202A(SP)</t>
  </si>
  <si>
    <t>PSSF162202A</t>
  </si>
  <si>
    <t>PSSF162202A(SP)</t>
  </si>
  <si>
    <t>PSSF222201A</t>
  </si>
  <si>
    <t>PSSF222201A(SP)</t>
  </si>
  <si>
    <t>PSSF351101A</t>
  </si>
  <si>
    <t>PSSF351102A</t>
  </si>
  <si>
    <t>PSSW301202A</t>
  </si>
  <si>
    <t>PSSW162201C</t>
  </si>
  <si>
    <t>PSSW162201E</t>
  </si>
  <si>
    <t>PSSF112101A</t>
  </si>
  <si>
    <t>PSSF751301A</t>
  </si>
  <si>
    <t>PSSF112102A</t>
  </si>
  <si>
    <t>PSSF711101A</t>
  </si>
  <si>
    <t>PSSF711102A</t>
  </si>
  <si>
    <t>PSSF751202D</t>
  </si>
  <si>
    <t>PSSF751202F</t>
  </si>
  <si>
    <t>PSSF801202A</t>
  </si>
  <si>
    <t>PSSH551101A</t>
  </si>
  <si>
    <t>PSSH162202A</t>
  </si>
  <si>
    <t>PSSF162204C</t>
  </si>
  <si>
    <t>PSSW301201A</t>
  </si>
  <si>
    <t>PSSH222201A</t>
  </si>
  <si>
    <t>PSSH222201B</t>
  </si>
  <si>
    <t>Material</t>
  </si>
  <si>
    <t>Description</t>
  </si>
  <si>
    <t>Total</t>
  </si>
  <si>
    <t>0402-002189</t>
  </si>
  <si>
    <t>PC</t>
  </si>
  <si>
    <t>0000130110</t>
  </si>
  <si>
    <t>TAIWAN SEMICONDUCTOR CO., LTD.</t>
  </si>
  <si>
    <t>0000106090</t>
  </si>
  <si>
    <t>INFINEON TECHNOLOGIES ASIA PACIFIC PTE LTD.</t>
  </si>
  <si>
    <t>0000104991</t>
  </si>
  <si>
    <t>KEC HK CORP. LTD.</t>
  </si>
  <si>
    <t>1203A0200005</t>
  </si>
  <si>
    <t>0000200007</t>
  </si>
  <si>
    <t>SOLUM CO.,LTD</t>
  </si>
  <si>
    <t>1203A0200006</t>
  </si>
  <si>
    <t>0000200049</t>
  </si>
  <si>
    <t>NEXPERIA B.V.</t>
  </si>
  <si>
    <t>0403-001165</t>
  </si>
  <si>
    <t>1201-003188</t>
  </si>
  <si>
    <t>0000106354</t>
  </si>
  <si>
    <t>DONG GUAN CLOVER ELECTRONICS CO., LTD</t>
  </si>
  <si>
    <t>0000130750</t>
  </si>
  <si>
    <t>HUIZHOU LISHIN ELECTRONIC LIMITED</t>
  </si>
  <si>
    <t>0000161435</t>
  </si>
  <si>
    <t>KWANG SUNG TECHNOLOGY HOLDINGS CO. LIMITED</t>
  </si>
  <si>
    <t>0000130017</t>
  </si>
  <si>
    <t>DONG GUAN TOP NATION ELECTRONIC LIMITED</t>
  </si>
  <si>
    <t>0505A0100036</t>
  </si>
  <si>
    <t>0402-001909</t>
  </si>
  <si>
    <t>0402-001848</t>
  </si>
  <si>
    <t>1203-007221</t>
  </si>
  <si>
    <t>0000100007</t>
  </si>
  <si>
    <t>1203-008726</t>
  </si>
  <si>
    <t>LH13-00115N</t>
  </si>
  <si>
    <t>0403-001880</t>
  </si>
  <si>
    <t>0402-002144</t>
  </si>
  <si>
    <t>0000102883</t>
  </si>
  <si>
    <t>TNC CO.,LTD.</t>
  </si>
  <si>
    <t>0000140907</t>
  </si>
  <si>
    <t>LITE-ON SEMICONDUCTOR CORP</t>
  </si>
  <si>
    <t>0505A0100041</t>
  </si>
  <si>
    <t>0402-001936</t>
  </si>
  <si>
    <t>0505-002604</t>
  </si>
  <si>
    <t>1203-008727</t>
  </si>
  <si>
    <t>ML27A00004Z</t>
  </si>
  <si>
    <t>0000165009</t>
  </si>
  <si>
    <t>MU SEM TECHNOLOGY ELECTRONIC HK.CO.,LTD</t>
  </si>
  <si>
    <t>ML27A060004A</t>
  </si>
  <si>
    <t>ML27A00005M</t>
  </si>
  <si>
    <t>ML26A050025A</t>
  </si>
  <si>
    <t>ML26A050037A</t>
  </si>
  <si>
    <t>0505A000027</t>
  </si>
  <si>
    <t>0903-002151</t>
  </si>
  <si>
    <t>0000104639</t>
  </si>
  <si>
    <t>MICROCHIP TECHNOLOGY IRELAND LIMITED</t>
  </si>
  <si>
    <t>1203-001785</t>
  </si>
  <si>
    <t>LH13A010007A</t>
  </si>
  <si>
    <t>LH13A010008A</t>
  </si>
  <si>
    <t>ML27A020011A</t>
  </si>
  <si>
    <t>ML27A020031A</t>
  </si>
  <si>
    <t>ML27A020028A</t>
  </si>
  <si>
    <t>ML27A020010A</t>
  </si>
  <si>
    <t>0505A000028</t>
  </si>
  <si>
    <t>0505A000033</t>
  </si>
  <si>
    <t>LH13A00001B</t>
  </si>
  <si>
    <t>LH13A00001C</t>
  </si>
  <si>
    <t>ML26A00004H</t>
  </si>
  <si>
    <t>0000180015</t>
  </si>
  <si>
    <t>ATUM VINA COMPANY LIMITED</t>
  </si>
  <si>
    <t>ML26A050051A</t>
  </si>
  <si>
    <t>1203-008530</t>
  </si>
  <si>
    <t>0000105415</t>
  </si>
  <si>
    <t>UNIQUEST HONG KONG</t>
  </si>
  <si>
    <t>1203A0200023</t>
  </si>
  <si>
    <t>1203A0200024</t>
  </si>
  <si>
    <t>ML26A00001U</t>
  </si>
  <si>
    <t>ML26A00001T</t>
  </si>
  <si>
    <t>ML69A010012A</t>
  </si>
  <si>
    <t>0000510246</t>
  </si>
  <si>
    <t>BAO BI THANG LONG</t>
  </si>
  <si>
    <t>0402-002045</t>
  </si>
  <si>
    <t>0402-001969</t>
  </si>
  <si>
    <t>1203-008176</t>
  </si>
  <si>
    <t>0402-002025</t>
  </si>
  <si>
    <t>ML27-00476U</t>
  </si>
  <si>
    <t>ML27-00476T</t>
  </si>
  <si>
    <t>ML27-00478E</t>
  </si>
  <si>
    <t>ML27-00478D</t>
  </si>
  <si>
    <t>1203A0200003</t>
  </si>
  <si>
    <t>ML27A020046A</t>
  </si>
  <si>
    <t>ML27A060033A</t>
  </si>
  <si>
    <t>ML27A060031A</t>
  </si>
  <si>
    <t>ML27A060030A</t>
  </si>
  <si>
    <t>0402-002042</t>
  </si>
  <si>
    <t>ML26A050059A</t>
  </si>
  <si>
    <t>0402-001998</t>
  </si>
  <si>
    <t>1203-007691</t>
  </si>
  <si>
    <t>1203-008428</t>
  </si>
  <si>
    <t>0505-003190</t>
  </si>
  <si>
    <t>0505A0100011</t>
  </si>
  <si>
    <t>0402-001825</t>
  </si>
  <si>
    <t>1203A0200019</t>
  </si>
  <si>
    <t>1203A0200027</t>
  </si>
  <si>
    <t>0402-002031</t>
  </si>
  <si>
    <t>0505-003418</t>
  </si>
  <si>
    <t>1203-007692</t>
  </si>
  <si>
    <t>ML27-00420F</t>
  </si>
  <si>
    <t>ML27-00420E</t>
  </si>
  <si>
    <t>0903-002056</t>
  </si>
  <si>
    <t>ML27-00420C</t>
  </si>
  <si>
    <t>ML27-00420D</t>
  </si>
  <si>
    <t>0903-002138</t>
  </si>
  <si>
    <t>1203-008435</t>
  </si>
  <si>
    <t>0404-001627</t>
  </si>
  <si>
    <t>0402-001975</t>
  </si>
  <si>
    <t>1203-008580</t>
  </si>
  <si>
    <t>Visibility 조회(M3121QA9_KO794)</t>
  </si>
  <si>
    <t>Alt Group</t>
  </si>
  <si>
    <t>Basic Unit</t>
  </si>
  <si>
    <t>Supplier Code</t>
  </si>
  <si>
    <t>Supplier Desc.</t>
  </si>
  <si>
    <t>PO BAL</t>
  </si>
  <si>
    <t>Info</t>
  </si>
  <si>
    <t>Current INV</t>
  </si>
  <si>
    <t>03/19</t>
  </si>
  <si>
    <t>03/20</t>
  </si>
  <si>
    <t>03/21</t>
  </si>
  <si>
    <t>03/22</t>
  </si>
  <si>
    <t>03/23</t>
  </si>
  <si>
    <t>03/24</t>
  </si>
  <si>
    <t>03/25</t>
  </si>
  <si>
    <t>03/26</t>
  </si>
  <si>
    <t>03/27</t>
  </si>
  <si>
    <t>03/28</t>
  </si>
  <si>
    <t>03/29</t>
  </si>
  <si>
    <t>03/30</t>
  </si>
  <si>
    <t>03/31</t>
  </si>
  <si>
    <t>04/01</t>
  </si>
  <si>
    <t>04/02</t>
  </si>
  <si>
    <t>04/03</t>
  </si>
  <si>
    <t>04/04</t>
  </si>
  <si>
    <t>W201815</t>
  </si>
  <si>
    <t>W201816</t>
  </si>
  <si>
    <t>W201817</t>
  </si>
  <si>
    <t>W201818</t>
  </si>
  <si>
    <t>W201819</t>
  </si>
  <si>
    <t>W201820</t>
  </si>
  <si>
    <t>W201821</t>
  </si>
  <si>
    <t>W201822</t>
  </si>
  <si>
    <t>W201823</t>
  </si>
  <si>
    <t>W201824</t>
  </si>
  <si>
    <t>W201825</t>
  </si>
  <si>
    <t>W201826</t>
  </si>
  <si>
    <t>W201827</t>
  </si>
  <si>
    <t>M2018-03</t>
  </si>
  <si>
    <t>M2018-04</t>
  </si>
  <si>
    <t>M2018-05</t>
  </si>
  <si>
    <t>M2018-06</t>
  </si>
  <si>
    <t>M2018-07</t>
  </si>
  <si>
    <t>REQ</t>
  </si>
  <si>
    <t>Balance(INV)</t>
  </si>
  <si>
    <t>RTF</t>
  </si>
  <si>
    <t>Total RTF</t>
  </si>
  <si>
    <t>*</t>
  </si>
  <si>
    <t>Visibility</t>
  </si>
  <si>
    <t xml:space="preserve">IC-MICROCONTROLLER;PIC12F1501-E/SN,SOIC, </t>
  </si>
  <si>
    <t>IC-PWM CONTROLLER;10x4mm,16P,21V,-10mA,PLASTIC,SOIC-16,-40to+125C,ST,SN1108052DR 10x4mm,16P,21V,-10mA,PLASTIC,SOIC-16,-40to+125C,ST,SN1108052DR</t>
  </si>
  <si>
    <t>WPG Korea Co., LTD</t>
  </si>
  <si>
    <t>IC-PWM CONTROLLER;16.59X8.25mm,16P,15V,110W,PLASTIC,eSIP-16C,-40to+150C,ST,LCS700HG 16.59X8.25mm,16P,15V,110W,PLASTIC,eSIP-16C,-40to+150C,ST,LCS700HG</t>
  </si>
  <si>
    <t xml:space="preserve">IC-PWM CONTROLLER;LNK302DG-TL,SO-8C,7Z30 </t>
  </si>
  <si>
    <t>IC-PWM CONTROLLER;8.75X4mm,14P,18V,900mW,PLASTIC,SOP-150,-65to+150C,TP,iW3623-00 8.75X4mm,14P,18V,900mW,PLASTIC,SOP-150,-65to+150C,TP,iW3623-00</t>
  </si>
  <si>
    <t>IC-PWM CONTROLLER;IW671-00-MSO8,MSOP,8P,3.1X3.1mm,-40to+150C,TP IW671-00-MSO8,MSOP,8P,3.1X3.1mm,-40to+150C,TP</t>
  </si>
  <si>
    <t>IC-PWM CONTROLLER;10X4mm,16P,10/12V,0.6W,PLASTIC,SO16,-40to+155C,TP,SSL8516T 10X4mm,16P,10/12V,0.6W,PLASTIC,SO16,-40to+155C,TP,SSL8516T</t>
  </si>
  <si>
    <t>0000600020</t>
  </si>
  <si>
    <t>B-Net Trading Private Limited</t>
  </si>
  <si>
    <t>IC-PWM CONTROLLER;0.83W,16P,PLASTIC,SOP,3.9X9.96X1.45mm,-40+150C,FA6B20N, 0.83W,16P,PLASTIC,SOP,3.9X9.96X1.45mm,-40+150C,FA6B20N,</t>
  </si>
  <si>
    <t>IC-PWM CONTROLLER;625mW,8P,PLASTIC,SOP,3.9X5.0X1.8mm,-40+150C,FA1A60N, 625mW,8P,PLASTIC,SOP,3.9X5.0X1.8mm,-40+150C,FA1A60N,</t>
  </si>
  <si>
    <t>IC-PWM CONTROLLER;16P,PLASTIC,ESIP,ST,16.59X8.25mm,3.2/3.5V,-40TO+150C,LCS701HG, 16P,PLASTIC,ESIP,ST,16.59X8.25mm,3.2/3.5V,-40TO+150C,LCS701HG,</t>
  </si>
  <si>
    <t>Safe Qty 473,508 / 28 Days</t>
  </si>
  <si>
    <t>IC-PWM CONTROLLER;6P,PLASTIC,SOT-23,TP,1.8/2.2V,+150C,IW627H-10 6P,PLASTIC,SOT-23,TP,1.8/2.2V,+150C,IW627H-10</t>
  </si>
  <si>
    <t>IC-PWM CONTROLLER;16P,PLASTIC,ESIP-16J,ST,16.59X8.25mm,3.2/3.5V,-40+150C,LCS703HG, 16P,PLASTIC,ESIP-16J,ST,16.59X8.25mm,3.2/3.5V,-40+150C,LCS703HG,</t>
  </si>
  <si>
    <t>IC ASIC;20V,200uA,8.2V,16P,9.9x3.95mm,PLASTIC,SOP,-30to+125C,ST,SEM4082A 20V,200uA,8.2V,16P,9.9x3.95mm,PLASTIC,SOP,-30to+125C,ST,SEM4082A</t>
  </si>
  <si>
    <t>IC ASIC;SLM7620,PSCV150106A,16P,12V,-40to+125C,QFN,ST,-,PLASTIC SLM7620,PSCV150106A,16P,12V,-40to+125C,QFN,ST,-,PLASTIC</t>
  </si>
  <si>
    <t>IC ASIC;SLM7717A,PSCV150106A,8P,30V,-30to+125C,SOP,ST,0.75mA,PLASTIC SLM7717A,PSCV150106A,8P,30V,-30to+125C,SOP,ST,0.75mA,PLASTIC</t>
  </si>
  <si>
    <t>COIL-DRIVE;MPI1814N-252,L55E1_KSM,2P,2.5mH,YTM,MGB1,B3,B7,191.5±2Ts,MPI1814,18.5x18.5x13.7,TRAY MPI1814N-252,L55E1_KSM,2P,2.5mH,YTM,MGB1,B3,B7,191.5±2Ts,MPI1814,18.5x18.5x13.7,TRAY</t>
  </si>
  <si>
    <t>FET-SILICON;N-Channel,600V,6.5A,745mohm,25W,TO-220FP,ST,STF9NM60N N-Channel,600V,6.5A,745mohm,25W,TO-220FP,ST,STF9NM60N</t>
  </si>
  <si>
    <t xml:space="preserve">FET-SILICON;STF10LN80K5,N,TO-220FP,800V,+-30V,8A,25W,10uA,50uA,0.63ohm,ST, </t>
  </si>
  <si>
    <t>FET-SILICON;N-Channel,700V,5.4A,1.5ohm,5.3W,PG-SOT223,RLIPN70R1K5CE N-Channel,700V,5.4A,1.5ohm,5.3W,PG-SOT223,RLIPN70R1K5CE</t>
  </si>
  <si>
    <t>Safe Qty 2,135,448 / 28 Days</t>
  </si>
  <si>
    <t>IC-PWM CONTROLLER;4.9X3.9mm,7P,6V,400mA,PLASTIC,SO-8,-40to+150C,TP,LNK624DG-TL 4.9X3.9mm,7P,6V,400mA,PLASTIC,SO-8,-40to+150C,TP,LNK624DG-TL</t>
  </si>
  <si>
    <t>DIODE-RECTIFIER;1KV,3A,DO-214AB(SMC),TP,S3M 1KV,3A,DO-214AB(SMC),TP,S3M</t>
  </si>
  <si>
    <t>DIODE-RECTIFIER;1KV,0.8A,Sub-SMA,TP,RS1ML(HF) 1KV,0.8A,Sub-SMA,TP,RS1ML(HF)</t>
  </si>
  <si>
    <t>DIODE-ZENER;9.1V,250mW,SOT-23,TP,BZX84C9V1 9.1V,250mW,SOT-23,TP,BZX84C9V1</t>
  </si>
  <si>
    <t>760</t>
  </si>
  <si>
    <t>TRANS;A20B-US,A20B-US,6P,600uH,-,-,-,-,NH9,KP95,HE6,EED1709G,TRAY,LISHIN, A20B-US,A20B-US,6P,600uH,-,-,-,-,NH9,KP95,HE6,EED1709G,TRAY,LISHIN,</t>
  </si>
  <si>
    <t>770</t>
  </si>
  <si>
    <t>TRANS;LPE5K-6LM,L55E1R_KSM,10P,470uH,HE6/KP95/NH9,EE3217H,38.5X50.5X18.1mm,TRAYH LPE5K-6LM,L55E1R_KSM,10P,470uH,HE6/KP95/NH9,EE3217H,38.5X50.5X18.1mm,TRAYH</t>
  </si>
  <si>
    <t>TRANS;LPE5K-6LM,L55E1R_KSM,10P,470uH,HE6/KP95/NH9,EE3217H,38.5X50.5X14mm,TRAYH LPE5K-6LM,L55E1R_KSM,10P,470uH,HE6/KP95/NH9,EE3217H,38.5X50.5X14mm,TRAYH</t>
  </si>
  <si>
    <t>814</t>
  </si>
  <si>
    <t>COIL CHOKE;8013T-152L,SLP18AA,2P,1.5mH,TN40H,219.5±3Ts,DR8x13.2,10.0x14.0,TRAY 8013T-152L,SLP18AA,2P,1.5mH,TN40H,219.5±3Ts,DR8x13.2,10.0x14.0,TRAY</t>
  </si>
  <si>
    <t>837</t>
  </si>
  <si>
    <t>COIL FILTER-LINE;SQH2210S,L55E1R_KSM,4P,8.7mH,HL10,SM100,TS10,47.5Ts,SQE2022A,26.4X21.5X13.7,TRAY SQH2210S,L55E1R_KSM,4P,8.7mH,HL10,SM100,TS10,47.5Ts,SQE2022A,26.4X21.5X13.7,TRAY</t>
  </si>
  <si>
    <t>841</t>
  </si>
  <si>
    <t>COIL CHOKE;LPE5F-6PFC,L55E8_MSM,140uH,UQ4013,45Ts,TRAY,TNE, KSE, LPE5F-6PFC,L55E8_MSM,140uH,UQ4013,45Ts,TRAY,TNE, KSE,</t>
  </si>
  <si>
    <t>856</t>
  </si>
  <si>
    <t>COIL FILTER-LINE;SLW23,SLW32,SLB40,SLB45,2.5mH,245.5,_,TRAY,L252, SLW23,SLW32,SLB40,SLB45,2.5mH,245.5,_,TRAY,L252,</t>
  </si>
  <si>
    <t>현재고</t>
    <phoneticPr fontId="1" type="noConversion"/>
  </si>
  <si>
    <t>W13</t>
  </si>
  <si>
    <t>W14</t>
  </si>
  <si>
    <t>W15</t>
  </si>
  <si>
    <t>W16</t>
  </si>
  <si>
    <t>W17</t>
  </si>
  <si>
    <t>W18</t>
  </si>
  <si>
    <t>W22</t>
  </si>
  <si>
    <t>W26</t>
  </si>
  <si>
    <t>04/05</t>
  </si>
  <si>
    <t>W11</t>
    <phoneticPr fontId="1" type="noConversion"/>
  </si>
  <si>
    <t>W12</t>
    <phoneticPr fontId="1" type="noConversion"/>
  </si>
  <si>
    <t>W13</t>
    <phoneticPr fontId="1" type="noConversion"/>
  </si>
  <si>
    <t>자재코드</t>
    <phoneticPr fontId="1" type="noConversion"/>
  </si>
  <si>
    <t>Shortage</t>
    <phoneticPr fontId="1" type="noConversion"/>
  </si>
  <si>
    <t>매출</t>
    <phoneticPr fontId="2" type="noConversion"/>
  </si>
  <si>
    <t>매출차질예상</t>
    <phoneticPr fontId="1" type="noConversion"/>
  </si>
  <si>
    <t>Shortage</t>
    <phoneticPr fontId="1" type="noConversion"/>
  </si>
  <si>
    <t>매출</t>
    <phoneticPr fontId="2" type="noConversion"/>
  </si>
  <si>
    <t>매출차질예상</t>
    <phoneticPr fontId="1" type="noConversion"/>
  </si>
  <si>
    <t>1주차</t>
    <phoneticPr fontId="1" type="noConversion"/>
  </si>
  <si>
    <t>2주차</t>
    <phoneticPr fontId="1" type="noConversion"/>
  </si>
  <si>
    <t>3주차</t>
    <phoneticPr fontId="1" type="noConversion"/>
  </si>
  <si>
    <t>04/06</t>
  </si>
  <si>
    <t>04/07</t>
  </si>
  <si>
    <t>04/08</t>
  </si>
  <si>
    <t>W201828</t>
  </si>
  <si>
    <t>DIODE-BRIDGE;600V,2A,KBP,ST,KBP206G 600V,2A,KBP,ST,KBP206G</t>
  </si>
  <si>
    <t>DIODE-RECTIFIER;600V,4A,DO-201AD(forming),BK,MUR460-G6 600V,4A,DO-201AD(forming),BK,MUR460-G6</t>
  </si>
  <si>
    <t xml:space="preserve">IC-MICROCONTROLLER;PIC16F1825T-E/ST,TSSO </t>
  </si>
  <si>
    <t xml:space="preserve">IC-MICROCONTROLLER;PIC16F1503T-I/SL,SOI </t>
  </si>
  <si>
    <t>IC-PWM CONTROLLER;3.9x9.96mm,16P,30V,830mW,PLASTIC,SOP-16,-40to+150C,TP,FA6A20N 3.9x9.96mm,16P,30V,830mW,PLASTIC,SOP-16,-40to+150C,TP,FA6A20N</t>
  </si>
  <si>
    <t>IC-PWM CONTROLLER;3.9x9.96mm,16P,30V,830mW,PLASTIC,SOP,-40to+150C,TP,FA6A21N 3.9x9.96mm,16P,30V,830mW,PLASTIC,SOP,-40to+150C,TP,FA6A21N</t>
  </si>
  <si>
    <t>IC-PWM CONTROLLER;3.9x4.9x1.8mm,8P,28V,625mW,PLASTIC,SOP-8,-40to+105C,TP,FA1A50N-C6 3.9x4.9x1.8mm,8P,28V,625mW,PLASTIC,SOP-8,-40to+105C,TP,FA1A50N-C6</t>
  </si>
  <si>
    <t xml:space="preserve">IC-PWM CONTROLLER;900mW,14P,PLASTIC,SOIC,8.75X4mm,-40+150C,IW3629-00, </t>
  </si>
  <si>
    <t>IC-PWM CONTROLLER;8P,PLASTIC,SOIC,TP,5X4mm,-40+150C,IW1780H-33 8P,PLASTIC,SOIC,TP,5X4mm,-40+150C,IW1780H-33</t>
  </si>
  <si>
    <t>IC ASIC;SLM4172A,16P,10~20V,-30+125C,SOP,ST,PLASTIC,9.90X3.95X1.55mm, SLM4172A,16P,10~20V,-30+125C,SOP,ST,PLASTIC,9.90X3.95X1.55mm,</t>
  </si>
  <si>
    <t>IC ASIC;20V,200uA,8.2V,20P,12.7x7.5mm,PLASTIC,SOP,-30to+125C,ST,SLM4173A 20V,200uA,8.2V,20P,12.7x7.5mm,PLASTIC,SOP,-30to+125C,ST,SLM4173A</t>
  </si>
  <si>
    <t>COIL CHOKE;MPI123512N-102,L55E8NR_MSM,1000uH,MPI122412,122.5,TRAY,MST, MPI123512N-102,L55E8NR_MSM,1000uH,MPI122412,122.5,TRAY,MST,</t>
  </si>
  <si>
    <t>COIL CHOKE;MPI122412N-102,L55E8NR_MSM,1000H,-,-,TRAY,MST, MPI122412N-102,L55E8NR_MSM,1000H,-,-,TRAY,MST,</t>
  </si>
  <si>
    <t>BAG ENVELOPE;A210/TA20,LDPE,0.05,235,165, A210/TA20,LDPE,0.05,235,165,</t>
  </si>
  <si>
    <t>FET-SILICON;N-Channel,500V,5A,1.5ohm,35W,TO-220F,ST,TK5A50D N-Channel,500V,5A,1.5ohm,35W,TO-220F,ST,TK5A50D</t>
  </si>
  <si>
    <t xml:space="preserve">FET-SILICON;D1360K,N,600V,11A,0.38ohm,11 </t>
  </si>
  <si>
    <t>FET-SILICON;FH13N60K,N,TO-220FP WIDE CREEPAGE,600V,+-25V,11A,25W,+-10uA,1uA,ST, FH13N60K,N,TO-220FP WIDE CREEPAGE,600V,+-25V,11A,25W,+-10uA,1uA,ST,</t>
  </si>
  <si>
    <t>FET-SILICON;N-Channel,600V,7.5A,550mohm,25W,TO-220FPWIDE,ST,FH10N60K N-Channel,600V,7.5A,550mohm,25W,TO-220FPWIDE,ST,FH10N60K</t>
  </si>
  <si>
    <t>FET-SILICON;N-Channel,600V,13A,255mohm,25W,TO-220FPWide,ST,STFH18N60M2 N-Channel,600V,13A,255mohm,25W,TO-220FPWide,ST,STFH18N60M2</t>
  </si>
  <si>
    <t xml:space="preserve">FET-SILICON;STFH24N60M2,N,600V,18A,0.168ohm,30W,TO-220FP Wide Creepage </t>
  </si>
  <si>
    <t>IC-OP AMP;232MIL,DUAL,7mV,5nA,150nA,8P,36V,280mW,85dB,SOP,-40to+85C,TP,KIA358F(HF) 232MIL,DUAL,7mV,5nA,150nA,8P,36V,280mW,85dB,SOP,-40to+85C,TP,KIA358F(HF)</t>
  </si>
  <si>
    <t xml:space="preserve">IC-POSI.FIXED REG.;78S05,TO-92,3P,PLASTI </t>
  </si>
  <si>
    <t>DIODE-RECTIFIER;1KV,1A,SMA,TP,S1M(HF) 1KV,1A,SMA,TP,S1M(HF)</t>
  </si>
  <si>
    <t>DIODE-RECTIFIER;300V,10A,ITO-220AB,ST,SFF1005G 300V,10A,ITO-220AB,ST,SFF1005G</t>
  </si>
  <si>
    <t>DIODE-RECTIFIER;300V,10A,ITO-220AB,ST,SFF1005GA 300V,10A,ITO-220AB,ST,SFF1005GA</t>
  </si>
  <si>
    <t>DIODE-RECTIFIER;600V,10A,ITO-220AB,ST,SFF1008G 600V,10A,ITO-220AB,ST,SFF1008G</t>
  </si>
  <si>
    <t xml:space="preserve">DIODE-BRIDGE;MBS6,600V,0.5A,MBS,TP </t>
  </si>
  <si>
    <t xml:space="preserve">DIODE-RECTIFIER;US1M,1000V,1A,SMA/DO-214 </t>
  </si>
  <si>
    <t>DIODE-RECTIFIER;600V,3A,DO-214AB,TP,MUR360S 600V,3A,DO-214AB,TP,MUR360S</t>
  </si>
  <si>
    <t>DIODE-RECTIFIER;1KV,1A,SMA,TP,S1ML(HF) 1KV,1A,SMA,TP,S1ML(HF)</t>
  </si>
  <si>
    <t>DIODE-RECTIFIER;600V,3A,DO-201AD(forming),BK,SF38G-G7 600V,3A,DO-201AD(forming),BK,SF38G-G7</t>
  </si>
  <si>
    <t>DIODE-ZENER;7.5V,250mW,SOT-23,TP,BZX84C7V5 7.5V,250mW,SOT-23,TP,BZX84C7V5</t>
  </si>
  <si>
    <t>TRANS;A20B-US,A20B-US,6P,600uH,-,-,-,-,NH9,KP95,HE6,PL13,EED1709G,TRAY,KWANG SUNG A20B-US,A20B-US,6P,600uH,-,-,-,-,NH9,KP95,HE6,PL13,EED1709G,TRAY,KWANG SUNG</t>
  </si>
  <si>
    <t>766</t>
  </si>
  <si>
    <t>TRANS;A200,15W,6P,600uH,-,-,-,-,NH9,KP95,HE6,EED1709C,TRAY,ATUM, A200,15W,6P,600uH,-,-,-,-,NH9,KP95,HE6,EED1709C,TRAY,ATUM,</t>
  </si>
  <si>
    <t>TRANS;A200,A20C,6P,600uH,NH9,HE6,KP95,EED1709C,TRAYKSE, A200,A20C,6P,600uH,NH9,HE6,KP95,EED1709C,TRAYKSE,</t>
  </si>
  <si>
    <t>TRANS;LL32A-7FM,SLW23 &amp; SLW32 공용,6P,1.7mH,HE4,NH2B,KP4,EFD2525L,TRAY,SC, LL32A-7FM,SLW23 &amp; SLW32 공용,6P,1.7mH,HE4,NH2B,KP4,EFD2525L,TRAY,SC,</t>
  </si>
  <si>
    <t>794</t>
  </si>
  <si>
    <t xml:space="preserve">COIL FILTER;SL150A,28mH,66±3Ts,21.0X15.5 </t>
  </si>
  <si>
    <t xml:space="preserve">COIL FILTER;SL150A,28mH,66±3Ts,21x15.5x2 </t>
  </si>
  <si>
    <t>795</t>
  </si>
  <si>
    <t xml:space="preserve">COIL FILTER;SL150A,14.3mH,45±2Ts,21.0X15 </t>
  </si>
  <si>
    <t xml:space="preserve">COIL FILTER;SL150A,14.3mH,45±2Ts,21x15.5 </t>
  </si>
  <si>
    <t>812</t>
  </si>
  <si>
    <t>COIL-DRIVE;KV0830100,FF27W,4P,100uH,MA055,TS5,HM2A,7±1Ts,T8X4X3,11.0X8.0X13.5,TRAY KV0830100,FF27W,4P,100uH,MA055,TS5,HM2A,7±1Ts,T8X4X3,11.0X8.0X13.5,TRAY</t>
  </si>
  <si>
    <t>COIL-DRIVE;PVA3011UB2,FF27W,4P,100uH,HM2A,7±1Ts,T8X4X3,11.0X8.0X13.5,TRAY PVA3011UB2,FF27W,4P,100uH,HM2A,7±1Ts,T8X4X3,11.0X8.0X13.5,TRAY</t>
  </si>
  <si>
    <t>COIL CHOKE;8013T-152K,SLP18AA,2P,1.5mH,TN40H,219.5±3Ts,DR8x13.2,10.0x14.0,TRAY 8013T-152K,SLP18AA,2P,1.5mH,TN40H,219.5±3Ts,DR8x13.2,10.0x14.0,TRAY</t>
  </si>
  <si>
    <t>Coil-Filter (Div);SQH2210S,L55E1_KSM,4P,8.7mH,HL10,TS10,47.5Ts,SQE2022A,26.4X21.5X13.7,TRAY SQH2210S,L55E1_KSM,4P,8.7mH,HL10,TS10,47.5Ts,SQE2022A,26.4X21.5X13.7,TRAY</t>
  </si>
  <si>
    <t>COIL CHOKE;LPE5F-6PFC,L55E7,1401uH,UQ4013,45,TRAY,SC, LPE5F-6PFC,L55E7,1401uH,UQ4013,45,TRAY,SC,</t>
  </si>
  <si>
    <t>COIL CHOKE;LL32A-7PFC,SLW32,SLB40,SLB45,850uH,EPC1715,150,TRAY,SC, LL32A-7PFC,SLW32,SLB40,SLB45,850uH,EPC1715,150,TRAY,SC,</t>
  </si>
  <si>
    <t>COIL FILTER-LINE;SLW23,SLW32,SLB40,SLB45,2.5mH,245.5Ts,_,TRAY,CH1010T-252K, SLW23,SLW32,SLB40,SLB45,2.5mH,245.5Ts,_,TRAY,CH1010T-252K,</t>
  </si>
  <si>
    <t>COIL FILTER-LINE;SLW23,SLW32,SLB40,SLB45,21mH,128Ts,_,TRAY,U1430S, SLW23,SLW32,SLB40,SLB45,21mH,128Ts,_,TRAY,U1430S,</t>
  </si>
  <si>
    <t xml:space="preserve">DIODE-SCHOTTKY;SK36B,60V,3000mA,SMB/DO-2 </t>
  </si>
  <si>
    <t>3월</t>
    <phoneticPr fontId="1" type="noConversion"/>
  </si>
  <si>
    <t>4월</t>
    <phoneticPr fontId="1" type="noConversion"/>
  </si>
  <si>
    <t>5월</t>
    <phoneticPr fontId="1" type="noConversion"/>
  </si>
  <si>
    <t>6월</t>
    <phoneticPr fontId="1" type="noConversion"/>
  </si>
  <si>
    <t>7월</t>
    <phoneticPr fontId="1" type="noConversion"/>
  </si>
  <si>
    <t>W12</t>
    <phoneticPr fontId="1" type="noConversion"/>
  </si>
  <si>
    <t>W27</t>
    <phoneticPr fontId="1" type="noConversion"/>
  </si>
  <si>
    <t>※ A,B로 구분 되는 주차는 수요일 포함하는 달에 구분</t>
    <phoneticPr fontId="1" type="noConversion"/>
  </si>
  <si>
    <t>※ 당월 25일자 RTF 기준</t>
    <phoneticPr fontId="1" type="noConversion"/>
  </si>
  <si>
    <t>◆ 월별 RTF 기여 기준</t>
    <phoneticPr fontId="1" type="noConversion"/>
  </si>
  <si>
    <t>RTF</t>
    <phoneticPr fontId="1" type="noConversion"/>
  </si>
  <si>
    <t>PSLF301201B</t>
  </si>
  <si>
    <t>PSLF361201B</t>
  </si>
  <si>
    <t>PSCV150113R</t>
  </si>
  <si>
    <t>PSCV150114R</t>
  </si>
  <si>
    <t>PSCV150115R</t>
  </si>
  <si>
    <t>INV46L02G</t>
  </si>
  <si>
    <t>PSLF680501A</t>
  </si>
  <si>
    <t>PSLF121D04A</t>
  </si>
  <si>
    <t>PSLF660S05B</t>
  </si>
  <si>
    <t>PSLF111S05A(V)</t>
  </si>
  <si>
    <t>PSLF141S05A(V)</t>
  </si>
  <si>
    <t>PSLF930G06A</t>
  </si>
  <si>
    <t>PSLF171X06A(KA)</t>
  </si>
  <si>
    <t>PSLF990S06A(KA)</t>
  </si>
  <si>
    <t>PSLF101P08A(P)</t>
  </si>
  <si>
    <t>PSLF211M07A</t>
  </si>
  <si>
    <t>PSLF271M07F</t>
  </si>
  <si>
    <t>PSLF261S07A</t>
  </si>
  <si>
    <t>PSLF261S07A(W)</t>
  </si>
  <si>
    <t>PSLF191E08A(P)</t>
  </si>
  <si>
    <t>PSPF361503A</t>
  </si>
  <si>
    <t>PSPF361503B</t>
  </si>
  <si>
    <t>PSLF350201A</t>
  </si>
  <si>
    <t>PSIV281510A</t>
  </si>
  <si>
    <t>PSSF132201A</t>
  </si>
  <si>
    <t>PSSW162201D</t>
  </si>
  <si>
    <t>PSSF751202B</t>
  </si>
  <si>
    <t>PSLF940H06A</t>
  </si>
  <si>
    <t>명노익</t>
  </si>
  <si>
    <t>PSCV150109Y</t>
  </si>
  <si>
    <t>PSCV250106A</t>
  </si>
  <si>
    <t>PSCV250106N</t>
  </si>
  <si>
    <t>PSCV250106K</t>
  </si>
  <si>
    <t>PSCV250106F</t>
  </si>
  <si>
    <t>PSCV250106G</t>
  </si>
  <si>
    <t>PSCV250106H</t>
  </si>
  <si>
    <t>PSCV250106B</t>
  </si>
  <si>
    <t>PSCV150103X(BC)</t>
  </si>
  <si>
    <t>PSCV150103Y(BC)</t>
  </si>
  <si>
    <t>PSCV150104F(BC)</t>
  </si>
  <si>
    <t>PSCV150104E(BC)</t>
  </si>
  <si>
    <t>PSCV150104N(BC)</t>
  </si>
  <si>
    <t>PSCV250103C(D)</t>
  </si>
  <si>
    <t>PSLF431E10A</t>
  </si>
  <si>
    <t>PSNV320571D</t>
  </si>
  <si>
    <t>PSLF201901A</t>
  </si>
  <si>
    <t>품목</t>
  </si>
  <si>
    <t>품목명</t>
  </si>
  <si>
    <t>POWER</t>
  </si>
  <si>
    <t>PSCV250106C</t>
  </si>
  <si>
    <t>PSCV150104K(A)</t>
  </si>
  <si>
    <t>PSCV250101F</t>
  </si>
  <si>
    <t>PSPF251503D</t>
  </si>
  <si>
    <t>PSCV250107A</t>
  </si>
  <si>
    <t>PSCV250107B</t>
  </si>
  <si>
    <t>PSCV250107C</t>
  </si>
  <si>
    <t>PSCV250107D</t>
  </si>
  <si>
    <t>PSCV250107E</t>
  </si>
  <si>
    <t>PSCV250107G</t>
  </si>
  <si>
    <t>PSCV250107J</t>
  </si>
  <si>
    <t>PSCV250107K</t>
  </si>
  <si>
    <t>PSCV250107L</t>
  </si>
  <si>
    <t>PSCV250107M</t>
  </si>
  <si>
    <t>PSCV250107N</t>
  </si>
  <si>
    <t>PSCV250107P</t>
  </si>
  <si>
    <t>PSCV250107Q</t>
  </si>
  <si>
    <t>PSCV250107R</t>
  </si>
  <si>
    <t>PSOV121282R</t>
  </si>
  <si>
    <t>PSOV151422R</t>
  </si>
  <si>
    <t>PSOV201562R</t>
  </si>
  <si>
    <t>PSQH470102A</t>
  </si>
  <si>
    <t>PSCV250104B</t>
  </si>
  <si>
    <t>PSCV250104P</t>
  </si>
  <si>
    <t>PSCV150102T(DC)</t>
  </si>
  <si>
    <t>PSCV250103Z(C)</t>
  </si>
  <si>
    <t>PSCV250104A(C)</t>
  </si>
  <si>
    <t>PSCV250104G(C)</t>
  </si>
  <si>
    <t>고객사</t>
  </si>
  <si>
    <t>고객명</t>
  </si>
  <si>
    <t>제품군</t>
  </si>
  <si>
    <t>제품</t>
  </si>
  <si>
    <t>영업그룹</t>
  </si>
  <si>
    <t>담당자</t>
  </si>
  <si>
    <t>단위</t>
  </si>
  <si>
    <t>통화</t>
  </si>
  <si>
    <t>환율</t>
  </si>
  <si>
    <t>단가</t>
  </si>
  <si>
    <t>ALL IN(ASIA)HOLDING CO.,LTD</t>
  </si>
  <si>
    <t>Power영업1G</t>
  </si>
  <si>
    <t>서원호</t>
  </si>
  <si>
    <t>INV22L04A</t>
  </si>
  <si>
    <t>LED DRIVER INVERTER;21.6V~26.4V,INV22L04</t>
  </si>
  <si>
    <t>USD</t>
  </si>
  <si>
    <t>CORETRONIC(SUZHOU) CO LTD</t>
  </si>
  <si>
    <t>LED DRIVER INVERTER,22Vdc ~ 26Vdc,INV29L04A,Converter,-,-,PWM, Analog,160mm*70mm,89.25mA,80.75mA,160</t>
  </si>
  <si>
    <t>ALL IN OPTO-ELECTRONICS (SUZHOU) CO.,LTD.</t>
  </si>
  <si>
    <t>LED DRIVER INVERTER;21.6~26.4V,INV32L01A</t>
  </si>
  <si>
    <t>LED DRIVER INVERTER;,INV32L01B,32,,32inc</t>
  </si>
  <si>
    <t>LED DRIVER INVERTER;22~26V,INV37L04A,PID</t>
  </si>
  <si>
    <t>INV40L01A(W1)</t>
  </si>
  <si>
    <t>LED DRIVER INVERTER;21.6V~26.5V,INV40L01</t>
  </si>
  <si>
    <t>INV40L01A(W2)</t>
  </si>
  <si>
    <t>LED DRIVER INVERTER;21.6V~26.6V,INV40L01</t>
  </si>
  <si>
    <t>LED DRIVER INVERTER;21.6V~26.4V,INV40L02</t>
  </si>
  <si>
    <t>LED DRIVER INVERTER;21.6V~26.4V,INV46L01</t>
  </si>
  <si>
    <t>INV46L01B</t>
  </si>
  <si>
    <t>LED DRIVER INVERTER;22V-26V,INV46L02C,LE</t>
  </si>
  <si>
    <t>LED DRIVER INVERTER;150V,INV46L02C(W1),L</t>
  </si>
  <si>
    <t>LED DRIVER INVERTER;150V,INV46L02C(W2),L</t>
  </si>
  <si>
    <t>LED DRIVER INVERTER;22V~26V,INV46L02D,LE</t>
  </si>
  <si>
    <t>LED DRIVER INVERTER;22Vdc-26Vdc,INV46L02F,Converter,-,46inch</t>
  </si>
  <si>
    <t>LED DRIVER INVERTER;22Vdc ~ 26Vdc,INV46L02G,Converter,-,46in</t>
  </si>
  <si>
    <t>LED DRIVER INVERTER;21.6V~26.4V,INV46L04</t>
  </si>
  <si>
    <t>LED DRIVER INVERTER;200V,INV46L04W,LEDDI</t>
  </si>
  <si>
    <t>삼성디스플레이(주)</t>
  </si>
  <si>
    <t>INV46L16B</t>
  </si>
  <si>
    <t>LED DRIVER INVERTER;21.6V~26.4V,INV46L16</t>
  </si>
  <si>
    <t>LED DRIVER INVERTER;22Vdc ~ 26Vdc,INV46L32A,Converter,-,-,PW</t>
  </si>
  <si>
    <t>LED DRIVER INVERTER;22Vdc ~ 26Vdc,INV46L32B,Converter,-,-,PW</t>
  </si>
  <si>
    <t>INV48L01A(W1)</t>
  </si>
  <si>
    <t>LED DRIVER INVERTER;21.6V~26.5V,INV48L01</t>
  </si>
  <si>
    <t>INV48L01A(W2)</t>
  </si>
  <si>
    <t>LED DRIVER INVERTER;21.6V~26.6V,INV48L01</t>
  </si>
  <si>
    <t>LED DRIVER INVERTER;24V,INV48L12A,PID Converter,12 Channel,4</t>
  </si>
  <si>
    <t>LED DRIVER INVERTER;24V,INV48L12B,PID Converter,12 Channel,4</t>
  </si>
  <si>
    <t>JIANG SU FINE DNC CO.,LTD</t>
  </si>
  <si>
    <t>LED DRIVER INVERTER;21.6V~26.4V,INV55L02</t>
  </si>
  <si>
    <t>LED DRIVER INVERTER;24V,INV55L02C,LEDDID</t>
  </si>
  <si>
    <t>LED DRIVER INVERTER;150V,INV55L02C(W1),L</t>
  </si>
  <si>
    <t>LED DRIVER INVERTER;150V,INV55L02C(W2),L</t>
  </si>
  <si>
    <t>LED DRIVER INVERTER,22Vdc ~ 26Vdc,INV55L02G,Converter,-,-,PWM, Analog,160mm X 190mm,315mA,285mA,150k</t>
  </si>
  <si>
    <t>LED DRIVER INVERTER,22Vdc ~ 26Vdc,INV55L02G(W1),Wire PCB,-,-,-,515mm X 15.7mm,-,,-,</t>
  </si>
  <si>
    <t>LED DRIVER INVERTER,21.6V~26.4V,INV55L02G(W2),Wire PCB,-,-,-,587.6X15.7mm,-,-,-,-</t>
  </si>
  <si>
    <t>LED DRIVER INVERTER;22Vdc ~ 26Vdc,INV55L02H,Converter,-,55 I</t>
  </si>
  <si>
    <t>LED DRIVER INVERTER,22Vdc ~ 26Vdc,INV55L04A,Converter,-,-,PWM, Analog,160mmX127mm,110.25mA,99.75mA,1</t>
  </si>
  <si>
    <t>LED DRIVER INVERTER,22V~26V,INV55L12A,PID Converter,12 Channel,55 inch,Analog, External,160X190mm,12</t>
  </si>
  <si>
    <t>LED DRIVER INVERTER;21.6V~26.4V,INV55L24</t>
  </si>
  <si>
    <t>LED DRIVER INVERTER;21.6V~26.4V,INV65L04</t>
  </si>
  <si>
    <t>INV65L04B</t>
  </si>
  <si>
    <t>LED DRIVER INVERTER;22Vdc ~ 26Vdc,INV65L04B,Converter,-,65,P</t>
  </si>
  <si>
    <t>INV65L04B(W1)</t>
  </si>
  <si>
    <t>INV65L04B(W2)</t>
  </si>
  <si>
    <t>LED DRIVER INVERTER,22Vdc ~ 26Vdc,INV75L16A,Converter,-,-,PWM, Analog,295X195mm,136.5mA,123.5mA,150k</t>
  </si>
  <si>
    <t>UD DRIVER INVERTER;21.6V~26.4V,INV85L240</t>
  </si>
  <si>
    <t>LED DRIVER INVERTER;24Vdc,INV98L08A,Converter,-,98,ADIM, PDI</t>
  </si>
  <si>
    <t>SEDA(VD:BR)</t>
  </si>
  <si>
    <t>장진수</t>
  </si>
  <si>
    <t>AUDIO SMPS;AUDIO,V1100SD_DSM(110V,220V),</t>
  </si>
  <si>
    <t>SAMSUNG ELECTRONICS HUIZHOU CO., LTD.</t>
  </si>
  <si>
    <t>김성덕</t>
  </si>
  <si>
    <t>AUDIO SMPS;AUDIO,V12BK_DSM,12W,2CH,90Vac</t>
  </si>
  <si>
    <t>AUDIO SMPS;AUDIO,V500L_MSM,120W,7CH,90Vac~264Vac,A5</t>
  </si>
  <si>
    <t>SAMSUNG ELECTRONICS HUIZHOU CO., LT</t>
  </si>
  <si>
    <t>PSAF122501B</t>
  </si>
  <si>
    <t>AUDIO SMPS;AUDIO,V1200S_DSM,1200W,5CH,22</t>
  </si>
  <si>
    <t>AUDIO SMPS;AUDIO,V1200S_ESM,1200W,7CH,90</t>
  </si>
  <si>
    <t>AUDIO SMPS;AUDIO,V1100SN_ESM,1100W,7CH,9</t>
  </si>
  <si>
    <t>AUDIO SMPS;AUDIO,V1500SN_ESM,1500W,5CH,9</t>
  </si>
  <si>
    <t>AUDIO SMPS;D-COMP,V1500S_FSM,1500W,7CH,9</t>
  </si>
  <si>
    <t>AUDIO SMPS;D-COMP,V1500SN_FSM,1500W,7CH,</t>
  </si>
  <si>
    <t>SEIN(SEC:ID)-CTV</t>
  </si>
  <si>
    <t>AUDIO SMPS;AUDIO,V20L_DSM,20W,4CH,90~264</t>
  </si>
  <si>
    <t>H-IPO(SEC)</t>
  </si>
  <si>
    <t>AUDIO SMPS;AUDIO,V20L_DSM,20W,4CH,90~264Vac,A3.4V:</t>
  </si>
  <si>
    <t>AUDIO SMPS;AUDIO,V20LN_DSM,20W,4CH,100~2</t>
  </si>
  <si>
    <t>AUDIO SMPS;AUDIO,V300SA_DSM,300W,6CH,90V</t>
  </si>
  <si>
    <t>PSAF301701A</t>
  </si>
  <si>
    <t>AUDIO SMPS;AUDIO,V300LD_DSM,300W,7CH,90V</t>
  </si>
  <si>
    <t>AUDIO SMPS;AUDIO,V1100SD_DSM(220V),1100W</t>
  </si>
  <si>
    <t>AUDIO SMPS;AUDIO,V1100SD_DSM(220V),1100W,6CH,90~264</t>
  </si>
  <si>
    <t>AUDIO SMPS;AUDIO,V300SA_DSM(220V),300W,6</t>
  </si>
  <si>
    <t>PSAH301601A(CN)</t>
  </si>
  <si>
    <t>AUDIO SMPS;AUDIO,V300SC_DSM,97W,6CH,90~2</t>
  </si>
  <si>
    <t>AUDIO SMPS;AUDIO,V300LE_DSM,300W,7CH,180</t>
  </si>
  <si>
    <t>AUDIO SMPS;AUDIO,V300LE_DSM,300W,7CH,180Vac~264Vac,</t>
  </si>
  <si>
    <t>AUDIO SMPS;AUDIO,V300SA_DSM(110V),300W,6</t>
  </si>
  <si>
    <t>AUDIO SMPS;AUDIO,V300LA_DSM,300W,7CH,90V</t>
  </si>
  <si>
    <t>AUDIO ADAPTER;A6024_DSM,VD,24V,60W,5%,2P</t>
  </si>
  <si>
    <t>SEC VD(수원)</t>
  </si>
  <si>
    <t>윤승미</t>
  </si>
  <si>
    <t>AUDIO ADAPTER;A6324_DSM,VD,24V,63W,5%,2P</t>
  </si>
  <si>
    <t>AUDIO ADAPTER;A6324_DSM500VS,VD,24V,63W,</t>
  </si>
  <si>
    <t>LE SHI ZHI XIN ELECTRONIC &amp; TECHNOLOGY CO.,LTD</t>
  </si>
  <si>
    <t>Power영업2G</t>
  </si>
  <si>
    <t>이한근</t>
  </si>
  <si>
    <t>PSAV650101A</t>
  </si>
  <si>
    <t>AUDIO ADAPTER;X4-55,LETV,20V,65W,5%,1Pin,90~264Vac,47~</t>
  </si>
  <si>
    <t>삼성전자 네트워크사업부</t>
  </si>
  <si>
    <t>ADAPTER;A1005_NT,SAMSUNG NETWORK,5.3V,10W,5%, 5.</t>
  </si>
  <si>
    <t>SEV(SEC:VN)</t>
  </si>
  <si>
    <t>정진욱</t>
  </si>
  <si>
    <t>HHP ADAPTER;EP-TA20JWE,SAMSUNG,9.0V,15W,8.55~9.45V,2</t>
  </si>
  <si>
    <t>SEVT</t>
  </si>
  <si>
    <t>삼성전자(주)구미2공장무선</t>
  </si>
  <si>
    <t>ADAPTER;EP-TA20JWE,SAMSUNG,9V,15W,6%,2P,</t>
  </si>
  <si>
    <t>SAMSUNG ELECTRONICS AMERICA INC.</t>
  </si>
  <si>
    <t>Solum America Inc</t>
  </si>
  <si>
    <t>TABLET PC ADAPTER;EP-TA20JWE,SAMSUNG,9V,15W,6%,2P,85-264Va</t>
  </si>
  <si>
    <t>HHP ADAPTER;EP-TA20JWE,SAMSUNG,9V,15W,8.55~9.45V,2P,</t>
  </si>
  <si>
    <t>HHP ADAPTER;EP-TA20JWS,SAMSUNG,9.0V,15W,8.55~9.45V,2</t>
  </si>
  <si>
    <t>TABLET PC ADAPTER;EP-TA20JWS,SAMSUNG,9V,</t>
  </si>
  <si>
    <t>HANSOL ELECTRONICS VIETNAM CO., LTD</t>
  </si>
  <si>
    <t>TABLET PC ADAPTER;EP-TA20JWS,SAMSUNG,9V,15W,6%,2Pin,85-264</t>
  </si>
  <si>
    <t>HHP ADAPTER;EP-TA20EWE,SAMSUNG,9.0V,15W,8.55~9.45V,2</t>
  </si>
  <si>
    <t>TABLET PC ADAPTER;EP-TA20EWE,SAMSUNG,9V,</t>
  </si>
  <si>
    <t>HHP ADAPTER;EP-TA20SWE,SAMSUNG,9.0V,15W,8.55~9.45V,2</t>
  </si>
  <si>
    <t>HHP ADAPTER;EP-TA20KWK,SAMSUNG,9.0V,15W,8.55~9.45V,2</t>
  </si>
  <si>
    <t>TABLET PC ADAPTER;EP-TA20KWK,SAMSUNG,9V,</t>
  </si>
  <si>
    <t>삼성전자서비스주식회사</t>
  </si>
  <si>
    <t>PSCV150102M(A)</t>
  </si>
  <si>
    <t>HHP ADAPTER;EP-TA20HWE,SAMSUNG,9.0V,15W,8.55~9.45V,2</t>
  </si>
  <si>
    <t>TABLET PC ADAPTER;EP-TA20RWS,SAMSUNG,9V,15W,6%,2Pin,85-264</t>
  </si>
  <si>
    <t>HHP ADAPTER;EP-TA20CWC,SAMSUNG,9.0V,15W,8.55~9.45V,2</t>
  </si>
  <si>
    <t>TABLET PC ADAPTER;EP-TA20CWC,SAMSUNG,9V,15W,6%,2Pin,85-264</t>
  </si>
  <si>
    <t>TABLET PC ADAPTER;EP-TA20UWE,SAMSUNG,9V,15W,6%,2Pin,85-264</t>
  </si>
  <si>
    <t>TABLET PC ADAPTER;EP-TA20UWE,SAMSUNG,9V,</t>
  </si>
  <si>
    <t>TIANJIN SAMSUNG TELECOM TECHNOLOGY</t>
  </si>
  <si>
    <t>TABLET PC ADAPTER;EP-TA20IWE,SAMSUNG,9V,15W,6%,2Pin,85-264</t>
  </si>
  <si>
    <t>TABLET PC ADAPTER;EP-TA20JWE,SAMSUNG,9V,</t>
  </si>
  <si>
    <t>SEHC(VD:VN)</t>
  </si>
  <si>
    <t>LED MONITOR ADAPTER;A1514_DSM,,9V,15W,6%</t>
  </si>
  <si>
    <t>TABLET PC ADAPTER;EP-TA20JWJ,SAMSUNG,9V,</t>
  </si>
  <si>
    <t>LED MONITOR ADAPTER;A1514_DSM,SAMSUNG(VD</t>
  </si>
  <si>
    <t>SAMEX(VD:MX)</t>
  </si>
  <si>
    <t>TSEC(VD:CN)</t>
  </si>
  <si>
    <t>DONGYU</t>
  </si>
  <si>
    <t>Cal-Comp Electronics(Thailand) Public Company Limi</t>
  </si>
  <si>
    <t>HHP ADAPTER;EP-TA20BWB,SAMSUNG,9.0V,15W,8.55~9.45V,2</t>
  </si>
  <si>
    <t>HHP ADAPTER;EP-TA20UWE(UAE),SAMSUNG,9.0V</t>
  </si>
  <si>
    <t>PSCV150103R(C)</t>
  </si>
  <si>
    <t>HHP ADAPTER;EP-TA20JWEUBUS,SAMSUNG,9.0V,</t>
  </si>
  <si>
    <t>HHP ADAPTER;EP-TA20EWEUGWW,SAMSUNG,9.0V,15W,6%,2P,85</t>
  </si>
  <si>
    <t>HHP ADAPTER;EP-TA20EWEUGRU,SAMSUNG,9.0V,15W,6%,2P,85</t>
  </si>
  <si>
    <t>HHP ADAPTER;EP-TA20JWEUGCA,SAMSUNG,9.0V,15W,6%,2P,85</t>
  </si>
  <si>
    <t>HHP ADAPTER;EP-TA20JWSUGMX,SAMSUNG,9.0V,15W,6%,2P,85</t>
  </si>
  <si>
    <t>HHP ADAPTER;EP-TA20KWKUG,SAMSUNG,9.0V,15W,6%,2P,85-2</t>
  </si>
  <si>
    <t>TABLET PC ADAPTER;EP-TA20UWEUGAE,SAMSUNG,9V,15W,6%,2Pin,85</t>
  </si>
  <si>
    <t>HHP ADAPTER;EP-TA20CWCUGCH,SAMSUNG,9.0V,15W,6%,2P,85</t>
  </si>
  <si>
    <t>HHP ADAPTER;EP-TA20JWSUGTW,SAMSUNG,9.0V,15W,6%,2P,85</t>
  </si>
  <si>
    <t>HHP ADAPTER;EP-TA20BWBUGBR,SAMSUNG,9.0V,15W,6%,2P,85</t>
  </si>
  <si>
    <t>HHP ADAPTER;EP-TA20RWSUGAR,SAMSUNG,9.0V,15W,6%,2P,85</t>
  </si>
  <si>
    <t>TABLET PC ADAPTER;EP-TA20UWEUGGB,SAMSUNG,9V,15W,6%,2Pin,85</t>
  </si>
  <si>
    <t>HHP ADAPTER;EP-TA20HWEUGAU,SAMSUNG,9.0V,15W,6%,2P,85</t>
  </si>
  <si>
    <t>HHP ADAPTER;EP-TA20IWEUGIN,SAMSUNG,9.0V,15W,6%,2P,85</t>
  </si>
  <si>
    <t>HHP ADAPTER;EP-TA20UWE,SAMSUNG,9V,15W,8.55~9.45V,2P,</t>
  </si>
  <si>
    <t>SAMSUNG ELECTRO-MECHANICS THAILAND Co., Ltd</t>
  </si>
  <si>
    <t>TABLET PC ADAPTER;EP-TA20CWC,SAMSUNG,9V or 5V,15W,8.55~9.4</t>
  </si>
  <si>
    <t>HHP ADAPTER;EP-TA20EWSUGWW,SAMSUNG,9.0V,15W,6%,2P,10</t>
  </si>
  <si>
    <t>HHP ADAPTER;EP-TA20EWECGWW,SAMSUNG,9V or 5V,15W,8.55</t>
  </si>
  <si>
    <t>HHP ADAPTER;EP-TA20EWECGRU,SAMSUNG,9V or 5V,15W,8.55</t>
  </si>
  <si>
    <t>HHP ADAPTER;EP-TA20EWECGCA,SAMSUNG,9V or 5V,15W,8.55</t>
  </si>
  <si>
    <t>TABLET PC ADAPTER;EP-TA20UWECGGB,SAMSUNG,9V,15W,6%,2Pin,85</t>
  </si>
  <si>
    <t>HHP ADAPTER;EP-TA20HWECGAU,SAMSUNG,9V or 5V,15W,8.55</t>
  </si>
  <si>
    <t>TABLET PC ADAPTER;EP-TA20EWECGWI,SAMSUNG,9V,15W,6%,2Pin,85</t>
  </si>
  <si>
    <t>TABLET PC ADAPTER;EP-TA20EWEUGWI,SAMSUNG,9V,15W,6%,2Pin,85</t>
  </si>
  <si>
    <t>TABLET PC ADAPTER;EP-TA20UWECGAE,SAMSUNG,9V,15W,6%,2Pin,85</t>
  </si>
  <si>
    <t>TABLET PC ADAPTER;EP-TA20RWSCGAR,SAMSUNG,9V,15W,6%,2Pin,85</t>
  </si>
  <si>
    <t>HTT ( Hanwha Techwin (Tianjin) Co.,Ltd )</t>
  </si>
  <si>
    <t>HHP ADAPTER;SLU10(EU),Hanwhatechwin,9V or 5V,15W,8.5</t>
  </si>
  <si>
    <t>HHP ADAPTER;SLU10(JPHQ_WH),Hanwhatechwin,9V or 5V,15</t>
  </si>
  <si>
    <t>HHP ADAPTER;SLU10(EU_BL),Hanwhatechwin,9V or 5V,15W,</t>
  </si>
  <si>
    <t>HHP ADAPTER;SLU10(JPHQ_BL),Hanwhatechwin,9V or 5V,15</t>
  </si>
  <si>
    <t>HHP ADAPTER;SLU10(JP_WH),Hanwhatechwin,9V or 5V,15W,</t>
  </si>
  <si>
    <t>PSCV150105F</t>
  </si>
  <si>
    <t>HHP ADAPTER;SLU10(JP_BL),Hanwhatechwin,9V or 5V,15W,</t>
  </si>
  <si>
    <t>HHP ADAPTER;SLU10(KR_WH),Hanwhatechwin,9V or 5V,15W,</t>
  </si>
  <si>
    <t>HHP ADAPTER;SLU10(KR_BL),Hanwhatechwin,9V or 5V,15W,</t>
  </si>
  <si>
    <t>HHP ADAPTER;SLU10(AU_WH),Hanwhatechwin,9V or 5V,15W,</t>
  </si>
  <si>
    <t>PSCV150105L</t>
  </si>
  <si>
    <t>HHP ADAPTER;SLU10(AU_BL),Hanwhatechwin,9V or 5V,15W,</t>
  </si>
  <si>
    <t>주식회사 모닛</t>
  </si>
  <si>
    <t>고대용</t>
  </si>
  <si>
    <t>HHP ADAPTER;SLU10(EU_WH),Hanwhatechwin,9V or 5V,15W,</t>
  </si>
  <si>
    <t>HHP ADAPTER;EP-TA200,SAMSUNG,9V or 5V,15W,8.55~9.45V</t>
  </si>
  <si>
    <t>HHP ADAPTER;EP-TA20JBE,SAMSUNG,9.0V,15W,8.55~9.45V,2</t>
  </si>
  <si>
    <t>주식회사 알에프텍</t>
  </si>
  <si>
    <t>HHP ADAPTER;EP-TA20JBE,SAMSUNG,9V,15W,8.55~9.45V,2P,</t>
  </si>
  <si>
    <t>HHP ADAPTER;EP-TA20JBS,SAMSUNG,9V,15W,8.55~9.45V,2P,</t>
  </si>
  <si>
    <t>HHP ADAPTER;EP-TA20EBE,SAMSUNG,9V,15W,8.55~9.45V,2P,</t>
  </si>
  <si>
    <t>SAMSUNG ASIA PTE. LTD,.</t>
  </si>
  <si>
    <t>HHP ADAPTER;EP-TA20UBE,SAMSUNG,9V,15W,8.55~9.45V,2P,</t>
  </si>
  <si>
    <t>HHP ADAPTER;EP-TA20SBE,SAMSUNG,9V,15W,8.55~9.45V,2P,</t>
  </si>
  <si>
    <t>HHP ADAPTER;EP-TA20KBK,SAMSUNG,9V,15W,8.55~9.45V,2P,</t>
  </si>
  <si>
    <t>HHP ADAPTER;EP-TA20HBE,SAMSUNG,9V,15W,8.55~9.45V,2P,</t>
  </si>
  <si>
    <t>HHP ADAPTER;EP-TA20RBS,SAMSUNG,9V,15W,8.55~9.45V,2P,</t>
  </si>
  <si>
    <t>HHP ADAPTER;EP-TA200,SAMSUNG,9V,15W,8.55~9.45V,2P,10</t>
  </si>
  <si>
    <t>HHP ADAPTER;EP-TA20BBB,SAMSUNG,9V,15W,8.55~9.45V,2P,</t>
  </si>
  <si>
    <t>HHP ADAPTER;EP-TA20EBECGWW,SAMSUNG,9V,15W,8.55~9.45V</t>
  </si>
  <si>
    <t>HHP ADAPTER;EP-TA20UBECGGB,SAMSUNG,9V,15W,8.55~9.45V</t>
  </si>
  <si>
    <t>HHP ADAPTER;EP-TA20UBECGAE,SAMSUNG,9V,15W,8.55~9.45V</t>
  </si>
  <si>
    <t>HHP ADAPTER;EP-TA200BWCGCN,SAMSUNG,9V or 5V,15W,8.55</t>
  </si>
  <si>
    <t>HHP ADAPTER;EP-TA200CWCGCN,SAMSUNG,9V or 5V,15W,8.55</t>
  </si>
  <si>
    <t>HHP ADAPTER;EP-TA200CBCGCN,SAMSUNG,9V or 5V,15W,8.55</t>
  </si>
  <si>
    <t>삼성전자(주)한국총괄</t>
  </si>
  <si>
    <t>Keyco Adapter</t>
  </si>
  <si>
    <t>ESL영업G</t>
  </si>
  <si>
    <t>이은우</t>
  </si>
  <si>
    <t>ADAPTER;ADS015(KR_GY_SET_C),SOLUM,9V or 5V,15W,6</t>
  </si>
  <si>
    <t>KRW</t>
  </si>
  <si>
    <t>ADAPTER;ADS015(KR_BU_SET_C),SOLUM,9V or 5V,15W,6</t>
  </si>
  <si>
    <t>ADAPTER;ADS015(KR_BK_SET_C),SOLUM,9V or 5V,15W,6</t>
  </si>
  <si>
    <t>ADAPTER;ADS015(KR_GD_SET_C),SOLUM,9V or 5V,15W,6</t>
  </si>
  <si>
    <t>ADAPTER;ADS015(KR_SV_SET_C),SOLUM,9V or 5V,15W,6</t>
  </si>
  <si>
    <t>(주)에스에이엠티</t>
  </si>
  <si>
    <t>정상종</t>
  </si>
  <si>
    <t>ADAPTER;ADS015(US_GY_SET_C),SOLUM,9V or 5V,15W,6</t>
  </si>
  <si>
    <t>김동제</t>
  </si>
  <si>
    <t>ADAPTER;ADS015(US_BU_SET_C),SOLUM,9V or 5V,15W,6</t>
  </si>
  <si>
    <t>ADAPTER;ADS015(US_BK_SET_C),SOLUM,9V or 5V,15W,6</t>
  </si>
  <si>
    <t>ADAPTER;ADS015(US_GD_SET_C),SOLUM,9V or 5V,15W,6</t>
  </si>
  <si>
    <t>ADAPTER;ADS015(US_SV_SET_C),SOLUM,9V or 5V,15W,6</t>
  </si>
  <si>
    <t>ADAPTER;ADS015(EU_GY_SET_C),SOLUM,9V or 5V,15W,6</t>
  </si>
  <si>
    <t>ADAPTER;ADS015(EU_BU_SET_C),SOLUM,9V or 5V,15W,6</t>
  </si>
  <si>
    <t>ADAPTER;ADS015(EU_BK_SET_C),SOLUM,9V or 5V,15W,6</t>
  </si>
  <si>
    <t>ADAPTER;ADS015(EU_ GD_SET_C),SOLUM,9V or 5V,15W,</t>
  </si>
  <si>
    <t>ADAPTER;ADS015(EU_SV_SET_C),SOLUM,9V or 5V,15W,6</t>
  </si>
  <si>
    <t>ADAPTER;ADS015(CN_GY_SET_C),SOLUM,9V or 5V,15W,6</t>
  </si>
  <si>
    <t>ADAPTER;ADS015(CN_BU_SET_C),SOLUM,9V or 5V,15W,6</t>
  </si>
  <si>
    <t>ADAPTER;ADS015(CN_BK_SET_C),SOLUM,9V or 5V,15W,6</t>
  </si>
  <si>
    <t>ADAPTER;ADS015(CN_ GD_SET_C),SOLUM,9V or 5V,15W,</t>
  </si>
  <si>
    <t>ADAPTER;ADS015(CN_SV_SET_C),SOLUM,9V or 5V,15W,6</t>
  </si>
  <si>
    <t>ADAPTER;ADS015(KR_BK),SOLUM,9V or 5V,15W,6%,2P.,</t>
  </si>
  <si>
    <t>TABLET PC ADAPTER;EP-TA20IWECGIN,SAMSUNG,9V,15W,6%,2Pin,85</t>
  </si>
  <si>
    <t>TABLET PC ADAPTER;EP-TA20JWSCGTW,SAMSUNG,9V,15W,6%,2Pin,85</t>
  </si>
  <si>
    <t>HHP ADAPTER;EP-TA20KWKCGKR,SAMSUNG,9.0V,15W,8.55~9.4</t>
  </si>
  <si>
    <t>HHP ADAPTER;EP-TA20UWECGSA,SAMSUNG,9V,15W,8.55~9.45V</t>
  </si>
  <si>
    <t>HHP ADAPTER;EP-TA20KBKCGKR,SAMSUNG,9V,15W,8.55~9.45V</t>
  </si>
  <si>
    <t>HHP ADAPTER;EP-TA20UWEUGSA,SAMSUNG,9.0V,15W,6%,2P,85</t>
  </si>
  <si>
    <t>HHP ADAPTER;EP-TA20EWSUGCH,SAMSUNG,9.0V,15W,6%,2P,85</t>
  </si>
  <si>
    <t>HHP ADAPTER;EP-TA20EWSCGCH,SAMSUNG,9.0V,15W,6%,2P,85</t>
  </si>
  <si>
    <t>HHP ADAPTER;EP-TA20EBSCGCH,SAMSUNG,9.0V,15W,6%,2P,85</t>
  </si>
  <si>
    <t>COMPAL SMART DEVICE (CHONGQING) CO.,LTD</t>
  </si>
  <si>
    <t>IoT영업G</t>
  </si>
  <si>
    <t>신혜지</t>
  </si>
  <si>
    <t>HHP ADAPTER;Bolt2 (EU),SOMC (SONY MOBILE),5V/9V/12V,</t>
  </si>
  <si>
    <t>SONY TECHNOLOGY (THAILAND) Co.,Ltd</t>
  </si>
  <si>
    <t>Beijing SE Potevio Mobile Communications Co., Ltd.</t>
  </si>
  <si>
    <t>HHP ADAPTER;Bolt2 (US/JP),SOMC (SONY MOBILE),5V/9V/1</t>
  </si>
  <si>
    <t>HHP ADAPTER;Bolt2 (TW),SOMC (SONY MOBILE),5V/9V/12V,</t>
  </si>
  <si>
    <t>TABLET PC ADAPTER;EP-TA600,SAMSUNG,9V or 8V or 7V or 6V or</t>
  </si>
  <si>
    <t>PSCV180101D(C)</t>
  </si>
  <si>
    <t>PSCV180101P(C)</t>
  </si>
  <si>
    <t>TABLET PC ADAPTER;EP-TA600(JP),SAMSUNG,9V or 8V or 7V or 6</t>
  </si>
  <si>
    <t>Repeater power supply adapter;A1812_NT,SEC,12V,18W,11.4~12.6V,2Pin AC</t>
  </si>
  <si>
    <t>SESC(SEC:CN)</t>
  </si>
  <si>
    <t>박영민</t>
  </si>
  <si>
    <t>PC ADAPTER;AD-18019A,SAMSUNG,19.5V,180W,,3PIN,100 ~</t>
  </si>
  <si>
    <t>SEH(VD:HU)</t>
  </si>
  <si>
    <t>엄재호</t>
  </si>
  <si>
    <t>LED MONITOR ADAPTER;AD-2014B(C),SECVD,14</t>
  </si>
  <si>
    <t>PSCV200106B</t>
  </si>
  <si>
    <t>LED MONITOR ADAPTER;AD-2014B500VS,AD-201</t>
  </si>
  <si>
    <t>Repeater power supply adapter;A2448N_NT,SAMSUNG,48V,24W,45.6~50.4V,-,1</t>
  </si>
  <si>
    <t>Repeater power supply adapter;A2412_NT,SAMSUNG NETWORK,12V,24W,5%, 11.</t>
  </si>
  <si>
    <t>LED MONITOR ADAPTER;A2514_DSM,SAMSUNG(VD</t>
  </si>
  <si>
    <t>SERK(VD:RU)</t>
  </si>
  <si>
    <t>LED MONITOR ADAPTER,A2514_KSM,SAMSUNG,14V,25W,5%,2P,90-264Vac,50~60Hz,100mVp-p&amp; 140Vp-p,86.35%,OVP,</t>
  </si>
  <si>
    <t>LED MONITOR ADAPTER;A2514_KSM,SAMSUNG,14V,25W,5%,2P,90-264Va</t>
  </si>
  <si>
    <t>LED MONITOR ADAPTER;A2514_DSML,SECVD,14V</t>
  </si>
  <si>
    <t>LED MONITOR ADAPTER;A2514_DSML,,14V,25W,</t>
  </si>
  <si>
    <t>LED MONITOR ADAPTER;A2514_KSM,SAMSUNG,14V,25W,13.3~14.7V,2P,</t>
  </si>
  <si>
    <t>HHP ADAPTER;EP-TA300(EU),SAMSUNG,12.0V,25W,5.8%,2P,8</t>
  </si>
  <si>
    <t>HHP ADAPTER;EP-TA300(US),SAMSUNG,12.0V,25W,5.8%,2P,8</t>
  </si>
  <si>
    <t>HHP ADAPTER;EP-TA300(CN),SAMSUNG,12.0V,25W,5.8%,2P,8</t>
  </si>
  <si>
    <t>HHP ADAPTER;EP-TA300(AU),SAMSUNG,12.0V,25W,5.8%,2P,8</t>
  </si>
  <si>
    <t>HHP ADAPTER;EP-TA300(US_VZW),SAMSUNG,12.0V,25W,5.8%,</t>
  </si>
  <si>
    <t>HHP ADAPTER;EP-TA300(TM),SAMSUNG,12.0V,25W,5.8%,2P,8</t>
  </si>
  <si>
    <t>HHP ADAPTER;EP-TA300(KR_USB),SAMSUNG,12.0V,25W,5.8,2P,85-264Vac,47-63Hz,150mV</t>
  </si>
  <si>
    <t>HHP ADAPTER;EP-TA300(KR),SAMSUNG,12.0V,25W,5.8%,2P,8</t>
  </si>
  <si>
    <t>HHP ADAPTER;EP-TA300(IS),SAMSUNG,12.0V,25W,5.8%,2P,8</t>
  </si>
  <si>
    <t>HHP ADAPTER;EP-TA300(UK),SAMSUNG,12.0V,25W,5.8,2P,85-264Vac,47-63Hz,150mV</t>
  </si>
  <si>
    <t>HHP ADAPTER;EP-TA300(UK),SAMSUNG,12.0V,25W,5.8%,2P,8</t>
  </si>
  <si>
    <t>HHP ADAPTER;EP-TA300(JP),SAMSUNG,12.0V,25W,5.8%,2P,8</t>
  </si>
  <si>
    <t>HHP ADAPTER;EP-TA300(BR),SAMSUNG,12.0V,25W,5.8,2P,85-264Vac,47-63Hz,150mV</t>
  </si>
  <si>
    <t>PSCV250103P(D)</t>
  </si>
  <si>
    <t>HHP ADAPTER;EP-TA300(BR),SAMSUNG,12.0V,25W,5.8%,2P,8</t>
  </si>
  <si>
    <t>HHP ADAPTER;EP-TA300(UK_UAE),SAMSUNG,12.0V,25W,5.8,2P,85-264Vac,47-63Hz,150mV</t>
  </si>
  <si>
    <t>HHP ADAPTEREP-TA300(CL),SAMSUNG,12.0V,25W,5.8%,2P,85-264Vac,47-63Hz,150mV,80%,OCP,SCP,0℃-50℃</t>
  </si>
  <si>
    <t>HHP ADAPTER;EP-TA300(CL),SAMSUNG,12.0V,25W,5.8%,2P,8</t>
  </si>
  <si>
    <t>TABLET PC ADAPTER;EP-TA300CWEGAU,SAMSUNG,12V or 9V or 5V,2</t>
  </si>
  <si>
    <t>TABLET PC ADAPTER;EP-TA300CWEGCA,SAMSUNG,12V or 9V or 5V,2</t>
  </si>
  <si>
    <t>TABLET PC ADAPTER;EP-TA300CWEBUS,SAMSUNG,12V or 9V or 5V,2</t>
  </si>
  <si>
    <t>HHP ADAPTER;EP-TA300CWEGGB,SAMSUNG,12.0V,25W,5.8%,2P</t>
  </si>
  <si>
    <t>HHP ADAPTER;EP-TA300CWEGWI,SAMSUNG,12.0V,25W,5.8%,2P</t>
  </si>
  <si>
    <t>AV ADAPTER;EP-TA700,SAMSUNG,12V,25W,11.40 ~ 12.60V,</t>
  </si>
  <si>
    <t>AV ADAPTER;EP-TA700(KR),SAMSUNG,12V,25W,11.40 ~ 12.</t>
  </si>
  <si>
    <t>AV ADAPTER;EP-TA700(AU),SAMSUNG,12V,25W,11.40 ~ 12.</t>
  </si>
  <si>
    <t>AV ADAPTER;EP-TA700(UK),SAMSUNG,12V,25W,11.40 ~ 12.</t>
  </si>
  <si>
    <t>AV ADAPTER;EP-TA700(UK_UAE),SAMSUNG,12V,25W,11.40 ~</t>
  </si>
  <si>
    <t>HHP ADAPTER;EP-TA300CWEBUS,SAMSUNG,12.0V,25W,5.8%,2P</t>
  </si>
  <si>
    <t>HHP ADAPTER;EP-TA300CWEGUJ,SAMSUNG,12.0V,25W,5.8%,2P</t>
  </si>
  <si>
    <t>HHP ADAPTER;EP-TA300CWSGCH,SAMSUNG,12.0V,25W,5.8%,2P</t>
  </si>
  <si>
    <t>HHP ADAPTER;EP-TA300CWEGWW,SAMSUNG,12.0V,25W,5.8%,2P</t>
  </si>
  <si>
    <t>HHP ADAPTER;EP-TA300CWEGRU,SAMSUNG,12.0V,25W,5.8%,2P</t>
  </si>
  <si>
    <t>HHP ADAPTER;EP-TA300CWEGKR,SAMSUNG,12.0V,25W,5.8%,2P</t>
  </si>
  <si>
    <t>HHP ADAPTER;EP-TA300CWEGAU,SAMSUNG,12.0V,25W,5.8%,2P</t>
  </si>
  <si>
    <t>PSCV250107F</t>
  </si>
  <si>
    <t>HHP ADAPTER;EP-TA300(US_ATT),SAMSUNG,12.0V,25W,5.8%,</t>
  </si>
  <si>
    <t>HHP ADAPTER;EP-TA300(UK_UAE),SAMSUNG,12.0V,25W,5.8%,</t>
  </si>
  <si>
    <t>HHP ADAPTER;EP-TA300(SA),SAMSUNG,12.0V,25W,5.8%,2P,8</t>
  </si>
  <si>
    <t>네이버 주식회사</t>
  </si>
  <si>
    <t>AI SPEAKER ADT ; A2512_LSM,NL-A101,NAVER,12V,25W,11.4Vdc ~ 12.6Vd</t>
  </si>
  <si>
    <t>LED MONITOR ADAPTER;A2512_LSM,NAVER,12V,25W,11.4Vdc ~ 12.6Vd</t>
  </si>
  <si>
    <t>PSCV300107A</t>
  </si>
  <si>
    <t>LED MONITOR ADAPTER;AD-3014B,SECVD,14V,3</t>
  </si>
  <si>
    <t>LED MONITOR ADAPTER;AD-3014B(C),SECVD,14</t>
  </si>
  <si>
    <t>AV ADAPTER;A3514_DSML(Unitedkingdom),VD,</t>
  </si>
  <si>
    <t>LED MONITOR ADAPTER;A3514_ESM,VD,14V,35W</t>
  </si>
  <si>
    <t>ADAPTER;SECSLIM36W,SEMCO,12V/3A,36W,,2P,</t>
  </si>
  <si>
    <t>LED MONITOR ADAPTER;AD-4014B,SECVD,14V,4</t>
  </si>
  <si>
    <t>ADAPTER;A4514_DSM,SECVD,14V,45W,5%,2P,90</t>
  </si>
  <si>
    <t>ADAPTER;A4514_DSM,SEC VD,14V,45W,5%,2P,90-264Vac</t>
  </si>
  <si>
    <t>LED MONITOR ADAPTER;A4514_DSM500VS,VD,14</t>
  </si>
  <si>
    <t>LED MONITOR ADAPTER;A4514_DSM,SAMSUNG(VD</t>
  </si>
  <si>
    <t>Repeater power supply adapter;A4512_NT,SAMSUNG,12V,45W,11.4~12.6V,2PIN</t>
  </si>
  <si>
    <t>PC ADAPTER;AD-4519AKR,SEC IT,19V,45W,,2Pin,90 ~ 264</t>
  </si>
  <si>
    <t>NETWORK ADAPTER;AD-4556P,SAMSUNG,56V,45W,MIN -1%Vo ,Max</t>
  </si>
  <si>
    <t>LED MONITOR ADAPTER;A4819_KSML,SAMSUNG,19V,48W,18.05~19.95V,</t>
  </si>
  <si>
    <t>LED MONITOR ADAPTER;A4819_KSML,SAMSUNG,19V,48W,5%,2Pin,100~2</t>
  </si>
  <si>
    <t>LED MONITOR ADAPTER;A4819N_KSML,SAMSUNG,19V,48W,5%,2Pin,100~</t>
  </si>
  <si>
    <t>SEEG(VD:EG)</t>
  </si>
  <si>
    <t>LED MONITOR ADAPTER;A4819_KSML,SAMSUNG,19V,48W,5%,2P,90-264V</t>
  </si>
  <si>
    <t>LED MONITOR ADAPTER;A4819_KSML,SAMSUNG,19V,48W,5%,2P,100~240</t>
  </si>
  <si>
    <t>LED MONITOR ADAPTER;A4819_KSMLW,SAMSUNG,19V,48W,5%,2P,100~24</t>
  </si>
  <si>
    <t>LED MONITOR ADAPTER;A4819_KSMLW,SAMSUNG,19V,48W,5%,2Pin,100~</t>
  </si>
  <si>
    <t>LED MONITOR ADAPTER;A4819_KSML,SAMSUNG,19V,48W,5%,2P,100-264</t>
  </si>
  <si>
    <t>LED MONITOR ADAPTER;A4819_KSML,SAMSUNG,19V,48W,18.05Vdc ~ 19</t>
  </si>
  <si>
    <t>AUDIO ADAPTER;A4819_KSMLW,SAMSUNG,19V,48W,18.05Vdc ~ 1</t>
  </si>
  <si>
    <t>LED MONITOR ADAPTER;A4819_MSM,SAMSUNG,19V,48W,18.05Vdc ~ 19.</t>
  </si>
  <si>
    <t>LED MONITOR ADAPTER;A5814_DSM,VD,14V,58W</t>
  </si>
  <si>
    <t>LED MONITOR ADAPTER;A5814_DSM,SAMSUNG,14</t>
  </si>
  <si>
    <t>Pegatron Corporation</t>
  </si>
  <si>
    <t>구본동</t>
  </si>
  <si>
    <t>LED MONITOR ADAPTER;A5814_DSM,CISCO,14V,</t>
  </si>
  <si>
    <t>TV ADAPTER;A5919_FSM,SAMSUNG,19V,59W,5%,</t>
  </si>
  <si>
    <t>TV ADAPTER;A5919N_FSM,SAMSUNG,19V,59W,5%</t>
  </si>
  <si>
    <t>SIEL-CHENNAI(SEC:IN)</t>
  </si>
  <si>
    <t>Suzhou RAKEN Technology Co.,Ltd</t>
  </si>
  <si>
    <t>LED MONITOR ADAPTER;A5919_KSM,AmTRAN,19V,59W,18.05~19.95V,-,</t>
  </si>
  <si>
    <t>Suzhou RAKEN Technology</t>
  </si>
  <si>
    <t>APPLE(US)</t>
  </si>
  <si>
    <t>PSCV600120G</t>
  </si>
  <si>
    <t>PC ADAPTER;B22EG(WW),6.8Vpkpk,APPLE,16.5</t>
  </si>
  <si>
    <t>FUTAIHUA INDUSTRY (SHENZHEN) LTD</t>
  </si>
  <si>
    <t>PSCV600120G(E)</t>
  </si>
  <si>
    <t>PC ADAPTER;B22EGWWStandalone,APPLE,16.5V</t>
  </si>
  <si>
    <t>PSCV600120J</t>
  </si>
  <si>
    <t>LED MONITOR ADAPTER;B22EG,Apple,16.83V/3</t>
  </si>
  <si>
    <t>PSCV600120J(E)</t>
  </si>
  <si>
    <t>PC ADAPTER;B22EGAPACStandalone,APPLE,16.</t>
  </si>
  <si>
    <t>PC ADAPTER;B22EG,APPLE,16.5V/3.65A,60W,5</t>
  </si>
  <si>
    <t>Repeater power supply adapter;A6012_NT,SAMSUNG,12V,60W,11.4~12.6V,3PIN</t>
  </si>
  <si>
    <t>PSCV630101A</t>
  </si>
  <si>
    <t>ADAPTER;AD6314C,SEMCO,14V/4.5A,63W,5%,2P</t>
  </si>
  <si>
    <t>ADAPTER;AD-6314T,SEMVD,14V,63W,5%,2P,90-</t>
  </si>
  <si>
    <t>ADAPTER;AD-6314TGU,SEMVD,14V,63W,5%,2P,9</t>
  </si>
  <si>
    <t>LED MONITOR ADAPTER;AD-6314TOG,SEC(VD),1</t>
  </si>
  <si>
    <t>LED MONITOR ADAPTER;AD-6314TTC,SEC(VD),1</t>
  </si>
  <si>
    <t>ShenZhen Jinghongzhi Electronic Co., Ltd.</t>
  </si>
  <si>
    <t>PC ADAPTER;AD-6519AKR,SEC IT,19V,65W,,2P,90 ~ 264Va</t>
  </si>
  <si>
    <t>TV ADAPTER;A6619_FSM,SAMSUNG,19V,66W,5%,</t>
  </si>
  <si>
    <t>TV ADAPTER;A7819_FSM,SAMSUNG,19V,78W,5%,</t>
  </si>
  <si>
    <t>LAMP LIGHT;ILB200N421N1_Terminal Block_ SoluM,SAMSU</t>
  </si>
  <si>
    <t>SEC LED(수원)</t>
  </si>
  <si>
    <t>LAMP LIGHT;ILB400N701N1,SAMT,26-50V,19-3</t>
  </si>
  <si>
    <t>유성전자(주)</t>
  </si>
  <si>
    <t>LAMP LIGHT;ILB420N901N1,SAMT,23-40V,23-4</t>
  </si>
  <si>
    <t>(주)제스코인터내셔널</t>
  </si>
  <si>
    <t>LAMP LIGHT;ILB440N901N1,SAMT,26-44V,23-38.5W,±10%,</t>
  </si>
  <si>
    <t>LAMP LIGHT;ILB450N801N1_Terminal Block_ SoluM,SAMSU</t>
  </si>
  <si>
    <t>LAMP LIGHT;ILB470N102N1,SMAT,23-40V,26-4</t>
  </si>
  <si>
    <t>LAMP LIGHT;ILB470N102N1B,SMAT,23-40V,26-</t>
  </si>
  <si>
    <t>LAMP LIGHT;ILB510N102N1,SAMT,23-44V,26-46W,±10%,Te</t>
  </si>
  <si>
    <t>(주)이니텍</t>
  </si>
  <si>
    <t>JIANGXI LITKCONN TECHNOLOGY CO., LTD.</t>
  </si>
  <si>
    <t>PSDL110101A</t>
  </si>
  <si>
    <t>LAMP LIGHT;ACD12011R,RAB,187V,8W,,2Pin,108-132Vac,5</t>
  </si>
  <si>
    <t>LAMP LIGHT;ACD12011S,RAB,187V,8W,,2Pin,108-132Vac,5</t>
  </si>
  <si>
    <t>PSDL110102A</t>
  </si>
  <si>
    <t>LAMP LIGHT;ACD12011R,RAB,,11W,,2Pin,108-132Vac,50-6</t>
  </si>
  <si>
    <t>PSDL110103A</t>
  </si>
  <si>
    <t>PSDL110103B</t>
  </si>
  <si>
    <t>LAMP LIGHT;ACD12011S,RAB,,11W,,2Pin,108-132Vac,50-6</t>
  </si>
  <si>
    <t>LAMP LIGHT;LCM-DALI-1A,SAMT,,,,Harness,12VDC,,,0.85</t>
  </si>
  <si>
    <t>GGS</t>
  </si>
  <si>
    <t>LAMP LIGHT;LCM-DMX512-A,SAMT,,,,Harness,12VDC,,,,OL</t>
  </si>
  <si>
    <t>LAMP LIGHT;ILW110N241N1,General,25~40V,6~9.5W,±10%</t>
  </si>
  <si>
    <t>LAMP LIGHT;ILW130N281N1,SMAT,23-40V,7-12W,±10%,Ter</t>
  </si>
  <si>
    <t>청맥전자(주)</t>
  </si>
  <si>
    <t>LAMP LIGHT;ILW130N281N1B,SMAT,23-40V,7-1</t>
  </si>
  <si>
    <t>LAMP LIGHT;ILW130N281N1M,,25-40V,6-9.5W,±10%,Termi</t>
  </si>
  <si>
    <t>ROADWAY LIGHT;SL150B,R-TECH,210V,150W,,2Pin,120-277Vac</t>
  </si>
  <si>
    <t>ROADWAY LIGHT;SLP150AB,RAB,210V(MAX.),15</t>
  </si>
  <si>
    <t>EATON ENTERPRISES (HUNGARY) KFT.</t>
  </si>
  <si>
    <t>PSDV151102A</t>
  </si>
  <si>
    <t>ROADWAY LIGHT;OLU151N351A1,Visionair,410V,150W,,2Pin,1</t>
  </si>
  <si>
    <t>PSDV151103A</t>
  </si>
  <si>
    <t>ROADWAY LIGHT;OLU151N531A1,Visionair,265V,150W,,2Pin,1</t>
  </si>
  <si>
    <t>ROADWAY LIGHT;SLP150AB,COOPER,210V(MAX.),150W,YES,2Pin</t>
  </si>
  <si>
    <t>L-TUBE LIGHT;SLP150DA,Cooper,100V(Typ.),</t>
  </si>
  <si>
    <t>LAMP LIGHT;ILW160N351N1,SMAT,23-40V,8-15W,±10%,Ter</t>
  </si>
  <si>
    <t>LAMP LIGHT;ILW160N351N1B,SMAT,23-40V,8-15W,±10%,Te</t>
  </si>
  <si>
    <t>우리조명(주)</t>
  </si>
  <si>
    <t>LAMP LIGHT;ILW160N351N1M,,25-40V,6-9.5W,±10%,Conne</t>
  </si>
  <si>
    <t>FPL LIGHT;SL18W,Gerard,50V(Typ),18W,,2Pi</t>
  </si>
  <si>
    <t>L-TUBE LIGHT;ILW200N701N1,LED,15~25V,13~23W,+-10%,Ter</t>
  </si>
  <si>
    <t>L-TUBE LIGHT;ILW220N571N1,LED,23~34V,16~26W,+-10%,Ter</t>
  </si>
  <si>
    <t>ROADWAY LIGHT;SL25C,SLED,32V,25W,,2P,100</t>
  </si>
  <si>
    <t>L-TUBE LIGHT;ILW250N701N1,LED,23~34V,17~29W,+-10%,Ter</t>
  </si>
  <si>
    <t>L-TUBE LIGHT;ILW270N571N1B,General,29~43</t>
  </si>
  <si>
    <t>LAMP LIGHT;ILW270N571N1E,SAMT,23-40V,17-27W,±10%,T</t>
  </si>
  <si>
    <t>PSDV270571F</t>
  </si>
  <si>
    <t>LAMP LIGHT;ILW270N571N1F,SAMT,23-40V,17-27W,±10%,T</t>
  </si>
  <si>
    <t>JUNO LIGHTING, LLC</t>
  </si>
  <si>
    <t>WALLPACK LIGHT;DL39W,Cooper,20~56V,39W,,</t>
  </si>
  <si>
    <t>LAMP LIGHT;ILU400N701U1A,,25~50V,13~35W,±10%,Termi</t>
  </si>
  <si>
    <t>에스에이피</t>
  </si>
  <si>
    <t>주식회사 범산전자</t>
  </si>
  <si>
    <t>LAMP LIGHT;OL48AA,Cooper,300V(Typ.),48W,</t>
  </si>
  <si>
    <t>ROADWAY LIGHT;SL50D,SEMCO,32V,50W,,2P,10</t>
  </si>
  <si>
    <t>LAMP LIGHT;ILU550N102U1A,SAMT,25~45V,18~48,±10%,Te</t>
  </si>
  <si>
    <t>FPL LIGHT;ILU600N102U1A,SAMT,36V (Typ),54W,,2Pin,1</t>
  </si>
  <si>
    <t>LAMP LIGHT;ILU700N142U1A,SAMT,25~45V,27~63</t>
  </si>
  <si>
    <t>LAMP LIGHT;OL72AA,Cooper,300V(Typ.),72W,</t>
  </si>
  <si>
    <t>LED ADAPTER;FLATPANELLIGHT75W,SEMCOLED,3</t>
  </si>
  <si>
    <t>WALLPACK LIGHT;SLU900N232D1U,Cooper,38V,</t>
  </si>
  <si>
    <t>WALLPACK LIGHT;SLU900N232A1U,Cooper,38.8</t>
  </si>
  <si>
    <t>LED LFD SMPS;MONITOR SMPS,F200PL_MSM,200W,1Ch,100Vac~</t>
  </si>
  <si>
    <t>SESK(VD:SK)</t>
  </si>
  <si>
    <t>LED LFD SMPS;LEDDisplaySMPS,F230LED_FSM,</t>
  </si>
  <si>
    <t>CE SMPS;CESMPS,STD_5W,5W,2CH,100~240Vac,</t>
  </si>
  <si>
    <t>삼성전자-광주공장</t>
  </si>
  <si>
    <t>SAMSUNG ELECTRONICS DIGITAL APPLIANCES MEXICO</t>
  </si>
  <si>
    <t>THAI SAMSUNG ELECTRONICS CO.,LTD</t>
  </si>
  <si>
    <t>SUZHOU SAMSUNG ELECTRONICS CO.,LTD</t>
  </si>
  <si>
    <t>JIANGSU SIMAND ELECTRONICS CO., LTD.</t>
  </si>
  <si>
    <t>CE SMPS;CE SMPS,STD_5W,5W,2CH,100~240Vac,5V/100m</t>
  </si>
  <si>
    <t>SUZHOU SAMSUNG ELECTRONICS CO.,LTD(EXPORT)</t>
  </si>
  <si>
    <t>LED ADAPTER;PSU440D,SEMCO,55Vmax,48.4W,3</t>
  </si>
  <si>
    <t>LED ADAPTER;PSGV060401A,210*98*30mm,33V/</t>
  </si>
  <si>
    <t>CE SMPS;CESMPS,STD_10W,10W,2CH,100~240Va</t>
  </si>
  <si>
    <t>CE SMPS;CE SMPS,STD_10W,10W,2CH,100~240Vac,5V/35</t>
  </si>
  <si>
    <t>CE SMPS;CESMPS,STD_11W,11W,3CH,100~240Va</t>
  </si>
  <si>
    <t>CE SMPS;CE SMPS,STD_11W,11W,3CH,100~240Vac,5V/35</t>
  </si>
  <si>
    <t>CE SMPS;Air Condition,STD11WE,11W,3CH,100~240Vac</t>
  </si>
  <si>
    <t>CE SMPS;CESMPS,STD_16W,16W,3CH,100~240Va</t>
  </si>
  <si>
    <t>CE SMPS;CE SMPS,STD_16W,16W,3CH,100~240Vac,5V/28</t>
  </si>
  <si>
    <t>CE SMPS;Air Condition,STD16WL,16W,3CH,100~240Vac</t>
  </si>
  <si>
    <t>CE SMPS;CESMPS,STD_32W,32W,2CH,100~240Va</t>
  </si>
  <si>
    <t>CE SMPS;CE SMPS,STD_32W,32W,2CH,100~240Vac,5V/20</t>
  </si>
  <si>
    <t>CE SMPS;CESMPS,STD_45W,45W,2CH,100~240Va</t>
  </si>
  <si>
    <t>SAMSUNG ELECTRONICS POLAND MANUFACTURING SP. Z.O.O</t>
  </si>
  <si>
    <t>SAMSUNG ELECTRO-MECHANICS JAPAN Co., Ltd.  (SEMJ)</t>
  </si>
  <si>
    <t>LED TV SMPS;LEDTVSMPS,40D102W1,102W,8,90</t>
  </si>
  <si>
    <t>TV-IP BOARD;IP-2632_COMBO,5.2V/13V,120W,</t>
  </si>
  <si>
    <t>TV-IP BOARD;IP-2632_INDIA,5.2V/13V,120W,</t>
  </si>
  <si>
    <t>TV-IP BOARD;IP-2632_VE,5.2V/13V,95W,2P,1</t>
  </si>
  <si>
    <t>TV-IP BOARD;HANARO2-32H,13V/5V,120W,2P,9</t>
  </si>
  <si>
    <t>PSIV161C01A</t>
  </si>
  <si>
    <t>TV-IP BOARD;HANARO2-32F,13V/5V,160W,2P,9</t>
  </si>
  <si>
    <t>PSIV181E01A</t>
  </si>
  <si>
    <t>TV-IP BOARD;HANARO2-37HF,13V/5V,180W,2P,</t>
  </si>
  <si>
    <t>PSIV220401C</t>
  </si>
  <si>
    <t>MONITOR-IP BOARD;PLUM15.6/18.5Wide2-Lamp</t>
  </si>
  <si>
    <t>PSIV231411A</t>
  </si>
  <si>
    <t>TV-IP BOARD;IP-40_COMBO,5.2V/13V,230W,2P</t>
  </si>
  <si>
    <t>PSIV231411C</t>
  </si>
  <si>
    <t>TV-IP BOARD;IP-40LC,5.2V/13V,210W,2P,100</t>
  </si>
  <si>
    <t>PSIV231411D</t>
  </si>
  <si>
    <t>TV-IP BOARD;IP-40RE,5.3V/13V,230W,2P,90~</t>
  </si>
  <si>
    <t>PSIV231510A</t>
  </si>
  <si>
    <t>TV-IP BOARD;40SE,5.3V/13V,230W,2P,90-264</t>
  </si>
  <si>
    <t>MONITOR-IP BOARD;Cobalt17192-Lamp/IP-261</t>
  </si>
  <si>
    <t>TV-IP BOARD;46SE,5.3V/13V,280W,2P,90-264</t>
  </si>
  <si>
    <t>TV-IP BOARD;IP-281609A,5.3V/13V,280W,3P,</t>
  </si>
  <si>
    <t>PSIV361501A</t>
  </si>
  <si>
    <t>TV-IP BOARD;IP-3611135A,13V/5V,360W,2P,90-264VAC,20,</t>
  </si>
  <si>
    <t>TV-IP BOARD;55SE,5.3V/13V/18V,360W,2P,90</t>
  </si>
  <si>
    <t>PSIV580602A</t>
  </si>
  <si>
    <t>MONITOR-IP BOARD;IP-58155A/T.26,15V,5.2V</t>
  </si>
  <si>
    <t>MONITOR-IP BOARD;IP-58155(ECO),15V,58W,5</t>
  </si>
  <si>
    <t>PSIV610601A</t>
  </si>
  <si>
    <t>MONITOR-IP BOARD;ECOFIT27""MFM4LAMP/IP-6</t>
  </si>
  <si>
    <t>LED TV SMPS;LEDTVSMPS,32D61W1,61W,6,90-2</t>
  </si>
  <si>
    <t>TV-IP BOARD;S-PROJECT26HD,13V/5V,110W,2P</t>
  </si>
  <si>
    <t>PSLF101301MB</t>
  </si>
  <si>
    <t>LED TV SMPS;LEDbacklightLCDTV,D390-B0,10</t>
  </si>
  <si>
    <t>PSLF101B01A</t>
  </si>
  <si>
    <t>LED TV SMPS;LCD-TV,PD37AF0E,100W,5CH,90~</t>
  </si>
  <si>
    <t>LED TV SMPS;PDSIim(LEDTV),PD46B1D,110W,5</t>
  </si>
  <si>
    <t>LED TV SMPS;LEDTV,PD46B1DC_CSM,110W,5CH,</t>
  </si>
  <si>
    <t>LED TV,L40PFP_KSM,102W,2Ch (LED 1Ch),90Vac~264Vac,LED</t>
  </si>
  <si>
    <t>LED TV SMPS;LED TV,L40PFP_KSM,102W,3Ch (LED 1Ch),90V</t>
  </si>
  <si>
    <t>LED TV,L40PFPN_KSM,102W,2Ch (LED 1Ch),90Vac~264Vac,LED : 170V/340mAx1Ch,80%,OTP,OVP,OCP,UVP</t>
  </si>
  <si>
    <t>LED TV SMPS;LED TV,L40PFPN_KSM,102W,2Ch (LED 1Ch),90</t>
  </si>
  <si>
    <t>LED TV SMPS;LEDTV,L48SF_ESM,106W,1CH,90V</t>
  </si>
  <si>
    <t>LED TV SMPS;LEDTV,L48SF_ESM(KA),106W,1CH</t>
  </si>
  <si>
    <t>LED TV SMPS;LED-TV,S1 (L55E1_KSM),105W,3Ch (LED 1Ch)</t>
  </si>
  <si>
    <t>LED TV SMPS;LED-TV,L55E1R_KSM(CN),105W,3Ch (LED 1Ch)</t>
  </si>
  <si>
    <t>LED TV SMPS;LED-TV,L55E1R_KSM,105W,1Ch (LED 1Ch),90V</t>
  </si>
  <si>
    <t>LED TV SMPS;LED-TV,L55E1NR_KSM,105W,3Ch (LED 1Ch),90</t>
  </si>
  <si>
    <t>LED TV SMPS;LEDTV,L40HV1_ESM,109W,3CH,90</t>
  </si>
  <si>
    <t>LED TV SMPS;PDSIim(LEDTV),PD46A1,106W,5C</t>
  </si>
  <si>
    <t>LED TV SMPS;LEDTV,PD46A1E_CSM,110W,4,90V</t>
  </si>
  <si>
    <t>LED MONITOR SMPS;LEDMONITOR,PD46A1_LFD,1</t>
  </si>
  <si>
    <t>LED MONITOR SMPS;LFDPower,EDC46A1_DSM,11</t>
  </si>
  <si>
    <t>PSLF111Q04A</t>
  </si>
  <si>
    <t>LED TV SMPS;PDSIim(LEDTV),PD46B1Q,111W,5</t>
  </si>
  <si>
    <t>LED TV SMPS;LEDTV,PD46B1QC_CSM,111W,5CH,</t>
  </si>
  <si>
    <t>LED TV SMPS;LEDTV,L46SF_DSM,114W,5CH,90~</t>
  </si>
  <si>
    <t>LED TV SMPS;LEDTV,L46SF_DSM(VE),114W,5CH</t>
  </si>
  <si>
    <t>UD TV SMPS;LEDTV,L110D2LA_DSM,1280W,5CH,</t>
  </si>
  <si>
    <t>UD TV SMPS;LEDTV,L110D2LB_DSM,1280W,5CH,</t>
  </si>
  <si>
    <t>PSLF112F06D</t>
  </si>
  <si>
    <t>LED TV SMPS;LEDTV,L110UDD_DSM,620W,240CH</t>
  </si>
  <si>
    <t>PSLF117H06A</t>
  </si>
  <si>
    <t>LED TV SMPS;LEDTV,L46HV1_ESM,117W,4CH,90</t>
  </si>
  <si>
    <t>PSLF121301M</t>
  </si>
  <si>
    <t>LED TV SMPS;LEDTV,Sharp48,122W,2Ch,96Vac</t>
  </si>
  <si>
    <t>LED TV SMPS;LEDTV,PD46A0,120W,5CH,90~264</t>
  </si>
  <si>
    <t>LED TV SMPS;LEDTV,PD46G0_BSM,,4CH,90~264</t>
  </si>
  <si>
    <t>PSLF121B01A</t>
  </si>
  <si>
    <t>LED TV SMPS;LCD-TV,PD46AF0E,120W,5CH,90~</t>
  </si>
  <si>
    <t>LED TV SMPS;PDSIim(LEDTV),PD55A1,79W,5CH</t>
  </si>
  <si>
    <t>LED TV SMPS;LEDTV,PD55A1N_CSM,126W,4,90V</t>
  </si>
  <si>
    <t>LED MONITOR SMPS;LFDPower,EDC55A1_DSM,12</t>
  </si>
  <si>
    <t>LED TV SMPS;PDSIim(LEDTV),PD55B1D,130W,5</t>
  </si>
  <si>
    <t>LED TV SMPS;LED-TV,L40E6_NSM,123W,3Ch (LED 1Ch),90Va</t>
  </si>
  <si>
    <t>LED TV SMPS;LED-TV,L40E6_NSM,143W,3Ch (LED 1Ch),90Va</t>
  </si>
  <si>
    <t>LED TV SMPS;LED-TV,L40E6N_NSM,123W,3Ch (LED 1Ch),90V</t>
  </si>
  <si>
    <t>LED TV SMPS;PDSIim(LEDTV),PD55B1Q,125W,5</t>
  </si>
  <si>
    <t>LED TV SMPS;LEDTV,L42S1_DSM,121W,5CH,90V</t>
  </si>
  <si>
    <t>LED TV SMPS;LEDTV,L48S1_ESM,126W,3CH,90V</t>
  </si>
  <si>
    <t>LED LFD SMPS;LEDMONITOR,F48S1N_ESM,120W,</t>
  </si>
  <si>
    <t>LED LFD SMPS;LEDTV,F48S1_ESM,131W,1CH,AC</t>
  </si>
  <si>
    <t>LED TV SMPS;LEDTV,L48S1_FSM,120W,1CH,AC9</t>
  </si>
  <si>
    <t>PSLF121X05A</t>
  </si>
  <si>
    <t>LED TV SMPS;LEDTV,L32X1QP_DSM,120W,5CH,9</t>
  </si>
  <si>
    <t>LED TV SMPS;PDSIim(LEDTV),PD60AV,143W,5C</t>
  </si>
  <si>
    <t>LED TV SMPS;PDSIim(LEDTV),PD46B2Q,136W,5</t>
  </si>
  <si>
    <t>LED TV SMPS;LED-TV,L40S6R_MSM,129.1W,1Ch (LED 1Ch),9</t>
  </si>
  <si>
    <t>LED TV SMPS;LED-TV,L40S6NR_MSM,129.1W,1Ch (LED 1Ch),</t>
  </si>
  <si>
    <t>LED TV SMPS;LEDTV,L40US6_FSM,130W,1CH,90</t>
  </si>
  <si>
    <t>UD TV SMPS;LED,UHD43,141W,3CH,100-240VAC</t>
  </si>
  <si>
    <t>LED TV SMPS;LEDTVSMPS,SD433,141W,3CH,100</t>
  </si>
  <si>
    <t>LED TV SMPS;LED-TV,L40E6_KSM,138,1Ch (LED 1Ch),90Vac</t>
  </si>
  <si>
    <t>LED TV SMPS;LED-TV,L40E6N_KSM,138,1Ch (LED 1Ch),90Va</t>
  </si>
  <si>
    <t>LED TV SMPS;LED-TV,L40E6R_KSM,115W,1Ch (LED 1Ch),90V</t>
  </si>
  <si>
    <t>LED TV SMPS;LED-TV,L40E6NR_KSM,115W,1Ch (LED 1Ch),90</t>
  </si>
  <si>
    <t>LFD,F40E6_KSM,177,3,90~264V,A13V: 12.8V/4.4A,Vamp: 12.8V/0.37A,90%,OK,,O,160*245mm,3</t>
  </si>
  <si>
    <t>LED TV SMPS;LED-TV,L40F6N_MSM,138W,1Ch (LED 1Ch),90V</t>
  </si>
  <si>
    <t>LED TV SMPS;LEDTV,L55H1_ESM,142W,1CH,90V</t>
  </si>
  <si>
    <t>LED TV SMPS;PDSIim(LEDTV),PD60B1Q,137W,5</t>
  </si>
  <si>
    <t>LED TV SMPS;LEDTV,L46S1_DSM,141W,5CH,90~</t>
  </si>
  <si>
    <t>LED TV SMPS;LEDTV,L46S1_DSM(VE),141W,5CH</t>
  </si>
  <si>
    <t>LED TV SMPS;LED,L40S6_FSM,143,1CH,90Vac-</t>
  </si>
  <si>
    <t>LED TV SMPS;LEDTV,L48X1T_ESM,141W,3CH,90</t>
  </si>
  <si>
    <t>LED TV SMPS;LEDTV,L46ZF_DSM,141W,5CH,90~</t>
  </si>
  <si>
    <t>PSLF151301L</t>
  </si>
  <si>
    <t>LED TV SMPS;LED TV SMPS,X4-55 blade,148.4W,3CH,90V-2</t>
  </si>
  <si>
    <t>LED TV SMPS;LED,V50,150W,2ch,99~132,5.2V</t>
  </si>
  <si>
    <t>LED MONITOR SMPS;LEDMONITOR,PD46AV1_LFD,</t>
  </si>
  <si>
    <t>LED TV SMPS;LEDTV,PD46A1,150W,5CH,90~264</t>
  </si>
  <si>
    <t>LED TV SMPS;LEDTV,PD46A1D_BSM,150W,5CH,9</t>
  </si>
  <si>
    <t>PSLF151A03M</t>
  </si>
  <si>
    <t>LED TV SMPS;LEDSLIMMONITOR-TV,PD4046A1_L</t>
  </si>
  <si>
    <t>LED-TV,L40E7_KSM,147,2Ch (LED 8Ch),90Vac~264Vac,LED : 41V/230mA X 8ch,80%,OTP,OVP,OCP,UVP,CLASS B,Y,</t>
  </si>
  <si>
    <t>LED MONITOR SMPS;MONITOR SMPS,P32E7N_MSM,130,10Ch(A13V, V</t>
  </si>
  <si>
    <t>LED TV SMPS;LED-TV,L65E7N_MSM,165.6,12Ch,125Vdc~150V</t>
  </si>
  <si>
    <t>LED TV SMPS;LED-TV,L65E8NC_MSM,151.2W,24Ch (LED DRIV</t>
  </si>
  <si>
    <t>LED MONITOR SMPS;MONITOR SMPS,F65E8NC_MSM,151.2,24Ch,90Va</t>
  </si>
  <si>
    <t>LED TV SMPS;LEDTV,L55G2Q_ESM,152W,4CH,90</t>
  </si>
  <si>
    <t>LED TV SMPS;LEDTV,L55G2QN_ESM,152W,4CH,9</t>
  </si>
  <si>
    <t>LED TV SMPS;PDSIim(LEDTV),PD55B2Q,150W,5</t>
  </si>
  <si>
    <t>LED TV SMPS;LEDTV,L55S1_DSM,155W,5CH,90~</t>
  </si>
  <si>
    <t>LED TV SMPS;LEDTV,L55S1_DSM(VE),155W,5CH</t>
  </si>
  <si>
    <t>LED TV SMPS;LEDTV,L55S1N_DSM,155W,5CH,90</t>
  </si>
  <si>
    <t>PSLF151X05A</t>
  </si>
  <si>
    <t>LED TV SMPS;LEDTV,L42X1Q_DSM,150W,5CH,90</t>
  </si>
  <si>
    <t>LED TV SMPS;LEDTV,L42X1Q_DSM(VE),150W,5C</t>
  </si>
  <si>
    <t>LCD TV SMPS;LEDTV,L42X1QN_DSM,150W,5CH,9</t>
  </si>
  <si>
    <t>LED MONITOR SMPS;LEDMONITOR,F55G2Q_ESM,1</t>
  </si>
  <si>
    <t>LED TV SMPS;LEDTV,L58GFB_ESM,166,1Ch,90V</t>
  </si>
  <si>
    <t>LED TV SMPS;LEDTV,L58GFBN_ESM,166,1Ch,90</t>
  </si>
  <si>
    <t>LED TV SMPS;LEDTV,L58GFB_ESM,210,3CH,90V</t>
  </si>
  <si>
    <t>LED TV SMPS;PDSIim(LEDTV),PD60B2Q,162W,5</t>
  </si>
  <si>
    <t>LED TV SMPS;PDSIim(LEDTV),PD60B2QC_CSM,1</t>
  </si>
  <si>
    <t>LED TV SMPS;LEDTV,L46X1Q_DSM(VE),160W,5C</t>
  </si>
  <si>
    <t>LED TV SMPS;LED-TV,L55E6_NSM,160W,3Ch (LED 1Ch),90Va</t>
  </si>
  <si>
    <t>LED TV SMPS;LED-TV,L55E6_NSM,166W,4Ch (LED 2Ch),90Va</t>
  </si>
  <si>
    <t>LED TV SMPS;LED-TV,L55E6N_NSM,160W,2Ch,90Vac~264Vac,</t>
  </si>
  <si>
    <t>LED TV SMPS;LED,Sharp55,150W,2Ch,96Vac~1</t>
  </si>
  <si>
    <t>LED MONITOR SMPS;LEDMONITOR,PD55AV1_LFD,</t>
  </si>
  <si>
    <t>LED TV SMPS;LEDTV,PD55B1_B2,170W,8CH,90~</t>
  </si>
  <si>
    <t>PSLF171C03A</t>
  </si>
  <si>
    <t>LED TV SMPS;LEDTV,PD55C2,170W,20CH,90~26</t>
  </si>
  <si>
    <t>LED TV SMPS;LED-TV,F55E6_NSM,160W,2Ch,90Vac~264Vac,L</t>
  </si>
  <si>
    <t>LED TV SMPS;LED-TV,S3 (L55E6_KSM),170W,3Ch (LED 1Ch)</t>
  </si>
  <si>
    <t>LED TV SMPS;LEDTV,L55X1T_ESM,175W,3CH,90</t>
  </si>
  <si>
    <t>LED TV SMPS;LEDTV,L55X1T_ESM(KA),175W,3C</t>
  </si>
  <si>
    <t>LED TV SMPS;LEDTV,L55X1TN_ESM,175W,3CH,9</t>
  </si>
  <si>
    <t>LED TV SMPS;LEDTV,L55X1T_FSM,170W,4,90Va</t>
  </si>
  <si>
    <t>LED TV SMPS;LCD-TV,PD46CF2,172W,5CH,90~2</t>
  </si>
  <si>
    <t>COMPAL OPTOELECTRONICS(KUNSHAN)CO., LTD (TOSHIBA)</t>
  </si>
  <si>
    <t>LED TV SMPS;LEDTV,43D186WS1,186,10CH,99V</t>
  </si>
  <si>
    <t>LED TV SMPS;LED-TV,L55E7R_NSM,181W,8Ch (LED 6Ch),90V</t>
  </si>
  <si>
    <t>LED TV SMPS;LED-TV,L55E7R_NSM,187W,6Ch,90Vac~264Vac,</t>
  </si>
  <si>
    <t>LED TV SMPS;LED-TV,L55E7NR_NSM,181W,8Ch (LED 6Ch),90</t>
  </si>
  <si>
    <t>LED TV SMPS;LEDTV,L55X1Q_DSM(VE),180W,5C</t>
  </si>
  <si>
    <t>LCD TV SMPS;LEDTV,L55X1QN_DSM,180W,5CH,9</t>
  </si>
  <si>
    <t>LCD TV SMPS;LED TV,L55X1QN_DSM,180W,5CH,90Vac~264Vac</t>
  </si>
  <si>
    <t>Beijing Xiaomi electronic products Co., Ltd</t>
  </si>
  <si>
    <t>LED TV SMPS;LEDTV,T6-AS,182.2W,8CH,90-26</t>
  </si>
  <si>
    <t>LED MONITOR SMPS;LEDMONITOR,PD40DE_LFD,1</t>
  </si>
  <si>
    <t>LED TV SMPS;LEDTV,L55C2L_ESM,177W,3Ch,90</t>
  </si>
  <si>
    <t>LED TV,43D196JS1,197,2Ch (LED 12Ch),AC90V~10V,LED:39.48V/160mA X 12Ch,80%,OTP,OVP,OCP,UVP,CLASS B</t>
  </si>
  <si>
    <t>LED-TV,L55E7_KSM,187,2Ch (LED 8Ch),90Vac~264Vac,LED : 56V/235mA X 8ch,80%,OTP,OVP,OCP,UVP,CLASS B,N,</t>
  </si>
  <si>
    <t>LED TV SMPS;LED-TV,L55E7_KSM,190W,10Ch (LED 8Ch),90V</t>
  </si>
  <si>
    <t>LED TV SMPS;LED-TV,L55E7N_KSM,187,2Ch (LED 8Ch),90Va</t>
  </si>
  <si>
    <t>LED TV SMPS;LED-TV,L55E8NR_MSM,187W,10Ch (LED 8Ch),9</t>
  </si>
  <si>
    <t>LED TV SMPS;LEDTV,L60S1_DSM,194W,5CH,90~</t>
  </si>
  <si>
    <t>LED TV SMPS;LEDTV,L60S1N_DSM,66W,5CH,90V</t>
  </si>
  <si>
    <t>LED TV SMPS;LEDTV,L60S1_ESM,194W,3CH,90V</t>
  </si>
  <si>
    <t>LED TV SMPS;LEDTV,L60S1_FSM,190W,3CH,100</t>
  </si>
  <si>
    <t>LED TV SMPS;LEDTV,L60S1N_FSM,190W,1CH,90</t>
  </si>
  <si>
    <t>PSLF199C01A</t>
  </si>
  <si>
    <t>LED TV SMPS;LCD-TV,PD55CF2,199W,5CH,90~2</t>
  </si>
  <si>
    <t>LED TV SMPS;LED TV SMPS,LT85_LPB,387.5W,2CH,400VDC,1</t>
  </si>
  <si>
    <t>LED TV SMPS;LED-TV,L65E6_NSM,200W,4Ch (LED 2Ch),90Va</t>
  </si>
  <si>
    <t>LED MONITOR SMPS;LFDPower,F46B2P_DSM,200</t>
  </si>
  <si>
    <t>LED LFD SMPS;LEDMONITOR,PD46DE_LFD,200W,</t>
  </si>
  <si>
    <t>LED TV SMPS;LCD-TV,PD46CF1E,200W,5CH,90~</t>
  </si>
  <si>
    <t>LED TV SMPS;LED-TV,L65E6N_KSM,200,3Ch (LED 1Ch),90Va</t>
  </si>
  <si>
    <t>LED TV SMPS;LED-TV,L65E6N_KSM(W),200,3Ch (LED 1Ch),9</t>
  </si>
  <si>
    <t>LED TV SMPS;LED-TV,L65E6NR_KSM,191W,3Ch (LED 1Ch),90</t>
  </si>
  <si>
    <t>LED TV SMPS;LED-TV,L65E6NR_KSM(P),200W,3Ch (LED 1Ch)</t>
  </si>
  <si>
    <t>LFD,F65E6_KSM,310,3,90~264V,A13V: 12.8V/4.8A,Vamp: 12.8V/0.37A,90%,OK,,O,240*330mm,3</t>
  </si>
  <si>
    <t>LED TV SMPS;LED-TV,L75E8NC_MSM,194.4,24Ch (LED DRIVE</t>
  </si>
  <si>
    <t>LED TV SMPS;LED-TV,L75E8NC_MSM(V),194.4,24Ch (LED DR</t>
  </si>
  <si>
    <t>LED TV SMPS;LEDTV,L46F2P_DSM,200W,5CH,90</t>
  </si>
  <si>
    <t>LED TV SMPS;LED,L55S6_FSM,203,1CH,90Vac-</t>
  </si>
  <si>
    <t>LED TV SMPS;LED-TV,L55S6R_MSM,200W,3Ch (LED 1Ch),90V</t>
  </si>
  <si>
    <t>LED TV SMPS;LEDTV,L46U2P_DSM,200W,5CH,90</t>
  </si>
  <si>
    <t>LED MONITOR SMPS;LEDMONITOR,F48SF1_ESM,2</t>
  </si>
  <si>
    <t>LCD TV SMPS;LCD-TV,P3237F1,200.2W,4CH,90</t>
  </si>
  <si>
    <t>LED TV SMPS;LEDTVSMPS,T7,206W,8CH,100-24</t>
  </si>
  <si>
    <t>LED TV SMPS;LEDTVSMPS,T7-AS,206W,8CH,100-24</t>
  </si>
  <si>
    <t>LED TV SMPS;LCD-TV,PD55AF1E,187W,8CH,90~</t>
  </si>
  <si>
    <t>UD TV SMPS;LCDTV,L40S7_FSM,211W,6Ch,90Va</t>
  </si>
  <si>
    <t>LED TV SMPS;LED-TV,L65E7NR_NSM,215W,8Ch (LED 6Ch),90</t>
  </si>
  <si>
    <t>LED TV SMPS;LED-TV,L65E7NR_NSM,220W,6CH,90Vac~264Vac</t>
  </si>
  <si>
    <t>PSLF221201A</t>
  </si>
  <si>
    <t>LED TV SMPS;LEDTV,560WS1(A),560W,5CH,90V</t>
  </si>
  <si>
    <t>YOSUN INDUSTRIAL CORP</t>
  </si>
  <si>
    <t>LED TV SMPS;LEDTV,WISTRON65,230W,3Ch,100</t>
  </si>
  <si>
    <t>AMOD Technology Co., Ltd</t>
  </si>
  <si>
    <t>LED TV SMPS;LED TV SMPS,T21,220W,3CH,120-264VAC,12V/</t>
  </si>
  <si>
    <t>LED TV SMPS;LED TV SMPS,T21 AS,220W,3CH,120-264VAC,1</t>
  </si>
  <si>
    <t>LED TV SMPS;LEDTV,55D222WS1,222W,11CH,99</t>
  </si>
  <si>
    <t>LED TV SMPS;LEDTV,L55F2P_DSM,220W,5CH,90</t>
  </si>
  <si>
    <t>LED TV,55D225JS1,226,2Ch (LED 14Ch),AC90V~110V,LED : 46.06V/160mA X 14Ch,80%,OTP,OVP,OCP,UVP,CLASS B</t>
  </si>
  <si>
    <t>LED TV SMPS;LEDTV,L55U2P_DSM,220W,5CH,90</t>
  </si>
  <si>
    <t>LED TV SMPS;LCDTV,L40N4,222W,4Ch,FreeVol</t>
  </si>
  <si>
    <t>LED TV SMPS;LEDTV,47D226WS1,226W,10cH,99</t>
  </si>
  <si>
    <t>LED LFD SMPS;LEDMonitor,F65S1T_ESM,230W,</t>
  </si>
  <si>
    <t>LED TV SMPS;LEDTV,235W1,235W,4CH,90Vac~2</t>
  </si>
  <si>
    <t>LED LFD SMPS;LFDPower,F55B2P_DSM,234W,9,</t>
  </si>
  <si>
    <t>LEDTVSMPS,T8-AS,234.12W,10CH,90</t>
  </si>
  <si>
    <t>LED LFD SMPS;PD_LFD,PD55DE_LFD,230Watt,4</t>
  </si>
  <si>
    <t>LED TV SMPS;LEDTV,L65C2Q_ESM,236W,4CH,90</t>
  </si>
  <si>
    <t>LED TV SMPS;LEDTV,L65S1_DSM,194W,5CH,90~</t>
  </si>
  <si>
    <t>LED TV SMPS;LEDTV,L60U2L_DSM,230W,16CH,9</t>
  </si>
  <si>
    <t>SONY EMCS (MALAYSIA) SDN. BHD</t>
  </si>
  <si>
    <t>LED TV SMPS;LEDTV,GL1SB,240W,2CH,90Vac~2</t>
  </si>
  <si>
    <t>SONY SUPPLY CHAIN SOLUTIONS (CHINA) LTD.</t>
  </si>
  <si>
    <t>LED LFD SMPS;LFDPower,F65S1T_DSM,240W,7,</t>
  </si>
  <si>
    <t>LED LFD SMPS;LEDMonitor,F65S1T_D1SM,240W</t>
  </si>
  <si>
    <t>LED TV SMPS;LED TV SMPS,T12N,240W,10CH,120-264VAC,5V</t>
  </si>
  <si>
    <t>LED-TV,L65E8N_KSM,248,2Ch (LED 12Ch),90Vac~264Vac,LED:46V/235mAX12Ch,80%,OTP,OVP,OCP,UVP,CLASS B,Y,4</t>
  </si>
  <si>
    <t>LED TV SMPS;LED-TV,L65E6V_MSM,151W,3Ch,90Vac~264Vac,</t>
  </si>
  <si>
    <t>LED TV SMPS;LEDTV,L55N4W_ESM,235W,3CH,90</t>
  </si>
  <si>
    <t>LCD TV SMPS;LCD-TV,40LFD,250W,5CH,90~264</t>
  </si>
  <si>
    <t>LCD TV SMPS;LCD-TV,40LFD_VE(INDIA),280W,</t>
  </si>
  <si>
    <t>LCD TV SMPS;LCD-TV,LFD_SNB55,280W,5CH,90</t>
  </si>
  <si>
    <t>PSLF251B02A</t>
  </si>
  <si>
    <t>LED TV SMPS;LCD-TV,PD4612F2N,180W,3CH,90</t>
  </si>
  <si>
    <t>LED TV SMPS;LCD-TV,PD60AD1,260W,5CH,90~2</t>
  </si>
  <si>
    <t>LED TV SMPS;LED,L65S6N_FSM,262,2CH,90Vac</t>
  </si>
  <si>
    <t>LED TV SMPS;LED-TV,L65S6N_FSM(R/C),262,2Ch (LED 2Ch)</t>
  </si>
  <si>
    <t>LED TV,L65S6N_FSM,260W,3Ch (LED 1Ch),90Vac~264Vac,LED : 198V/500mAx2Ch,80%,OTP,OVP,OCP,UVP</t>
  </si>
  <si>
    <t>LED TV SMPS;LED-TV,L65S6NR_MSM,227W,4Ch (LED 2Ch),90</t>
  </si>
  <si>
    <t>PSLF271E07A</t>
  </si>
  <si>
    <t>UD TV SMPS;LEDTV,L48EM8A_FSM,278W,3CH,90</t>
  </si>
  <si>
    <t>UD TV SMPS;LEDTV,L55S7_FSM,288W,7Ch,90Va</t>
  </si>
  <si>
    <t>LED TV SMPS;PD,L55S7N_FSM,280W(typ),A13V</t>
  </si>
  <si>
    <t>UD TV SMPS;LEDTV,L55S7_FSM(CN),279W,2Ch(</t>
  </si>
  <si>
    <t>LED TV SMPS;LEDTV,L75G2Q_ESM,287W,4CH,90</t>
  </si>
  <si>
    <t>LED TV SMPS;LCDTV,L55N4,286W,4Ch,FreeVol</t>
  </si>
  <si>
    <t>LED TV SMPS;LED-TV,L65E9NA_MSM,292,3Ch (B13V, Vamp,</t>
  </si>
  <si>
    <t>LED TV SMPS;LED-TV,L65E9NB_MSM,292,3Ch (B13V, Vamp,</t>
  </si>
  <si>
    <t>LED TV SMPS;OC box,P300NQ_NSM,300W,2Ch,90Vac~264Vac,</t>
  </si>
  <si>
    <t>LED TV SMPS;LED-TV,P300NQB_NSM,105W,-,90Vac~264Vac,A</t>
  </si>
  <si>
    <t>LED TV SMPS;LED-TV,L55Q8NA_NSM,303W,3Ch (Vdrv 1Ch),9</t>
  </si>
  <si>
    <t>LED TV SMPS;LED TV,L78E8NR_MSMW,310W,14Ch (LED 12Ch)</t>
  </si>
  <si>
    <t>LED TV SMPS;LEDTV,L65G4P_ESM,314W,8CH,90</t>
  </si>
  <si>
    <t>UD TV SMPS;LEDTV,L65C4L_ESM,329W,16CH,90</t>
  </si>
  <si>
    <t>LED TV SMPS;LEDTV,L65C4L_ESM,329W,16CH,9</t>
  </si>
  <si>
    <t>UD TV SMPS;LEDTV,L65EM8NA_FSM,318,3CH,90</t>
  </si>
  <si>
    <t>UD TV SMPS;LEDTV,L65EM8NC_FSM,318,16CH,9</t>
  </si>
  <si>
    <t>UD TV SMPS;LEDTV,L65EM8NCV_FSM,318,16Ch(</t>
  </si>
  <si>
    <t>UD TV SMPS;LEDTV,L65EM8NA_FSM,130,1Ch,90</t>
  </si>
  <si>
    <t>LED TV SMPS;LED-TV,L65Q8NA_NSM,326W,3Ch (Vdrv 1Ch),9</t>
  </si>
  <si>
    <t>UD TV SMPS;LEDTV,L65SM9NA_FSM,380W,3CH,9</t>
  </si>
  <si>
    <t>UD TV SMPS;LEDTV,L65SM9NC_FSM,380W,120CH</t>
  </si>
  <si>
    <t>LED-TV,L65S9NA_KSM,321W,3Ch,90Vac~264Vac,SMPS,80%,OTP,OVP,OCP,UVP,CLASS B,N,245x395x18.1mm,2Pin,</t>
  </si>
  <si>
    <t>LED TV SMPS;LEDTV,L23S0FN_ESM,33W,1CH,90</t>
  </si>
  <si>
    <t>LED MONITOR SMPS;LEDTV,L23S0N_DSM,33W,5,</t>
  </si>
  <si>
    <t>LED TV SMPS;LEDTV,L23S0N_ESM,33W,1CH,90V</t>
  </si>
  <si>
    <t>LED TV SMPS,GL2,200W,12CH,100-240Vac,77-131V/1740mA,80%,OVP,OCP,UVP,Class B</t>
  </si>
  <si>
    <t>LED TV SMPS,G1,130W,3CH,100-240Vac,3.45V/0.55A12.7V/7.3A12.7V/2.7A,80%,OVP,OCP,UVP,Class B</t>
  </si>
  <si>
    <t>LED PD 16년 G1, GL3 TV용 POWER</t>
  </si>
  <si>
    <t>LED TV SMPS;LEDbacklightLCDTV,LC65UB30U,</t>
  </si>
  <si>
    <t>LED TV SMPS;LED back light LCD TV,LC65UB30U(T),330W,</t>
  </si>
  <si>
    <t>LED TV SMPS;LEDTV,L75G4P_ESM,338W,8CH,90</t>
  </si>
  <si>
    <t>PSLF341301A</t>
  </si>
  <si>
    <t>LED TV SMPS;LEDTV,560WS1(B),560W,5CH,90V</t>
  </si>
  <si>
    <t>LED TV SMPS;LEDTV,L75U2LC_DSM,348W,16CH,</t>
  </si>
  <si>
    <t>PSLF341U16L</t>
  </si>
  <si>
    <t>LED TV SMPS;LEDTV,L75U2L_DSM,348W,16CH,9</t>
  </si>
  <si>
    <t>LED MONITOR SMPS;LEDMONITOR,SC35,35W,2,9</t>
  </si>
  <si>
    <t>LED TV SMPS;PDSIim(LEDTV),PD26AV0,40W,5C</t>
  </si>
  <si>
    <t>LED TV SMPS;OC box,P360NQ_NSM,360W,2Ch,90Vac~264Vac,</t>
  </si>
  <si>
    <t>LED TV SMPS;LED-TV,P360NQB_NSM,400W,-,90Vac~264Vac,A</t>
  </si>
  <si>
    <t>LED TV SMPS;LED-TV,L75E9NA_MSM,361,3Ch (B13V, Vamp,</t>
  </si>
  <si>
    <t>LED TV SMPS;LED-TV,L75E9NB_MSM,361,3Ch (B13V, Vamp,</t>
  </si>
  <si>
    <t>LED TV SMPS;LED-TV,T55S,441.7W,5CH,85~27</t>
  </si>
  <si>
    <t>PSLF361G06C</t>
  </si>
  <si>
    <t>UD TV SMPS;LEDTV,L110G2LC_ESM,360W,120Ch</t>
  </si>
  <si>
    <t>PSLF361G06D</t>
  </si>
  <si>
    <t>UD TV SMPS;LEDTV,L110G2LD_ESM,360W,120Ch</t>
  </si>
  <si>
    <t>LED TV SMPS;LEDTV,L105C4LC_ESM,360W,120C</t>
  </si>
  <si>
    <t>LED TV SMPS;LEDTV,L105C4LD_ESM,360W,120C</t>
  </si>
  <si>
    <t>LED TV SMPS;LEDTV,L65D2L_DSM,377W,4CH,90</t>
  </si>
  <si>
    <t>LED LFD SMPS;LEDMONITOR,F82AFH_ESM,375W,</t>
  </si>
  <si>
    <t>PSLF380501A</t>
  </si>
  <si>
    <t>LED MONITOR SMPS;LEDTV,MFM38W,38W,5CH,90</t>
  </si>
  <si>
    <t>LED TV SMPS;LED-TV,L75Q8NA_NSM,379W,3Ch (Vdrv 1Ch),9</t>
  </si>
  <si>
    <t>LED TV SMPS;LED-TV,L82SSNC_FSM,380,32CH,</t>
  </si>
  <si>
    <t>LED TV SMPS;LED-TV,L88E9NA_MSM,554,35Ch (LED 32Ch Va</t>
  </si>
  <si>
    <t>LED TV SMPS;LED-TV,L88E9NB_MSM,554,35Ch (LED 32Ch Va</t>
  </si>
  <si>
    <t>Repeater power supply SMPS;NETWORK,P4005_NT,40W,1 CH,110/230V,5V /</t>
  </si>
  <si>
    <t>LED TV SMPS;OC box,P400NQ_NSM,400W,2Ch,90Vac~264Vac,</t>
  </si>
  <si>
    <t>LED-TV,L78S9NA_KSM,415,3Ch,90Vac~264Vac,SMPS,80%,OTP,OVP,OCP,UVP,CLASS A,Y,245x460x18.1mm,2Pin,</t>
  </si>
  <si>
    <t>LED TV SMPS;LED-TV,L82Q8NA_MSM,485W,2Ch (A13V, Vdrv)</t>
  </si>
  <si>
    <t>UD TV SMPS;LEDTV,L78S7N_FSM,447W,10Ch,90</t>
  </si>
  <si>
    <t>LED TV SMPS;LEDTV,32D45W1,45W,3Ch,99Vac~</t>
  </si>
  <si>
    <t>LED TV SMPS;PDSIim(LEDTV),PD32AV0,48W,5C</t>
  </si>
  <si>
    <t>LED TV SMPS;LEDTV,L28S0_ESM,49W,3CH,90Va</t>
  </si>
  <si>
    <t>LED TV SMPS;LEDTV,L28S0_ESM(KA),49W,3CH,</t>
  </si>
  <si>
    <t>LED TV SMPS;LEDTV,L28S0N_ESM,49W,3Ch,90V</t>
  </si>
  <si>
    <t>LED TV SMPS;LED,L28S0S_ESM,49W,3Ch,90Vac</t>
  </si>
  <si>
    <t>LED TV SMPS;LEDTV,PD75B2L,500W,3CH,90~26</t>
  </si>
  <si>
    <t>LED LFD SMPS;LEDMONITOR,F95B1E_DSM,520W,</t>
  </si>
  <si>
    <t>LED MONITOR SMPS;LEDTV,MFM53W,53W,5CH,90</t>
  </si>
  <si>
    <t>LED TV SMPS;LED TV SMPS,LT85_MPB,527W,4CH,90V-264VAC</t>
  </si>
  <si>
    <t>LCD TV SMPS;LCDMONITOR,LFD7082,450W,5CH,</t>
  </si>
  <si>
    <t>LED TV SMPS;LEDTV,L28S0_DSM,55W,5CH,90Va</t>
  </si>
  <si>
    <t>PSLF550S05B</t>
  </si>
  <si>
    <t>LED TV SMPS;LEDTV,L28S0N_DSM,55W,5CH,90V</t>
  </si>
  <si>
    <t>LED-TV,L88S9NA_KSM,550,3Ch,90Vac~264Vac,SMPS,80%,OTP,OVP,OCP,UVP,CLASS A,Y,255x390x18.1mm,2Pin,</t>
  </si>
  <si>
    <t>LED-TV,L88S9NB_KSM,550,3Ch,90Vac~264Vac,SMPS,80%,OTP,OVP,OCP,UVP,CLASS A,Y,255x420x25.1mm,2Pin,</t>
  </si>
  <si>
    <t>LED TV SMPS;LED-TV,PD23A0Q_CSM,56W,5CH,1</t>
  </si>
  <si>
    <t>LED TV SMPS;PDSIim(LEDTV),PD32AVF,67W,5C</t>
  </si>
  <si>
    <t>LED MONITOR-IP BOARD;TCP180(PSLF590101A)</t>
  </si>
  <si>
    <t>LED TV SMPS;LEDTV,L29S0_DSM,68.5W,5CH,90</t>
  </si>
  <si>
    <t>LED TV SMPS;LEDTV,L32S0_ESM,62W,3CH,90Va</t>
  </si>
  <si>
    <t>UD TV SMPS;LEDTV,L78SM9NA_FSM,482W,3CH,9</t>
  </si>
  <si>
    <t>UD TV SMPS;LEDTV,L78SM9NC_FSM,482W,160CH</t>
  </si>
  <si>
    <t>UD TV SMPS;LEDTV,L78SM9NCN_FSM,324,200CH</t>
  </si>
  <si>
    <t>LED MONITOR SMPS;LED-MONITOR,P6514_FSM,6</t>
  </si>
  <si>
    <t>LED TV SMPS;LED back light LCD MONITOR,P6514N_MSM,65</t>
  </si>
  <si>
    <t>LED TV SMPS;LCD-TV,PD22AF0D,65W,5CH,90~2</t>
  </si>
  <si>
    <t>LED TV SMPS;LEDTV,L32S0_DSM,66W,5CH,90~2</t>
  </si>
  <si>
    <t>LED TV SMPS;LEDTV,L32S0E_DSM,66W,5CH,90V</t>
  </si>
  <si>
    <t>PSLF671F05A</t>
  </si>
  <si>
    <t>LED TV SMPS;LEDTVSMPS,L85D2LA_DSM,675,4C</t>
  </si>
  <si>
    <t>LED TV SMPS;LED-TV,PD27A0Q_CSM,68W,5CH,1</t>
  </si>
  <si>
    <t>LED TV SMPS;PDSIim(LEDTV),PD32AVS,68W,5C</t>
  </si>
  <si>
    <t>PSLF720401A</t>
  </si>
  <si>
    <t>LED TV SMPS;LEDTV,32D72W1,72W,4Ch,99Vac~</t>
  </si>
  <si>
    <t>LED MONITOR SMPS;LFDPower,F32SF_ESM,73W,</t>
  </si>
  <si>
    <t>LED MONITOR SMPS;LEDMONITOR,F32SFN_ESM,7</t>
  </si>
  <si>
    <t>LED MONITOR SMPS;LED MONITOR,F32SFN_ESM,73W,3Ch,90Vac~264</t>
  </si>
  <si>
    <t>LED TV SMPS;LEDTV,L32SF_ESM,72W,3CH,90Va</t>
  </si>
  <si>
    <t>LED LFD SMPS;LFD,F32SF_FSM,72W,2Ch(A13V+</t>
  </si>
  <si>
    <t>LED LFD SMPS;LFD,F32SF_FSM,72W,2Ch (A13V + LED),90-26</t>
  </si>
  <si>
    <t>LED TV SMPS;LEDTV,L32SF_FSM,72W,2CH,90Va</t>
  </si>
  <si>
    <t>LED TV SMPS;LED TV,L32SF_FSM,78W,3Ch (LED 1Ch),90Vac</t>
  </si>
  <si>
    <t>LED TV SMPS;LEDTV,L32SFN_FSM,72W,2CH,90V</t>
  </si>
  <si>
    <t>LED TV SMPS;LEDTV,L32SF_FSMT,72W,2CH,90V</t>
  </si>
  <si>
    <t>LED MONITOR SMPS;Monitor(LFD),OPS76W,76W</t>
  </si>
  <si>
    <t>LED LFD SMPS;LEDMONITOR,PD32AV1_LFD,60W,</t>
  </si>
  <si>
    <t>LED TV SMPS;PDSIim(LEDTV),PD40AVF,80W,5C</t>
  </si>
  <si>
    <t>LED LFD SMPS;LEDMONITOR,F32VF1_DSM,77W,5</t>
  </si>
  <si>
    <t>LED TV SMPS;LEDTV,L32SF_DSM,77W,5CH,90~2</t>
  </si>
  <si>
    <t>LED TV SMPS;LEDTV,L32HF_ESM,78W,1CH,90Va</t>
  </si>
  <si>
    <t>LED TV SMPS;LEDTV,L32HFN_ESM,78W,1CH,90V</t>
  </si>
  <si>
    <t>LED TV SMPS;PDSIim(LEDTV),PD32A1,79W,5CH</t>
  </si>
  <si>
    <t>LED LFD SMPS;LFDPower,EDC32A1_DSM,79W,5,</t>
  </si>
  <si>
    <t>LED TV SMPS;PDSIim(LEDTV),PD32B1D,90W,5C</t>
  </si>
  <si>
    <t>LED TV SMPS;LEDTV,PD32B1DE,90W,5CH,90~26</t>
  </si>
  <si>
    <t>LED TV SMPS;LEDTV,PD32B1DN,79W,5CH,90~26</t>
  </si>
  <si>
    <t>PSLF790D04E</t>
  </si>
  <si>
    <t>LED TV SMPS;LEDTV,PD32DV1_CSM,79W,5CH,90</t>
  </si>
  <si>
    <t>LED TV SMPS;LEDTV,PD32A0,80W,5CH,90~264V</t>
  </si>
  <si>
    <t>LED TV SMPS;LEDTV,PD32AF,70W,5CH,90~264V</t>
  </si>
  <si>
    <t>LED TV SMPS;LEDTV,PD32G0SN_BSM,,4CH,90~2</t>
  </si>
  <si>
    <t>LED TV SMPS;LEDTV,PD26G0SN_BSM,,5CH,90~2</t>
  </si>
  <si>
    <t>LED TV SMPS;LEDTV,PD32G0S_BSM,,4CH,90~26</t>
  </si>
  <si>
    <t>PSLF810S05A</t>
  </si>
  <si>
    <t>LED TV SMPS;LEDTV,L32S1_DSM,81W,5CH,90~2</t>
  </si>
  <si>
    <t>PSLF810S05B</t>
  </si>
  <si>
    <t>LCD TV SMPS;LEDTV,L32S1N_DSM,81W,5CH,90V</t>
  </si>
  <si>
    <t>LED TV SMPS;LEDTV,L32S1P_DSM,91W,5CH,90V</t>
  </si>
  <si>
    <t>LED MONITOR SMPS;LED-MONITOR,P8514_FSM,8</t>
  </si>
  <si>
    <t>LED TV SMPS;LEDTVSMPS,T40-AS,85W,4CH,90-</t>
  </si>
  <si>
    <t>LED TV SMPS;PDSIim(LEDTV),PD46AVF,86W,5C</t>
  </si>
  <si>
    <t>LED TV SMPS;LEDTV,L40GFB_ESM,87W,2Ch(A13</t>
  </si>
  <si>
    <t>LED TV SMPS;LEDTV,L40G0B_ESM(KA),87W,2Ch</t>
  </si>
  <si>
    <t>LED TV SMPS;LEDTV,L40G0BN_ESM,87W,1CH,90</t>
  </si>
  <si>
    <t>PSLF880S05A</t>
  </si>
  <si>
    <t>LED TV SMPS;LEDTV,L32SS_DSM,88W,5CH,90~2</t>
  </si>
  <si>
    <t>UD TV SMPS;LEDTV,L88SM9NA_FSM,577W,4CH,9</t>
  </si>
  <si>
    <t>UD TV SMPS;LEDTV,L88SM9NB_FSM,577W,,90Va</t>
  </si>
  <si>
    <t>UD TV SMPS;LEDTV,L88SM9NC_FSM,577W,120H,</t>
  </si>
  <si>
    <t>UD TV SMPS;LEDTV,L88SM9ND_FSM,577W,120H,</t>
  </si>
  <si>
    <t>LED TV SMPS;LED TV SMPS,LT85_DRV,89.6W,112CH,19VDC,3</t>
  </si>
  <si>
    <t>LED TV SMPS;PDSIim(LEDTV),PD46AV1,108W,5</t>
  </si>
  <si>
    <t>LED TV SMPS;LEDTV,PD46AV1N,130W,5CH,90~2</t>
  </si>
  <si>
    <t>LED TV SMPS;LEDTV,PD46CV1_CSM,110W,5CH,9</t>
  </si>
  <si>
    <t>LED TV SMPS;LEDTV,L40GF_ESM,93W,5CH,90Va</t>
  </si>
  <si>
    <t>LED TV SMPS;LEDTV,L40HFP_ESM,94W,1CH,90V</t>
  </si>
  <si>
    <t>LED TV SMPS;LEDTV,L48GFB_ESM,97W,2Ch(A13</t>
  </si>
  <si>
    <t>LED TV SMPS;LEDTV,L48G0BN_ESM,97W,1CH,AC</t>
  </si>
  <si>
    <t>LED TV SMPS;LEDTV,L48G0BS_ESM,97W,2Ch(A1</t>
  </si>
  <si>
    <t>LED TV SMPS;LEDTV,L48G0B_ESM,97W,2Ch(A13</t>
  </si>
  <si>
    <t>LED TV SMPS;LEDTV,L32CS1_FSM,98W,2CH,90V</t>
  </si>
  <si>
    <t>LED TV SMPS;LEDTV,L32CS1N_FSM,98W,2CH,90</t>
  </si>
  <si>
    <t>LED LFD SMPS;LEDMonitor,F48G0B_ESM,98W,3</t>
  </si>
  <si>
    <t>LED LFD SMPS;LEDMonitor,F48G0BN_ESM,98W,</t>
  </si>
  <si>
    <t>LED TV SMPS;LEDTV,L40GFP_DSM,94W,1CH,90V</t>
  </si>
  <si>
    <t>LED TV SMPS;LEDTV,L42SF_DSM(VE),110W,5CH</t>
  </si>
  <si>
    <t>LED TV SMPS;LEDTV,L42SF_ESM,99W,1CH,90Va</t>
  </si>
  <si>
    <t>PSLL111302M</t>
  </si>
  <si>
    <t>LED TV SMPS;LEDTV,JVC42(EM42FTR),110W,1C</t>
  </si>
  <si>
    <t>LED TV SMPS;LEDbacklightLCDTV,E40-D0,110</t>
  </si>
  <si>
    <t>LED TV SMPS;LEDbacklightLCDTV,EM43,120W,</t>
  </si>
  <si>
    <t>LED TV SMPS;LED back light LCD TV,EM43A,120W,4CH,99-</t>
  </si>
  <si>
    <t>COMPAL DISPLAY ELECTRONICS (KUNSHAN) CO.,LTD</t>
  </si>
  <si>
    <t>LED TV SMPS;LED TV SMPS,UCI4,120W,5CH,108-132VAC,5V1</t>
  </si>
  <si>
    <t>Wistron Infocomm (ZhongShan) Corporation</t>
  </si>
  <si>
    <t>LED TV SMPS;LED TV SMPS,E50-F2,129W,2CH,108-132VAC,1</t>
  </si>
  <si>
    <t>PSLL131605M</t>
  </si>
  <si>
    <t>LED TV SMPS;LEDbacklightLCDTV,E48-D0,130</t>
  </si>
  <si>
    <t>LED TV SMPS;LEDbacklightLCDTV,J48D,140W,</t>
  </si>
  <si>
    <t>LED TV SMPS;LED TV SMPS,50U,155W,7CH,90-110VAC,5.1V/</t>
  </si>
  <si>
    <t>LED TV SMPS;LED TV SMPS,D55-F2,157.1W,2CH,108-132VAC</t>
  </si>
  <si>
    <t>LED TV SMPS;LEDbacklightLCDTV,E55-D0,160</t>
  </si>
  <si>
    <t>LED TV SMPS;LED TV SMPS,E55-E2,170W,,102V-138VAC,A12</t>
  </si>
  <si>
    <t>LED TV SMPS;LED TV SMPS,TAM9,165W,4CH,108-132VAC,5V1</t>
  </si>
  <si>
    <t>PSLL181301M</t>
  </si>
  <si>
    <t>LED TV SMPS;LEDTV,JVC55(EM55FT),180W,1CH</t>
  </si>
  <si>
    <t>LED TV SMPS;LEDTVSMPS,E55U-D2,197.1W,3CH</t>
  </si>
  <si>
    <t>LED TV SMPS;LED back light LCD TV,E65-E0,210W,1ch,99</t>
  </si>
  <si>
    <t>LED TV SMPS;LED TV SMPS,E75-F2,219.5W,2CH,108-132VAC</t>
  </si>
  <si>
    <t>LED TV SMPS;LEDbacklightLCDTV,EM65,200W,</t>
  </si>
  <si>
    <t>LED TV SMPS;LEDbacklightLCDTV,LC65A,220W</t>
  </si>
  <si>
    <t>PSLL221B05M</t>
  </si>
  <si>
    <t>LED TV SMPS;LEDbacklightLCDTV,E55u-D0,22</t>
  </si>
  <si>
    <t>LED TV SMPS;SMPS,M55-D0,240W,2ch,99-132,</t>
  </si>
  <si>
    <t>LED TV SMPS;LED back light LCD TV,M55-E0,240W,2ch,99</t>
  </si>
  <si>
    <t>황보 영</t>
  </si>
  <si>
    <t>LED TV SMPS;LEDTVSMPS,SBA43T,80W,5CH,100</t>
  </si>
  <si>
    <t>PSLL950201M</t>
  </si>
  <si>
    <t>LED TV SMPS;LEDbacklightLCDTV,EM40,95W,1</t>
  </si>
  <si>
    <t>LAMP LIGHT;SLB350N621N1A,General,23-50V,31W,±10%,,</t>
  </si>
  <si>
    <t>LAMP LIGHT;SLB400N701N1A,General,23~50V,35W,±10%,,</t>
  </si>
  <si>
    <t>LAMP LIGHT;SLB400N701N1A,Samsung,23~50V,35W,±10%,,</t>
  </si>
  <si>
    <t>LAMP LIGHT;SLB450N801N1A,General,23~50V,40W,±10%,,</t>
  </si>
  <si>
    <t>PSNH450801C</t>
  </si>
  <si>
    <t>LAMP LIGHT;SLB450N801N1A,Samsung,23~50V,40W,±10%,,</t>
  </si>
  <si>
    <t>LAMP LIGHT;SLB460N102N1A,General,18-38V,40W,±10%,,</t>
  </si>
  <si>
    <t>PSNH460102B</t>
  </si>
  <si>
    <t>LAMP LIGHT;SLB470N102N1A,General,18-40V,40W,±10%,,</t>
  </si>
  <si>
    <t>LAMP LIGHT;SLB520N901N1A,General,23~50V,45W,±10%,,</t>
  </si>
  <si>
    <t>LAMP LIGHT;SLB520N901N1A,Samsung,23~50V,45W,±10%,,</t>
  </si>
  <si>
    <t>LAMP LIGHT;SLB530N122N1A,General,18-38V,46W,±10%,,</t>
  </si>
  <si>
    <t>PSNH530122D</t>
  </si>
  <si>
    <t>LAMP LIGHT;SLB530N122N1A,Samsung,18-38V,46W,±10%,,</t>
  </si>
  <si>
    <t>LAMP LIGHT;SLB600N132N1A,General,18-38V,52W,±10%,,</t>
  </si>
  <si>
    <t>LAMP LIGHT;SLW100N181N1A,General,23-45V,8W,±10%,,1</t>
  </si>
  <si>
    <t>LAMP LIGHT;SLW170N571N1E,Samsung,17-26V,15W,±10%,,</t>
  </si>
  <si>
    <t>LAMP LIGHT;SLW230N421N1A,General,23~50V,21W,±10%,,</t>
  </si>
  <si>
    <t>LAMP LIGHT;SLW230N421N1A,Samsung,23~50V,21W,±10%,,</t>
  </si>
  <si>
    <t>LAMP LIGHT;SLW240N441N1A,General,23-50V,22W,±10%,,</t>
  </si>
  <si>
    <t>LAMP LIGHT;SLW320N571N1A,General,23~50V,28W,±10%,T</t>
  </si>
  <si>
    <t>(주)지에스알텍</t>
  </si>
  <si>
    <t>LAMP LIGHT;SLW320N571N1A,Samsung,23~50V,28W,±10%,T</t>
  </si>
  <si>
    <t>LAMP LIGHT;SLW320N571N1E,General,23~50V,28W,±10%,T</t>
  </si>
  <si>
    <t>LAMP LIGHT;SLW320N571N1E,Samsung,23~50V,28W,±10%,T</t>
  </si>
  <si>
    <t>LAMP LIGHT;OLB131P701N1A,General,65~160V,113W,±10%</t>
  </si>
  <si>
    <t>코칩(주)</t>
  </si>
  <si>
    <t>LAMP LIGHT;OLB420P901N1A,900mA,23~40,20~36,±10%,Ha</t>
  </si>
  <si>
    <t>LAMP LIGHT;OLB470P102N1A,1050mA,23~43,29~43,±10%,H</t>
  </si>
  <si>
    <t>LAMP LIGHT;OLB500P701N1A,700mA,40~65,28~46</t>
  </si>
  <si>
    <t>LAMP LIGHT;OLB500P701N1A,SAMT,40~65,28~46,±10%,KET</t>
  </si>
  <si>
    <t>LAMP LIGHT;OLU121P142U1A,General,50~80V,113W,±10%,</t>
  </si>
  <si>
    <t>LAMP LIGHT;OLU121P212U1A,General,34~52V,113W,±10%,</t>
  </si>
  <si>
    <t>LAMP LIGHT;OLU121P282U1A,,24~43V,65~130,±10%,Harne</t>
  </si>
  <si>
    <t>LAMP LIGHT;OLU121P701U1A,General,90~160V,113W,±10%</t>
  </si>
  <si>
    <t>LAMP LIGHT;OLU131P701U1A,General,90~160V,113W,±10%</t>
  </si>
  <si>
    <t>LAMP LIGHT;OLU131P701N1A,-,90~160V,113W,±10%,-,120</t>
  </si>
  <si>
    <t>LAMP LIGHT;OLU131P701N1A,General,90~160V,113W,±10%</t>
  </si>
  <si>
    <t>LAMP LIGHT;OLU151P422U1A,,24~37V,100~160,±10%,Harn</t>
  </si>
  <si>
    <t>LAMP LIGHT;OLU201P162A1U,Cooper,75-200Vdc,200W,,2Pi</t>
  </si>
  <si>
    <t>LAMP LIGHT;OLU201P562U1A,,27~33V,150~190,±10%,Harn</t>
  </si>
  <si>
    <t>LAMP LIGHT;OLU201P701U1A,General,160-250V,185W,±10</t>
  </si>
  <si>
    <t>LAMP LIGHT;OLU201P701N1A,,160-250V,185W,±10%,Wire,</t>
  </si>
  <si>
    <t>WALLPACK LIGHT;OLU250P351U1U,Hubbell,27-54V,25W,+-10%,W</t>
  </si>
  <si>
    <t>LAMP LIGHT;OLW250P701N1A,700mA,18~32,12~23</t>
  </si>
  <si>
    <t>LAMP LIGHT;OLU300P601U1U,,20~38,12~22.8,±10%,Harne</t>
  </si>
  <si>
    <t>LAMP LIGHT;OLU530P122U1U,,20~38,24~45.6,±10%,Harne</t>
  </si>
  <si>
    <t>LAMP LIGHT;OLU550P102U1A,1050mA,25~46,18~48,±10%,H</t>
  </si>
  <si>
    <t>LAMP LIGHT;OLU750P701U1A,700mA,55~94,66~83,±10%,Ha</t>
  </si>
  <si>
    <t>LAMP LIGHT;OLU750P701N1A,,55~94V,66W,10%,Harness(KC</t>
  </si>
  <si>
    <t>LAMP LIGHT;OLU750P701U1A,,55~94,66~83,±10%,Harness</t>
  </si>
  <si>
    <t>LAMP LIGHT;OLU750P701U1U,SMAT,55~94,66~83,±10%,Har</t>
  </si>
  <si>
    <t>LAMP LIGHT;OLU850P182U1U,,20~38,36~68.4,±10%,Harne</t>
  </si>
  <si>
    <t>LAMP LIGHT;OLU900P212U1A,,20~38,42~80,±10%,Harness</t>
  </si>
  <si>
    <t>PDP TV SMPS;PDP-TV,P43HF_DSM,230W,5CH,85</t>
  </si>
  <si>
    <t>PSPF251501A</t>
  </si>
  <si>
    <t>PDP TV SMPS;PDP-TV,SECVD43HDPDPSMPS(P43H</t>
  </si>
  <si>
    <t>PDP TV SMPS;PDP-TV,P51HF_DSM,250W,5CH,90</t>
  </si>
  <si>
    <t>PDP TV SMPS;PDPTV,P51LF_DSM,230W,5CH,85V</t>
  </si>
  <si>
    <t>PDP TV SMPS;PDPTV,P51LN_DSM,230W,5CH,85V</t>
  </si>
  <si>
    <t>PDP TV SMPS;PDPTV,P51HF_ESM,245W,5CH,90~</t>
  </si>
  <si>
    <t>PSPF291501A</t>
  </si>
  <si>
    <t>PDP TV SMPS;PDP-TV,SECVD51HDPDPSMPS(P51H</t>
  </si>
  <si>
    <t>PDP TV SMPS;PDP-TV,P51FF_DSM,360W,5CH,90</t>
  </si>
  <si>
    <t>PDP TV SMPS;PDPTV,P51FN_DSM,360W,5CH,90~</t>
  </si>
  <si>
    <t>PDP TV SMPS;PDPTV,P51FF_ESM,350W,5CH,90~</t>
  </si>
  <si>
    <t>PDP TV SMPS;PDP-TV,P60QF_DSM,370W,5CH,90</t>
  </si>
  <si>
    <t>PDP TV SMPS;PDPTV,P60QN_DSM,365W,5CH,90~</t>
  </si>
  <si>
    <t>PDP TV SMPS;PDPTV,P60QF_ESM,360W,5CH,90~</t>
  </si>
  <si>
    <t>PSPF381501B</t>
  </si>
  <si>
    <t>PDP TV SMPS;PDPTV,P51SI_CSM,380W,5CH,90~</t>
  </si>
  <si>
    <t>PDP TV SMPS;PDPTV,P60PW_CSM,360W,5CH,90~</t>
  </si>
  <si>
    <t>PSPF411501A</t>
  </si>
  <si>
    <t>PDP TV SMPS;PDP-TV,U2P_50HD,410W,5CH,90~</t>
  </si>
  <si>
    <t>PDP TV SMPS;PDP-TV,ACE-242HD,380W,7CH,90</t>
  </si>
  <si>
    <t>PDP TV SMPS;PDP-TV,SECPDPU150HD32mm,481.</t>
  </si>
  <si>
    <t>PDP TV SMPS;PDP-TV,UF2_63HD,570W,6CH,85~</t>
  </si>
  <si>
    <t>PDP TV SMPS;PDP-TV,P60FP-DSM,750W,5CH,85</t>
  </si>
  <si>
    <t>PDP TV SMPS;PDP-TV,P64FP-DSM,880W,5CH,90</t>
  </si>
  <si>
    <t>PSPF881503A(US)</t>
  </si>
  <si>
    <t>PDP TV SMPS;PDP-TV,P64PF_DSM(US),885W,5C</t>
  </si>
  <si>
    <t>PSQH350621A</t>
  </si>
  <si>
    <t>LAMP LIGHT;ULB350S621N1A,General,23-50V,25W,±10%,,</t>
  </si>
  <si>
    <t>LAMP LIGHT;ULB400S701N1A,General,23-50V,35W,±10%,,</t>
  </si>
  <si>
    <t>PSQH450801A</t>
  </si>
  <si>
    <t>LAMP LIGHT;ULB450S801N1A,General,23-50V,40W,±10%,,</t>
  </si>
  <si>
    <t>LAMP LIGHT;ULB470S102N1A,General,18-40V,40W,±10%,,</t>
  </si>
  <si>
    <t>PSQH520901A</t>
  </si>
  <si>
    <t>LAMP LIGHT;ULB520S901N1A,General,23-50V,45W,±10%,,</t>
  </si>
  <si>
    <t>PSQH550122A</t>
  </si>
  <si>
    <t>LAMP LIGHT;ULB550S122N1A,General,18-40V,48W,±10%,,</t>
  </si>
  <si>
    <t>PSQV240441A</t>
  </si>
  <si>
    <t>LAMP LIGHT;ULW240S441N1A,General,23-50V,22W,±10%,,</t>
  </si>
  <si>
    <t>PSQV320571A</t>
  </si>
  <si>
    <t>LAMP LIGHT;ULW320S571N1A,General,23-50V,29W,±10%,,</t>
  </si>
  <si>
    <t>EXTREME NETWORKS INC.</t>
  </si>
  <si>
    <t>SERVER SMPS;ServerSMPS,E1100WF,1100W,1CH</t>
  </si>
  <si>
    <t>SERVER SMPS;ServerSMPS,E1100WR,1100W,1CH</t>
  </si>
  <si>
    <t>Lenovo Systems Technology Limited</t>
  </si>
  <si>
    <t>SERVER SMPS;IBM/LenovoACDC1300W(SERVER),</t>
  </si>
  <si>
    <t>Mitac International</t>
  </si>
  <si>
    <t>SERVER SMPS;INTEL ACDC 1300W (SERVER),CRPS1300W,1300</t>
  </si>
  <si>
    <t>INTEL PRODUCTS (M) SDN BHD</t>
  </si>
  <si>
    <t>TECH-COM(APPLE:CN)</t>
  </si>
  <si>
    <t>SERVER SMPS;INTEL1600W(SERVERSMPS),INTEL</t>
  </si>
  <si>
    <t>AVNET INC.</t>
  </si>
  <si>
    <t>SERVER SMPS;ServerPower,SGI1600W,1600W,1</t>
  </si>
  <si>
    <t>Google Inc</t>
  </si>
  <si>
    <t>SERVER SMPS;StandardSMPS200W(ServerPower</t>
  </si>
  <si>
    <t>VANDER-BEND MANUFACTURING</t>
  </si>
  <si>
    <t>SERVER SMPS;IntelCRPSACDC2200W,Intel2200</t>
  </si>
  <si>
    <t>SERVER SMPS;SERVER SMPS,INTEL ACDC 2130W,2130W,2CH,9</t>
  </si>
  <si>
    <t>SERVER SMPS;Server SMPS,E350WF,350W,1CH,100VAC ~ 264</t>
  </si>
  <si>
    <t>SERVER SMPS;Server SMPS,E350WR,350W,1CH,100VAC ~ 264</t>
  </si>
  <si>
    <t>SERVER SMPS;ServerSMPS,E715WF,715W,1CH,1</t>
  </si>
  <si>
    <t>SERVER SMPS;ServerSMPS,E715WR,715W,1CH,1</t>
  </si>
  <si>
    <t>SUPERMICRO COMPUTER, INC.</t>
  </si>
  <si>
    <t>SERVER SMPS;ServerSMPS,AD750W,750W,2CH,9</t>
  </si>
  <si>
    <t>SERVER SMPS;ServerSMPS,S750W(203mm),750W</t>
  </si>
  <si>
    <t>SuperMicro Computer, BV</t>
  </si>
  <si>
    <t>SERVER SMPS;Supermicro 750W Reverse SMPS,S750W-R,750W,2CH,90VAC ~ 264VAC,+12V/62.5A , +12VSB/2.1A,0.</t>
  </si>
  <si>
    <t>ALPHA  NETWORKS INC</t>
  </si>
  <si>
    <t>SERVER SMPS;Extreme750WSMPS,Ocelot750W,7</t>
  </si>
  <si>
    <t>SERVER SMPS;SERVER SMPS,S800WT,800W,2CH,900VAC~264VA</t>
  </si>
  <si>
    <t>CRAY INC.</t>
  </si>
  <si>
    <t>SERVER SMPS;APPRO1600W(SERVERSMPS),APPRO</t>
  </si>
  <si>
    <t>SERVER SMPS;CRAYACDC2200W(SERVERSMPS),CR</t>
  </si>
  <si>
    <t>SERVER SMPS;SERVER SMPS,CRAY2200W_Latch,2200W,2CH,20</t>
  </si>
  <si>
    <t>SERVER SMPS;ServerPowerGoogleVFD550W,VFD</t>
  </si>
  <si>
    <t>SANYU TECHNOLOGY(Flextronics X-BOX:HK)</t>
  </si>
  <si>
    <t>SERVER SMPS;ServerSMPS,JDD1600W,1600W,2C</t>
  </si>
  <si>
    <t>JUNIPER NETWORKS INC.</t>
  </si>
  <si>
    <t>SERVER SMPS;Server SMPS,JDD1600W-R,1600W,2CH,-40VDC</t>
  </si>
  <si>
    <t>SERVER SMPS;ServerSMPS,SDD1600W,1600W,2C</t>
  </si>
  <si>
    <t>SERVER SMPS;ExtremeDCDC300WSMPS(Networks</t>
  </si>
  <si>
    <t>ALPHA NETWORKS(CHANGSHU) LTD.</t>
  </si>
  <si>
    <t>SERVER SMPS;ServerSMPS,DD300WR,300W,2CH,</t>
  </si>
  <si>
    <t>LAMP LIGHT;OLU151P701N2A,700mA,80~100V,112~140W,±1</t>
  </si>
  <si>
    <t>LAMP LIGHT;OLU201P701N2A,700mA,80~130V,112~182W,±1</t>
  </si>
  <si>
    <t>테크노밸리</t>
  </si>
  <si>
    <t>ESL</t>
  </si>
  <si>
    <t>이병호</t>
  </si>
  <si>
    <t>EL026AATXX/WWW</t>
  </si>
  <si>
    <t>ESL;80.13 x 43.66 x 9.16 mm,-,-,-,-,-,-,-,-,</t>
  </si>
  <si>
    <t>세기정보통신(주)</t>
  </si>
  <si>
    <t>(주)브레인컨설팅</t>
  </si>
  <si>
    <t>이에스엘코리아 (주)</t>
  </si>
  <si>
    <t>(주)신세계아이앤씨</t>
  </si>
  <si>
    <t>최은경</t>
  </si>
  <si>
    <t>EL029AATXX/WWW</t>
  </si>
  <si>
    <t>ESL;89.25 x 46.15 x 9.82 mm,-,-,-,-,-,-,-,-,</t>
  </si>
  <si>
    <t>BISON</t>
  </si>
  <si>
    <t>최민웅</t>
  </si>
  <si>
    <t>EL042D2WRN1/EU</t>
  </si>
  <si>
    <t>ESL;103.4 X 92.7 X 15 mm_CC1310_RED_C,10mA �</t>
  </si>
  <si>
    <t>EUR</t>
  </si>
  <si>
    <t>EL133C2WRN/WWW</t>
  </si>
  <si>
    <t>ESL;223mm X 305.8mm X 17.8mm,10mA ↓,10mA �</t>
  </si>
  <si>
    <t>엠아이큐브솔루션(주)</t>
  </si>
  <si>
    <t>ADVANCED SECURITY TECHNOLOGY SYSTEM S.L.U (ASTS)</t>
  </si>
  <si>
    <t>이아라</t>
  </si>
  <si>
    <t>SEARS ROEBUCK &amp; CO</t>
  </si>
  <si>
    <t>전세욱</t>
  </si>
  <si>
    <t>Xplace GmbH</t>
  </si>
  <si>
    <t>MACY'S, INC.</t>
  </si>
  <si>
    <t>주식회사 엠오디</t>
  </si>
  <si>
    <t>ELS10AFWM0/NUS</t>
  </si>
  <si>
    <t>ESL;84.09 X 31.6 X19.21 mm,40mA,40mA,-,2405~</t>
  </si>
  <si>
    <t>METRO CASH &amp; CARRY DEUTSCHLAND GMBH</t>
  </si>
  <si>
    <t>신정국</t>
  </si>
  <si>
    <t>ESLAA029GE130</t>
  </si>
  <si>
    <t>ESL;93 X 43.9 X 12.4 mm_ANCHOR,30mA,30mA,-80</t>
  </si>
  <si>
    <t>Transit Components Inc.</t>
  </si>
  <si>
    <t>ESLAK089XX000</t>
  </si>
  <si>
    <t>ESL;12mm*89mm*2.93mm,,,,,,,,,</t>
  </si>
  <si>
    <t>INFOMIL</t>
  </si>
  <si>
    <t>AXYON DISTRIBUIDORA LTDA</t>
  </si>
  <si>
    <t>손아랑</t>
  </si>
  <si>
    <t>ESSELUNGA S.P.A.</t>
  </si>
  <si>
    <t>NOV</t>
  </si>
  <si>
    <t>SoluM Europe GmbH</t>
  </si>
  <si>
    <t>ESL 영업</t>
  </si>
  <si>
    <t>Teko Bilisim Hizmetleri</t>
  </si>
  <si>
    <t>All4Shop Ltd</t>
  </si>
  <si>
    <t>SELEC SA</t>
  </si>
  <si>
    <t>Huarun wanjia China Resources Vanguard Co.Ltd</t>
  </si>
  <si>
    <t>박성철</t>
  </si>
  <si>
    <t>롯데하이마트(주)</t>
  </si>
  <si>
    <t>ESLGM016FR133</t>
  </si>
  <si>
    <t>ESL;44.6 X 37.1 X 12.95 mm,30 mA,30 mA,~80%,</t>
  </si>
  <si>
    <t>ESLGM016FR13N</t>
  </si>
  <si>
    <t>ESL;43* 36 * 12,30 mA,30 mA,~80%,2405 ~2480 MHz,-90,-3~5 dBm,2.4 ~ 3.0V,0~40℃,</t>
  </si>
  <si>
    <t>ESLGM016XX000</t>
  </si>
  <si>
    <t>ESL;42.11*35.81*10.0,30mA,30mA,~80%,24</t>
  </si>
  <si>
    <t>PRO COMPONENT OY</t>
  </si>
  <si>
    <t>TOSHIBA TEC EUROPE RETAIL INFORMATION SYSTEMS N.V</t>
  </si>
  <si>
    <t>CENTRAL MAG</t>
  </si>
  <si>
    <t>WINCOR NIXDORF LLC</t>
  </si>
  <si>
    <t>SENSORLINE AS</t>
  </si>
  <si>
    <t>TESCO STORES LIMITED</t>
  </si>
  <si>
    <t>ESLGM016XX00N</t>
  </si>
  <si>
    <t>ESL;42.11*35.81*10.0NFC,30mA,30mA,~80</t>
  </si>
  <si>
    <t>ESLGM022FR13N</t>
  </si>
  <si>
    <t>ESL;64.0x 36.0x 12.0 mm,30 mA,30 mA,~80%,2405 ~2480 MHz,-88,-3~5 dBm,2.4 ~ 3.0V,0~40℃,</t>
  </si>
  <si>
    <t>삼성전자(주)</t>
  </si>
  <si>
    <t>ESLGM022XX000</t>
  </si>
  <si>
    <t>ESL;64.02*35.82*10.8,30mA,30mA,~80%,24</t>
  </si>
  <si>
    <t>LAUREL SZAMITASTECHNIKAI KFT</t>
  </si>
  <si>
    <t>ESLGM022XX00F</t>
  </si>
  <si>
    <t>ESL;72x39.35x12.4mm,30mA,30mA,~80%,2405M</t>
  </si>
  <si>
    <t>ESLGM022XX00N</t>
  </si>
  <si>
    <t>ESL;64.02*35.82*10.8NFC,30mA,30mA,~80</t>
  </si>
  <si>
    <t>ESLGM022XX0BF</t>
  </si>
  <si>
    <t>ESL;72x39.35x12.4mm,30 mA,30 mA,~80%,2405 MH</t>
  </si>
  <si>
    <t>DELHAIZE GROUP SA</t>
  </si>
  <si>
    <t>ESLGM022XX15F</t>
  </si>
  <si>
    <t>MYCOM SYSTEMS TRADING</t>
  </si>
  <si>
    <t>CPS OCean Indien( CPSRSL)</t>
  </si>
  <si>
    <t>ESLGM029XX000</t>
  </si>
  <si>
    <t>ESL;83.82*40.72*10.83,30mA,30mA,-80%,240</t>
  </si>
  <si>
    <t>ESLGM029XX00N</t>
  </si>
  <si>
    <t>ESL;83.82*40.72*10.83NFC,30mA,30mA,-80%</t>
  </si>
  <si>
    <t>ESLGM042XX000</t>
  </si>
  <si>
    <t>ESL;102.46*85.93*14.4,35mA,35mA,20-60RH,</t>
  </si>
  <si>
    <t>ESLGM042XX00N</t>
  </si>
  <si>
    <t>EUROSEC</t>
  </si>
  <si>
    <t>REAL</t>
  </si>
  <si>
    <t>ESLGM060US140</t>
  </si>
  <si>
    <t>ESL;134.4*109.5*14.2(mm),30mA(TBD),30mA(</t>
  </si>
  <si>
    <t>ESLGM060XX00N</t>
  </si>
  <si>
    <t>ESL;52.8*107.1*16(mm),30mA,30mA,-80%,240</t>
  </si>
  <si>
    <t>GL GROUP SA</t>
  </si>
  <si>
    <t>ESLGM060XX13N</t>
  </si>
  <si>
    <t>ESL;134.4*109.5*14.2(mm),30(mA) _TBD,30(mA)</t>
  </si>
  <si>
    <t>ESLGM074XX00N</t>
  </si>
  <si>
    <t>ESL;179.5*121.7*14.2(mm)_NFC,30(mA) _TBD,30(mA) _TBD,,2405 -2480(MHz),-90 _TBD,3 - 5(dBm) _TBD,3(V),</t>
  </si>
  <si>
    <t>ESLGM075XX00N</t>
  </si>
  <si>
    <t>ESL;181 mm X 123 mm X 15.5 mm_NFC,37mA,30mA_</t>
  </si>
  <si>
    <t>ESLGR016XX000</t>
  </si>
  <si>
    <t>ESL;24.11*35.81*10.0,30mA,30mA,~80,2405~2480</t>
  </si>
  <si>
    <t>ALLCOM CHILE S.A</t>
  </si>
  <si>
    <t>ESLGR016XX00N</t>
  </si>
  <si>
    <t>ESL;84.8x41.7x12.34,30mA,30mA,70%,2.4GHz</t>
  </si>
  <si>
    <t>Krefel</t>
  </si>
  <si>
    <t>Xplace Dijital cozum Ltd. sti.</t>
  </si>
  <si>
    <t>ESLGR016XX0B0</t>
  </si>
  <si>
    <t>ESL;24.11*35.81*10.0,30mA,30mA,~80,2.4 GHz,-</t>
  </si>
  <si>
    <t>ESLGR016XX0BL</t>
  </si>
  <si>
    <t>ESL;24.11*35.81*10.0(BLACK),30mA,30mA,~80,24</t>
  </si>
  <si>
    <t>ESLGR016XX0BN</t>
  </si>
  <si>
    <t>(주)아모레퍼시픽</t>
  </si>
  <si>
    <t>ESLGR016XX0CN</t>
  </si>
  <si>
    <t>ESL;24.11*35.81*10.0(Cool Gray),30mA,30mA,~8</t>
  </si>
  <si>
    <t>ESLGR016XX0GN</t>
  </si>
  <si>
    <t>ESL;24.11*35.81*10.0(green),30mA,30mA,~80,24</t>
  </si>
  <si>
    <t>ESLGR022KR03N</t>
  </si>
  <si>
    <t>ESL;64.02 * 35.82 * 10.8(E_MART),30mA,30mA,~</t>
  </si>
  <si>
    <t>ESLGR022KR04N</t>
  </si>
  <si>
    <t>ESL;64.02 * 35.82 * 10.8(lotte),30mA,30mA,~7</t>
  </si>
  <si>
    <t>ESLGR022US180(A)</t>
  </si>
  <si>
    <t>ESL;76mm*63mm*50mm,-,-,-,-,-,-,-,-,-</t>
  </si>
  <si>
    <t>ESLGR022US18N</t>
  </si>
  <si>
    <t>ESL;91.2*140.8*9.9_NFC,30mA,30mA,~70,2.4GHz,</t>
  </si>
  <si>
    <t>ESLGR022XX000</t>
  </si>
  <si>
    <t>ESL;64.02 * 35.82 * 10.8,30mA,30mA,~70%,2.4G</t>
  </si>
  <si>
    <t>RED QUEEN TECHNOLOGY SA DE CV</t>
  </si>
  <si>
    <t>ESLGR022XX00L</t>
  </si>
  <si>
    <t>ESLGR022XX00N</t>
  </si>
  <si>
    <t>ESLGR022XX0B0</t>
  </si>
  <si>
    <t>ESL;64.02 * 35.82 * 10.8(BLACK, NON NFC),30m</t>
  </si>
  <si>
    <t>ESLGR022XX0BN</t>
  </si>
  <si>
    <t>ESL;64.02 * 35.82 * 10.8(BLAKC CASE),30mA,30</t>
  </si>
  <si>
    <t>ESLGR022XX0CN</t>
  </si>
  <si>
    <t>ESL;64.02 * 35.82 * 10.8(Cool Gray),30mA,30m</t>
  </si>
  <si>
    <t>ESLGR026KR04BN</t>
  </si>
  <si>
    <t>ESL;76.8 X 40.5 X 11.88_Red_NFC_Lotte_Black,</t>
  </si>
  <si>
    <t>ESLGR026KR04N</t>
  </si>
  <si>
    <t>ESL;76.8 X 40.5 X 11.88(lotte),30mA,30mA,~80</t>
  </si>
  <si>
    <t>ESLGR026XX000</t>
  </si>
  <si>
    <t>ESL;76.8 X 40.5 X 11.88_Red,30mA,30mA,~80%,2</t>
  </si>
  <si>
    <t>ESLGR026XX00N</t>
  </si>
  <si>
    <t>ESL;76.8 X 40.5 X 11.88_Red_NFC,30mA,30mA,~8</t>
  </si>
  <si>
    <t>ESLGR026XX0B0</t>
  </si>
  <si>
    <t>ESL;76.8 X 40.5 X 11.88_Red_Blackcase,30mA,3</t>
  </si>
  <si>
    <t>ESLGR026XX0BL</t>
  </si>
  <si>
    <t>ESL;76.8 X 40.5 X 11.88_BALCK,30mA,30mA,~80%</t>
  </si>
  <si>
    <t>ESLGR026XX0BN</t>
  </si>
  <si>
    <t>ESL;76.8 X 40.5 X 11.88_Red_NFC_Blackcase,30</t>
  </si>
  <si>
    <t>ESLGR026XX0GN</t>
  </si>
  <si>
    <t>ESL;76.8 X 40.5 X 11.88(GREEN),30mA,30mA,~80</t>
  </si>
  <si>
    <t>ESLGR027XX00N</t>
  </si>
  <si>
    <t>ESL;75.44*50.02*11.53,30mA,30mA,70%,2.4GHz,-</t>
  </si>
  <si>
    <t>ESLGR029KR03N</t>
  </si>
  <si>
    <t>ESL;84.8x41.7x12.34(E_MART),30mA,30mA,70%,2.</t>
  </si>
  <si>
    <t>ESLGR029KR04N</t>
  </si>
  <si>
    <t>ESL;84.8x41.7x12.34,30mA,30mA,70%,2.4GHz,-90</t>
  </si>
  <si>
    <t>ESLGR029US180(A)</t>
  </si>
  <si>
    <t>ESL;80mm*34mm*30mm,-,-,-,-,-,-,-,-,-</t>
  </si>
  <si>
    <t>ESLGR029US18N</t>
  </si>
  <si>
    <t>ESL;93*42*8_NFC,30mA,30mA,~70,2405MHz,-90,0d</t>
  </si>
  <si>
    <t>ESLGR029XX000</t>
  </si>
  <si>
    <t>ESL;84.8*41.7*12.34,30mA,30mA,70%,2.4GHz</t>
  </si>
  <si>
    <t>ESLGR029XX00L</t>
  </si>
  <si>
    <t>ESL;84.8*41.7*12.34,30mA,30mA,20~60,2.4GHz,-</t>
  </si>
  <si>
    <t>ESLGR029XX00M</t>
  </si>
  <si>
    <t>ESL;84.8x41.7x12.34_marvell,30mA,30mA,70%,2.</t>
  </si>
  <si>
    <t>ESLGR029XX00N</t>
  </si>
  <si>
    <t>ESLGR029XX0B0</t>
  </si>
  <si>
    <t>ESL;84.8x41.7x12.34(BLACK,NON NFC),30mA,30mA</t>
  </si>
  <si>
    <t>ESLGR029XX0BN</t>
  </si>
  <si>
    <t>ESL;84.8x41.7x12.34(BLACK),30mA,30mA,70%,2.4</t>
  </si>
  <si>
    <t>ESLGR033XX00N</t>
  </si>
  <si>
    <t>ESL;87*58*12,30mA,30mA,~80%,2400-2480 MHz,-9</t>
  </si>
  <si>
    <t>REWE SYSTEMS GMBH</t>
  </si>
  <si>
    <t>ESLGR042GE020</t>
  </si>
  <si>
    <t>ESL;102.46*85.93*15.6,35mA,35mA,20-60RH,</t>
  </si>
  <si>
    <t>ESLGR042KR04N</t>
  </si>
  <si>
    <t>ESL;103.5x87.5x14.5(lotte),33mA,33mA,20-60RH</t>
  </si>
  <si>
    <t>ESLGR042XX00L</t>
  </si>
  <si>
    <t>ESL;103.5*87.5*14.5,30mA,30mA,20~65%,2.4GHz,</t>
  </si>
  <si>
    <t>ESLGR042XX00N</t>
  </si>
  <si>
    <t>ESL;103.5x87.5x14.5,33mA,33mA,20-60RH,2.</t>
  </si>
  <si>
    <t>ESLGR042XX0BL</t>
  </si>
  <si>
    <t>ESL;103.5*87.5*14.5_black case,30mA,30mA,20~</t>
  </si>
  <si>
    <t>ESLGR042XX0BN</t>
  </si>
  <si>
    <t>ESL;103.5x87.5x14.5,33mA,33mA,35-70RH,2.4GHz</t>
  </si>
  <si>
    <t>ESLGR043KR03N</t>
  </si>
  <si>
    <t>ESL;129.45*41.0*12.7(Emart_every),33mA,30mA,</t>
  </si>
  <si>
    <t>ESLGR060XX13N</t>
  </si>
  <si>
    <t>ESL;134.4*109.5*14.2(mm),30(mA),Red,NFC,6.0inch</t>
  </si>
  <si>
    <t>ESLGR074XX00N</t>
  </si>
  <si>
    <t>ESL;179.5*121.7*14.2(mm)_RED_NFC,30(mA) _TBD</t>
  </si>
  <si>
    <t>ESLGR074XX0BN</t>
  </si>
  <si>
    <t>ESL;181 mm X 123 mm X 15.5 mm_NFC_RED_Black</t>
  </si>
  <si>
    <t>ESLGR074XX13N</t>
  </si>
  <si>
    <t>ESLGR075XX00N</t>
  </si>
  <si>
    <t>ESL;181 mm X 123 mm X 15.5 mm_NFC_RED,37mA,3</t>
  </si>
  <si>
    <t>ESLGR075XX0BN</t>
  </si>
  <si>
    <t>ESLGT016XX000</t>
  </si>
  <si>
    <t>ESL;50.4*38.8*12.4mm,30mA,30mA,~80%,2405</t>
  </si>
  <si>
    <t>ESLGT022FR000</t>
  </si>
  <si>
    <t>ESL;72x36.35x12.4mm,30mA,30mA,~80%,2405M</t>
  </si>
  <si>
    <t>ESLGT022KR030</t>
  </si>
  <si>
    <t>ESL;72*39.35*12.4mm,30mA,30mA,~80%,2405~</t>
  </si>
  <si>
    <t>ESLGT022XX000</t>
  </si>
  <si>
    <t>ESLGT022XX0B0</t>
  </si>
  <si>
    <t>ESLGT029FR130</t>
  </si>
  <si>
    <t>ESL;93X43.9X12.4mm,30mA,30mA,-80%,2405M</t>
  </si>
  <si>
    <t>ESLGT029FR13N</t>
  </si>
  <si>
    <t>ESLGT029GE030</t>
  </si>
  <si>
    <t>MAKRO AUTOSERVICIO MAYORISTA S.A.</t>
  </si>
  <si>
    <t>ESLGT029KR030</t>
  </si>
  <si>
    <t>ESL;93*47*12.4mm,30mA,30mA,~80%,2405~248</t>
  </si>
  <si>
    <t>ESLGT029XX000</t>
  </si>
  <si>
    <t>FOX TEC LA</t>
  </si>
  <si>
    <t>ESLGT029XX006</t>
  </si>
  <si>
    <t>ESLGT029XX00N</t>
  </si>
  <si>
    <t>ESL;93*43.9*12.4,30mA,30mA,70%,2.4GHz,-1</t>
  </si>
  <si>
    <t>ESLGT029XX036</t>
  </si>
  <si>
    <t>ESL;93 X 43.9 X 12.4 mm_emart,30mA,30mA,- 80</t>
  </si>
  <si>
    <t>ESLGT029XX0B6</t>
  </si>
  <si>
    <t>ESL;93 X 43.9 X 12.4 mm,30mA,30mA,-80%,2405M</t>
  </si>
  <si>
    <t>ESLGT042XX001</t>
  </si>
  <si>
    <t>ESL;103.46x87.43x14.2,30mA,30mA,0~70RH,2</t>
  </si>
  <si>
    <t>MAGNIT</t>
  </si>
  <si>
    <t>ESLGT042XX002</t>
  </si>
  <si>
    <t>ESL;103.5x87.5x14.5,30mA,30mA,0-70RH,2.4</t>
  </si>
  <si>
    <t>ESLGT060JP110</t>
  </si>
  <si>
    <t>ESL;52.8*107.1*16(mm),30mA,30mA,~80%,240</t>
  </si>
  <si>
    <t>ESLGW215GE020</t>
  </si>
  <si>
    <t>S-GATEWAY;215X215,DC:5V,-20℃to70℃,95%,2.</t>
  </si>
  <si>
    <t>ESLGW215GE130</t>
  </si>
  <si>
    <t>S-GATEWAY;215 mm X 215 mm,DC : 5V,-20℃ to 70℃,</t>
  </si>
  <si>
    <t>ESLGW215XX001</t>
  </si>
  <si>
    <t>S-GATEWAY;215X215 mm,DC : 5V,-20 ℃ to 70℃,95%,</t>
  </si>
  <si>
    <t>ESLGW215XX004</t>
  </si>
  <si>
    <t>주식회사 유서브</t>
  </si>
  <si>
    <t>AMAZON RETAIL LLC</t>
  </si>
  <si>
    <t>ESLGW215XX011</t>
  </si>
  <si>
    <t>S-GATEWAY;215X215 mm,DC : 5V,0 ℃ to 40℃,95%,2.</t>
  </si>
  <si>
    <t>ESLGW215XX012</t>
  </si>
  <si>
    <t>S-GATEWAY;215mm X 215 mm,DC : 5V,-20 ℃ to 70 ℃</t>
  </si>
  <si>
    <t>ESLGY016XX000</t>
  </si>
  <si>
    <t>ESL;24.11*35.81*10.0,30mA,30mA,20~80,2405~24</t>
  </si>
  <si>
    <t>ESLGY016XX00N</t>
  </si>
  <si>
    <t>ESL;24.11*35.81*10.0,30mA,30mA,35~70,2405~24</t>
  </si>
  <si>
    <t>ESLGY022XX000</t>
  </si>
  <si>
    <t>ESL;64.02*35.82*10.8,30mA,30mA,35~70,2405~24</t>
  </si>
  <si>
    <t>ESLGY022XX00N</t>
  </si>
  <si>
    <t>ESLGY029XX000</t>
  </si>
  <si>
    <t>ESL;84.8x41.7x12.34,30mA,30mA,~70%,2.4GHz,-9</t>
  </si>
  <si>
    <t>ESLGY029XX00N</t>
  </si>
  <si>
    <t>ESL;84.8*41.7*12.34,30mA,30mA,35~70,2405~248</t>
  </si>
  <si>
    <t>ESLGY042XX00N</t>
  </si>
  <si>
    <t>ESLGY042XX0BN</t>
  </si>
  <si>
    <t>ESL;103.5x87.5x14.5,33mA,33mA,35-70,2405MHz,</t>
  </si>
  <si>
    <t>ESLGY075XX00N</t>
  </si>
  <si>
    <t>ESL;181 mm X 123 mm X 15.5 mm_NFC_YELLOW,37m</t>
  </si>
  <si>
    <t>ESLGY075XX0BN</t>
  </si>
  <si>
    <t>ESL;181 mm X 123 mm X 15.5 mm_NFC_YELLOW_Bla</t>
  </si>
  <si>
    <t>ESLRC068XX001</t>
  </si>
  <si>
    <t>REMOTE CONTROLLER;68*28*15,+10dBmmax.,24</t>
  </si>
  <si>
    <t>ESLRC068XX002</t>
  </si>
  <si>
    <t>REMOTE CONTROLLER;39.2X84.7X13.5mm,+15dB</t>
  </si>
  <si>
    <t>ESLST085KR011</t>
  </si>
  <si>
    <t>ESL;85*41*12mm,,,,2405MHz~2480MHz,-90dB</t>
  </si>
  <si>
    <t>ESLST092GE020</t>
  </si>
  <si>
    <t>ESL;92*40*11.5mm,,,,2405~2480MHz,-90dBm</t>
  </si>
  <si>
    <t>TGXGM016FR13C</t>
  </si>
  <si>
    <t>ESL;48.5 X 37.1 X 13.45 mm_CC2630_MONO_C,10m</t>
  </si>
  <si>
    <t>TGXGM029FR13C</t>
  </si>
  <si>
    <t>ESL;91.3 X 40.72 X 17.5 mm_CC2630_MONO_C,10m</t>
  </si>
  <si>
    <t>TGXGM029GE13F</t>
  </si>
  <si>
    <t>TGXGM029XX00F</t>
  </si>
  <si>
    <t>ESL;91.3 X 40.72 X 17.5 mm_CC2630_MONO,10mA</t>
  </si>
  <si>
    <t>WALMART CANADA</t>
  </si>
  <si>
    <t>TGXGM042GE13C</t>
  </si>
  <si>
    <t>ESL;103.4 X 92.7 X 15 mm_CC2630_MONO_LED_NFC</t>
  </si>
  <si>
    <t>TGXGM042GE13CU</t>
  </si>
  <si>
    <t>TGXGM075GE13C</t>
  </si>
  <si>
    <t>ESL;124 X 183 X 15 mm_CC2630_Black_C_Metro,1</t>
  </si>
  <si>
    <t>TGXGM075GE13CU</t>
  </si>
  <si>
    <t>ESL;124 X 183 X 15 mm_CC2630_Black_C_Metro_,</t>
  </si>
  <si>
    <t>TGXGR016GE13C</t>
  </si>
  <si>
    <t>ESL;42.11 X 35.81 X 10.0 mm_CC2630_RED_C,10m</t>
  </si>
  <si>
    <t>TGXGR016XX00C</t>
  </si>
  <si>
    <t>ESL;48.5 X 37.1 X 13.45 mm_CC2630_RED_C,10mA</t>
  </si>
  <si>
    <t>TGXGR022XX00C</t>
  </si>
  <si>
    <t>ESL;72.0x 36.0x 12.0 mm_CC2630_RED_C,10mA �</t>
  </si>
  <si>
    <t>TGXGR029GE13C</t>
  </si>
  <si>
    <t>ESL;93.0 mm X 43.9 mm X 12.4 mm_CC2630_RED_C</t>
  </si>
  <si>
    <t>TGXGR029USAMN</t>
  </si>
  <si>
    <t>ESL;91.3 X 41.2 X 12 mm_CC2630_RED_N_Amazon,</t>
  </si>
  <si>
    <t>TGXGR029XX00A</t>
  </si>
  <si>
    <t>ESL;91.22 mm X 41.12 mm X  11.88 mm_CC2630_R</t>
  </si>
  <si>
    <t>TGXGR029XX00C</t>
  </si>
  <si>
    <t>TGXGR029XX00N</t>
  </si>
  <si>
    <t>TGXGR042XX00A</t>
  </si>
  <si>
    <t>ESL;103.49 mm X 92.67 mm X 14.85 mm_CC2630_R</t>
  </si>
  <si>
    <t>TGXGR042XX00C</t>
  </si>
  <si>
    <t>ESL;103.4 X 92.7 X 15 mm_CC2630_RED_C,10mA �</t>
  </si>
  <si>
    <t>TGXGR042XX00N</t>
  </si>
  <si>
    <t>ESL;103.4 X 92.7 X 15 mm_CC2630_RED_NFC,10mA</t>
  </si>
  <si>
    <t>TGXGR060KR04N</t>
  </si>
  <si>
    <t>ESL;103.5mmX87.5mmX14.5mm_,10mA ↓,10mA ↓</t>
  </si>
  <si>
    <t>TGXGR060XX00C</t>
  </si>
  <si>
    <t>ESL;103.5mmX87.5mmX14.5mm_CC2630_LED,10mA �</t>
  </si>
  <si>
    <t>TGXGR060XX00N</t>
  </si>
  <si>
    <t>ESL;103.5*87.5*14.5mm_CC2630_RED_C,10mA ↓,</t>
  </si>
  <si>
    <t>TGXGR075XX00N</t>
  </si>
  <si>
    <t>ESL;124 X 183 X 15 mm_CC2630_Metro,10mA ↓,</t>
  </si>
  <si>
    <t>TEKUS S.A.S</t>
  </si>
  <si>
    <t>TGXGT029FR13C</t>
  </si>
  <si>
    <t>ESL;93 X 40.72 X 10.8 mm_CC2630_MONO_C,10mA</t>
  </si>
  <si>
    <t>UCSESD048GER0</t>
  </si>
  <si>
    <t>ESL;48*50*12mm,,,,2.405~2.480GHz,-90dBm</t>
  </si>
  <si>
    <t>UCSESD085GER2</t>
  </si>
  <si>
    <t>ESL;85*41*12mm,,,,2.405~2.480GHz,-90dBm</t>
  </si>
  <si>
    <t>UCSESD125GER2</t>
  </si>
  <si>
    <t>ESL;125*41*12,,,,2405~2480MHz,-90dBm,-5~</t>
  </si>
  <si>
    <t>UCSLKN07300W0</t>
  </si>
  <si>
    <t>ESL;73mm,2.8T,,,,,,,,,</t>
  </si>
  <si>
    <t>(주)열림기술</t>
  </si>
  <si>
    <t>ICT</t>
  </si>
  <si>
    <t>QPSK-NIM</t>
  </si>
  <si>
    <t>DNBU02111IR2</t>
  </si>
  <si>
    <t>QPSK NIM;950~2150MHz,1~45MSPS,1INPUT,F-J</t>
  </si>
  <si>
    <t>SEIN(SEC:ID)-VCR</t>
  </si>
  <si>
    <t>박풍만</t>
  </si>
  <si>
    <t>DNBU10511IS(L)</t>
  </si>
  <si>
    <t>QPSK NIM;950-~2150MHz,1-45MSPS,2inputVER</t>
  </si>
  <si>
    <t>DNBU16312IBL</t>
  </si>
  <si>
    <t>QPSK NIM;50~2150MHz,1~45MSPS,2INPUT,Hori</t>
  </si>
  <si>
    <t>DNBU24711IST</t>
  </si>
  <si>
    <t>QPSK NIM;950~2150MHz,1~45MSPS,1INPUT,Ver</t>
  </si>
  <si>
    <t>TSEC (P630)</t>
  </si>
  <si>
    <t>OFDM-NIM</t>
  </si>
  <si>
    <t>DNCS403H5A</t>
  </si>
  <si>
    <t>OFDM NIM;DTMBNIM,PALD/K,single,OFDMNIM(F</t>
  </si>
  <si>
    <t>DNCS403QH286A</t>
  </si>
  <si>
    <t>OFDM NIM;DTMB,PALD/K,single,OFDMNIM(Full</t>
  </si>
  <si>
    <t>QAM-NIM</t>
  </si>
  <si>
    <t>DNCS44PAH5S</t>
  </si>
  <si>
    <t>QAM-NIM;DVB-C,42-862MHz,+3.3,+2.0,SYMM,16,32,64,</t>
  </si>
  <si>
    <t>VSB-NIM</t>
  </si>
  <si>
    <t>DNIS223EH105A</t>
  </si>
  <si>
    <t>VSB NIM;10CC,SI2190,SI2190,ISDB-TNIM,,SD</t>
  </si>
  <si>
    <t>SAPL(VD:SG)</t>
  </si>
  <si>
    <t>DNIS223EL105A</t>
  </si>
  <si>
    <t>DNLT243H7A</t>
  </si>
  <si>
    <t>OFDM NIM;DVB-T2/C/S2&amp;PALWithLNBC,Double conversio</t>
  </si>
  <si>
    <t>DNQF20AH5N14B</t>
  </si>
  <si>
    <t>QAM-NIM;QAM-NIM,108MHz-1002MHz,3.3V,,,,,TRIPLEXE</t>
  </si>
  <si>
    <t>DNQF20AH5N14C</t>
  </si>
  <si>
    <t>QAM-NIM;QAM-NIM,54MHz-1002MHz,-,,,,,straight</t>
  </si>
  <si>
    <t>(주)휴맥스</t>
  </si>
  <si>
    <t>DNQF22ABV108C</t>
  </si>
  <si>
    <t>QAM-NIM;QAM-NIM,54-1002MHz,5V,2.5V,,,,,B</t>
  </si>
  <si>
    <t>DNQF22ABV108D</t>
  </si>
  <si>
    <t>QAM-NIM;QAM-NIM,54-1002MHz,5V,2.5V,,,,SMD SURGE,</t>
  </si>
  <si>
    <t>DNQF2P3H6A</t>
  </si>
  <si>
    <t>QAM-NIM;EURO DOCSIS TU</t>
  </si>
  <si>
    <t>DNQS20PAH6B</t>
  </si>
  <si>
    <t>QAM-NIM;DVB-C NIM,54-864MHz,3.3V,0~2V,SYMM,,,F-J</t>
  </si>
  <si>
    <t>가온미디어(주)</t>
  </si>
  <si>
    <t>DNQS44PAH6D</t>
  </si>
  <si>
    <t>QAM-NIM;DVB-C NIM,50-870MHz,3.3V,0~2V,SYMM,,,DIN</t>
  </si>
  <si>
    <t>DNQS44PAV6D</t>
  </si>
  <si>
    <t>QAM-NIM;DVB-C NIM,50-870MHz,3.3V,0~2V,SYMM,-,Ver</t>
  </si>
  <si>
    <t>DNQT206DH352A</t>
  </si>
  <si>
    <t>QAM-NIM;DVB-C,57~002MHz,3.3V,,3~6MHz,QPS</t>
  </si>
  <si>
    <t>SDMA(SEC:MY)</t>
  </si>
  <si>
    <t>DNSS243IH286A</t>
  </si>
  <si>
    <t>OFDM NIM;Hybrid(DVB-T/DVB-C/PAL/SECAM/DV</t>
  </si>
  <si>
    <t>DNST226KH125A</t>
  </si>
  <si>
    <t>QPSK NIM;950-~2150MHz,1-45MSPS,2inputtyp</t>
  </si>
  <si>
    <t>DNTQ403IH286A</t>
  </si>
  <si>
    <t>OFDM NIM;Hybrid(DVB-T/T2/DVB-C/PAL/SECAM</t>
  </si>
  <si>
    <t>DNTQ403IL286A</t>
  </si>
  <si>
    <t>DNTS223H5A</t>
  </si>
  <si>
    <t>VSB NIM;R5530A,,VSBNIM,,SONY,,Straight</t>
  </si>
  <si>
    <t>DNTS223H6A</t>
  </si>
  <si>
    <t>VSB NIM;-,SI2190*B,,VSB NIM,,CXD2837ER,,Straight</t>
  </si>
  <si>
    <t>DNTS243EH286A</t>
  </si>
  <si>
    <t>OFDM NIM;Hybrid(DVB-T/T2/C/C2/PAL/SECAM/</t>
  </si>
  <si>
    <t>DNTS243EL286A</t>
  </si>
  <si>
    <t>DNTS243H5A</t>
  </si>
  <si>
    <t>SIEL-NOIDA(SEC:IN)</t>
  </si>
  <si>
    <t>DNTS403CH105B</t>
  </si>
  <si>
    <t>OFDM NIM;DVB-T2C,SINGLE,OFDMNIM(FULLBAND</t>
  </si>
  <si>
    <t>DNTS403EH105A</t>
  </si>
  <si>
    <t>DNTS403EH286A</t>
  </si>
  <si>
    <t>OFDM NIM;DVB-T2C2,SINGLE,OFDMNIM(FULLBAN</t>
  </si>
  <si>
    <t>DNTS403EL105A</t>
  </si>
  <si>
    <t>DNTS403H5A</t>
  </si>
  <si>
    <t>DNTS403H5B</t>
  </si>
  <si>
    <t>DNTT243H5A</t>
  </si>
  <si>
    <t>OFDM NIM;DVB-T/T2/C/S/S2,PAL/SECAM,Doubl</t>
  </si>
  <si>
    <t>DNTT243H6A</t>
  </si>
  <si>
    <t>DNTT243IH145A</t>
  </si>
  <si>
    <t>OFDM NIM;DVB-T/T2/C/S/S2,PAL/SECAM,,Stra</t>
  </si>
  <si>
    <t>DNTT243IH296A</t>
  </si>
  <si>
    <t>OFDM NIM;DVB-T/T2/C/S/S2,PAL/SECAM,,,50~</t>
  </si>
  <si>
    <t>DNVS203EH144A</t>
  </si>
  <si>
    <t>VSB NIM;14CC,TDA18273,,ATSC,,Echo,F-CON,</t>
  </si>
  <si>
    <t>DNVS223H7A</t>
  </si>
  <si>
    <t>VSB NIM;-,SI2190B*2,,VSB NIM,,-,,Straight,45-866</t>
  </si>
  <si>
    <t>DNVT223VH141A</t>
  </si>
  <si>
    <t>VSB NIM;14CC,TDA18273,TDA18273,ISDB-T,,S</t>
  </si>
  <si>
    <t>VSB-TU</t>
  </si>
  <si>
    <t>DTIS22EH5A</t>
  </si>
  <si>
    <t>VSB TUNER;ISDB-THALF,NTSC-M,55.25MHz~855</t>
  </si>
  <si>
    <t>DTIS22EIH406A</t>
  </si>
  <si>
    <t>VSB TUNER;ISDB-T,NTSC-M,55.25MHz~855.25M</t>
  </si>
  <si>
    <t>DTIS22EIL055A</t>
  </si>
  <si>
    <t>C-MODEM TU</t>
  </si>
  <si>
    <t>DTMPD4KNV261A</t>
  </si>
  <si>
    <t>CABLE MODEM TUNER;QAM_CMT,PLLI2C,47MHZ~8</t>
  </si>
  <si>
    <t>DTMT4PCPV101C</t>
  </si>
  <si>
    <t>QAM-NIM;DVB-C,50~860MHz,+3.3,+2.0,SYMM,1</t>
  </si>
  <si>
    <t>OFDM-TU</t>
  </si>
  <si>
    <t>DTOD40FVL084A</t>
  </si>
  <si>
    <t>OFDM TUNER;DVB-T,DOUBLE,OFDM-TU,47~862MH</t>
  </si>
  <si>
    <t>DTOD40FVL084AA</t>
  </si>
  <si>
    <t>DTOS24EH6A</t>
  </si>
  <si>
    <t>OFDM TUNER;DVB-T,DOUBLE,OFDM-TU,47-862MH</t>
  </si>
  <si>
    <t>DTOS24EH7A</t>
  </si>
  <si>
    <t>OFDM TUNER;DVB-T,DOUBLE,OFDM-TU,47-862MHz,5MHz,5MHz</t>
  </si>
  <si>
    <t>Panasonic Procurement (China) Co.,Ltd.</t>
  </si>
  <si>
    <t>DTOS40CIH112A</t>
  </si>
  <si>
    <t>OFDM TUNER;DVB-T/DVB-T2/PAL/SECAM,Single</t>
  </si>
  <si>
    <t>DTOS40EH5A</t>
  </si>
  <si>
    <t>DTOS40EH6A</t>
  </si>
  <si>
    <t>OFDM TUNER;DVB-T,DOUBLE,OFDM-TUNER,47-86</t>
  </si>
  <si>
    <t>DTOS40EH7A</t>
  </si>
  <si>
    <t>OFDM TUNER;DVB-T,DOUBLE,OFDM-TUNER,47-862MHz,5MHz,5</t>
  </si>
  <si>
    <t>DTOS40EIH035A</t>
  </si>
  <si>
    <t>DTOS40EIH035B</t>
  </si>
  <si>
    <t>DTOS40EIH276A</t>
  </si>
  <si>
    <t>DTOS40EIH276B</t>
  </si>
  <si>
    <t>DTOS40EIL035B</t>
  </si>
  <si>
    <t>DTOS40EIL276A</t>
  </si>
  <si>
    <t>DTQS21CDH085B</t>
  </si>
  <si>
    <t>QAM-NIM;DVB-C,DVB-T/T2,54-864MHz,5V,3.3V</t>
  </si>
  <si>
    <t>DTQS21NAV5A</t>
  </si>
  <si>
    <t>QAM-NIM;DVB-C, DVB-T/T2,54-864MHz,3.3V,0~2V,SYMM</t>
  </si>
  <si>
    <t>DTQS22CDV085B(P)</t>
  </si>
  <si>
    <t>QAM-NIM;QAM,54~864MHz,5V,3.0V,,,,Power-o</t>
  </si>
  <si>
    <t>DTQS22KDV101B</t>
  </si>
  <si>
    <t>QAM-NIM;QAM,54~864MHz,3.3V,3.0V,,,,MxL60</t>
  </si>
  <si>
    <t>DTQS44PAP6S</t>
  </si>
  <si>
    <t>QAM-TU</t>
  </si>
  <si>
    <t>DTQT22NAV7A</t>
  </si>
  <si>
    <t>QAM TUNER;DVB-C Dual half,Dual type,Tuner only,5MH</t>
  </si>
  <si>
    <t>DTSF20SH6A</t>
  </si>
  <si>
    <t>QPSK NIM;950~2150MHz,1~45Msps,Fcon,Single,Horizon</t>
  </si>
  <si>
    <t>DTSF20SH6B</t>
  </si>
  <si>
    <t>DTST243IH133A</t>
  </si>
  <si>
    <t>OFDM TUNER;DVB-T/DVB-T2/DVB-S/DVB-S2/PAL</t>
  </si>
  <si>
    <t>DTST243IH133T</t>
  </si>
  <si>
    <t>DTST24CIH112A</t>
  </si>
  <si>
    <t>DTST24CIL112A</t>
  </si>
  <si>
    <t>OFDM TUNER;DVB-T/ DVB-T2/ DVB-S/ DVB-S2 /PAL/SECAM,</t>
  </si>
  <si>
    <t>DTVD20FVH084AA</t>
  </si>
  <si>
    <t>VSB TUNER;ATSC+NTSC,54MHZ~864MHZ,Digital</t>
  </si>
  <si>
    <t>DTVD20FVL084A</t>
  </si>
  <si>
    <t>DTVS20CIH034B</t>
  </si>
  <si>
    <t>VSB TUNER;DVBT/T2/CDTMB,PAL/SECAM,,54MHZ</t>
  </si>
  <si>
    <t>DTVS20CIH035A</t>
  </si>
  <si>
    <t>VSB TUNER;DVB T/T2/C DTMB,PAL/SECAM,,54MHZ~864MHZ,</t>
  </si>
  <si>
    <t>DTVS20CVH035B</t>
  </si>
  <si>
    <t>DTVS20EH4B</t>
  </si>
  <si>
    <t>VSB TUNER;ATSC+NTSC,54MHZ~864MHZ,,F-CONN</t>
  </si>
  <si>
    <t>DTVS20EH5A</t>
  </si>
  <si>
    <t>DTVS20EH5B</t>
  </si>
  <si>
    <t>VSB TUNER;ATSC+NTSC,54MHZ-864MHZ,Digital</t>
  </si>
  <si>
    <t>DTVS20EH6A</t>
  </si>
  <si>
    <t>DTVS20EH7A</t>
  </si>
  <si>
    <t>VSB TUNER;ATSC+NTSC,54MHZ-864MHZ,Digital:5MHz,F-CO</t>
  </si>
  <si>
    <t>DTVS20EIH276A</t>
  </si>
  <si>
    <t>DTVS22CIH112A</t>
  </si>
  <si>
    <t>VSB TUNER;ISDB-T/SBTVD-T/DVB-T/T2/NTSC/P</t>
  </si>
  <si>
    <t>DTVS22CIL111A</t>
  </si>
  <si>
    <t>VSB TUNER;VSB+ISDB-T,55~865MHz,3~8MHz,F-</t>
  </si>
  <si>
    <t>DTVS22CIL112A</t>
  </si>
  <si>
    <t>KB101BM01B/KSS</t>
  </si>
  <si>
    <t>IOT;BLE, ADAPTER,2394~2507MHz,NRF52832,-,4dB</t>
  </si>
  <si>
    <t>RF-M</t>
  </si>
  <si>
    <t>RMUP74055DC</t>
  </si>
  <si>
    <t>RF-MODULATOR;21~69CH,80±8%,90±20%,Fp±80K</t>
  </si>
  <si>
    <t>RMVN13450TB</t>
  </si>
  <si>
    <t>RF-MODULATOR;NTSC3/4CH,Typ.80%,Typ.80%,T</t>
  </si>
  <si>
    <t>RMVP13450DF</t>
  </si>
  <si>
    <t>RF-MODULATOR;US3/4CH,TYP80%,TYP80%,Fp±10</t>
  </si>
  <si>
    <t>IoT</t>
  </si>
  <si>
    <t>T3L02BI0</t>
  </si>
  <si>
    <t>IOT;BLE + ZigBee,2394~2507MHz,CSR1010+EM355,</t>
  </si>
  <si>
    <t>에스케이텔레콤(주)</t>
  </si>
  <si>
    <t>T4S01AR0</t>
  </si>
  <si>
    <t>IOT; LoRa+GPS+BLE,917~923.5MHz+1.5GHz+2.4GH</t>
  </si>
  <si>
    <t>T5H02AV0</t>
  </si>
  <si>
    <t>IOT; LoRa+BLE,917~923.5MHz+2.4GHz,SX1276,NR</t>
  </si>
  <si>
    <t>BT-Wifi</t>
  </si>
  <si>
    <t>TBH00CY71</t>
  </si>
  <si>
    <t>BT-WIFI;,BLE4.2,CYBL11171-56LQXI,CY71,,20X35X4.8</t>
  </si>
  <si>
    <t>TBH01CY71</t>
  </si>
  <si>
    <t>TBH02CY71</t>
  </si>
  <si>
    <t>주식회사 디지티</t>
  </si>
  <si>
    <t>TBHH01AP0</t>
  </si>
  <si>
    <t>IOT;BLE,2394~2507MHz,nRF52832,-,8dBm,-95dBm,</t>
  </si>
  <si>
    <t>TBHH01AP00</t>
  </si>
  <si>
    <t>TBHH01AP01</t>
  </si>
  <si>
    <t>TBHH01AP02</t>
  </si>
  <si>
    <t>TBHH01AP03</t>
  </si>
  <si>
    <t>US001</t>
  </si>
  <si>
    <t>SOLUM AMERICA, INC.</t>
  </si>
  <si>
    <t>TBHH01AP04</t>
  </si>
  <si>
    <t>TBHH01AP05</t>
  </si>
  <si>
    <t>TBHH01AP07</t>
  </si>
  <si>
    <t>TBHH01AP08</t>
  </si>
  <si>
    <t>TBHH01AP0B</t>
  </si>
  <si>
    <t>BRIGHTSTAR</t>
  </si>
  <si>
    <t>TBHH01AP0K</t>
  </si>
  <si>
    <t>TBHH01AP10</t>
  </si>
  <si>
    <t>IOT;BLE,2394~2507MHz,NRF52832-CIAA-R,-,8dBm,</t>
  </si>
  <si>
    <t>TBHH01AP11</t>
  </si>
  <si>
    <t>TBHH01AP12</t>
  </si>
  <si>
    <t>TBHH01AP13</t>
  </si>
  <si>
    <t>TBHH01AP14</t>
  </si>
  <si>
    <t>TBHH01AP15</t>
  </si>
  <si>
    <t>TBHH01AP16</t>
  </si>
  <si>
    <t>TBHH01AP17</t>
  </si>
  <si>
    <t>박재범</t>
  </si>
  <si>
    <t>TBHH01AP18</t>
  </si>
  <si>
    <t>TBHH01AP1C</t>
  </si>
  <si>
    <t>TBL02BD0</t>
  </si>
  <si>
    <t>IOT;BLE,2394~2507MHz,CSR1010,-,8dBm,-75dBm,S</t>
  </si>
  <si>
    <t>TLG01C20</t>
  </si>
  <si>
    <t>IOT;LPWA GPS,917~923.5MHz,SX1276,STM32L082KZ</t>
  </si>
  <si>
    <t>TLT01CS1</t>
  </si>
  <si>
    <t>IOT;LoRa,917~923.5MHz,SX1276,STM32L082KBU6,1</t>
  </si>
  <si>
    <t>에스케이텔레시스(주)</t>
  </si>
  <si>
    <t>(주)에스원</t>
  </si>
  <si>
    <t>TRL02CP0</t>
  </si>
  <si>
    <t>IOT;Radar,7.9GHz,-,EFM32TG210F32(Silicon Lab</t>
  </si>
  <si>
    <t>TRL02CP1</t>
  </si>
  <si>
    <t>TWH00CC70</t>
  </si>
  <si>
    <t>BT-WIFI;,2.4GHz/WLAN,CLM5510/BCM43143,B70F(R),,7</t>
  </si>
  <si>
    <t>TWH00CQ51</t>
  </si>
  <si>
    <t>BT-WIFI;,2.4GHz,QCA4531,CQ51,,54X30X7.34mm,5V_12</t>
  </si>
  <si>
    <t>TWH00CQ52</t>
  </si>
  <si>
    <t>BT-WIFI;,2.4GHz,QCA4531,CQ52,,54X30X7.34mm,5V_12</t>
  </si>
  <si>
    <t>TWH01CQ52</t>
  </si>
  <si>
    <t>TWH02CQ52</t>
  </si>
  <si>
    <t>TWH03CQ52</t>
  </si>
  <si>
    <t>TWH04CQ51</t>
  </si>
  <si>
    <t>TWH04CQ52</t>
  </si>
  <si>
    <t>TWH05CQ51</t>
  </si>
  <si>
    <t>TWH05CQ52</t>
  </si>
  <si>
    <t>TWH06CQ52</t>
  </si>
  <si>
    <t>TWH07CQ52</t>
  </si>
  <si>
    <t>TWH08CQ52</t>
  </si>
  <si>
    <t>TWH09CQ52</t>
  </si>
  <si>
    <t>TWH10CC70</t>
  </si>
  <si>
    <t>TWH10CQ52</t>
  </si>
  <si>
    <t>TWH11CQ52</t>
  </si>
  <si>
    <t>TWH12CQ52</t>
  </si>
  <si>
    <t>TWH14CQ52</t>
  </si>
  <si>
    <t>TWH15CQ52</t>
  </si>
  <si>
    <t>TWH16CQ52</t>
  </si>
  <si>
    <t>TWH17CQ52</t>
  </si>
  <si>
    <t>TWH20CQ52</t>
  </si>
  <si>
    <t>TWH21CQ52</t>
  </si>
  <si>
    <t>TWH22CQ52</t>
  </si>
  <si>
    <t>TWH23CQ52</t>
  </si>
  <si>
    <t>BOE (K-Tronics(Suzhou) Technology Co.,Ltd.</t>
  </si>
  <si>
    <t>Visual Board</t>
  </si>
  <si>
    <t>V3S32HU048A0</t>
  </si>
  <si>
    <t>VISUAL BOARD;ATSC,NTSC,120V/60Hz,MSD91N0BN2,48W,FHD(1</t>
  </si>
  <si>
    <t>CNY</t>
  </si>
  <si>
    <t>V3S32HU048A1</t>
  </si>
  <si>
    <t>V3S32HU048A2</t>
  </si>
  <si>
    <t>V3S32HU048A3</t>
  </si>
  <si>
    <t>V3S32HU048A4</t>
  </si>
  <si>
    <t>V3S32HU048A5</t>
  </si>
  <si>
    <t>V3S55UC120M0</t>
  </si>
  <si>
    <t>VISUAL BOARD;DTMB-T,100~240V,MSD6A638JSMG,Max 120W,UH</t>
  </si>
  <si>
    <t>V3S55UC120M1</t>
  </si>
  <si>
    <t>VN32FM066E0XVD</t>
  </si>
  <si>
    <t>VISUAL BOARD;DVB_T2S2,100-240V,NT17L,66W,FHD(1920 x 1</t>
  </si>
  <si>
    <t>VN32FM066EAXVD</t>
  </si>
  <si>
    <t>VN32FS059A0XBE</t>
  </si>
  <si>
    <t>VISUAL BOARD;ATSC+NTSC,100-240V,KANT-S(SDP1604),59W,F</t>
  </si>
  <si>
    <t>VN32FS059U0XBE</t>
  </si>
  <si>
    <t>VN32FS059UAXBE</t>
  </si>
  <si>
    <t>VN32HM066E0XVD</t>
  </si>
  <si>
    <t>VISUAL BOARD;DVB_T2S2,100-240V,NT17L,66W,HD(1366 x 76</t>
  </si>
  <si>
    <t>VN32HM066EAXVD</t>
  </si>
  <si>
    <t>VN32HN048I0XBE</t>
  </si>
  <si>
    <t>VISUAL BOARD;DVB-T2/PAL,100-240V,SEMS34(XL1+),48W,HD(</t>
  </si>
  <si>
    <t>VN32HN048I0XRK</t>
  </si>
  <si>
    <t>VN32HN048M0XBE</t>
  </si>
  <si>
    <t>VN32HN048P0XBE</t>
  </si>
  <si>
    <t>VN32HN048P0XRK</t>
  </si>
  <si>
    <t>VN32HN048P1XBE</t>
  </si>
  <si>
    <t>VN32HN048T0XBE</t>
  </si>
  <si>
    <t>VN32HN048T0XRK</t>
  </si>
  <si>
    <t>VISUAL BOARD;DVB-T2/PAL,100-240V,SEMS34(XL1+),32W,HD(</t>
  </si>
  <si>
    <t>VN32HS048A0XBE</t>
  </si>
  <si>
    <t>VISUAL BOARD;ATSC+NTSC,100-240V,KANT-S(SDP1604),48W,H</t>
  </si>
  <si>
    <t>VN32HS048U0XBE</t>
  </si>
  <si>
    <t>VN32HS048UAXBE</t>
  </si>
  <si>
    <t>VN40UH130E0XVD</t>
  </si>
  <si>
    <t>VISUAL BOARD;DVB_T2S2,100-240V,KANT-SU,130W,UHD(3840</t>
  </si>
  <si>
    <t>VN40UH130EAXVD</t>
  </si>
  <si>
    <t>VN43FN075I0XBE</t>
  </si>
  <si>
    <t>VISUAL BOARD;DVB-T2/PAL,100-240V,SEMS34(XL1+),75W,FHD</t>
  </si>
  <si>
    <t>VN43FN075P0XBE</t>
  </si>
  <si>
    <t>VN43FN075P1XBE</t>
  </si>
  <si>
    <t>VN43FN075T0XBE</t>
  </si>
  <si>
    <t>VN43FN075U0XBE</t>
  </si>
  <si>
    <t>VISUAL BOARD;ATSC+NTSC,100-240V,SEMS34(XL1+),75W,FHD(</t>
  </si>
  <si>
    <t>VN43FS085A0XBE</t>
  </si>
  <si>
    <t>VISUAL BOARD;ATSC+NTSC,100-240V,KANT-S(SDP1604),85W,F</t>
  </si>
  <si>
    <t>VN43FS085U0XBE</t>
  </si>
  <si>
    <t>VN43FS085UAXBE</t>
  </si>
  <si>
    <t>VN43UH130A0XVD</t>
  </si>
  <si>
    <t>VISUAL BOARD;DVB_T2S2,100-240V,KANT-SU 43,130,UHD(384</t>
  </si>
  <si>
    <t>VN43UH130E0XVD</t>
  </si>
  <si>
    <t>VISUAL BOARD;DVB_T2S2,100-240V,KANT-SU 40/43,130W,UHD</t>
  </si>
  <si>
    <t>VN43UH130E1XVD</t>
  </si>
  <si>
    <t>VN43UH130E2XVD</t>
  </si>
  <si>
    <t>VISUAL BOARD;DVB_T2C,100-240V,KANT-SU,130W,UHD(3840 x</t>
  </si>
  <si>
    <t>VN43UH130EAXVD</t>
  </si>
  <si>
    <t>VN43UH130EBXVD</t>
  </si>
  <si>
    <t>VN43UH130ECXVD</t>
  </si>
  <si>
    <t>VISUAL BOARD;DVB_S2,100-240V,KANT-SU,130W,UHD(3840 x</t>
  </si>
  <si>
    <t>VN43UH130L0XVD</t>
  </si>
  <si>
    <t>VN43UH160E0XVD</t>
  </si>
  <si>
    <t>VISUAL BOARD;DVB_T2S2,100-240V,KANT-SU,160W,UHD(3840</t>
  </si>
  <si>
    <t>VN43UH160EAXVD</t>
  </si>
  <si>
    <t>VISUAL BOARD;DVB_T2S2,100-240V,KANT-SU(SDP1704),160W,</t>
  </si>
  <si>
    <t>VN43US100C0XBE</t>
  </si>
  <si>
    <t>VN43US100U0XBE</t>
  </si>
  <si>
    <t>VISUAL BOARD;DVB_T2S2,100-240V,KANT-SU,100W,UHD(3840</t>
  </si>
  <si>
    <t>VN49FH120E0XVD</t>
  </si>
  <si>
    <t>VISUAL BOARD;DVB_T2S2,100-240V,KANT-S,120W,FHD(1920 x</t>
  </si>
  <si>
    <t>VN49FH120EAXVD</t>
  </si>
  <si>
    <t>VN49FM130E0XVD</t>
  </si>
  <si>
    <t>VISUAL BOARD;DVB_T2S2,100-240V,NT17L,130W,FHD(1920 x</t>
  </si>
  <si>
    <t>VN49FM130EAXVD</t>
  </si>
  <si>
    <t>VN49US120C0XBE</t>
  </si>
  <si>
    <t>VN50UH160A0XVD</t>
  </si>
  <si>
    <t>VISUAL BOARD;DVB_T2S2,100-240V,KANT-SU 43,160W,UHD(38</t>
  </si>
  <si>
    <t>VN50UH160EAXVD</t>
  </si>
  <si>
    <t>VN50UH160L0XVD</t>
  </si>
  <si>
    <t>VN50UH160U0XVD</t>
  </si>
  <si>
    <t>VN55UH160A0XVD</t>
  </si>
  <si>
    <t>VN55UH160EAXVD</t>
  </si>
  <si>
    <t>VN55UH160L0XVD</t>
  </si>
  <si>
    <t>VN55UH160U0XVD</t>
  </si>
  <si>
    <t>VISUAL BOARD;DVB_T2S2,100-240V,SDP1704,160W,UHD(3840</t>
  </si>
  <si>
    <t>VN55UH160U1XVD</t>
  </si>
  <si>
    <t>VN65US210C0XBE</t>
  </si>
  <si>
    <t>PSCV150107S</t>
  </si>
  <si>
    <t>PSCV350101C</t>
  </si>
  <si>
    <t>PSIV580602B</t>
  </si>
  <si>
    <t>PSIV840C01B</t>
  </si>
  <si>
    <t>PSLF101D04Q</t>
  </si>
  <si>
    <t>PSLF111Q04Q</t>
  </si>
  <si>
    <t>PSLF121E10A(P)</t>
  </si>
  <si>
    <t>PSLF121Q04A</t>
  </si>
  <si>
    <t>PSLF161Q04Q</t>
  </si>
  <si>
    <t>PSLF171502A</t>
  </si>
  <si>
    <t>PSLF211401A</t>
  </si>
  <si>
    <t>PSPF391501A</t>
  </si>
  <si>
    <t>PSPF520501A</t>
  </si>
  <si>
    <t>PSQH450801D</t>
  </si>
  <si>
    <t>PSQH470102D</t>
  </si>
  <si>
    <t>PSDMBMC103A</t>
  </si>
  <si>
    <t>PSQV320571D</t>
  </si>
  <si>
    <t>PSCV250103F(D)</t>
  </si>
  <si>
    <t>단가</t>
    <phoneticPr fontId="1" type="noConversion"/>
  </si>
  <si>
    <t>ESLST078BR150</t>
  </si>
  <si>
    <t>ESL;78*40*13mm,37mA,,,2405~2480MHz,-90dB</t>
  </si>
  <si>
    <t>DNQS44CPP101C(P)</t>
  </si>
  <si>
    <t>QAM-NIM;DVB-C,50~860MHz,+5,+4,SYMM,16,32</t>
  </si>
  <si>
    <t>KT0013M01N/KSK</t>
  </si>
  <si>
    <t>IOT;LoRa+GPS+BLE,917~923.5MHz+1.5GHz+2.4GHz,</t>
  </si>
  <si>
    <t>Hefei BOE Vision Electronics Technology Co.,Ltd.</t>
  </si>
  <si>
    <t>SoluM Slovakia</t>
  </si>
  <si>
    <t>VN32FM066E0XSO</t>
  </si>
  <si>
    <t>VN32FM066EAXSO</t>
  </si>
  <si>
    <t>VN32FM066H0XSO</t>
  </si>
  <si>
    <t>VN32FM066H0XVD</t>
  </si>
  <si>
    <t>VN32FM066S0XSO</t>
  </si>
  <si>
    <t>VN32FM066S0XVD</t>
  </si>
  <si>
    <t>VN32FM066SAXSO</t>
  </si>
  <si>
    <t>VN32FM066SAXVD</t>
  </si>
  <si>
    <t>VN32HM066E0XSO</t>
  </si>
  <si>
    <t>VN32HM066EAXSO</t>
  </si>
  <si>
    <t>VN32HM066H0XSO</t>
  </si>
  <si>
    <t>VN32HM066H0XVD</t>
  </si>
  <si>
    <t>VN32HM066S0XSO</t>
  </si>
  <si>
    <t>VN32HM066S0XVD</t>
  </si>
  <si>
    <t>VN40UH130E0XSO</t>
  </si>
  <si>
    <t>VN40UH130EAXSO</t>
  </si>
  <si>
    <t>VN43UH130E0XSO</t>
  </si>
  <si>
    <t>VN43UH130E1XSO</t>
  </si>
  <si>
    <t>VISUAL BOARD;DVB_T2S2,100-240V,KANT-SU,130W,UHD,AC In</t>
  </si>
  <si>
    <t>VN43UH130E2XSO</t>
  </si>
  <si>
    <t>VN43UH130EAXSO</t>
  </si>
  <si>
    <t>VN43UH130EBXSO</t>
  </si>
  <si>
    <t>VN43UH130ECXSO</t>
  </si>
  <si>
    <t>VN43US100A0XBE</t>
  </si>
  <si>
    <t>VISUAL BOARD;DTMB-T,100-240V,MSD6A6638JSMG,100W,UHD(3</t>
  </si>
  <si>
    <t>VISUAL BOARD;DTMB-T,100-240V,MSD6A638JSMG,120W,UHD(38</t>
  </si>
  <si>
    <t>VISUAL BOARD;DTMB-T,100-240V,MSD6A638JSMG,210W,UHD(38</t>
  </si>
  <si>
    <t>300146</t>
  </si>
  <si>
    <t>华润万家有限公司</t>
  </si>
  <si>
    <t>ESL</t>
    <phoneticPr fontId="1" type="noConversion"/>
  </si>
  <si>
    <t>ESLGM022XX15FH</t>
  </si>
  <si>
    <t>ESLGR022KR04NH</t>
  </si>
  <si>
    <t>142603</t>
  </si>
  <si>
    <t>ESLBP029GE130</t>
  </si>
  <si>
    <t>LAMP LIGHT;LCM-BLE-MOT-A,,,,,Harness,12VDC,,,,OLP,S</t>
  </si>
  <si>
    <t>LED TV SMPS;LEDTV,L32GF_DSM,70W,1CH,90Va</t>
  </si>
  <si>
    <t>PSLF990D04B</t>
  </si>
  <si>
    <t>LED TV SMPS;LEDTV,L40DV1_DSM,99W,4CH,90V</t>
  </si>
  <si>
    <t>LAMP LIGHT;ULB450S801N1A,Samsung,23-50V,40W,±10%,,</t>
  </si>
  <si>
    <t>LAMP LIGHT;ULB470S102N1A,Samsung,18-40V,40W,±10%,,</t>
  </si>
  <si>
    <t>LAMP LIGHT;ULW320S571N1A,Samsung,23-50V,29W,±10%,,</t>
  </si>
  <si>
    <t>EL026AATXX/WWW142651</t>
  </si>
  <si>
    <t>EL026AATXX/WWW300032</t>
  </si>
  <si>
    <t>EL026AATXX/WWW300034</t>
  </si>
  <si>
    <t>EL026AATXX/WWW300062</t>
  </si>
  <si>
    <t>EL029AATXX/WWW142368</t>
  </si>
  <si>
    <t>EL029AATXX/WWW142651</t>
  </si>
  <si>
    <t>EL029AATXX/WWW300032</t>
  </si>
  <si>
    <t>EL029AATXX/WWW300034</t>
  </si>
  <si>
    <t>EL029AATXX/WWW300062</t>
  </si>
  <si>
    <t>EL042D2WRN1/EU300042</t>
  </si>
  <si>
    <t>EL133C2WRN/WWW142651</t>
  </si>
  <si>
    <t>EL133C2WRN/WWW150518</t>
  </si>
  <si>
    <t>EL133C2WRN/WWW300008</t>
  </si>
  <si>
    <t>EL133C2WRN/WWW300032</t>
  </si>
  <si>
    <t>EL133C2WRN/WWW300034</t>
  </si>
  <si>
    <t>EL133C2WRN/WWW300062</t>
  </si>
  <si>
    <t>EL133C2WRN/WWW300067</t>
  </si>
  <si>
    <t>EL133C2WRN/WWW300077</t>
  </si>
  <si>
    <t>EL133C2WRN/WWW300111</t>
  </si>
  <si>
    <t>EL133C2WRN/WWW300116</t>
  </si>
  <si>
    <t>EL133C2WRN/WWW300161</t>
  </si>
  <si>
    <t>ELS10AFWM0/NUS300116</t>
  </si>
  <si>
    <t>ESLAA029GE130142603</t>
  </si>
  <si>
    <t>ESLAK089XX000112498</t>
  </si>
  <si>
    <t>ESLAK089XX000142368</t>
  </si>
  <si>
    <t>ESLAK089XX000142597</t>
  </si>
  <si>
    <t>ESLAK089XX000142651</t>
  </si>
  <si>
    <t>ESLAK089XX000142660</t>
  </si>
  <si>
    <t>ESLAK089XX000142807</t>
  </si>
  <si>
    <t>ESLAK089XX000142825</t>
  </si>
  <si>
    <t>ESLAK089XX000150518</t>
  </si>
  <si>
    <t>ESLAK089XX000300008</t>
  </si>
  <si>
    <t>ESLAK089XX000300032</t>
  </si>
  <si>
    <t>ESLAK089XX000300034</t>
  </si>
  <si>
    <t>ESLAK089XX000300039</t>
  </si>
  <si>
    <t>ESLAK089XX000300055</t>
  </si>
  <si>
    <t>ESLAK089XX000300062</t>
  </si>
  <si>
    <t>ESLAK089XX000300067</t>
  </si>
  <si>
    <t>ESLAK089XX000300070</t>
  </si>
  <si>
    <t>ESLAK089XX000300146</t>
  </si>
  <si>
    <t>ESLAK089XX000700062</t>
  </si>
  <si>
    <t>ESLGM016FR133142603</t>
  </si>
  <si>
    <t>ESLGM016FR13N142603</t>
  </si>
  <si>
    <t>ESLGM016XX000142597</t>
  </si>
  <si>
    <t>ESLGM016XX000142599</t>
  </si>
  <si>
    <t>ESLGM016XX000142603</t>
  </si>
  <si>
    <t>ESLGM016XX000142612</t>
  </si>
  <si>
    <t>ESLGM016XX000142639</t>
  </si>
  <si>
    <t>ESLGM016XX000142664</t>
  </si>
  <si>
    <t>ESLGM016XX000142796</t>
  </si>
  <si>
    <t>ESLGM016XX000142807</t>
  </si>
  <si>
    <t>ESLGM016XX000300008</t>
  </si>
  <si>
    <t>ESLGM016XX00N141111</t>
  </si>
  <si>
    <t>ESLGM022FR13N142603</t>
  </si>
  <si>
    <t>ESLGM022FR13N142612</t>
  </si>
  <si>
    <t>ESLGM022XX000101906</t>
  </si>
  <si>
    <t>ESLGM022XX000142475</t>
  </si>
  <si>
    <t>ESLGM022XX000142639</t>
  </si>
  <si>
    <t>ESLGM022XX000142796</t>
  </si>
  <si>
    <t>ESLGM022XX000142807</t>
  </si>
  <si>
    <t>ESLGM022XX000142825</t>
  </si>
  <si>
    <t>ESLGM022XX000300008</t>
  </si>
  <si>
    <t>ESLGM022XX00F101906</t>
  </si>
  <si>
    <t>ESLGM022XX00N300111</t>
  </si>
  <si>
    <t>ESLGM022XX0BF300042</t>
  </si>
  <si>
    <t>ESLGM022XX15F142582</t>
  </si>
  <si>
    <t>ESLGM022XX15F142612</t>
  </si>
  <si>
    <t>ESLGM022XX15F142639</t>
  </si>
  <si>
    <t>ESLGM022XX15F142651</t>
  </si>
  <si>
    <t>ESLGM022XX15F300008</t>
  </si>
  <si>
    <t>ESLGM022XX15F300039</t>
  </si>
  <si>
    <t>ESLGM022XX15F300040</t>
  </si>
  <si>
    <t>ESLGM022XX15F300042</t>
  </si>
  <si>
    <t>ESLGM022XX15F300055</t>
  </si>
  <si>
    <t>ESLGM022XX15F300067</t>
  </si>
  <si>
    <t>ESLGM022XX15F300138</t>
  </si>
  <si>
    <t>ESLGM022XX15F300146</t>
  </si>
  <si>
    <t>ESLGM029XX000142599</t>
  </si>
  <si>
    <t>ESLGM029XX000142639</t>
  </si>
  <si>
    <t>ESLGM029XX000142796</t>
  </si>
  <si>
    <t>ESLGM029XX000142807</t>
  </si>
  <si>
    <t>ESLGM029XX000300008</t>
  </si>
  <si>
    <t>ESLGM029XX000300111</t>
  </si>
  <si>
    <t>ESLGM029XX00N141111</t>
  </si>
  <si>
    <t>ESLGM029XX00N150518</t>
  </si>
  <si>
    <t>ESLGM029XX00N300067</t>
  </si>
  <si>
    <t>ESLGM042XX000142599</t>
  </si>
  <si>
    <t>ESLGM042XX000142796</t>
  </si>
  <si>
    <t>ESLGM042XX00N142599</t>
  </si>
  <si>
    <t>ESLGM042XX00N142796</t>
  </si>
  <si>
    <t>ESLGM042XX00N300023</t>
  </si>
  <si>
    <t>ESLGM060US140300017</t>
  </si>
  <si>
    <t>ESLGM060US140300111</t>
  </si>
  <si>
    <t>ESLGM060XX00N142475</t>
  </si>
  <si>
    <t>ESLGM060XX00N142599</t>
  </si>
  <si>
    <t>ESLGM060XX00N142664</t>
  </si>
  <si>
    <t>ESLGM060XX00N142796</t>
  </si>
  <si>
    <t>ESLGM060XX00N142825</t>
  </si>
  <si>
    <t>ESLGM060XX00N300069</t>
  </si>
  <si>
    <t>ESLGM060XX13N142603</t>
  </si>
  <si>
    <t>ESLGM074XX00N142796</t>
  </si>
  <si>
    <t>ESLGM075XX00N142796</t>
  </si>
  <si>
    <t>ESLGR016XX000112498</t>
  </si>
  <si>
    <t>ESLGR016XX000142597</t>
  </si>
  <si>
    <t>ESLGR016XX000300008</t>
  </si>
  <si>
    <t>ESLGR016XX000300017</t>
  </si>
  <si>
    <t>ESLGR016XX000300042</t>
  </si>
  <si>
    <t>ESLGR016XX000300059</t>
  </si>
  <si>
    <t>ESLGR016XX000300067</t>
  </si>
  <si>
    <t>ESLGR016XX000300138</t>
  </si>
  <si>
    <t>ESLGR016XX00N142807</t>
  </si>
  <si>
    <t>ESLGR016XX00N300017</t>
  </si>
  <si>
    <t>ESLGR016XX00N300022</t>
  </si>
  <si>
    <t>ESLGR016XX00N300023</t>
  </si>
  <si>
    <t>ESLGR016XX00N300039</t>
  </si>
  <si>
    <t>ESLGR016XX00N300055</t>
  </si>
  <si>
    <t>ESLGR016XX00N300073</t>
  </si>
  <si>
    <t>ESLGR016XX00N300111</t>
  </si>
  <si>
    <t>ESLGR016XX0B0142639</t>
  </si>
  <si>
    <t>ESLGR016XX0B0300008</t>
  </si>
  <si>
    <t>ESLGR016XX0BL300042</t>
  </si>
  <si>
    <t>ESLGR016XX0BN300042</t>
  </si>
  <si>
    <t>ESLGR016XX0CN300173</t>
  </si>
  <si>
    <t>ESLGR016XX0GN300042</t>
  </si>
  <si>
    <t>ESLGR022KR03N142368</t>
  </si>
  <si>
    <t>ESLGR022KR04N300146</t>
  </si>
  <si>
    <t>ESLGR022US180(A)300116</t>
  </si>
  <si>
    <t>ESLGR022US18N300116</t>
  </si>
  <si>
    <t>ESLGR022XX000112498</t>
  </si>
  <si>
    <t>ESLGR022XX000142475</t>
  </si>
  <si>
    <t>ESLGR022XX000142639</t>
  </si>
  <si>
    <t>ESLGR022XX000142660</t>
  </si>
  <si>
    <t>ESLGR022XX000142807</t>
  </si>
  <si>
    <t>ESLGR022XX000300008</t>
  </si>
  <si>
    <t>ESLGR022XX000300034</t>
  </si>
  <si>
    <t>ESLGR022XX000300059</t>
  </si>
  <si>
    <t>ESLGR022XX000300067</t>
  </si>
  <si>
    <t>ESLGR022XX000300117</t>
  </si>
  <si>
    <t>ESLGR022XX000300138</t>
  </si>
  <si>
    <t>ESLGR022XX000300146</t>
  </si>
  <si>
    <t>ESLGR022XX00L112498</t>
  </si>
  <si>
    <t>ESLGR022XX00N101906</t>
  </si>
  <si>
    <t>ESLGR022XX00N142651</t>
  </si>
  <si>
    <t>ESLGR022XX00N142807</t>
  </si>
  <si>
    <t>ESLGR022XX00N300032</t>
  </si>
  <si>
    <t>ESLGR022XX00N300039</t>
  </si>
  <si>
    <t>ESLGR022XX00N300055</t>
  </si>
  <si>
    <t>ESLGR022XX00N300062</t>
  </si>
  <si>
    <t>ESLGR022XX00N300111</t>
  </si>
  <si>
    <t>ESLGR022XX0B0142639</t>
  </si>
  <si>
    <t>ESLGR022XX0B0300008</t>
  </si>
  <si>
    <t>ESLGR022XX0BN300042</t>
  </si>
  <si>
    <t>ESLGR022XX0CN300173</t>
  </si>
  <si>
    <t>ESLGR026KR04BN300062</t>
  </si>
  <si>
    <t>ESLGR026KR04N142651</t>
  </si>
  <si>
    <t>ESLGR026KR04N300032</t>
  </si>
  <si>
    <t>ESLGR026KR04N300034</t>
  </si>
  <si>
    <t>ESLGR026KR04N300062</t>
  </si>
  <si>
    <t>ESLGR026XX000300008</t>
  </si>
  <si>
    <t>ESLGR026XX000300067</t>
  </si>
  <si>
    <t>ESLGR026XX00N142651</t>
  </si>
  <si>
    <t>ESLGR026XX00N300032</t>
  </si>
  <si>
    <t>ESLGR026XX00N300034</t>
  </si>
  <si>
    <t>ESLGR026XX0B0300008</t>
  </si>
  <si>
    <t>ESLGR026XX0B0300042</t>
  </si>
  <si>
    <t>ESLGR026XX0B0300067</t>
  </si>
  <si>
    <t>ESLGR026XX0BL300042</t>
  </si>
  <si>
    <t>ESLGR026XX0BN142651</t>
  </si>
  <si>
    <t>ESLGR026XX0BN300034</t>
  </si>
  <si>
    <t>ESLGR026XX0GN300042</t>
  </si>
  <si>
    <t>ESLGR027XX00N300008</t>
  </si>
  <si>
    <t>ESLGR027XX00N300039</t>
  </si>
  <si>
    <t>ESLGR027XX00N300062</t>
  </si>
  <si>
    <t>ESLGR027XX00N300067</t>
  </si>
  <si>
    <t>ESLGR027XX00N300073</t>
  </si>
  <si>
    <t>ESLGR029KR03N142368</t>
  </si>
  <si>
    <t>ESLGR029KR04N142651</t>
  </si>
  <si>
    <t>ESLGR029KR04N300032</t>
  </si>
  <si>
    <t>ESLGR029KR04N300146</t>
  </si>
  <si>
    <t>ESLGR029KR04N700062</t>
  </si>
  <si>
    <t>ESLGR029US180(A)300116</t>
  </si>
  <si>
    <t>ESLGR029US18N300116</t>
  </si>
  <si>
    <t>ESLGR029XX000112498</t>
  </si>
  <si>
    <t>ESLGR029XX000142660</t>
  </si>
  <si>
    <t>ESLGR029XX000142807</t>
  </si>
  <si>
    <t>ESLGR029XX000300008</t>
  </si>
  <si>
    <t>ESLGR029XX000300017</t>
  </si>
  <si>
    <t>ESLGR029XX000300059</t>
  </si>
  <si>
    <t>ESLGR029XX000300067</t>
  </si>
  <si>
    <t>ESLGR029XX000300138</t>
  </si>
  <si>
    <t>ESLGR029XX000300146</t>
  </si>
  <si>
    <t>ESLGR029XX00L112498</t>
  </si>
  <si>
    <t>ESLGR029XX00L142651</t>
  </si>
  <si>
    <t>ESLGR029XX00L300017</t>
  </si>
  <si>
    <t>ESLGR029XX00L300039</t>
  </si>
  <si>
    <t>ESLGR029XX00L300055</t>
  </si>
  <si>
    <t>ESLGR029XX00M142651</t>
  </si>
  <si>
    <t>ESLGR029XX00N101906</t>
  </si>
  <si>
    <t>ESLGR029XX00N142368</t>
  </si>
  <si>
    <t>ESLGR029XX00N142639</t>
  </si>
  <si>
    <t>ESLGR029XX00N142651</t>
  </si>
  <si>
    <t>ESLGR029XX00N142664</t>
  </si>
  <si>
    <t>ESLGR029XX00N142807</t>
  </si>
  <si>
    <t>ESLGR029XX00N150518</t>
  </si>
  <si>
    <t>ESLGR029XX00N300017</t>
  </si>
  <si>
    <t>ESLGR029XX00N300022</t>
  </si>
  <si>
    <t>ESLGR029XX00N300023</t>
  </si>
  <si>
    <t>ESLGR029XX00N300032</t>
  </si>
  <si>
    <t>ESLGR029XX00N300034</t>
  </si>
  <si>
    <t>ESLGR029XX00N300039</t>
  </si>
  <si>
    <t>ESLGR029XX00N300040</t>
  </si>
  <si>
    <t>ESLGR029XX00N300055</t>
  </si>
  <si>
    <t>ESLGR029XX00N300062</t>
  </si>
  <si>
    <t>ESLGR029XX00N300067</t>
  </si>
  <si>
    <t>ESLGR029XX00N300073</t>
  </si>
  <si>
    <t>ESLGR029XX00N300111</t>
  </si>
  <si>
    <t>ESLGR029XX0B0300008</t>
  </si>
  <si>
    <t>ESLGR029XX0B0300067</t>
  </si>
  <si>
    <t>ESLGR029XX0B0300146</t>
  </si>
  <si>
    <t>ESLGR029XX0BN142651</t>
  </si>
  <si>
    <t>ESLGR029XX0BN300040</t>
  </si>
  <si>
    <t>ESLGR033XX00N300039</t>
  </si>
  <si>
    <t>ESLGR033XX00N300067</t>
  </si>
  <si>
    <t>ESLGR042GE020141958</t>
  </si>
  <si>
    <t>ESLGR042KR04N300146</t>
  </si>
  <si>
    <t>ESLGR042KR04N700062</t>
  </si>
  <si>
    <t>ESLGR042XX00L112498</t>
  </si>
  <si>
    <t>ESLGR042XX00L142807</t>
  </si>
  <si>
    <t>ESLGR042XX00L300042</t>
  </si>
  <si>
    <t>ESLGR042XX00L300067</t>
  </si>
  <si>
    <t>ESLGR042XX00N101906</t>
  </si>
  <si>
    <t>ESLGR042XX00N112498</t>
  </si>
  <si>
    <t>ESLGR042XX00N142639</t>
  </si>
  <si>
    <t>ESLGR042XX00N142651</t>
  </si>
  <si>
    <t>ESLGR042XX00N142660</t>
  </si>
  <si>
    <t>ESLGR042XX00N142807</t>
  </si>
  <si>
    <t>ESLGR042XX00N150518</t>
  </si>
  <si>
    <t>ESLGR042XX00N300008</t>
  </si>
  <si>
    <t>ESLGR042XX00N300022</t>
  </si>
  <si>
    <t>ESLGR042XX00N300023</t>
  </si>
  <si>
    <t>ESLGR042XX00N300032</t>
  </si>
  <si>
    <t>ESLGR042XX00N300034</t>
  </si>
  <si>
    <t>ESLGR042XX00N300039</t>
  </si>
  <si>
    <t>ESLGR042XX00N300040</t>
  </si>
  <si>
    <t>ESLGR042XX00N300055</t>
  </si>
  <si>
    <t>ESLGR042XX00N300062</t>
  </si>
  <si>
    <t>ESLGR042XX00N300067</t>
  </si>
  <si>
    <t>ESLGR042XX00N300073</t>
  </si>
  <si>
    <t>ESLGR042XX00N300111</t>
  </si>
  <si>
    <t>ESLGR042XX00N300138</t>
  </si>
  <si>
    <t>ESLGR042XX00N300146</t>
  </si>
  <si>
    <t>ESLGR042XX0BL300039</t>
  </si>
  <si>
    <t>ESLGR042XX0BN112498</t>
  </si>
  <si>
    <t>ESLGR042XX0BN300008</t>
  </si>
  <si>
    <t>ESLGR042XX0BN300017</t>
  </si>
  <si>
    <t>ESLGR042XX0BN300039</t>
  </si>
  <si>
    <t>ESLGR042XX0BN300040</t>
  </si>
  <si>
    <t>ESLGR042XX0BN300042</t>
  </si>
  <si>
    <t>ESLGR042XX0BN300062</t>
  </si>
  <si>
    <t>ESLGR042XX0BN300111</t>
  </si>
  <si>
    <t>ESLGR042XX0BN300146</t>
  </si>
  <si>
    <t>ESLGR043KR03N142368</t>
  </si>
  <si>
    <t>ESLGR043KR03N300008</t>
  </si>
  <si>
    <t>ESLGR060XX13N101906</t>
  </si>
  <si>
    <t>ESLGR060XX13N112498</t>
  </si>
  <si>
    <t>ESLGR060XX13N142639</t>
  </si>
  <si>
    <t>ESLGR060XX13N142651</t>
  </si>
  <si>
    <t>ESLGR060XX13N142660</t>
  </si>
  <si>
    <t>ESLGR060XX13N142807</t>
  </si>
  <si>
    <t>ESLGR060XX13N300008</t>
  </si>
  <si>
    <t>ESLGR060XX13N300017</t>
  </si>
  <si>
    <t>ESLGR060XX13N300022</t>
  </si>
  <si>
    <t>ESLGR060XX13N300023</t>
  </si>
  <si>
    <t>ESLGR060XX13N300032</t>
  </si>
  <si>
    <t>ESLGR060XX13N300039</t>
  </si>
  <si>
    <t>ESLGR060XX13N300040</t>
  </si>
  <si>
    <t>ESLGR060XX13N300055</t>
  </si>
  <si>
    <t>ESLGR060XX13N300067</t>
  </si>
  <si>
    <t>ESLGR060XX13N300073</t>
  </si>
  <si>
    <t>ESLGR074XX00N142664</t>
  </si>
  <si>
    <t>ESLGR074XX0BN300017</t>
  </si>
  <si>
    <t>ESLGR074XX0BN300040</t>
  </si>
  <si>
    <t>ESLGR074XX13N300017</t>
  </si>
  <si>
    <t>ESLGR075XX00N142368</t>
  </si>
  <si>
    <t>ESLGR075XX00N142639</t>
  </si>
  <si>
    <t>ESLGR075XX00N142651</t>
  </si>
  <si>
    <t>ESLGR075XX00N142664</t>
  </si>
  <si>
    <t>ESLGR075XX00N142807</t>
  </si>
  <si>
    <t>ESLGR075XX00N150518</t>
  </si>
  <si>
    <t>ESLGR075XX00N300008</t>
  </si>
  <si>
    <t>ESLGR075XX00N300022</t>
  </si>
  <si>
    <t>ESLGR075XX00N300023</t>
  </si>
  <si>
    <t>ESLGR075XX00N300039</t>
  </si>
  <si>
    <t>ESLGR075XX00N300040</t>
  </si>
  <si>
    <t>ESLGR075XX00N300055</t>
  </si>
  <si>
    <t>ESLGR075XX00N300067</t>
  </si>
  <si>
    <t>ESLGR075XX00N300073</t>
  </si>
  <si>
    <t>ESLGR075XX00N300111</t>
  </si>
  <si>
    <t>ESLGR075XX00N300138</t>
  </si>
  <si>
    <t>ESLGR075XX00N300161</t>
  </si>
  <si>
    <t>ESLGR075XX0BN142807</t>
  </si>
  <si>
    <t>ESLGR075XX0BN300008</t>
  </si>
  <si>
    <t>ESLGR075XX0BN300017</t>
  </si>
  <si>
    <t>ESLGR075XX0BN300039</t>
  </si>
  <si>
    <t>ESLGR075XX0BN300040</t>
  </si>
  <si>
    <t>ESLGR075XX0BN300042</t>
  </si>
  <si>
    <t>ESLGT016XX000142582</t>
  </si>
  <si>
    <t>ESLGT016XX000142599</t>
  </si>
  <si>
    <t>ESLGT016XX000142612</t>
  </si>
  <si>
    <t>ESLGT016XX000142664</t>
  </si>
  <si>
    <t>ESLGT016XX000142796</t>
  </si>
  <si>
    <t>ESLGT016XX000142825</t>
  </si>
  <si>
    <t>ESLGT022FR000142639</t>
  </si>
  <si>
    <t>ESLGT022KR030150518</t>
  </si>
  <si>
    <t>ESLGT022XX000142582</t>
  </si>
  <si>
    <t>ESLGT022XX000142599</t>
  </si>
  <si>
    <t>ESLGT022XX000142612</t>
  </si>
  <si>
    <t>ESLGT022XX000142825</t>
  </si>
  <si>
    <t>ESLGT022XX0B0142825</t>
  </si>
  <si>
    <t>ESLGT029FR130142603</t>
  </si>
  <si>
    <t>ESLGT029FR13N142603</t>
  </si>
  <si>
    <t>ESLGT029GE030142603</t>
  </si>
  <si>
    <t>ESLGT029GE030142662</t>
  </si>
  <si>
    <t>ESLGT029KR030150518</t>
  </si>
  <si>
    <t>ESLGT029XX000142612</t>
  </si>
  <si>
    <t>ESLGT029XX000142825</t>
  </si>
  <si>
    <t>ESLGT029XX000150518</t>
  </si>
  <si>
    <t>ESLGT029XX000300068</t>
  </si>
  <si>
    <t>ESLGT029XX000300070</t>
  </si>
  <si>
    <t>ESLGT029XX006142651</t>
  </si>
  <si>
    <t>ESLGT029XX006142664</t>
  </si>
  <si>
    <t>ESLGT029XX006150518</t>
  </si>
  <si>
    <t>ESLGT029XX006300008</t>
  </si>
  <si>
    <t>ESLGT029XX006300017</t>
  </si>
  <si>
    <t>ESLGT029XX006300023</t>
  </si>
  <si>
    <t>ESLGT029XX006300032</t>
  </si>
  <si>
    <t>ESLGT029XX006300039</t>
  </si>
  <si>
    <t>ESLGT029XX006300040</t>
  </si>
  <si>
    <t>ESLGT029XX006300055</t>
  </si>
  <si>
    <t>ESLGT029XX006300059</t>
  </si>
  <si>
    <t>ESLGT029XX006300067</t>
  </si>
  <si>
    <t>ESLGT029XX00N142603</t>
  </si>
  <si>
    <t>ESLGT029XX036142368</t>
  </si>
  <si>
    <t>ESLGT029XX0B6300042</t>
  </si>
  <si>
    <t>ESLGT029XX0B6300146</t>
  </si>
  <si>
    <t>ESLGT042XX001142582</t>
  </si>
  <si>
    <t>ESLGT042XX001142598</t>
  </si>
  <si>
    <t>ESLGT042XX001142599</t>
  </si>
  <si>
    <t>ESLGT042XX001142664</t>
  </si>
  <si>
    <t>ESLGT042XX001142796</t>
  </si>
  <si>
    <t>ESLGT042XX001142825</t>
  </si>
  <si>
    <t>ESLGT042XX002142612</t>
  </si>
  <si>
    <t>ESLGT060JP110142599</t>
  </si>
  <si>
    <t>ESLGT060JP110142796</t>
  </si>
  <si>
    <t>ESLGW215GE020101906</t>
  </si>
  <si>
    <t>ESLGW215GE020142475</t>
  </si>
  <si>
    <t>ESLGW215GE020142599</t>
  </si>
  <si>
    <t>ESLGW215GE020142603</t>
  </si>
  <si>
    <t>ESLGW215GE020142612</t>
  </si>
  <si>
    <t>ESLGW215GE020142662</t>
  </si>
  <si>
    <t>ESLGW215GE020142796</t>
  </si>
  <si>
    <t>ESLGW215GE020142807</t>
  </si>
  <si>
    <t>ESLGW215GE020142825</t>
  </si>
  <si>
    <t>ESLGW215GE020300017</t>
  </si>
  <si>
    <t>ESLGW215GE020300022</t>
  </si>
  <si>
    <t>ESLGW215GE020300023</t>
  </si>
  <si>
    <t>ESLGW215GE130142603</t>
  </si>
  <si>
    <t>ESLGW215XX001101906</t>
  </si>
  <si>
    <t>ESLGW215XX001141958</t>
  </si>
  <si>
    <t>ESLGW215XX001142368</t>
  </si>
  <si>
    <t>ESLGW215XX001142651</t>
  </si>
  <si>
    <t>ESLGW215XX001142796</t>
  </si>
  <si>
    <t>ESLGW215XX001150518</t>
  </si>
  <si>
    <t>ESLGW215XX001300032</t>
  </si>
  <si>
    <t>ESLGW215XX001300034</t>
  </si>
  <si>
    <t>ESLGW215XX001300040</t>
  </si>
  <si>
    <t>ESLGW215XX001300062</t>
  </si>
  <si>
    <t>ESLGW215XX001300111</t>
  </si>
  <si>
    <t>ESLGW215XX001300146</t>
  </si>
  <si>
    <t>ESLGW215XX004142603</t>
  </si>
  <si>
    <t>ESLGW215XX004300040</t>
  </si>
  <si>
    <t>ESLGW215XX004300045</t>
  </si>
  <si>
    <t>ESLGW215XX004300080</t>
  </si>
  <si>
    <t>ESLGW215XX011300116</t>
  </si>
  <si>
    <t>ESLGW215XX012112498</t>
  </si>
  <si>
    <t>ESLGW215XX012142597</t>
  </si>
  <si>
    <t>ESLGW215XX012142603</t>
  </si>
  <si>
    <t>ESLGW215XX012142639</t>
  </si>
  <si>
    <t>ESLGW215XX012142660</t>
  </si>
  <si>
    <t>ESLGW215XX012142807</t>
  </si>
  <si>
    <t>ESLGW215XX012150518</t>
  </si>
  <si>
    <t>ESLGW215XX012300008</t>
  </si>
  <si>
    <t>ESLGW215XX012300032</t>
  </si>
  <si>
    <t>ESLGW215XX012300039</t>
  </si>
  <si>
    <t>ESLGW215XX012300055</t>
  </si>
  <si>
    <t>ESLGW215XX012300062</t>
  </si>
  <si>
    <t>ESLGW215XX012300067</t>
  </si>
  <si>
    <t>ESLGW215XX012300070</t>
  </si>
  <si>
    <t>ESLGW215XX012300073</t>
  </si>
  <si>
    <t>ESLGW215XX012300077</t>
  </si>
  <si>
    <t>ESLGW215XX012300117</t>
  </si>
  <si>
    <t>ESLGW215XX012300138</t>
  </si>
  <si>
    <t>ESLGW215XX012300161</t>
  </si>
  <si>
    <t>ESLGW215XX012300173</t>
  </si>
  <si>
    <t>ESLGW215XX012700062</t>
  </si>
  <si>
    <t>ESLGY016XX000300008</t>
  </si>
  <si>
    <t>ESLGY016XX00N141111</t>
  </si>
  <si>
    <t>ESLGY016XX00N300040</t>
  </si>
  <si>
    <t>ESLGY016XX00N300042</t>
  </si>
  <si>
    <t>ESLGY022XX000300008</t>
  </si>
  <si>
    <t>ESLGY022XX000300067</t>
  </si>
  <si>
    <t>ESLGY022XX00N142796</t>
  </si>
  <si>
    <t>ESLGY022XX00N300039</t>
  </si>
  <si>
    <t>ESLGY022XX00N300040</t>
  </si>
  <si>
    <t>ESLGY022XX00N300042</t>
  </si>
  <si>
    <t>ESLGY029XX000300067</t>
  </si>
  <si>
    <t>ESLGY029XX00N141111</t>
  </si>
  <si>
    <t>ESLGY029XX00N142664</t>
  </si>
  <si>
    <t>ESLGY029XX00N300039</t>
  </si>
  <si>
    <t>ESLGY042XX00N300008</t>
  </si>
  <si>
    <t>ESLGY042XX00N300039</t>
  </si>
  <si>
    <t>ESLGY042XX0BN300039</t>
  </si>
  <si>
    <t>ESLGY042XX0BN300042</t>
  </si>
  <si>
    <t>ESLGY075XX00N142664</t>
  </si>
  <si>
    <t>ESLGY075XX00N300039</t>
  </si>
  <si>
    <t>ESLGY075XX0BN300039</t>
  </si>
  <si>
    <t>ESLRC068XX001101906</t>
  </si>
  <si>
    <t>ESLRC068XX001112498</t>
  </si>
  <si>
    <t>ESLRC068XX001141958</t>
  </si>
  <si>
    <t>ESLRC068XX001142368</t>
  </si>
  <si>
    <t>ESLRC068XX001142597</t>
  </si>
  <si>
    <t>ESLRC068XX001142599</t>
  </si>
  <si>
    <t>ESLRC068XX001142603</t>
  </si>
  <si>
    <t>ESLRC068XX001142612</t>
  </si>
  <si>
    <t>ESLRC068XX001142639</t>
  </si>
  <si>
    <t>ESLRC068XX001142651</t>
  </si>
  <si>
    <t>ESLRC068XX001142660</t>
  </si>
  <si>
    <t>ESLRC068XX001142664</t>
  </si>
  <si>
    <t>ESLRC068XX001142796</t>
  </si>
  <si>
    <t>ESLRC068XX001142807</t>
  </si>
  <si>
    <t>ESLRC068XX001142825</t>
  </si>
  <si>
    <t>ESLRC068XX001150518</t>
  </si>
  <si>
    <t>ESLRC068XX001300008</t>
  </si>
  <si>
    <t>ESLRC068XX001300022</t>
  </si>
  <si>
    <t>ESLRC068XX001300032</t>
  </si>
  <si>
    <t>ESLRC068XX001300034</t>
  </si>
  <si>
    <t>ESLRC068XX001300039</t>
  </si>
  <si>
    <t>ESLRC068XX001300040</t>
  </si>
  <si>
    <t>ESLRC068XX001300045</t>
  </si>
  <si>
    <t>ESLRC068XX001300055</t>
  </si>
  <si>
    <t>ESLRC068XX001300062</t>
  </si>
  <si>
    <t>ESLRC068XX001300067</t>
  </si>
  <si>
    <t>ESLRC068XX001300070</t>
  </si>
  <si>
    <t>ESLRC068XX001300073</t>
  </si>
  <si>
    <t>ESLRC068XX001300080</t>
  </si>
  <si>
    <t>ESLRC068XX001300111</t>
  </si>
  <si>
    <t>ESLRC068XX001300116</t>
  </si>
  <si>
    <t>ESLRC068XX001300117</t>
  </si>
  <si>
    <t>ESLRC068XX001300138</t>
  </si>
  <si>
    <t>ESLRC068XX001300146</t>
  </si>
  <si>
    <t>ESLRC068XX001300161</t>
  </si>
  <si>
    <t>ESLRC068XX001300173</t>
  </si>
  <si>
    <t>ESLRC068XX001700062</t>
  </si>
  <si>
    <t>ESLRC068XX002142603</t>
  </si>
  <si>
    <t>ESLRC068XX002142662</t>
  </si>
  <si>
    <t>ESLRC068XX002142825</t>
  </si>
  <si>
    <t>ESLST078BR150142660</t>
  </si>
  <si>
    <t>ESLST085KR011300034</t>
  </si>
  <si>
    <t>ESLST092GE020141958</t>
  </si>
  <si>
    <t>TGXGM016FR13C142603</t>
  </si>
  <si>
    <t>TGXGM029FR13C142603</t>
  </si>
  <si>
    <t>TGXGM029GE13F142603</t>
  </si>
  <si>
    <t>TGXGM029XX00F300146</t>
  </si>
  <si>
    <t>TGXGM029XX00F300168</t>
  </si>
  <si>
    <t>TGXGM042GE13C142603</t>
  </si>
  <si>
    <t>TGXGM042GE13CU142603</t>
  </si>
  <si>
    <t>TGXGM075GE13C142603</t>
  </si>
  <si>
    <t>TGXGM075GE13CU142603</t>
  </si>
  <si>
    <t>TGXGR016GE13C142603</t>
  </si>
  <si>
    <t>TGXGR016GE13C300042</t>
  </si>
  <si>
    <t>TGXGR016XX00C142807</t>
  </si>
  <si>
    <t>TGXGR016XX00C300168</t>
  </si>
  <si>
    <t>TGXGR022XX00C300146</t>
  </si>
  <si>
    <t>TGXGR022XX00C300168</t>
  </si>
  <si>
    <t>TGXGR029GE13C141958</t>
  </si>
  <si>
    <t>TGXGR029GE13C142603</t>
  </si>
  <si>
    <t>TGXGR029USAMN300080</t>
  </si>
  <si>
    <t>TGXGR029XX00A150518</t>
  </si>
  <si>
    <t>TGXGR029XX00C142807</t>
  </si>
  <si>
    <t>TGXGR029XX00C300146</t>
  </si>
  <si>
    <t>TGXGR029XX00C300168</t>
  </si>
  <si>
    <t>TGXGR029XX00N300077</t>
  </si>
  <si>
    <t>TGXGR029XX00N300168</t>
  </si>
  <si>
    <t>TGXGR042XX00A150518</t>
  </si>
  <si>
    <t>TGXGR042XX00A300045</t>
  </si>
  <si>
    <t>TGXGR042XX00C142807</t>
  </si>
  <si>
    <t>TGXGR042XX00C300042</t>
  </si>
  <si>
    <t>TGXGR042XX00C300146</t>
  </si>
  <si>
    <t>TGXGR042XX00C300168</t>
  </si>
  <si>
    <t>TGXGR042XX00N112498</t>
  </si>
  <si>
    <t>TGXGR042XX00N300168</t>
  </si>
  <si>
    <t>TGXGR060KR04N700062</t>
  </si>
  <si>
    <t>TGXGR060XX00C142807</t>
  </si>
  <si>
    <t>TGXGR060XX00C300116</t>
  </si>
  <si>
    <t>TGXGR060XX00C300168</t>
  </si>
  <si>
    <t>TGXGR060XX00N142807</t>
  </si>
  <si>
    <t>TGXGR060XX00N300077</t>
  </si>
  <si>
    <t>TGXGR060XX00N300116</t>
  </si>
  <si>
    <t>TGXGR060XX00N300168</t>
  </si>
  <si>
    <t>TGXGR075XX00N141958</t>
  </si>
  <si>
    <t>TGXGR075XX00N300134</t>
  </si>
  <si>
    <t>TGXGT029FR13C142603</t>
  </si>
  <si>
    <t>UCSESD048GER0141958</t>
  </si>
  <si>
    <t>UCSESD048GER0142807</t>
  </si>
  <si>
    <t>UCSESD085GER2141958</t>
  </si>
  <si>
    <t>UCSESD125GER2141958</t>
  </si>
  <si>
    <t>UCSLKN07300W0300034</t>
  </si>
  <si>
    <t>DNBU02111IR2109894</t>
  </si>
  <si>
    <t>DNBU10511IS(L)101115</t>
  </si>
  <si>
    <t>DNBU16312IBL100603</t>
  </si>
  <si>
    <t>DNBU24711IST142548</t>
  </si>
  <si>
    <t>DNCS403H5A101134</t>
  </si>
  <si>
    <t>DNCS403QH286A101134</t>
  </si>
  <si>
    <t>DNCS44PAH5S101115</t>
  </si>
  <si>
    <t>DNCS44PAH5S142548</t>
  </si>
  <si>
    <t>DNIS223EH105A101206</t>
  </si>
  <si>
    <t>DNIS223EL105A104223</t>
  </si>
  <si>
    <t>DNLT243H7A100581</t>
  </si>
  <si>
    <t>DNLT243H7A101184</t>
  </si>
  <si>
    <t>DNLT243H7A111550</t>
  </si>
  <si>
    <t>DNQF20AH5N14B101115</t>
  </si>
  <si>
    <t>DNQF20AH5N14C100581</t>
  </si>
  <si>
    <t>DNQF20AH5N14C101115</t>
  </si>
  <si>
    <t>DNQF22ABV108C105392</t>
  </si>
  <si>
    <t>DNQF22ABV108D105392</t>
  </si>
  <si>
    <t>DNQF2P3H6A111550</t>
  </si>
  <si>
    <t>DNQS20PAH6B100581</t>
  </si>
  <si>
    <t>DNQS20PAH6B101115</t>
  </si>
  <si>
    <t>DNQS44CPP101C(P)109649</t>
  </si>
  <si>
    <t>DNQS44PAH6D109649</t>
  </si>
  <si>
    <t>DNQS44PAV6D105392</t>
  </si>
  <si>
    <t>DNQT206DH352A101115</t>
  </si>
  <si>
    <t>DNSS243IH286A101162</t>
  </si>
  <si>
    <t>DNST226KH125A101184</t>
  </si>
  <si>
    <t>DNTQ403IH286A100581</t>
  </si>
  <si>
    <t>DNTQ403IH286A101184</t>
  </si>
  <si>
    <t>DNTQ403IH286A111550</t>
  </si>
  <si>
    <t>DNTQ403IH286A114501</t>
  </si>
  <si>
    <t>DNTQ403IL286A101162</t>
  </si>
  <si>
    <t>DNTQ403IL286A101184</t>
  </si>
  <si>
    <t>DNTQ403IL286A101186</t>
  </si>
  <si>
    <t>DNTQ403IL286A114501</t>
  </si>
  <si>
    <t>DNTS223H5A104223</t>
  </si>
  <si>
    <t>DNTS223H6A100603</t>
  </si>
  <si>
    <t>DNTS243EH286A101162</t>
  </si>
  <si>
    <t>DNTS243EH286A104223</t>
  </si>
  <si>
    <t>DNTS243EH286A111550</t>
  </si>
  <si>
    <t>DNTS243EL286A101184</t>
  </si>
  <si>
    <t>DNTS243EL286A114501</t>
  </si>
  <si>
    <t>DNTS243H5A101134</t>
  </si>
  <si>
    <t>DNTS243H5A101162</t>
  </si>
  <si>
    <t>DNTS243H5A101184</t>
  </si>
  <si>
    <t>DNTS243H5A101186</t>
  </si>
  <si>
    <t>DNTS243H5A101305</t>
  </si>
  <si>
    <t>DNTS243H5A104223</t>
  </si>
  <si>
    <t>DNTS243H5A111550</t>
  </si>
  <si>
    <t>DNTS243H5A114501</t>
  </si>
  <si>
    <t>DNTS243H5A142310</t>
  </si>
  <si>
    <t>DNTS403CH105B101186</t>
  </si>
  <si>
    <t>DNTS403EH105A104223</t>
  </si>
  <si>
    <t>DNTS403EH286A101162</t>
  </si>
  <si>
    <t>DNTS403EH286A101186</t>
  </si>
  <si>
    <t>DNTS403EL105A104223</t>
  </si>
  <si>
    <t>DNTS403H5A100581</t>
  </si>
  <si>
    <t>DNTS403H5A101184</t>
  </si>
  <si>
    <t>DNTS403H5A101186</t>
  </si>
  <si>
    <t>DNTS403H5A104223</t>
  </si>
  <si>
    <t>DNTS403H5A111550</t>
  </si>
  <si>
    <t>DNTS403H5A114501</t>
  </si>
  <si>
    <t>DNTS403H5B101134</t>
  </si>
  <si>
    <t>DNTS403H5B101162</t>
  </si>
  <si>
    <t>DNTS403H5B101305</t>
  </si>
  <si>
    <t>DNTS403H5B104223</t>
  </si>
  <si>
    <t>DNTS403H5B142310</t>
  </si>
  <si>
    <t>DNTT243H5A104223</t>
  </si>
  <si>
    <t>DNTT243H5A111550</t>
  </si>
  <si>
    <t>DNTT243H6A111550</t>
  </si>
  <si>
    <t>DNTT243IH145A100581</t>
  </si>
  <si>
    <t>DNTT243IH296A111550</t>
  </si>
  <si>
    <t>DNVS203EH144A100603</t>
  </si>
  <si>
    <t>DNVS223H7A100581</t>
  </si>
  <si>
    <t>DNVS223H7A101186</t>
  </si>
  <si>
    <t>DNVT223VH141A104223</t>
  </si>
  <si>
    <t>DTIS22EH5A100603</t>
  </si>
  <si>
    <t>DTIS22EH5A101186</t>
  </si>
  <si>
    <t>DTIS22EIH406A100581</t>
  </si>
  <si>
    <t>DTIS22EIH406A100603</t>
  </si>
  <si>
    <t>DTIS22EIH406A101206</t>
  </si>
  <si>
    <t>DTIS22EIL055A101206</t>
  </si>
  <si>
    <t>DTMPD4KNV261A105392</t>
  </si>
  <si>
    <t>DTMT4PCPV101C105392</t>
  </si>
  <si>
    <t>DTOD40FVL084A111550</t>
  </si>
  <si>
    <t>DTOD40FVL084AA100603</t>
  </si>
  <si>
    <t>DTOS24EH6A101305</t>
  </si>
  <si>
    <t>DTOS24EH6A111550</t>
  </si>
  <si>
    <t>DTOS24EH6A114501</t>
  </si>
  <si>
    <t>DTOS24EH7A100581</t>
  </si>
  <si>
    <t>DTOS24EH7A101184</t>
  </si>
  <si>
    <t>DTOS24EH7A101186</t>
  </si>
  <si>
    <t>DTOS24EH7A111550</t>
  </si>
  <si>
    <t>DTOS24EH7A114163</t>
  </si>
  <si>
    <t>DTOS24EH7A114501</t>
  </si>
  <si>
    <t>DTOS24EH7A142310</t>
  </si>
  <si>
    <t>DTOS40CIH112A141565</t>
  </si>
  <si>
    <t>DTOS40EH5A101134</t>
  </si>
  <si>
    <t>DTOS40EH5A101162</t>
  </si>
  <si>
    <t>DTOS40EH5A101184</t>
  </si>
  <si>
    <t>DTOS40EH5A101186</t>
  </si>
  <si>
    <t>DTOS40EH5A104223</t>
  </si>
  <si>
    <t>DTOS40EH5A111550</t>
  </si>
  <si>
    <t>DTOS40EH5A114163</t>
  </si>
  <si>
    <t>DTOS40EH5A142310</t>
  </si>
  <si>
    <t>DTOS40EH6A100581</t>
  </si>
  <si>
    <t>DTOS40EH7A100581</t>
  </si>
  <si>
    <t>DTOS40EH7A100603</t>
  </si>
  <si>
    <t>DTOS40EH7A101134</t>
  </si>
  <si>
    <t>DTOS40EH7A101184</t>
  </si>
  <si>
    <t>DTOS40EH7A101186</t>
  </si>
  <si>
    <t>DTOS40EH7A111550</t>
  </si>
  <si>
    <t>DTOS40EH7A114163</t>
  </si>
  <si>
    <t>DTOS40EH7A142310</t>
  </si>
  <si>
    <t>DTOS40EIH035A101162</t>
  </si>
  <si>
    <t>DTOS40EIH035A104223</t>
  </si>
  <si>
    <t>DTOS40EIH035B101162</t>
  </si>
  <si>
    <t>DTOS40EIH035B101186</t>
  </si>
  <si>
    <t>DTOS40EIH276A101184</t>
  </si>
  <si>
    <t>DTOS40EIH276B101162</t>
  </si>
  <si>
    <t>DTOS40EIH276B101186</t>
  </si>
  <si>
    <t>DTOS40EIH276B142310</t>
  </si>
  <si>
    <t>DTOS40EIL035B101162</t>
  </si>
  <si>
    <t>DTOS40EIL035B101186</t>
  </si>
  <si>
    <t>DTOS40EIL276A101184</t>
  </si>
  <si>
    <t>DTOS40EIL276A104223</t>
  </si>
  <si>
    <t>DTOS40EIL276A142310</t>
  </si>
  <si>
    <t>DTQS21CDH085B100702</t>
  </si>
  <si>
    <t>DTQS21NAV5A100702</t>
  </si>
  <si>
    <t>DTQS22CDV085B(P)105392</t>
  </si>
  <si>
    <t>DTQS22KDV101B105392</t>
  </si>
  <si>
    <t>DTQS44PAP6S100581</t>
  </si>
  <si>
    <t>DTQS44PAP6S101115</t>
  </si>
  <si>
    <t>DTQT22NAV7A100702</t>
  </si>
  <si>
    <t>DTSF20SH6A101115</t>
  </si>
  <si>
    <t>DTSF20SH6B100581</t>
  </si>
  <si>
    <t>DTSF20SH6B101115</t>
  </si>
  <si>
    <t>DTST243IH133A141565</t>
  </si>
  <si>
    <t>DTST243IH133T142548</t>
  </si>
  <si>
    <t>DTST24CIH112A141565</t>
  </si>
  <si>
    <t>DTST24CIL112A141565</t>
  </si>
  <si>
    <t>DTVD20FVH084AA100603</t>
  </si>
  <si>
    <t>DTVD20FVL084A100603</t>
  </si>
  <si>
    <t>DTVD20FVL084A101186</t>
  </si>
  <si>
    <t>DTVD20FVL084A104223</t>
  </si>
  <si>
    <t>DTVS20CIH034B142548</t>
  </si>
  <si>
    <t>DTVS20CIH035A142051</t>
  </si>
  <si>
    <t>DTVS20CVH035B142051</t>
  </si>
  <si>
    <t>DTVS20EH4B100603</t>
  </si>
  <si>
    <t>DTVS20EH4B104223</t>
  </si>
  <si>
    <t>DTVS20EH5A100603</t>
  </si>
  <si>
    <t>DTVS20EH5A101186</t>
  </si>
  <si>
    <t>DTVS20EH5A101206</t>
  </si>
  <si>
    <t>DTVS20EH5A104223</t>
  </si>
  <si>
    <t>DTVS20EH5B100581</t>
  </si>
  <si>
    <t>DTVS20EH5B100603</t>
  </si>
  <si>
    <t>DTVS20EH6A100603</t>
  </si>
  <si>
    <t>DTVS20EH6A101186</t>
  </si>
  <si>
    <t>DTVS20EH6A101206</t>
  </si>
  <si>
    <t>DTVS20EH7A100603</t>
  </si>
  <si>
    <t>DTVS20EH7A101186</t>
  </si>
  <si>
    <t>DTVS20EH7A101206</t>
  </si>
  <si>
    <t>DTVS20EIH276A100603</t>
  </si>
  <si>
    <t>DTVS20EIH276A104223</t>
  </si>
  <si>
    <t>DTVS22CIH112A141565</t>
  </si>
  <si>
    <t>DTVS22CIL111A141565</t>
  </si>
  <si>
    <t>DTVS22CIL112A141565</t>
  </si>
  <si>
    <t>KB101BM01B/KSS100587</t>
  </si>
  <si>
    <t>KT0013M01N/KSK109408</t>
  </si>
  <si>
    <t>RMUP74055DC142548</t>
  </si>
  <si>
    <t>RMVN13450TB109894</t>
  </si>
  <si>
    <t>RMVP13450DF142548</t>
  </si>
  <si>
    <t>T3L02BI0100335</t>
  </si>
  <si>
    <t>T4S01AR0109408</t>
  </si>
  <si>
    <t>T5H02AV0109408</t>
  </si>
  <si>
    <t>TBH00CY71100702</t>
  </si>
  <si>
    <t>TBH00CY71106916</t>
  </si>
  <si>
    <t>TBH01CY71106916</t>
  </si>
  <si>
    <t>TBH02CY71106916</t>
  </si>
  <si>
    <t>TBH02CY71300157</t>
  </si>
  <si>
    <t>TBHH01AP0109408</t>
  </si>
  <si>
    <t>TBHH01AP00100587</t>
  </si>
  <si>
    <t>TBHH01AP00109408</t>
  </si>
  <si>
    <t>TBHH01AP01100587</t>
  </si>
  <si>
    <t>TBHH01AP01109408</t>
  </si>
  <si>
    <t>TBHH01AP02100587</t>
  </si>
  <si>
    <t>TBHH01AP02109408</t>
  </si>
  <si>
    <t>TBHH01AP03100587</t>
  </si>
  <si>
    <t>TBHH01AP03109408</t>
  </si>
  <si>
    <t>TBHH01AP04US001</t>
  </si>
  <si>
    <t>TBHH01AP05US001</t>
  </si>
  <si>
    <t>TBHH01AP07400144</t>
  </si>
  <si>
    <t>TBHH01AP07US001</t>
  </si>
  <si>
    <t>TBHH01AP08300008</t>
  </si>
  <si>
    <t>TBHH01AP0B300008</t>
  </si>
  <si>
    <t>TBHH01AP0K142122</t>
  </si>
  <si>
    <t>TBHH01AP10100587</t>
  </si>
  <si>
    <t>TBHH01AP10109408</t>
  </si>
  <si>
    <t>TBHH01AP11100587</t>
  </si>
  <si>
    <t>TBHH01AP11109408</t>
  </si>
  <si>
    <t>TBHH01AP12100587</t>
  </si>
  <si>
    <t>TBHH01AP12109408</t>
  </si>
  <si>
    <t>TBHH01AP13100587</t>
  </si>
  <si>
    <t>TBHH01AP13109408</t>
  </si>
  <si>
    <t>TBHH01AP14100587</t>
  </si>
  <si>
    <t>TBHH01AP15US001</t>
  </si>
  <si>
    <t>TBHH01AP16US001</t>
  </si>
  <si>
    <t>TBHH01AP17109408</t>
  </si>
  <si>
    <t>TBHH01AP17300008</t>
  </si>
  <si>
    <t>TBHH01AP18173744</t>
  </si>
  <si>
    <t>TBHH01AP1C100587</t>
  </si>
  <si>
    <t>TBL02BD0100335</t>
  </si>
  <si>
    <t>TLG01C20100702</t>
  </si>
  <si>
    <t>TLG01C20109408</t>
  </si>
  <si>
    <t>TLT01CS1100702</t>
  </si>
  <si>
    <t>TLT01CS1109408</t>
  </si>
  <si>
    <t>TLT01CS1300025</t>
  </si>
  <si>
    <t>TRL02CP0104694</t>
  </si>
  <si>
    <t>TRL02CP1104694</t>
  </si>
  <si>
    <t>TWH00CC70106916</t>
  </si>
  <si>
    <t>TWH00CQ51106916</t>
  </si>
  <si>
    <t>TWH00CQ52106916</t>
  </si>
  <si>
    <t>TWH01CQ52106916</t>
  </si>
  <si>
    <t>TWH02CQ52106916</t>
  </si>
  <si>
    <t>TWH03CQ52106916</t>
  </si>
  <si>
    <t>TWH04CQ51106916</t>
  </si>
  <si>
    <t>TWH04CQ52106916</t>
  </si>
  <si>
    <t>TWH05CQ51106916</t>
  </si>
  <si>
    <t>TWH05CQ52106916</t>
  </si>
  <si>
    <t>TWH06CQ52106916</t>
  </si>
  <si>
    <t>TWH07CQ52106916</t>
  </si>
  <si>
    <t>TWH08CQ52106916</t>
  </si>
  <si>
    <t>TWH09CQ52106916</t>
  </si>
  <si>
    <t>TWH10CC70106916</t>
  </si>
  <si>
    <t>TWH10CQ52106916</t>
  </si>
  <si>
    <t>TWH11CQ52106916</t>
  </si>
  <si>
    <t>TWH12CQ52106916</t>
  </si>
  <si>
    <t>TWH14CQ52106916</t>
  </si>
  <si>
    <t>TWH15CQ52106916</t>
  </si>
  <si>
    <t>TWH16CQ52106916</t>
  </si>
  <si>
    <t>TWH17CQ52100702</t>
  </si>
  <si>
    <t>TWH17CQ52106916</t>
  </si>
  <si>
    <t>TWH20CQ52106916</t>
  </si>
  <si>
    <t>TWH21CQ52106916</t>
  </si>
  <si>
    <t>TWH22CQ52106916</t>
  </si>
  <si>
    <t>TWH23CQ52106916</t>
  </si>
  <si>
    <t>V3S32HU048A0300029</t>
  </si>
  <si>
    <t>V3S32HU048A1300029</t>
  </si>
  <si>
    <t>V3S32HU048A2300029</t>
  </si>
  <si>
    <t>V3S32HU048A3300029</t>
  </si>
  <si>
    <t>V3S32HU048A4300029</t>
  </si>
  <si>
    <t>V3S32HU048A5300029</t>
  </si>
  <si>
    <t>V3S55UC120M0300029</t>
  </si>
  <si>
    <t>V3S55UC120M0300051</t>
  </si>
  <si>
    <t>V3S55UC120M1300029</t>
  </si>
  <si>
    <t>V3S55UC120M1300051</t>
  </si>
  <si>
    <t>VN32FM066E0XSO300300</t>
  </si>
  <si>
    <t>VN32FM066E0XVD111550</t>
  </si>
  <si>
    <t>VN32FM066EAXSO300300</t>
  </si>
  <si>
    <t>VN32FM066EAXVD111550</t>
  </si>
  <si>
    <t>VN32FM066H0XSO300300</t>
  </si>
  <si>
    <t>VN32FM066H0XVD111550</t>
  </si>
  <si>
    <t>VN32FM066S0XSO300300</t>
  </si>
  <si>
    <t>VN32FM066S0XVD111550</t>
  </si>
  <si>
    <t>VN32FM066SAXSO300300</t>
  </si>
  <si>
    <t>VN32FM066SAXVD111550</t>
  </si>
  <si>
    <t>VN32FS059A0XBE300029</t>
  </si>
  <si>
    <t>VN32FS059U0XBE142051</t>
  </si>
  <si>
    <t>VN32FS059U0XBE300029</t>
  </si>
  <si>
    <t>VN32FS059UAXBE300029</t>
  </si>
  <si>
    <t>VN32HM066E0XSO300300</t>
  </si>
  <si>
    <t>VN32HM066E0XVD101184</t>
  </si>
  <si>
    <t>VN32HM066E0XVD111550</t>
  </si>
  <si>
    <t>VN32HM066EAXSO300300</t>
  </si>
  <si>
    <t>VN32HM066EAXVD101184</t>
  </si>
  <si>
    <t>VN32HM066EAXVD111550</t>
  </si>
  <si>
    <t>VN32HM066H0XSO300300</t>
  </si>
  <si>
    <t>VN32HM066H0XVD101184</t>
  </si>
  <si>
    <t>VN32HM066S0XSO300300</t>
  </si>
  <si>
    <t>VN32HM066S0XVD101184</t>
  </si>
  <si>
    <t>VN32HN048I0XBE300029</t>
  </si>
  <si>
    <t>VN32HN048I0XRK142051</t>
  </si>
  <si>
    <t>VN32HN048M0XBE300029</t>
  </si>
  <si>
    <t>VN32HN048P0XBE300029</t>
  </si>
  <si>
    <t>VN32HN048P0XRK142051</t>
  </si>
  <si>
    <t>VN32HN048P1XBE300029</t>
  </si>
  <si>
    <t>VN32HN048T0XBE300029</t>
  </si>
  <si>
    <t>VN32HN048T0XRK142051</t>
  </si>
  <si>
    <t>VN32HS048A0XBE300029</t>
  </si>
  <si>
    <t>VN32HS048U0XBE300029</t>
  </si>
  <si>
    <t>VN32HS048UAXBE300029</t>
  </si>
  <si>
    <t>VN40UH130E0XSO300300</t>
  </si>
  <si>
    <t>VN40UH130E0XVD101184</t>
  </si>
  <si>
    <t>VN40UH130E0XVD111550</t>
  </si>
  <si>
    <t>VN40UH130EAXSO300300</t>
  </si>
  <si>
    <t>VN40UH130EAXVD101184</t>
  </si>
  <si>
    <t>VN40UH130EAXVD111550</t>
  </si>
  <si>
    <t>VN43FN075I0XBE300029</t>
  </si>
  <si>
    <t>VN43FN075P0XBE300029</t>
  </si>
  <si>
    <t>VN43FN075P1XBE300029</t>
  </si>
  <si>
    <t>VN43FN075T0XBE300029</t>
  </si>
  <si>
    <t>VN43FN075U0XBE300029</t>
  </si>
  <si>
    <t>VN43FS085A0XBE300029</t>
  </si>
  <si>
    <t>VN43FS085U0XBE300029</t>
  </si>
  <si>
    <t>VN43FS085UAXBE300029</t>
  </si>
  <si>
    <t>VN43UH130A0XVD101186</t>
  </si>
  <si>
    <t>VN43UH130E0XSO300300</t>
  </si>
  <si>
    <t>VN43UH130E0XVD111550</t>
  </si>
  <si>
    <t>VN43UH130E1XSO300300</t>
  </si>
  <si>
    <t>VN43UH130E1XVD111550</t>
  </si>
  <si>
    <t>VN43UH130E2XSO300300</t>
  </si>
  <si>
    <t>VN43UH130E2XVD111550</t>
  </si>
  <si>
    <t>VN43UH130EAXSO300300</t>
  </si>
  <si>
    <t>VN43UH130EAXVD111550</t>
  </si>
  <si>
    <t>VN43UH130EBXSO300300</t>
  </si>
  <si>
    <t>VN43UH130EBXVD111550</t>
  </si>
  <si>
    <t>VN43UH130ECXSO300300</t>
  </si>
  <si>
    <t>VN43UH130ECXVD111550</t>
  </si>
  <si>
    <t>VN43UH130L0XVD100603</t>
  </si>
  <si>
    <t>VN43UH130L0XVD101206</t>
  </si>
  <si>
    <t>VN43UH160E0XVD111550</t>
  </si>
  <si>
    <t>VN43UH160EAXVD111550</t>
  </si>
  <si>
    <t>VN43US100A0XBE300029</t>
  </si>
  <si>
    <t>VN43US100C0XBE300029</t>
  </si>
  <si>
    <t>VN43US100C0XBE300051</t>
  </si>
  <si>
    <t>VN43US100U0XBE300029</t>
  </si>
  <si>
    <t>VN49FH120E0XVD111550</t>
  </si>
  <si>
    <t>VN49FH120EAXVD111550</t>
  </si>
  <si>
    <t>VN49FM130E0XVD111550</t>
  </si>
  <si>
    <t>VN49FM130EAXVD111550</t>
  </si>
  <si>
    <t>VN49US120C0XBE300029</t>
  </si>
  <si>
    <t>VN49US120C0XBE300051</t>
  </si>
  <si>
    <t>VN50UH160A0XVD101186</t>
  </si>
  <si>
    <t>VN50UH160EAXVD111550</t>
  </si>
  <si>
    <t>VN50UH160L0XVD100603</t>
  </si>
  <si>
    <t>VN50UH160L0XVD101206</t>
  </si>
  <si>
    <t>VN50UH160U0XVD100603</t>
  </si>
  <si>
    <t>VN50UH160U0XVD111550</t>
  </si>
  <si>
    <t>VN55UH160A0XVD101186</t>
  </si>
  <si>
    <t>VN55UH160EAXVD111550</t>
  </si>
  <si>
    <t>VN55UH160L0XVD100603</t>
  </si>
  <si>
    <t>VN55UH160L0XVD101206</t>
  </si>
  <si>
    <t>VN55UH160U0XVD100603</t>
  </si>
  <si>
    <t>VN55UH160U0XVD111550</t>
  </si>
  <si>
    <t>VN55UH160U1XVD100603</t>
  </si>
  <si>
    <t>VN65US210C0XBE300029</t>
  </si>
  <si>
    <t>VN65US210C0XBE300051</t>
  </si>
  <si>
    <t>ESLGM022XX15FH300146</t>
  </si>
  <si>
    <t>ESLGR022KR04NH300146</t>
  </si>
  <si>
    <t>ESLBP029GE130142603</t>
  </si>
  <si>
    <t>INV22L04A142311</t>
  </si>
  <si>
    <t>INV29L04A111969</t>
  </si>
  <si>
    <t>INV29L04A142462</t>
  </si>
  <si>
    <t>INV32L01A142462</t>
  </si>
  <si>
    <t>INV32L01B142462</t>
  </si>
  <si>
    <t>INV37L04A111969</t>
  </si>
  <si>
    <t>INV37L04A142462</t>
  </si>
  <si>
    <t>INV40L01A(W1)142462</t>
  </si>
  <si>
    <t>INV40L01A(W2)142462</t>
  </si>
  <si>
    <t>INV40L02A142462</t>
  </si>
  <si>
    <t>INV40L02A(W1)142462</t>
  </si>
  <si>
    <t>INV40L02A(W2)142462</t>
  </si>
  <si>
    <t>INV46L01A111969</t>
  </si>
  <si>
    <t>INV46L01A(W1)111969</t>
  </si>
  <si>
    <t>INV46L01A(W2)111969</t>
  </si>
  <si>
    <t>INV46L01B111969</t>
  </si>
  <si>
    <t>INV46L02C111969</t>
  </si>
  <si>
    <t>INV46L02C142462</t>
  </si>
  <si>
    <t>INV46L02C(W1)111969</t>
  </si>
  <si>
    <t>INV46L02C(W1)142462</t>
  </si>
  <si>
    <t>INV46L02C(W2)111969</t>
  </si>
  <si>
    <t>INV46L02C(W2)142462</t>
  </si>
  <si>
    <t>INV46L02D111969</t>
  </si>
  <si>
    <t>INV46L02D142462</t>
  </si>
  <si>
    <t>INV46L02F111969</t>
  </si>
  <si>
    <t>INV46L02G111969</t>
  </si>
  <si>
    <t>INV46L04D111969</t>
  </si>
  <si>
    <t>INV46L04D142462</t>
  </si>
  <si>
    <t>INV46L04W111969</t>
  </si>
  <si>
    <t>INV46L04W142462</t>
  </si>
  <si>
    <t>INV46L16B141785</t>
  </si>
  <si>
    <t>INV46L16B142462</t>
  </si>
  <si>
    <t>INV46L16D141785</t>
  </si>
  <si>
    <t>INV46L16D142462</t>
  </si>
  <si>
    <t>INV46L32A111969</t>
  </si>
  <si>
    <t>INV46L32A142462</t>
  </si>
  <si>
    <t>INV46L32B142462</t>
  </si>
  <si>
    <t>INV48L01A(W1)142462</t>
  </si>
  <si>
    <t>INV48L01A(W2)142462</t>
  </si>
  <si>
    <t>INV48L12A111969</t>
  </si>
  <si>
    <t>INV48L12A142462</t>
  </si>
  <si>
    <t>INV48L12B111969</t>
  </si>
  <si>
    <t>INV48L12B142462</t>
  </si>
  <si>
    <t>INV55L02B(W)141679</t>
  </si>
  <si>
    <t>INV55L02C111969</t>
  </si>
  <si>
    <t>INV55L02C142462</t>
  </si>
  <si>
    <t>INV55L02C(W1)111969</t>
  </si>
  <si>
    <t>INV55L02C(W1)142462</t>
  </si>
  <si>
    <t>INV55L02C(W2)111969</t>
  </si>
  <si>
    <t>INV55L02C(W2)142462</t>
  </si>
  <si>
    <t>INV55L02D111969</t>
  </si>
  <si>
    <t>INV55L02D142462</t>
  </si>
  <si>
    <t>INV55L02G111969</t>
  </si>
  <si>
    <t>INV55L02G142462</t>
  </si>
  <si>
    <t>INV55L02G(W1)111969</t>
  </si>
  <si>
    <t>INV55L02G(W1)142462</t>
  </si>
  <si>
    <t>INV55L02G(W2)111969</t>
  </si>
  <si>
    <t>INV55L02G(W2)142462</t>
  </si>
  <si>
    <t>INV55L02H111969</t>
  </si>
  <si>
    <t>INV55L02H141785</t>
  </si>
  <si>
    <t>INV55L04A111969</t>
  </si>
  <si>
    <t>INV55L04A142462</t>
  </si>
  <si>
    <t>INV55L12A111969</t>
  </si>
  <si>
    <t>INV55L12A142462</t>
  </si>
  <si>
    <t>INV55L24B141785</t>
  </si>
  <si>
    <t>INV55L24B142462</t>
  </si>
  <si>
    <t>INV65L04A(W1)142462</t>
  </si>
  <si>
    <t>INV65L04A(W2)142462</t>
  </si>
  <si>
    <t>INV65L04A(W3)142462</t>
  </si>
  <si>
    <t>INV65L04A(W4)142462</t>
  </si>
  <si>
    <t>INV65L04B111969</t>
  </si>
  <si>
    <t>INV65L04B(W1)111969</t>
  </si>
  <si>
    <t>INV65L04B(W2)111969</t>
  </si>
  <si>
    <t>INV75L16A141785</t>
  </si>
  <si>
    <t>INV75L16A142462</t>
  </si>
  <si>
    <t>INV75L180B142462</t>
  </si>
  <si>
    <t>INV85L240A141785</t>
  </si>
  <si>
    <t>INV85L240A142462</t>
  </si>
  <si>
    <t>INV98L08A142462</t>
  </si>
  <si>
    <t>PSAF112501A101206</t>
  </si>
  <si>
    <t>PSAF120201C101554</t>
  </si>
  <si>
    <t>PSAF121701A101554</t>
  </si>
  <si>
    <t>PSAF121701A(H)142141</t>
  </si>
  <si>
    <t>PSAF121701B(H)142141</t>
  </si>
  <si>
    <t>PSAF122501B101554</t>
  </si>
  <si>
    <t>PSAF122501B(H)142141</t>
  </si>
  <si>
    <t>PSAF122701A101554</t>
  </si>
  <si>
    <t>PSAF122701A(H)142141</t>
  </si>
  <si>
    <t>PSAF122701B101554</t>
  </si>
  <si>
    <t>PSAF122701B(H)142141</t>
  </si>
  <si>
    <t>PSAF152501B(H)142141</t>
  </si>
  <si>
    <t>PSAF152S07A101554</t>
  </si>
  <si>
    <t>PSAF152S07A(H)142141</t>
  </si>
  <si>
    <t>PSAF152S07B101554</t>
  </si>
  <si>
    <t>PSAF152S07B(H)142141</t>
  </si>
  <si>
    <t>PSAF200401A101116</t>
  </si>
  <si>
    <t>PSAF200401A101554</t>
  </si>
  <si>
    <t>PSAF200401A106916</t>
  </si>
  <si>
    <t>PSAF200401A(H)106916</t>
  </si>
  <si>
    <t>PSAF200401B101116</t>
  </si>
  <si>
    <t>PSAF200401B106916</t>
  </si>
  <si>
    <t>PSAF301601A101554</t>
  </si>
  <si>
    <t>PSAF301601A(H)142141</t>
  </si>
  <si>
    <t>PSAF301701A101554</t>
  </si>
  <si>
    <t>PSAF301701A(H)142141</t>
  </si>
  <si>
    <t>PSAH112501A101554</t>
  </si>
  <si>
    <t>PSAH112501A(H)142141</t>
  </si>
  <si>
    <t>PSAH301601A101554</t>
  </si>
  <si>
    <t>PSAH301601A(H)142141</t>
  </si>
  <si>
    <t>PSAH301601A(CN)101554</t>
  </si>
  <si>
    <t>PSAH301601A(CN)(H)142141</t>
  </si>
  <si>
    <t>PSAH301701A101554</t>
  </si>
  <si>
    <t>PSAH301701A(H)142141</t>
  </si>
  <si>
    <t>PSAL301601A101554</t>
  </si>
  <si>
    <t>PSAL301601A(H)142141</t>
  </si>
  <si>
    <t>PSAL301701A101554</t>
  </si>
  <si>
    <t>PSAL301701A(H)142141</t>
  </si>
  <si>
    <t>PSAV600101A(H)142141</t>
  </si>
  <si>
    <t>PSAV600101B101206</t>
  </si>
  <si>
    <t>PSAV600101B(H)142141</t>
  </si>
  <si>
    <t>PSAV630101A100581</t>
  </si>
  <si>
    <t>PSAV630101A(H)142141</t>
  </si>
  <si>
    <t>PSAV630101B(H)142141</t>
  </si>
  <si>
    <t>PSAV630101C(H)142141</t>
  </si>
  <si>
    <t>PSAV650101A300015</t>
  </si>
  <si>
    <t>PSCV100131A107603</t>
  </si>
  <si>
    <t>PSCV150102B(A)114635</t>
  </si>
  <si>
    <t>PSCV150102B(A)142363</t>
  </si>
  <si>
    <t>PSCV150102B(BC)102470</t>
  </si>
  <si>
    <t>PSCV150102B(BC)114635</t>
  </si>
  <si>
    <t>PSCV150102B(BC)142363</t>
  </si>
  <si>
    <t>PSCV150102B(BC)142805</t>
  </si>
  <si>
    <t>PSCV150102B(BC)400144</t>
  </si>
  <si>
    <t>PSCV150102B(BC_H)101554</t>
  </si>
  <si>
    <t>PSCV150102B(DC)142805</t>
  </si>
  <si>
    <t>PSCV150102D(A)114635</t>
  </si>
  <si>
    <t>PSCV150102D(A)142363</t>
  </si>
  <si>
    <t>PSCV150102D(BC)114635</t>
  </si>
  <si>
    <t>PSCV150102D(BC)142363</t>
  </si>
  <si>
    <t>PSCV150102D(BC)300024</t>
  </si>
  <si>
    <t>PSCV150102D(BC_H)101554</t>
  </si>
  <si>
    <t>PSCV150102F(A)114635</t>
  </si>
  <si>
    <t>PSCV150102F(A)142363</t>
  </si>
  <si>
    <t>PSCV150102F(BC)300024</t>
  </si>
  <si>
    <t>PSCV150102F(DC)102470</t>
  </si>
  <si>
    <t>PSCV150102F(DC)114635</t>
  </si>
  <si>
    <t>PSCV150102F(DC)142363</t>
  </si>
  <si>
    <t>PSCV150102F(DC)300024</t>
  </si>
  <si>
    <t>PSCV150102F(DC_H)101554</t>
  </si>
  <si>
    <t>PSCV150102H(A)102470</t>
  </si>
  <si>
    <t>PSCV150102H(A)114635</t>
  </si>
  <si>
    <t>PSCV150102H(A)142363</t>
  </si>
  <si>
    <t>PSCV150102K(A)102470</t>
  </si>
  <si>
    <t>PSCV150102K(A)114635</t>
  </si>
  <si>
    <t>PSCV150102K(A)142363</t>
  </si>
  <si>
    <t>PSCV150102K(BC)102470</t>
  </si>
  <si>
    <t>PSCV150102K(BC)141365</t>
  </si>
  <si>
    <t>PSCV150102K(BC)300024</t>
  </si>
  <si>
    <t>PSCV150102K(DC)102470</t>
  </si>
  <si>
    <t>PSCV150102K(DC)300024</t>
  </si>
  <si>
    <t>PSCV150102M(A)114635</t>
  </si>
  <si>
    <t>PSCV150102M(A)142363</t>
  </si>
  <si>
    <t>PSCV150102M(DC)102470</t>
  </si>
  <si>
    <t>PSCV150102M(DC)114635</t>
  </si>
  <si>
    <t>PSCV150102M(DC)142363</t>
  </si>
  <si>
    <t>PSCV150102P(BC_H)101554</t>
  </si>
  <si>
    <t>PSCV150102T(DC_H)101554</t>
  </si>
  <si>
    <t>PSCV150102T(VC_H)101554</t>
  </si>
  <si>
    <t>PSCV150102V(DC)114635</t>
  </si>
  <si>
    <t>PSCV150102V(DC)142363</t>
  </si>
  <si>
    <t>PSCV150102V(DC_H)101554</t>
  </si>
  <si>
    <t>PSCV150102V(VC)102470</t>
  </si>
  <si>
    <t>PSCV150102V(VC)112102</t>
  </si>
  <si>
    <t>PSCV150102V(VC_H)112102</t>
  </si>
  <si>
    <t>PSCV150102X(C)114635</t>
  </si>
  <si>
    <t>PSCV150102X(C)142363</t>
  </si>
  <si>
    <t>PSCV150102X(C_H)101554</t>
  </si>
  <si>
    <t>PSCV150102Z(BC)102470</t>
  </si>
  <si>
    <t>PSCV150102Z(BC)114635</t>
  </si>
  <si>
    <t>PSCV150102Z(BC)142805</t>
  </si>
  <si>
    <t>PSCV150102Z(BC)400144</t>
  </si>
  <si>
    <t>PSCV150102Z(DC)142805</t>
  </si>
  <si>
    <t>PSCV150103A101186</t>
  </si>
  <si>
    <t>PSCV150103B(A)114635</t>
  </si>
  <si>
    <t>PSCV150103B(A)142363</t>
  </si>
  <si>
    <t>PSCV150103B(BC)102470</t>
  </si>
  <si>
    <t>PSCV150103B(BC)114635</t>
  </si>
  <si>
    <t>PSCV150103B(BC)142363</t>
  </si>
  <si>
    <t>PSCV150103B(BC)142805</t>
  </si>
  <si>
    <t>PSCV150103B(BC)400144</t>
  </si>
  <si>
    <t>PSCV150103B(DC)142805</t>
  </si>
  <si>
    <t>PSCV150103D(BC)114635</t>
  </si>
  <si>
    <t>PSCV150103E100581</t>
  </si>
  <si>
    <t>PSCV150103E100603</t>
  </si>
  <si>
    <t>PSCV150103E101186</t>
  </si>
  <si>
    <t>PSCV150103E(H)101424</t>
  </si>
  <si>
    <t>PSCV150103E106916</t>
  </si>
  <si>
    <t>PSCV150103E109171</t>
  </si>
  <si>
    <t>PSCV150103E300043</t>
  </si>
  <si>
    <t>PSCV150103J(DC)114635</t>
  </si>
  <si>
    <t>PSCV150103J(DC)142363</t>
  </si>
  <si>
    <t>PSCV150103J(DC_H)106916</t>
  </si>
  <si>
    <t>PSCV150103L(A)114635</t>
  </si>
  <si>
    <t>PSCV150103L(A)142363</t>
  </si>
  <si>
    <t>PSCV150103N(DC)114635</t>
  </si>
  <si>
    <t>PSCV150103N(DC)142363</t>
  </si>
  <si>
    <t>PSCV150103N(DC_H)101554</t>
  </si>
  <si>
    <t>PSCV150103N(VC)300024</t>
  </si>
  <si>
    <t>PSCV150103R(C)101554</t>
  </si>
  <si>
    <t>PSCV150103T(BC_H)101554</t>
  </si>
  <si>
    <t>PSCV150103W(BC_H)101554</t>
  </si>
  <si>
    <t>PSCV150103X(BC_H)101554</t>
  </si>
  <si>
    <t>PSCV150103Y(BC_H)101554</t>
  </si>
  <si>
    <t>PSCV150103Z(BC_H)101554</t>
  </si>
  <si>
    <t>PSCV150104A(DC_H)101554</t>
  </si>
  <si>
    <t>PSCV150104B(BC_H)101554</t>
  </si>
  <si>
    <t>PSCV150104C(BC_H)101554</t>
  </si>
  <si>
    <t>PSCV150104E(BC_H)101554</t>
  </si>
  <si>
    <t>PSCV150104F(BC_H)101554</t>
  </si>
  <si>
    <t>PSCV150104G(DC_H)101554</t>
  </si>
  <si>
    <t>PSCV150104H(BC_H)101554</t>
  </si>
  <si>
    <t>PSCV150104J(C_H)101554</t>
  </si>
  <si>
    <t>PSCV150104J(DC)114635</t>
  </si>
  <si>
    <t>PSCV150104J(DC)142363</t>
  </si>
  <si>
    <t>PSCV150104K(A)114635</t>
  </si>
  <si>
    <t>PSCV150104K(A)142363</t>
  </si>
  <si>
    <t>PSCV150104K(DC)114635</t>
  </si>
  <si>
    <t>PSCV150104K(DC)142363</t>
  </si>
  <si>
    <t>PSCV150104L(BC)101082</t>
  </si>
  <si>
    <t>PSCV150104N(BC_H)101554</t>
  </si>
  <si>
    <t>PSCV150104P(H)101554</t>
  </si>
  <si>
    <t>PSCV150104Q(H)101554</t>
  </si>
  <si>
    <t>PSCV150104R(H)101554</t>
  </si>
  <si>
    <t>PSCV150104S(DC_H)101554</t>
  </si>
  <si>
    <t>PSCV150104T(H)101554</t>
  </si>
  <si>
    <t>PSCV150104U(H)101554</t>
  </si>
  <si>
    <t>PSCV150104V(H)101554</t>
  </si>
  <si>
    <t>PSCV150104W(H)101554</t>
  </si>
  <si>
    <t>PSCV150104X(H)101554</t>
  </si>
  <si>
    <t>PSCV150104Y(DC_H)101554</t>
  </si>
  <si>
    <t>PSCV150104Z(H)101554</t>
  </si>
  <si>
    <t>PSCV150105A(C)300018</t>
  </si>
  <si>
    <t>PSCV150105B(C)300018</t>
  </si>
  <si>
    <t>PSCV150105C(C)300018</t>
  </si>
  <si>
    <t>PSCV150105D(C)300018</t>
  </si>
  <si>
    <t>PSCV150105E300018</t>
  </si>
  <si>
    <t>PSCV150105F300018</t>
  </si>
  <si>
    <t>PSCV150105H300018</t>
  </si>
  <si>
    <t>PSCV150105J300018</t>
  </si>
  <si>
    <t>PSCV150105K300018</t>
  </si>
  <si>
    <t>PSCV150105L300018</t>
  </si>
  <si>
    <t>PSCV150105M300018</t>
  </si>
  <si>
    <t>PSCV150105N300018</t>
  </si>
  <si>
    <t>PSCV150105P300084</t>
  </si>
  <si>
    <t>PSCV150105Q300018</t>
  </si>
  <si>
    <t>PSCV150106C(C_H)101554</t>
  </si>
  <si>
    <t>PSCV150107A114635</t>
  </si>
  <si>
    <t>PSCV150107A142363</t>
  </si>
  <si>
    <t>PSCV150107A142805</t>
  </si>
  <si>
    <t>PSCV150107A400144</t>
  </si>
  <si>
    <t>PSCV150107A400278</t>
  </si>
  <si>
    <t>PSCV150107A(B)101554</t>
  </si>
  <si>
    <t>PSCV150107A(B)114635</t>
  </si>
  <si>
    <t>PSCV150107A(B)142363</t>
  </si>
  <si>
    <t>PSCV150107A(B)400144</t>
  </si>
  <si>
    <t>PSCV150107A(H)101554</t>
  </si>
  <si>
    <t>PSCV150107B102470</t>
  </si>
  <si>
    <t>PSCV150107B114635</t>
  </si>
  <si>
    <t>PSCV150107B142363</t>
  </si>
  <si>
    <t>PSCV150107B142805</t>
  </si>
  <si>
    <t>PSCV150107B400144</t>
  </si>
  <si>
    <t>PSCV150107B(B)102470</t>
  </si>
  <si>
    <t>PSCV150107B(B)400144</t>
  </si>
  <si>
    <t>PSCV150107D102470</t>
  </si>
  <si>
    <t>PSCV150107D114635</t>
  </si>
  <si>
    <t>PSCV150107D142363</t>
  </si>
  <si>
    <t>PSCV150107D142805</t>
  </si>
  <si>
    <t>PSCV150107D400144</t>
  </si>
  <si>
    <t>PSCV150107D(B)102470</t>
  </si>
  <si>
    <t>PSCV150107D(B)400144</t>
  </si>
  <si>
    <t>PSCV150107E114635</t>
  </si>
  <si>
    <t>PSCV150107E142363</t>
  </si>
  <si>
    <t>PSCV150107E400278</t>
  </si>
  <si>
    <t>PSCV150107E(B)114635</t>
  </si>
  <si>
    <t>PSCV150107E(H)101554</t>
  </si>
  <si>
    <t>PSCV150107F102470</t>
  </si>
  <si>
    <t>PSCV150107F114635</t>
  </si>
  <si>
    <t>PSCV150107F142363</t>
  </si>
  <si>
    <t>PSCV150107F400278</t>
  </si>
  <si>
    <t>PSCV150107F600043</t>
  </si>
  <si>
    <t>PSCV150107F(B)102470</t>
  </si>
  <si>
    <t>PSCV150107F(B)106916</t>
  </si>
  <si>
    <t>PSCV150107F(B)114635</t>
  </si>
  <si>
    <t>PSCV150107F(B)142363</t>
  </si>
  <si>
    <t>PSCV150107F(B)600043</t>
  </si>
  <si>
    <t>PSCV150107F(H)101554</t>
  </si>
  <si>
    <t>PSCV150107F(H)106916</t>
  </si>
  <si>
    <t>PSCV150107G102470</t>
  </si>
  <si>
    <t>PSCV150107G114635</t>
  </si>
  <si>
    <t>PSCV150107G142363</t>
  </si>
  <si>
    <t>PSCV150107G400278</t>
  </si>
  <si>
    <t>PSCV150107G(B)114635</t>
  </si>
  <si>
    <t>PSCV150107G(B)142363</t>
  </si>
  <si>
    <t>PSCV150107G(H)101554</t>
  </si>
  <si>
    <t>PSCV150107H114635</t>
  </si>
  <si>
    <t>PSCV150107H142363</t>
  </si>
  <si>
    <t>PSCV150107H(B)101554</t>
  </si>
  <si>
    <t>PSCV150107H(B)114635</t>
  </si>
  <si>
    <t>PSCV150107H(B)142363</t>
  </si>
  <si>
    <t>PSCV150107J(A)102470</t>
  </si>
  <si>
    <t>PSCV150107J(A)114635</t>
  </si>
  <si>
    <t>PSCV150107J(A)142363</t>
  </si>
  <si>
    <t>PSCV150107J(A)400278</t>
  </si>
  <si>
    <t>PSCV150107J(B)114635</t>
  </si>
  <si>
    <t>PSCV150107J(B)142363</t>
  </si>
  <si>
    <t>PSCV150107K102470</t>
  </si>
  <si>
    <t>PSCV150107K114635</t>
  </si>
  <si>
    <t>PSCV150107K141365</t>
  </si>
  <si>
    <t>PSCV150107K400278</t>
  </si>
  <si>
    <t>PSCV150107K(B)102470</t>
  </si>
  <si>
    <t>PSCV150107L114635</t>
  </si>
  <si>
    <t>PSCV150107L142363</t>
  </si>
  <si>
    <t>PSCV150107L400278</t>
  </si>
  <si>
    <t>PSCV150107L(B)114635</t>
  </si>
  <si>
    <t>PSCV150107L(B)142363</t>
  </si>
  <si>
    <t>PSCV150107M(B)101554</t>
  </si>
  <si>
    <t>PSCV150107M(H)101554</t>
  </si>
  <si>
    <t>PSCV150107N(B)101554</t>
  </si>
  <si>
    <t>PSCV150107N(H)101554</t>
  </si>
  <si>
    <t>PSCV150107P114635</t>
  </si>
  <si>
    <t>PSCV150107P142363</t>
  </si>
  <si>
    <t>PSCV150107P(B)106916</t>
  </si>
  <si>
    <t>PSCV150107P(B)600043</t>
  </si>
  <si>
    <t>PSCV150107P(H)101554</t>
  </si>
  <si>
    <t>PSCV150107P(H)106916</t>
  </si>
  <si>
    <t>PSCV150107P(H)400278</t>
  </si>
  <si>
    <t>PSCV150107Q102470</t>
  </si>
  <si>
    <t>PSCV150107Q114635</t>
  </si>
  <si>
    <t>PSCV150107Q142363</t>
  </si>
  <si>
    <t>PSCV150107Q400278</t>
  </si>
  <si>
    <t>PSCV150107Q(B)114635</t>
  </si>
  <si>
    <t>PSCV150107Q(B)142363</t>
  </si>
  <si>
    <t>PSCV150107Q(H)101554</t>
  </si>
  <si>
    <t>PSCV150107R(B)114635</t>
  </si>
  <si>
    <t>PSCV150107R(B)142363</t>
  </si>
  <si>
    <t>PSCV150107R(H)101554</t>
  </si>
  <si>
    <t>PSCV150107S(B)114635</t>
  </si>
  <si>
    <t>PSCV150107S(B)142363</t>
  </si>
  <si>
    <t>PSCV150107S(H)101554</t>
  </si>
  <si>
    <t>PSCV150107T(H)101554</t>
  </si>
  <si>
    <t>PSCV150107U(H)101554</t>
  </si>
  <si>
    <t>PSCV150107V(H)101554</t>
  </si>
  <si>
    <t>PSCV150107W(H)101554</t>
  </si>
  <si>
    <t>PSCV150107X(H)101554</t>
  </si>
  <si>
    <t>PSCV150107Y(H)101554</t>
  </si>
  <si>
    <t>PSCV150108A(H)101554</t>
  </si>
  <si>
    <t>PSCV150108B(H)101554</t>
  </si>
  <si>
    <t>PSCV150108D(H)101554</t>
  </si>
  <si>
    <t>PSCV150109A100587</t>
  </si>
  <si>
    <t>PSCV150109B100587</t>
  </si>
  <si>
    <t>PSCV150109D100587</t>
  </si>
  <si>
    <t>PSCV150109E100587</t>
  </si>
  <si>
    <t>PSCV150109F100587</t>
  </si>
  <si>
    <t>PSCV150109H100702</t>
  </si>
  <si>
    <t>PSCV150109H400144</t>
  </si>
  <si>
    <t>PSCV150109J100702</t>
  </si>
  <si>
    <t>PSCV150109J400144</t>
  </si>
  <si>
    <t>PSCV150109K100702</t>
  </si>
  <si>
    <t>PSCV150109K400144</t>
  </si>
  <si>
    <t>PSCV150109L100702</t>
  </si>
  <si>
    <t>PSCV150109L400144</t>
  </si>
  <si>
    <t>PSCV150109M100702</t>
  </si>
  <si>
    <t>PSCV150109M400144</t>
  </si>
  <si>
    <t>PSCV150109N100702</t>
  </si>
  <si>
    <t>PSCV150109P100702</t>
  </si>
  <si>
    <t>PSCV150109Q100702</t>
  </si>
  <si>
    <t>PSCV150109R100702</t>
  </si>
  <si>
    <t>PSCV150109S100702</t>
  </si>
  <si>
    <t>PSCV150109T100702</t>
  </si>
  <si>
    <t>PSCV150109U100702</t>
  </si>
  <si>
    <t>PSCV150109V100702</t>
  </si>
  <si>
    <t>PSCV150109W100702</t>
  </si>
  <si>
    <t>PSCV150109X100702</t>
  </si>
  <si>
    <t>PSCV150109Y100587</t>
  </si>
  <si>
    <t>PSCV150110A(H)101554</t>
  </si>
  <si>
    <t>PSCV150110B(H)101554</t>
  </si>
  <si>
    <t>PSCV150110C(H)101554</t>
  </si>
  <si>
    <t>PSCV150110E(H)101554</t>
  </si>
  <si>
    <t>PSCV150111A(H)101554</t>
  </si>
  <si>
    <t>PSCV150113Q(H)101554</t>
  </si>
  <si>
    <t>PSCV150113R101554</t>
  </si>
  <si>
    <t>PSCV150113R(H)101554</t>
  </si>
  <si>
    <t>PSCV150114R101554</t>
  </si>
  <si>
    <t>PSCV150114R(H)101554</t>
  </si>
  <si>
    <t>PSCV150115R101554</t>
  </si>
  <si>
    <t>PSCV150115R(H)101554</t>
  </si>
  <si>
    <t>PSCV160102A300106</t>
  </si>
  <si>
    <t>PSCV160102A300107</t>
  </si>
  <si>
    <t>PSCV160102A300108</t>
  </si>
  <si>
    <t>PSCV160102B300106</t>
  </si>
  <si>
    <t>PSCV160102B300107</t>
  </si>
  <si>
    <t>PSCV160102B300108</t>
  </si>
  <si>
    <t>PSCV160102C300106</t>
  </si>
  <si>
    <t>PSCV160102C300107</t>
  </si>
  <si>
    <t>PSCV160102C300108</t>
  </si>
  <si>
    <t>PSCV180101A(C)142363</t>
  </si>
  <si>
    <t>PSCV180101C(C)142363</t>
  </si>
  <si>
    <t>PSCV180101C(C_H)101554</t>
  </si>
  <si>
    <t>PSCV180101D(C)142363</t>
  </si>
  <si>
    <t>PSCV180101F(C)142363</t>
  </si>
  <si>
    <t>PSCV180101F(C_H)101554</t>
  </si>
  <si>
    <t>PSCV180101G(C)142363</t>
  </si>
  <si>
    <t>PSCV180101J(C)142363</t>
  </si>
  <si>
    <t>PSCV180101K(C)141365</t>
  </si>
  <si>
    <t>PSCV180101K(C)142363</t>
  </si>
  <si>
    <t>PSCV180101L(C)142363</t>
  </si>
  <si>
    <t>PSCV180101M(C)142363</t>
  </si>
  <si>
    <t>PSCV180101M(C_H)101554</t>
  </si>
  <si>
    <t>PSCV180101M(C_H)142363</t>
  </si>
  <si>
    <t>PSCV180101N(C)142363</t>
  </si>
  <si>
    <t>PSCV180101P(C)142363</t>
  </si>
  <si>
    <t>PSCV180101R(C)142363</t>
  </si>
  <si>
    <t>PSCV180101R(C_H)142363</t>
  </si>
  <si>
    <t>PSCV180101T(C)142363</t>
  </si>
  <si>
    <t>PSCV180201A107603</t>
  </si>
  <si>
    <t>PSCV180201A114635</t>
  </si>
  <si>
    <t>PSCV181101A111844</t>
  </si>
  <si>
    <t>PSCV200106A(C)101184</t>
  </si>
  <si>
    <t>PSCV200106A(C)101186</t>
  </si>
  <si>
    <t>PSCV200106A(C)(H)101424</t>
  </si>
  <si>
    <t>PSCV200106B101186</t>
  </si>
  <si>
    <t>PSCV240103A107603</t>
  </si>
  <si>
    <t>PSCV240131A107603</t>
  </si>
  <si>
    <t>PSCV250101B101186</t>
  </si>
  <si>
    <t>PSCV250101B(H)101424</t>
  </si>
  <si>
    <t>PSCV250101B106916</t>
  </si>
  <si>
    <t>PSCV250101B114501</t>
  </si>
  <si>
    <t>PSCV250101D100581</t>
  </si>
  <si>
    <t>PSCV250101D100603</t>
  </si>
  <si>
    <t>PSCV250101D101116</t>
  </si>
  <si>
    <t>PSCV250101D101186</t>
  </si>
  <si>
    <t>PSCV250101D101206</t>
  </si>
  <si>
    <t>PSCV250101D(H)101424</t>
  </si>
  <si>
    <t>PSCV250101D106916</t>
  </si>
  <si>
    <t>PSCV250101D109171</t>
  </si>
  <si>
    <t>PSCV250101D114501</t>
  </si>
  <si>
    <t>PSCV250101D300043</t>
  </si>
  <si>
    <t>PSCV250101F100603</t>
  </si>
  <si>
    <t>PSCV250101F(H)101424</t>
  </si>
  <si>
    <t>PSCV250101F114501</t>
  </si>
  <si>
    <t>PSCV250102B101116</t>
  </si>
  <si>
    <t>PSCV250102B106916</t>
  </si>
  <si>
    <t>PSCV250102C101116</t>
  </si>
  <si>
    <t>PSCV250102C106916</t>
  </si>
  <si>
    <t>PSCV250102E(H)142141</t>
  </si>
  <si>
    <t>PSCV250103A(D)114635</t>
  </si>
  <si>
    <t>PSCV250103A(D)142363</t>
  </si>
  <si>
    <t>PSCV250103B(D)142363</t>
  </si>
  <si>
    <t>PSCV250103C(C_H)101554</t>
  </si>
  <si>
    <t>PSCV250103C(D_H)101554</t>
  </si>
  <si>
    <t>PSCV250103D(D)142363</t>
  </si>
  <si>
    <t>PSCV250103E(D)142363</t>
  </si>
  <si>
    <t>PSCV250103F(D)102470</t>
  </si>
  <si>
    <t>PSCV250103G(D)142363</t>
  </si>
  <si>
    <t>PSCV250103H(C)141365</t>
  </si>
  <si>
    <t>PSCV250103H(D)102470</t>
  </si>
  <si>
    <t>PSCV250103H(D)142363</t>
  </si>
  <si>
    <t>PSCV250103L(D)142363</t>
  </si>
  <si>
    <t>PSCV250103M(C)142363</t>
  </si>
  <si>
    <t>PSCV250103M(C_H)114635</t>
  </si>
  <si>
    <t>PSCV250103M(C_H)142363</t>
  </si>
  <si>
    <t>PSCV250103N(C)142363</t>
  </si>
  <si>
    <t>PSCV250103N(D)142363</t>
  </si>
  <si>
    <t>PSCV250103P(C)142363</t>
  </si>
  <si>
    <t>PSCV250103P(D)142363</t>
  </si>
  <si>
    <t>PSCV250103R(C)142363</t>
  </si>
  <si>
    <t>PSCV250103T(C)142363</t>
  </si>
  <si>
    <t>PSCV250103T(D)142363</t>
  </si>
  <si>
    <t>PSCV250103U(D)114635</t>
  </si>
  <si>
    <t>PSCV250103U(D)142363</t>
  </si>
  <si>
    <t>PSCV250103Z(C_H)101554</t>
  </si>
  <si>
    <t>PSCV250104A(C_H)101554</t>
  </si>
  <si>
    <t>PSCV250104B(H)101554</t>
  </si>
  <si>
    <t>PSCV250104G(C_H)101554</t>
  </si>
  <si>
    <t>PSCV250104P(H)101554</t>
  </si>
  <si>
    <t>PSCV250105A114635</t>
  </si>
  <si>
    <t>PSCV250105D114635</t>
  </si>
  <si>
    <t>PSCV250105E114635</t>
  </si>
  <si>
    <t>PSCV250105F114635</t>
  </si>
  <si>
    <t>PSCV250105G114635</t>
  </si>
  <si>
    <t>PSCV250105H114635</t>
  </si>
  <si>
    <t>PSCV250106A(H)101554</t>
  </si>
  <si>
    <t>PSCV250106B(H)101554</t>
  </si>
  <si>
    <t>PSCV250106C(H)101554</t>
  </si>
  <si>
    <t>PSCV250106F(H)101554</t>
  </si>
  <si>
    <t>PSCV250106G(H)101554</t>
  </si>
  <si>
    <t>PSCV250106H(H)101554</t>
  </si>
  <si>
    <t>PSCV250106K(H)101554</t>
  </si>
  <si>
    <t>PSCV250106N(H)101554</t>
  </si>
  <si>
    <t>PSCV250107A142363</t>
  </si>
  <si>
    <t>PSCV250107B142363</t>
  </si>
  <si>
    <t>PSCV250107C142363</t>
  </si>
  <si>
    <t>PSCV250107D142363</t>
  </si>
  <si>
    <t>PSCV250107E142363</t>
  </si>
  <si>
    <t>PSCV250107F142363</t>
  </si>
  <si>
    <t>PSCV250107G142363</t>
  </si>
  <si>
    <t>PSCV250107J142363</t>
  </si>
  <si>
    <t>PSCV250107K142363</t>
  </si>
  <si>
    <t>PSCV250107L142363</t>
  </si>
  <si>
    <t>PSCV250107M142363</t>
  </si>
  <si>
    <t>PSCV250107N142363</t>
  </si>
  <si>
    <t>PSCV250107P142363</t>
  </si>
  <si>
    <t>PSCV250107Q142363</t>
  </si>
  <si>
    <t>PSCV250107R142363</t>
  </si>
  <si>
    <t>PSCV250201A700625</t>
  </si>
  <si>
    <t>PSCV250201B700625</t>
  </si>
  <si>
    <t>PSCV300107A109171</t>
  </si>
  <si>
    <t>PSCV300107A(C)101186</t>
  </si>
  <si>
    <t>PSCV300107A(C)(H)101424</t>
  </si>
  <si>
    <t>PSCV300107A(C)109171</t>
  </si>
  <si>
    <t>PSCV300107A(C)114501</t>
  </si>
  <si>
    <t>PSCV350101C(H)142141</t>
  </si>
  <si>
    <t>PSCV350102A101184</t>
  </si>
  <si>
    <t>PSCV350102A101206</t>
  </si>
  <si>
    <t>PSCV350102A(H)101424</t>
  </si>
  <si>
    <t>PSCV350102A106916</t>
  </si>
  <si>
    <t>PSCV350102A109171</t>
  </si>
  <si>
    <t>PSCV360113A101184</t>
  </si>
  <si>
    <t>PSCV400101A100581</t>
  </si>
  <si>
    <t>PSCV400101A101186</t>
  </si>
  <si>
    <t>PSCV450101A100581</t>
  </si>
  <si>
    <t>PSCV450101A101116</t>
  </si>
  <si>
    <t>PSCV450101A101186</t>
  </si>
  <si>
    <t>PSCV450101A101206</t>
  </si>
  <si>
    <t>PSCV450101A106916</t>
  </si>
  <si>
    <t>PSCV450101A(H)106916</t>
  </si>
  <si>
    <t>PSCV450101B101186</t>
  </si>
  <si>
    <t>PSCV450101B(H)101424</t>
  </si>
  <si>
    <t>PSCV450101B106916</t>
  </si>
  <si>
    <t>PSCV450101B109171</t>
  </si>
  <si>
    <t>PSCV450101B(H)142141</t>
  </si>
  <si>
    <t>PSCV450101C100581</t>
  </si>
  <si>
    <t>PSCV450101C100603</t>
  </si>
  <si>
    <t>PSCV450101C101184</t>
  </si>
  <si>
    <t>PSCV450101C101186</t>
  </si>
  <si>
    <t>PSCV450101C101206</t>
  </si>
  <si>
    <t>PSCV450101C(H)101424</t>
  </si>
  <si>
    <t>PSCV450101C114501</t>
  </si>
  <si>
    <t>PSCV450101D100581</t>
  </si>
  <si>
    <t>PSCV450101D101116</t>
  </si>
  <si>
    <t>PSCV450101D106916</t>
  </si>
  <si>
    <t>PSCV450131A107603</t>
  </si>
  <si>
    <t>PSCV450161A111844</t>
  </si>
  <si>
    <t>PSCV450201A107603</t>
  </si>
  <si>
    <t>PSCV480101A100603</t>
  </si>
  <si>
    <t>PSCV480101A101186</t>
  </si>
  <si>
    <t>PSCV480101A(VE)100581</t>
  </si>
  <si>
    <t>PSCV480101A(VE)101186</t>
  </si>
  <si>
    <t>PSCV480101A(VE)(H)101424</t>
  </si>
  <si>
    <t>PSCV480101A(VE)(H)142141</t>
  </si>
  <si>
    <t>PSCV480101B(VE)100581</t>
  </si>
  <si>
    <t>PSCV480101B(VE)101186</t>
  </si>
  <si>
    <t>PSCV480101B(VE)(H)101424</t>
  </si>
  <si>
    <t>PSCV480101B(VE)(H)142141</t>
  </si>
  <si>
    <t>PSCV480101B(VE)142310</t>
  </si>
  <si>
    <t>PSCV480101C(VE)100581</t>
  </si>
  <si>
    <t>PSCV480101C(VE)101186</t>
  </si>
  <si>
    <t>PSCV480101C(VE)(H)142141</t>
  </si>
  <si>
    <t>PSCV480101D(VE)100581</t>
  </si>
  <si>
    <t>PSCV480101D(VE)101184</t>
  </si>
  <si>
    <t>PSCV480101D(VE)101186</t>
  </si>
  <si>
    <t>PSCV480101D(VE)101206</t>
  </si>
  <si>
    <t>PSCV480101D(VE)(H)101424</t>
  </si>
  <si>
    <t>PSCV480101D(VE)114501</t>
  </si>
  <si>
    <t>PSCV480101D(VE)(H)142141</t>
  </si>
  <si>
    <t>PSCV480101E(VE)(H)101424</t>
  </si>
  <si>
    <t>PSCV480101E(VE)(H)142141</t>
  </si>
  <si>
    <t>PSCV480101F(H)101424</t>
  </si>
  <si>
    <t>PSCV480101G(H)101424</t>
  </si>
  <si>
    <t>PSCV480101H(H)142141</t>
  </si>
  <si>
    <t>PSCV480102E100581</t>
  </si>
  <si>
    <t>PSCV480102H100581</t>
  </si>
  <si>
    <t>PSCV480102M100581</t>
  </si>
  <si>
    <t>PSCV480102P100581</t>
  </si>
  <si>
    <t>PSCV480102R100581</t>
  </si>
  <si>
    <t>PSCV480201A101186</t>
  </si>
  <si>
    <t>PSCV580101A100581</t>
  </si>
  <si>
    <t>PSCV580101B101116</t>
  </si>
  <si>
    <t>PSCV580101B106916</t>
  </si>
  <si>
    <t>PSCV580101C141986</t>
  </si>
  <si>
    <t>PSCV590101A100603</t>
  </si>
  <si>
    <t>PSCV590101A101184</t>
  </si>
  <si>
    <t>PSCV590101A101186</t>
  </si>
  <si>
    <t>PSCV590101A101206</t>
  </si>
  <si>
    <t>PSCV590101A114501</t>
  </si>
  <si>
    <t>PSCV590101A142310</t>
  </si>
  <si>
    <t>PSCV590101B101186</t>
  </si>
  <si>
    <t>PSCV590101B106916</t>
  </si>
  <si>
    <t>PSCV590101B114163</t>
  </si>
  <si>
    <t>PSCV590101B142310</t>
  </si>
  <si>
    <t>PSCV590102A142051</t>
  </si>
  <si>
    <t>PSCV590102A300037</t>
  </si>
  <si>
    <t>PSCV600120G102970</t>
  </si>
  <si>
    <t>PSCV600120G108248</t>
  </si>
  <si>
    <t>PSCV600120G(E)102970</t>
  </si>
  <si>
    <t>PSCV600120G(E)108248</t>
  </si>
  <si>
    <t>PSCV600120J102970</t>
  </si>
  <si>
    <t>PSCV600120J108248</t>
  </si>
  <si>
    <t>PSCV600120J(E)102970</t>
  </si>
  <si>
    <t>PSCV600120J(E)108248</t>
  </si>
  <si>
    <t>PSCV600120K102970</t>
  </si>
  <si>
    <t>PSCV600120K108248</t>
  </si>
  <si>
    <t>PSCV600131A107603</t>
  </si>
  <si>
    <t>PSCV630101A100581</t>
  </si>
  <si>
    <t>PSCV630101A101186</t>
  </si>
  <si>
    <t>PSCV630103A101184</t>
  </si>
  <si>
    <t>PSCV630103B100603</t>
  </si>
  <si>
    <t>PSCV630103B(H)101424</t>
  </si>
  <si>
    <t>PSCV630103D(H)101424</t>
  </si>
  <si>
    <t>PSCV630103E100581</t>
  </si>
  <si>
    <t>PSCV630103E(H)101424</t>
  </si>
  <si>
    <t>PSCV650104A142412</t>
  </si>
  <si>
    <t>PSCV650104A300015</t>
  </si>
  <si>
    <t>PSCV650105A111844</t>
  </si>
  <si>
    <t>PSCV660101A100603</t>
  </si>
  <si>
    <t>PSCV660101A101184</t>
  </si>
  <si>
    <t>PSCV660101A101186</t>
  </si>
  <si>
    <t>PSCV660101A114501</t>
  </si>
  <si>
    <t>PSCV660101A142310</t>
  </si>
  <si>
    <t>PSCV780101A101184</t>
  </si>
  <si>
    <t>PSDH200421A100702</t>
  </si>
  <si>
    <t>PSDH200421S100335</t>
  </si>
  <si>
    <t>PSDH400701A100702</t>
  </si>
  <si>
    <t>PSDH400701A300009</t>
  </si>
  <si>
    <t>PSDH420901A100702</t>
  </si>
  <si>
    <t>PSDH420901A300013</t>
  </si>
  <si>
    <t>PSDH440901A100702</t>
  </si>
  <si>
    <t>PSDH440901A300013</t>
  </si>
  <si>
    <t>PSDH450801A100702</t>
  </si>
  <si>
    <t>PSDH450801A300013</t>
  </si>
  <si>
    <t>PSDH470102A100702</t>
  </si>
  <si>
    <t>PSDH470102A300013</t>
  </si>
  <si>
    <t>PSDH470102B300013</t>
  </si>
  <si>
    <t>PSDH510102A100702</t>
  </si>
  <si>
    <t>PSDH510102A300013</t>
  </si>
  <si>
    <t>PSDH510102A300060</t>
  </si>
  <si>
    <t>PSDL110101A142484</t>
  </si>
  <si>
    <t>PSDL110101B142484</t>
  </si>
  <si>
    <t>PSDL110102A142484</t>
  </si>
  <si>
    <t>PSDL110103A142484</t>
  </si>
  <si>
    <t>PSDL110103B142484</t>
  </si>
  <si>
    <t>PSDMBMC103A400144</t>
  </si>
  <si>
    <t>PSDMDAD101A300013</t>
  </si>
  <si>
    <t>PSDMDAD101A300054</t>
  </si>
  <si>
    <t>PSDMXAD102A300054</t>
  </si>
  <si>
    <t>PSDV110241A100702</t>
  </si>
  <si>
    <t>PSDV130281A100702</t>
  </si>
  <si>
    <t>PSDV130281A300009</t>
  </si>
  <si>
    <t>PSDV130281A300013</t>
  </si>
  <si>
    <t>PSDV130281A300054</t>
  </si>
  <si>
    <t>PSDV130281B106540</t>
  </si>
  <si>
    <t>PSDV130281M100702</t>
  </si>
  <si>
    <t>PSDV151101B100702</t>
  </si>
  <si>
    <t>PSDV151101B300013</t>
  </si>
  <si>
    <t>PSDV151101D142484</t>
  </si>
  <si>
    <t>PSDV151102A142624</t>
  </si>
  <si>
    <t>PSDV151103A142624</t>
  </si>
  <si>
    <t>PSDV151104A142624</t>
  </si>
  <si>
    <t>PSDV151104A400144</t>
  </si>
  <si>
    <t>PSDV151104B142624</t>
  </si>
  <si>
    <t>PSDV151104B400144</t>
  </si>
  <si>
    <t>PSDV160351A100702</t>
  </si>
  <si>
    <t>PSDV160351B106540</t>
  </si>
  <si>
    <t>PSDV160351B300019</t>
  </si>
  <si>
    <t>PSDV160351M100702</t>
  </si>
  <si>
    <t>PSDV180101U100335</t>
  </si>
  <si>
    <t>PSDV200701A100702</t>
  </si>
  <si>
    <t>PSDV200701A300009</t>
  </si>
  <si>
    <t>PSDV200701A300013</t>
  </si>
  <si>
    <t>PSDV220571A100702</t>
  </si>
  <si>
    <t>PSDV220571A300013</t>
  </si>
  <si>
    <t>PSDV250102B100335</t>
  </si>
  <si>
    <t>PSDV250701A100702</t>
  </si>
  <si>
    <t>PSDV270571B100702</t>
  </si>
  <si>
    <t>PSDV270571B106540</t>
  </si>
  <si>
    <t>PSDV270571B300013</t>
  </si>
  <si>
    <t>PSDV270571B300019</t>
  </si>
  <si>
    <t>PSDV270571E100702</t>
  </si>
  <si>
    <t>PSDV270571E300013</t>
  </si>
  <si>
    <t>PSDV270571F300019</t>
  </si>
  <si>
    <t>PSDV390101U142775</t>
  </si>
  <si>
    <t>PSDV390101U400144</t>
  </si>
  <si>
    <t>PSDV400701A100702</t>
  </si>
  <si>
    <t>PSDV400701A142336</t>
  </si>
  <si>
    <t>PSDV400701A300013</t>
  </si>
  <si>
    <t>PSDV400701A300019</t>
  </si>
  <si>
    <t>PSDV400701A300060</t>
  </si>
  <si>
    <t>PSDV400701A300082</t>
  </si>
  <si>
    <t>PSDV400701S100335</t>
  </si>
  <si>
    <t>PSDV480101A142624</t>
  </si>
  <si>
    <t>PSDV480101A400144</t>
  </si>
  <si>
    <t>PSDV500102B100335</t>
  </si>
  <si>
    <t>PSDV550102A100702</t>
  </si>
  <si>
    <t>PSDV550102A300009</t>
  </si>
  <si>
    <t>PSDV550102A300013</t>
  </si>
  <si>
    <t>PSDV550102A300054</t>
  </si>
  <si>
    <t>PSDV550102A300060</t>
  </si>
  <si>
    <t>PSDV600102A100702</t>
  </si>
  <si>
    <t>PSDV600102A300009</t>
  </si>
  <si>
    <t>PSDV600102A300013</t>
  </si>
  <si>
    <t>PSDV700142A100702</t>
  </si>
  <si>
    <t>PSDV700142A142336</t>
  </si>
  <si>
    <t>PSDV700142A300013</t>
  </si>
  <si>
    <t>PSDV700142A300054</t>
  </si>
  <si>
    <t>PSDV720101A142624</t>
  </si>
  <si>
    <t>PSDV720101A400144</t>
  </si>
  <si>
    <t>PSDV750401A100702</t>
  </si>
  <si>
    <t>PSDV900104U142624</t>
  </si>
  <si>
    <t>PSDV900104U400144</t>
  </si>
  <si>
    <t>PSDV900106U142624</t>
  </si>
  <si>
    <t>PSDV900106U400144</t>
  </si>
  <si>
    <t>PSEF201V09A100581</t>
  </si>
  <si>
    <t>PSEF201V09A100603</t>
  </si>
  <si>
    <t>PSEF201V09A(H)101424</t>
  </si>
  <si>
    <t>PSEF201V09A111550</t>
  </si>
  <si>
    <t>PSEF231V07A100581</t>
  </si>
  <si>
    <t>PSEF231V07A(H)101424</t>
  </si>
  <si>
    <t>PSEF231V07A109171</t>
  </si>
  <si>
    <t>PSEF231V07A111550</t>
  </si>
  <si>
    <t>PSGV050201A(H)101424</t>
  </si>
  <si>
    <t>PSGV050201A102504</t>
  </si>
  <si>
    <t>PSGV050201A109171</t>
  </si>
  <si>
    <t>PSGV050201A114163</t>
  </si>
  <si>
    <t>PSGV050201A142129</t>
  </si>
  <si>
    <t>PSGV050201A142137</t>
  </si>
  <si>
    <t>PSGV050201A(H)142195</t>
  </si>
  <si>
    <t>PSGV050201A(H)142376</t>
  </si>
  <si>
    <t>PSGV050201B102504</t>
  </si>
  <si>
    <t>PSGV050201B142137</t>
  </si>
  <si>
    <t>PSGV050201B(H)142195</t>
  </si>
  <si>
    <t>PSGV050201B(H)142242</t>
  </si>
  <si>
    <t>PSGV060201A100587</t>
  </si>
  <si>
    <t>PSGV060201A100702</t>
  </si>
  <si>
    <t>PSGV060201A300009</t>
  </si>
  <si>
    <t>PSGV060401A300013</t>
  </si>
  <si>
    <t>PSGV100201A102504</t>
  </si>
  <si>
    <t>PSGV100201A142137</t>
  </si>
  <si>
    <t>PSGV100201A(H)142195</t>
  </si>
  <si>
    <t>PSGV100201A(H)142242</t>
  </si>
  <si>
    <t>PSGV100201B102504</t>
  </si>
  <si>
    <t>PSGV100201B142137</t>
  </si>
  <si>
    <t>PSGV100201B(H)142195</t>
  </si>
  <si>
    <t>PSGV110301A102504</t>
  </si>
  <si>
    <t>PSGV110301A142137</t>
  </si>
  <si>
    <t>PSGV110301A(H)142195</t>
  </si>
  <si>
    <t>PSGV110301A(H)142242</t>
  </si>
  <si>
    <t>PSGV110301B142137</t>
  </si>
  <si>
    <t>PSGV110301B(H)142195</t>
  </si>
  <si>
    <t>PSGV110301B(H)142242</t>
  </si>
  <si>
    <t>PSGV160301A102504</t>
  </si>
  <si>
    <t>PSGV160301A142137</t>
  </si>
  <si>
    <t>PSGV160301A(H)142195</t>
  </si>
  <si>
    <t>PSGV160301A(H)142242</t>
  </si>
  <si>
    <t>PSGV160301B102504</t>
  </si>
  <si>
    <t>PSGV160301B(H)142195</t>
  </si>
  <si>
    <t>PSGV160301B(H)142242</t>
  </si>
  <si>
    <t>PSGV160301B(H)142376</t>
  </si>
  <si>
    <t>PSGV320201A102504</t>
  </si>
  <si>
    <t>PSGV320201A142137</t>
  </si>
  <si>
    <t>PSGV320201A(H)142195</t>
  </si>
  <si>
    <t>PSGV320201A(H)142242</t>
  </si>
  <si>
    <t>PSGV450201A102504</t>
  </si>
  <si>
    <t>PSGV450201A142129</t>
  </si>
  <si>
    <t>PSGV450201A142137</t>
  </si>
  <si>
    <t>PSGV450201A(H)142195</t>
  </si>
  <si>
    <t>PSGV450201A142344</t>
  </si>
  <si>
    <t>PSIV101801A141245</t>
  </si>
  <si>
    <t>PSIV121411A100581</t>
  </si>
  <si>
    <t>PSIV121411A100603</t>
  </si>
  <si>
    <t>PSIV121411A101184</t>
  </si>
  <si>
    <t>PSIV121411B101186</t>
  </si>
  <si>
    <t>PSIV121411C100581</t>
  </si>
  <si>
    <t>PSIV121411C100603</t>
  </si>
  <si>
    <t>PSIV121411C101184</t>
  </si>
  <si>
    <t>PSIV121411C101206</t>
  </si>
  <si>
    <t>PSIV121411C106916</t>
  </si>
  <si>
    <t>PSIV121411C114501</t>
  </si>
  <si>
    <t>PSIV121C01A100581</t>
  </si>
  <si>
    <t>PSIV161C01A100581</t>
  </si>
  <si>
    <t>PSIV161C01A101206</t>
  </si>
  <si>
    <t>PSIV181E01A100581</t>
  </si>
  <si>
    <t>PSIV220401C106916</t>
  </si>
  <si>
    <t>PSIV231411A101186</t>
  </si>
  <si>
    <t>PSIV231411A(H)101424</t>
  </si>
  <si>
    <t>PSIV231411C100603</t>
  </si>
  <si>
    <t>PSIV231411D100581</t>
  </si>
  <si>
    <t>PSIV231510A101206</t>
  </si>
  <si>
    <t>PSIV231510A(H)101424</t>
  </si>
  <si>
    <t>PSIV260401A100603</t>
  </si>
  <si>
    <t>PSIV260401A(H)101424</t>
  </si>
  <si>
    <t>PSIV281510A100581</t>
  </si>
  <si>
    <t>PSIV281510A100603</t>
  </si>
  <si>
    <t>PSIV281510A101186</t>
  </si>
  <si>
    <t>PSIV281510A(H)101424</t>
  </si>
  <si>
    <t>PSIV281609A(H)101424</t>
  </si>
  <si>
    <t>PSIV361501A141245</t>
  </si>
  <si>
    <t>PSIV361610A(H)101424</t>
  </si>
  <si>
    <t>PSIV580602A100581</t>
  </si>
  <si>
    <t>PSIV580602B(H)101424</t>
  </si>
  <si>
    <t>PSIV610601A100581</t>
  </si>
  <si>
    <t>PSIV610602A141245</t>
  </si>
  <si>
    <t>PSIV840C01B(H)101424</t>
  </si>
  <si>
    <t>PSLF101301MB142051</t>
  </si>
  <si>
    <t>PSLF101B01A101206</t>
  </si>
  <si>
    <t>PSLF101D04A100581</t>
  </si>
  <si>
    <t>PSLF101D04A101186</t>
  </si>
  <si>
    <t>PSLF101D04A(H)101424</t>
  </si>
  <si>
    <t>PSLF101D04Q(H)101424</t>
  </si>
  <si>
    <t>PSLF101P08A100581</t>
  </si>
  <si>
    <t>PSLF101P08A101184</t>
  </si>
  <si>
    <t>PSLF101P08A101186</t>
  </si>
  <si>
    <t>PSLF101P08A(H)101424</t>
  </si>
  <si>
    <t>PSLF101P08A114501</t>
  </si>
  <si>
    <t>PSLF101P08A(P)(H)101424</t>
  </si>
  <si>
    <t>PSLF101P08B101186</t>
  </si>
  <si>
    <t>PSLF101P08B(H)101424</t>
  </si>
  <si>
    <t>PSLF101P08B106916</t>
  </si>
  <si>
    <t>PSLF101P08B142310</t>
  </si>
  <si>
    <t>PSLF101P08B(H)106916</t>
  </si>
  <si>
    <t>PSLF101S06A101184</t>
  </si>
  <si>
    <t>PSLF101S06A(KA)101186</t>
  </si>
  <si>
    <t>PSLF101S08A100581</t>
  </si>
  <si>
    <t>PSLF101S08A111550</t>
  </si>
  <si>
    <t>PSLF101S08A114501</t>
  </si>
  <si>
    <t>PSLF101S08B(P)(H)101424</t>
  </si>
  <si>
    <t>PSLF101S08B(W)101186</t>
  </si>
  <si>
    <t>PSLF101S08B(W)111550</t>
  </si>
  <si>
    <t>PSLF101S08B(W)114501</t>
  </si>
  <si>
    <t>PSLF101S08C101186</t>
  </si>
  <si>
    <t>PSLF101S08C106916</t>
  </si>
  <si>
    <t>PSLF101S08C114163</t>
  </si>
  <si>
    <t>PSLF101S08C142310</t>
  </si>
  <si>
    <t>PSLF109H06A114501</t>
  </si>
  <si>
    <t>PSLF111B04A100581</t>
  </si>
  <si>
    <t>PSLF111B04A100603</t>
  </si>
  <si>
    <t>PSLF111B04A101184</t>
  </si>
  <si>
    <t>PSLF111B04A101206</t>
  </si>
  <si>
    <t>PSLF111B04A106916</t>
  </si>
  <si>
    <t>PSLF111B04C111550</t>
  </si>
  <si>
    <t>PSLF111B04D101186</t>
  </si>
  <si>
    <t>PSLF111B04E101186</t>
  </si>
  <si>
    <t>PSLF111Q04A101186</t>
  </si>
  <si>
    <t>PSLF111Q04A101206</t>
  </si>
  <si>
    <t>PSLF111Q04Q(H)101424</t>
  </si>
  <si>
    <t>PSLF111S05A100581</t>
  </si>
  <si>
    <t>PSLF111S05A(V)(H)101424</t>
  </si>
  <si>
    <t>PSLF112F06A100581</t>
  </si>
  <si>
    <t>PSLF112F06A(H)101424</t>
  </si>
  <si>
    <t>PSLF112F06B100581</t>
  </si>
  <si>
    <t>PSLF112F06B(H)101424</t>
  </si>
  <si>
    <t>PSLF112F06D100581</t>
  </si>
  <si>
    <t>PSLF117H06A101206</t>
  </si>
  <si>
    <t>PSLF121301M142051</t>
  </si>
  <si>
    <t>PSLF121A03A101186</t>
  </si>
  <si>
    <t>PSLF121A03S101184</t>
  </si>
  <si>
    <t>PSLF121A03S101186</t>
  </si>
  <si>
    <t>PSLF121A03S(H)101424</t>
  </si>
  <si>
    <t>PSLF121B01A101206</t>
  </si>
  <si>
    <t>PSLF121B01A(H)101424</t>
  </si>
  <si>
    <t>PSLF121B04A100603</t>
  </si>
  <si>
    <t>PSLF121B04B101186</t>
  </si>
  <si>
    <t>PSLF121B04E100603</t>
  </si>
  <si>
    <t>PSLF121B04E101186</t>
  </si>
  <si>
    <t>PSLF121B04E101206</t>
  </si>
  <si>
    <t>PSLF121D04A(H)101424</t>
  </si>
  <si>
    <t>PSLF121E10A100581</t>
  </si>
  <si>
    <t>PSLF121E10A100603</t>
  </si>
  <si>
    <t>PSLF121E10A101186</t>
  </si>
  <si>
    <t>PSLF121E10A(H)101424</t>
  </si>
  <si>
    <t>PSLF121E10A111550</t>
  </si>
  <si>
    <t>PSLF121E10A114163</t>
  </si>
  <si>
    <t>PSLF121E10A114501</t>
  </si>
  <si>
    <t>PSLF121E10A(P)(H)101424</t>
  </si>
  <si>
    <t>PSLF121E10B100581</t>
  </si>
  <si>
    <t>PSLF121E10B101186</t>
  </si>
  <si>
    <t>PSLF121Q04A(H)101424</t>
  </si>
  <si>
    <t>PSLF121S05A100581</t>
  </si>
  <si>
    <t>PSLF121S05A101186</t>
  </si>
  <si>
    <t>PSLF121S05A101206</t>
  </si>
  <si>
    <t>PSLF121S05A106916</t>
  </si>
  <si>
    <t>PSLF121S06A100581</t>
  </si>
  <si>
    <t>PSLF121S06A101184</t>
  </si>
  <si>
    <t>PSLF121S06A101186</t>
  </si>
  <si>
    <t>PSLF121S06A101206</t>
  </si>
  <si>
    <t>PSLF121S06A114501</t>
  </si>
  <si>
    <t>PSLF121S06N101186</t>
  </si>
  <si>
    <t>PSLF121S06N(H)101424</t>
  </si>
  <si>
    <t>PSLF121S06N106916</t>
  </si>
  <si>
    <t>PSLF121S06N111550</t>
  </si>
  <si>
    <t>PSLF121S06N114501</t>
  </si>
  <si>
    <t>PSLF121S06R(H)101424</t>
  </si>
  <si>
    <t>PSLF121S07A100581</t>
  </si>
  <si>
    <t>PSLF121S07A100603</t>
  </si>
  <si>
    <t>PSLF121S07A101184</t>
  </si>
  <si>
    <t>PSLF121S07A101186</t>
  </si>
  <si>
    <t>PSLF121S07A101206</t>
  </si>
  <si>
    <t>PSLF121S07A(H)101424</t>
  </si>
  <si>
    <t>PSLF121S07A111550</t>
  </si>
  <si>
    <t>PSLF121S07A114501</t>
  </si>
  <si>
    <t>PSLF121X05A101184</t>
  </si>
  <si>
    <t>PSLF121X05A114501</t>
  </si>
  <si>
    <t>PSLF131C04A(H)101424</t>
  </si>
  <si>
    <t>PSLF131C04A106916</t>
  </si>
  <si>
    <t>PSLF131Q04A101186</t>
  </si>
  <si>
    <t>PSLF131Q04A101206</t>
  </si>
  <si>
    <t>PSLF131Q04A111550</t>
  </si>
  <si>
    <t>PSLF131S09A100603</t>
  </si>
  <si>
    <t>PSLF131S09A101184</t>
  </si>
  <si>
    <t>PSLF131S09A101186</t>
  </si>
  <si>
    <t>PSLF131S09B100581</t>
  </si>
  <si>
    <t>PSLF131S09B101186</t>
  </si>
  <si>
    <t>PSLF131U07A114501</t>
  </si>
  <si>
    <t>PSLF141401MA142051</t>
  </si>
  <si>
    <t>PSLF141402MA142051</t>
  </si>
  <si>
    <t>PSLF141E08A(RC)100581</t>
  </si>
  <si>
    <t>PSLF141E08A(RC)100603</t>
  </si>
  <si>
    <t>PSLF141E08A(RC)101184</t>
  </si>
  <si>
    <t>PSLF141E08A(RC)101186</t>
  </si>
  <si>
    <t>PSLF141E08A(RC)111550</t>
  </si>
  <si>
    <t>PSLF141E08A(RC)114501</t>
  </si>
  <si>
    <t>PSLF141E08B(RC)101186</t>
  </si>
  <si>
    <t>PSLF141E08B(RC)106916</t>
  </si>
  <si>
    <t>PSLF141E08B(RC)114163</t>
  </si>
  <si>
    <t>PSLF141E08B(RC_H)106916</t>
  </si>
  <si>
    <t>PSLF141E08C100603</t>
  </si>
  <si>
    <t>PSLF141E08C101184</t>
  </si>
  <si>
    <t>PSLF141E08C111550</t>
  </si>
  <si>
    <t>PSLF141E08C114501</t>
  </si>
  <si>
    <t>PSLF141E08D101186</t>
  </si>
  <si>
    <t>PSLF141E08D106916</t>
  </si>
  <si>
    <t>PSLF141E08L100581</t>
  </si>
  <si>
    <t>PSLF141E08L100603</t>
  </si>
  <si>
    <t>PSLF141E08L101186</t>
  </si>
  <si>
    <t>PSLF141E08L(H)101424</t>
  </si>
  <si>
    <t>PSLF141E08L111550</t>
  </si>
  <si>
    <t>PSLF141E08L114501</t>
  </si>
  <si>
    <t>PSLF141F09A100603</t>
  </si>
  <si>
    <t>PSLF141F09A101184</t>
  </si>
  <si>
    <t>PSLF141F09A101186</t>
  </si>
  <si>
    <t>PSLF141F09A106916</t>
  </si>
  <si>
    <t>PSLF141F09A111550</t>
  </si>
  <si>
    <t>PSLF141F09A114163</t>
  </si>
  <si>
    <t>PSLF141F09A114501</t>
  </si>
  <si>
    <t>PSLF141H06A100603</t>
  </si>
  <si>
    <t>PSLF141H06A101206</t>
  </si>
  <si>
    <t>PSLF141Q04A101186</t>
  </si>
  <si>
    <t>PSLF141Q04A106916</t>
  </si>
  <si>
    <t>PSLF141S05A101186</t>
  </si>
  <si>
    <t>PSLF141S05A101206</t>
  </si>
  <si>
    <t>PSLF141S05A111550</t>
  </si>
  <si>
    <t>PSLF141S05A(V)101186</t>
  </si>
  <si>
    <t>PSLF141S05A(V)101206</t>
  </si>
  <si>
    <t>PSLF141S07A101184</t>
  </si>
  <si>
    <t>PSLF141X06A100581</t>
  </si>
  <si>
    <t>PSLF141X06A101186</t>
  </si>
  <si>
    <t>PSLF141X06A101206</t>
  </si>
  <si>
    <t>PSLF141X06A111550</t>
  </si>
  <si>
    <t>PSLF141X06A114501</t>
  </si>
  <si>
    <t>PSLF141Z05A111550</t>
  </si>
  <si>
    <t>PSLF151301L300015</t>
  </si>
  <si>
    <t>PSLF151402M142051</t>
  </si>
  <si>
    <t>PSLF151501A101186</t>
  </si>
  <si>
    <t>PSLF151A03A100603</t>
  </si>
  <si>
    <t>PSLF151A03A101184</t>
  </si>
  <si>
    <t>PSLF151A03D101206</t>
  </si>
  <si>
    <t>PSLF151A03D(H)101424</t>
  </si>
  <si>
    <t>PSLF151A03D106916</t>
  </si>
  <si>
    <t>PSLF151A03D111550</t>
  </si>
  <si>
    <t>PSLF151A03M101186</t>
  </si>
  <si>
    <t>PSLF151E08A111550</t>
  </si>
  <si>
    <t>PSLF151E08A114501</t>
  </si>
  <si>
    <t>PSLF151E08D(H)101424</t>
  </si>
  <si>
    <t>PSLF151E09B100603</t>
  </si>
  <si>
    <t>PSLF151E09C(V)100581</t>
  </si>
  <si>
    <t>PSLF151E09C(V)100603</t>
  </si>
  <si>
    <t>PSLF151E09C(V)101186</t>
  </si>
  <si>
    <t>PSLF151E09C(V)(H)101424</t>
  </si>
  <si>
    <t>PSLF151E09C(V)111550</t>
  </si>
  <si>
    <t>PSLF151E09C(V)142310</t>
  </si>
  <si>
    <t>PSLF151E09D100581</t>
  </si>
  <si>
    <t>PSLF151E09D100603</t>
  </si>
  <si>
    <t>PSLF151E09D101186</t>
  </si>
  <si>
    <t>PSLF151E09D111550</t>
  </si>
  <si>
    <t>PSLF151G06A101186</t>
  </si>
  <si>
    <t>PSLF151G06A111550</t>
  </si>
  <si>
    <t>PSLF151G06B101186</t>
  </si>
  <si>
    <t>PSLF151G06B106916</t>
  </si>
  <si>
    <t>PSLF151Q04A100581</t>
  </si>
  <si>
    <t>PSLF151Q04A100603</t>
  </si>
  <si>
    <t>PSLF151Q04A101206</t>
  </si>
  <si>
    <t>PSLF151S05A101186</t>
  </si>
  <si>
    <t>PSLF151S05A(V)(H)101424</t>
  </si>
  <si>
    <t>PSLF151S05B101186</t>
  </si>
  <si>
    <t>PSLF151X05A101186</t>
  </si>
  <si>
    <t>PSLF151X05A(V)101184</t>
  </si>
  <si>
    <t>PSLF151X05A(V)101186</t>
  </si>
  <si>
    <t>PSLF151X05A(V)101206</t>
  </si>
  <si>
    <t>PSLF151X05A(V)(H)101424</t>
  </si>
  <si>
    <t>PSLF151X05A(V)106916</t>
  </si>
  <si>
    <t>PSLF151X05B101186</t>
  </si>
  <si>
    <t>PSLF151X05B106916</t>
  </si>
  <si>
    <t>PSLF151X05B114163</t>
  </si>
  <si>
    <t>PSLF161G04L100581</t>
  </si>
  <si>
    <t>PSLF161G04L100603</t>
  </si>
  <si>
    <t>PSLF161G04L101186</t>
  </si>
  <si>
    <t>PSLF161G04L101206</t>
  </si>
  <si>
    <t>PSLF161G04L(H)101424</t>
  </si>
  <si>
    <t>PSLF161G04L111550</t>
  </si>
  <si>
    <t>PSLF161G04L114501</t>
  </si>
  <si>
    <t>PSLF161G06A100603</t>
  </si>
  <si>
    <t>PSLF161G06A101206</t>
  </si>
  <si>
    <t>PSLF161G06A(H)101424</t>
  </si>
  <si>
    <t>PSLF161G06A111550</t>
  </si>
  <si>
    <t>PSLF161G06A114501</t>
  </si>
  <si>
    <t>PSLF161G06A142310</t>
  </si>
  <si>
    <t>PSLF161G06B101186</t>
  </si>
  <si>
    <t>PSLF161G06B142310</t>
  </si>
  <si>
    <t>PSLF161G06F(H)101424</t>
  </si>
  <si>
    <t>PSLF161Q04A100603</t>
  </si>
  <si>
    <t>PSLF161Q04A(H)101424</t>
  </si>
  <si>
    <t>PSLF161Q04Q(H)101424</t>
  </si>
  <si>
    <t>PSLF161X05A(V)101186</t>
  </si>
  <si>
    <t>PSLF161X05A(V)101424</t>
  </si>
  <si>
    <t>PSLF161X05A(V)111550</t>
  </si>
  <si>
    <t>PSLF171301A100581</t>
  </si>
  <si>
    <t>PSLF171301A100603</t>
  </si>
  <si>
    <t>PSLF171301A101184</t>
  </si>
  <si>
    <t>PSLF171301A101186</t>
  </si>
  <si>
    <t>PSLF171301A101206</t>
  </si>
  <si>
    <t>PSLF171301A(H)101424</t>
  </si>
  <si>
    <t>PSLF171301A114163</t>
  </si>
  <si>
    <t>PSLF171301A114501</t>
  </si>
  <si>
    <t>PSLF171301A142310</t>
  </si>
  <si>
    <t>PSLF171301A(P)(H)101424</t>
  </si>
  <si>
    <t>PSLF171301A(W)100581</t>
  </si>
  <si>
    <t>PSLF171301A(W)100603</t>
  </si>
  <si>
    <t>PSLF171301A(W)101184</t>
  </si>
  <si>
    <t>PSLF171301A(W)101186</t>
  </si>
  <si>
    <t>PSLF171301A(W)101206</t>
  </si>
  <si>
    <t>PSLF171301A(W)(H)101424</t>
  </si>
  <si>
    <t>PSLF171301A(W)111550</t>
  </si>
  <si>
    <t>PSLF171301A(W)114163</t>
  </si>
  <si>
    <t>PSLF171301A(W)114501</t>
  </si>
  <si>
    <t>PSLF171301A(W)142310</t>
  </si>
  <si>
    <t>PSLF171301B100581</t>
  </si>
  <si>
    <t>PSLF171301B101186</t>
  </si>
  <si>
    <t>PSLF171301B114163</t>
  </si>
  <si>
    <t>PSLF171301B142310</t>
  </si>
  <si>
    <t>PSLF171301M142051</t>
  </si>
  <si>
    <t>PSLF171502A(H)101424</t>
  </si>
  <si>
    <t>PSLF171B03A100581</t>
  </si>
  <si>
    <t>PSLF171B03A106916</t>
  </si>
  <si>
    <t>PSLF171B03A111550</t>
  </si>
  <si>
    <t>PSLF171C03A100603</t>
  </si>
  <si>
    <t>PSLF171E01B101186</t>
  </si>
  <si>
    <t>PSLF171E01B142310</t>
  </si>
  <si>
    <t>PSLF171E01C100581</t>
  </si>
  <si>
    <t>PSLF171E01C100603</t>
  </si>
  <si>
    <t>PSLF171E01C101184</t>
  </si>
  <si>
    <t>PSLF171E01C101186</t>
  </si>
  <si>
    <t>PSLF171S08A101184</t>
  </si>
  <si>
    <t>PSLF171S08A111550</t>
  </si>
  <si>
    <t>PSLF171S08A114501</t>
  </si>
  <si>
    <t>PSLF171X06A100581</t>
  </si>
  <si>
    <t>PSLF171X06A101184</t>
  </si>
  <si>
    <t>PSLF171X06A101186</t>
  </si>
  <si>
    <t>PSLF171X06A111550</t>
  </si>
  <si>
    <t>PSLF171X06A114501</t>
  </si>
  <si>
    <t>PSLF171X06A(KA)100581</t>
  </si>
  <si>
    <t>PSLF171X06B101186</t>
  </si>
  <si>
    <t>PSLF171X06B106916</t>
  </si>
  <si>
    <t>PSLF171X07A100603</t>
  </si>
  <si>
    <t>PSLF172C01A101186</t>
  </si>
  <si>
    <t>PSLF181A01A142301</t>
  </si>
  <si>
    <t>PSLF181E10A100603</t>
  </si>
  <si>
    <t>PSLF181E10A101184</t>
  </si>
  <si>
    <t>PSLF181E10A101186</t>
  </si>
  <si>
    <t>PSLF181E10A101206</t>
  </si>
  <si>
    <t>PSLF181E10A(H)101424</t>
  </si>
  <si>
    <t>PSLF181E10A114163</t>
  </si>
  <si>
    <t>PSLF181E10A114501</t>
  </si>
  <si>
    <t>PSLF181E10A142310</t>
  </si>
  <si>
    <t>PSLF181E10A(P)(H)101424</t>
  </si>
  <si>
    <t>PSLF181E10A(W)100581</t>
  </si>
  <si>
    <t>PSLF181E10A(W)100603</t>
  </si>
  <si>
    <t>PSLF181E10A(W)101184</t>
  </si>
  <si>
    <t>PSLF181E10A(W)101186</t>
  </si>
  <si>
    <t>PSLF181E10A(W)101206</t>
  </si>
  <si>
    <t>PSLF181E10A(W)(H)101424</t>
  </si>
  <si>
    <t>PSLF181E10A(W)114163</t>
  </si>
  <si>
    <t>PSLF181E10A(W)114501</t>
  </si>
  <si>
    <t>PSLF181E10A(W)142310</t>
  </si>
  <si>
    <t>PSLF181E10B100581</t>
  </si>
  <si>
    <t>PSLF181E10B101186</t>
  </si>
  <si>
    <t>PSLF181E10B114163</t>
  </si>
  <si>
    <t>PSLF181E10B142310</t>
  </si>
  <si>
    <t>PSLF181X05A(V)100581</t>
  </si>
  <si>
    <t>PSLF181X05A(V)100603</t>
  </si>
  <si>
    <t>PSLF181X05A(V)101186</t>
  </si>
  <si>
    <t>PSLF181X05A(V)101206</t>
  </si>
  <si>
    <t>PSLF181X05A(V)(H)101424</t>
  </si>
  <si>
    <t>PSLF181X05A(V)111550</t>
  </si>
  <si>
    <t>PSLF181X05A(V)114501</t>
  </si>
  <si>
    <t>PSLF181X05B101186</t>
  </si>
  <si>
    <t>PSLF181X05B106916</t>
  </si>
  <si>
    <t>PSLF181X05B(H)106916</t>
  </si>
  <si>
    <t>PSLF191A02X300014</t>
  </si>
  <si>
    <t>PSLF191C01A(H)101424</t>
  </si>
  <si>
    <t>PSLF191C16A100603</t>
  </si>
  <si>
    <t>PSLF191E01A142301</t>
  </si>
  <si>
    <t>PSLF191E08A100581</t>
  </si>
  <si>
    <t>PSLF191E08A100603</t>
  </si>
  <si>
    <t>PSLF191E08A101186</t>
  </si>
  <si>
    <t>PSLF191E08A101206</t>
  </si>
  <si>
    <t>PSLF191E08A(H)101424</t>
  </si>
  <si>
    <t>PSLF191E08A111550</t>
  </si>
  <si>
    <t>PSLF191E08A114501</t>
  </si>
  <si>
    <t>PSLF191E08A(P)(H)101424</t>
  </si>
  <si>
    <t>PSLF191E08B101186</t>
  </si>
  <si>
    <t>PSLF191E08B(H)101424</t>
  </si>
  <si>
    <t>PSLF191E08B106916</t>
  </si>
  <si>
    <t>PSLF191E08B114163</t>
  </si>
  <si>
    <t>PSLF191E08B142310</t>
  </si>
  <si>
    <t>PSLF191E08B(H)114163</t>
  </si>
  <si>
    <t>PSLF191E09A100581</t>
  </si>
  <si>
    <t>PSLF191E09A100603</t>
  </si>
  <si>
    <t>PSLF191E09A101184</t>
  </si>
  <si>
    <t>PSLF191E09A101186</t>
  </si>
  <si>
    <t>PSLF191E09A101206</t>
  </si>
  <si>
    <t>PSLF191E09A(H)101424</t>
  </si>
  <si>
    <t>PSLF191E09A106916</t>
  </si>
  <si>
    <t>PSLF191E09A114501</t>
  </si>
  <si>
    <t>PSLF191E09A142310</t>
  </si>
  <si>
    <t>PSLF191E09A(P)101186</t>
  </si>
  <si>
    <t>PSLF191E09A(P)101424</t>
  </si>
  <si>
    <t>PSLF191S05A100603</t>
  </si>
  <si>
    <t>PSLF191S05A101186</t>
  </si>
  <si>
    <t>PSLF191S05B101186</t>
  </si>
  <si>
    <t>PSLF191S06A101186</t>
  </si>
  <si>
    <t>PSLF191S06A101206</t>
  </si>
  <si>
    <t>PSLF191S07A100603</t>
  </si>
  <si>
    <t>PSLF191S07A101186</t>
  </si>
  <si>
    <t>PSLF191S07A101206</t>
  </si>
  <si>
    <t>PSLF191S07A(H)101424</t>
  </si>
  <si>
    <t>PSLF191S07A111550</t>
  </si>
  <si>
    <t>PSLF191S07A114501</t>
  </si>
  <si>
    <t>PSLF191S07A142310</t>
  </si>
  <si>
    <t>PSLF191S07B100581</t>
  </si>
  <si>
    <t>PSLF191S07B100603</t>
  </si>
  <si>
    <t>PSLF191S07B101186</t>
  </si>
  <si>
    <t>PSLF199C01A100581</t>
  </si>
  <si>
    <t>PSLF199C01A(H)101424</t>
  </si>
  <si>
    <t>PSLF201301L300015</t>
  </si>
  <si>
    <t>PSLF201410A100603</t>
  </si>
  <si>
    <t>PSLF201901A101186</t>
  </si>
  <si>
    <t>PSLF201901A(H)101424</t>
  </si>
  <si>
    <t>PSLF201C01A100581</t>
  </si>
  <si>
    <t>PSLF201C01A101186</t>
  </si>
  <si>
    <t>PSLF201C01A(H)101424</t>
  </si>
  <si>
    <t>PSLF201C02A100581</t>
  </si>
  <si>
    <t>PSLF201E08A(C)(H)101424</t>
  </si>
  <si>
    <t>PSLF201E08A(W)100581</t>
  </si>
  <si>
    <t>PSLF201E08A(W)100603</t>
  </si>
  <si>
    <t>PSLF201E08A(W)101186</t>
  </si>
  <si>
    <t>PSLF201E08A(W)101206</t>
  </si>
  <si>
    <t>PSLF201E08A(W)(H)101424</t>
  </si>
  <si>
    <t>PSLF201E08A(W)106916</t>
  </si>
  <si>
    <t>PSLF201E08A(W)111550</t>
  </si>
  <si>
    <t>PSLF201E08A(W)114501</t>
  </si>
  <si>
    <t>PSLF201E08A(W)142310</t>
  </si>
  <si>
    <t>PSLF201E08B100603</t>
  </si>
  <si>
    <t>PSLF201E08B101186</t>
  </si>
  <si>
    <t>PSLF201E08B101206</t>
  </si>
  <si>
    <t>PSLF201E08B106916</t>
  </si>
  <si>
    <t>PSLF201E08B111550</t>
  </si>
  <si>
    <t>PSLF201E08B114163</t>
  </si>
  <si>
    <t>PSLF201E08B114501</t>
  </si>
  <si>
    <t>PSLF201E08B(P)(H)101424</t>
  </si>
  <si>
    <t>PSLF201E08L100581</t>
  </si>
  <si>
    <t>PSLF201E08L100603</t>
  </si>
  <si>
    <t>PSLF201E08L101186</t>
  </si>
  <si>
    <t>PSLF201E08L(H)101424</t>
  </si>
  <si>
    <t>PSLF201E08L106916</t>
  </si>
  <si>
    <t>PSLF201E08L111550</t>
  </si>
  <si>
    <t>PSLF201E08L114163</t>
  </si>
  <si>
    <t>PSLF201E09C(V)100581</t>
  </si>
  <si>
    <t>PSLF201E09C(V)100603</t>
  </si>
  <si>
    <t>PSLF201E09C(V)101186</t>
  </si>
  <si>
    <t>PSLF201E09C(V)(H)101424</t>
  </si>
  <si>
    <t>PSLF201E09C(V)111550</t>
  </si>
  <si>
    <t>PSLF201E09C(V)(H)100603</t>
  </si>
  <si>
    <t>PSLF201F05P101206</t>
  </si>
  <si>
    <t>PSLF201F05P111550</t>
  </si>
  <si>
    <t>PSLF201S07A100603</t>
  </si>
  <si>
    <t>PSLF201S07A111550</t>
  </si>
  <si>
    <t>PSLF201S09A100603</t>
  </si>
  <si>
    <t>PSLF201U05A100581</t>
  </si>
  <si>
    <t>PSLF201U05A100603</t>
  </si>
  <si>
    <t>PSLF201U05A101206</t>
  </si>
  <si>
    <t>PSLF201U05A111550</t>
  </si>
  <si>
    <t>PSLF210S06L101186</t>
  </si>
  <si>
    <t>PSLF210S06L(H)101424</t>
  </si>
  <si>
    <t>PSLF210S06L111550</t>
  </si>
  <si>
    <t>PSLF210S06L114501</t>
  </si>
  <si>
    <t>PSLF211401A(H)101424</t>
  </si>
  <si>
    <t>PSLF211A01X142051</t>
  </si>
  <si>
    <t>PSLF211A01X300014</t>
  </si>
  <si>
    <t>PSLF211A02X300014</t>
  </si>
  <si>
    <t>PSLF211B02A100581</t>
  </si>
  <si>
    <t>PSLF211B02A(H)101424</t>
  </si>
  <si>
    <t>PSLF211M07A101184</t>
  </si>
  <si>
    <t>PSLF211M07A114501</t>
  </si>
  <si>
    <t>PSLF215E10A100581</t>
  </si>
  <si>
    <t>PSLF215E10A100603</t>
  </si>
  <si>
    <t>PSLF215E10A101186</t>
  </si>
  <si>
    <t>PSLF215E10A101206</t>
  </si>
  <si>
    <t>PSLF215E10A(H)101424</t>
  </si>
  <si>
    <t>PSLF215E10A111550</t>
  </si>
  <si>
    <t>PSLF215E10A114163</t>
  </si>
  <si>
    <t>PSLF215E10A114501</t>
  </si>
  <si>
    <t>PSLF215E10A142310</t>
  </si>
  <si>
    <t>PSLF215E10A(P)101424</t>
  </si>
  <si>
    <t>PSLF221201A141245</t>
  </si>
  <si>
    <t>PSLF221301AE101564</t>
  </si>
  <si>
    <t>PSLF221301AE142548</t>
  </si>
  <si>
    <t>PSLF221301X300014</t>
  </si>
  <si>
    <t>PSLF221302X300014</t>
  </si>
  <si>
    <t>PSLF221B01A142301</t>
  </si>
  <si>
    <t>PSLF221F05P100581</t>
  </si>
  <si>
    <t>PSLF221F05P100603</t>
  </si>
  <si>
    <t>PSLF221F05P101206</t>
  </si>
  <si>
    <t>PSLF221G02A142301</t>
  </si>
  <si>
    <t>PSLF221U05A100581</t>
  </si>
  <si>
    <t>PSLF221U05A100603</t>
  </si>
  <si>
    <t>PSLF221U05A101206</t>
  </si>
  <si>
    <t>PSLF221U05A114163</t>
  </si>
  <si>
    <t>PSLF221W07A101186</t>
  </si>
  <si>
    <t>PSLF221W07A101206</t>
  </si>
  <si>
    <t>PSLF221W07A(H)101424</t>
  </si>
  <si>
    <t>PSLF226A01A141245</t>
  </si>
  <si>
    <t>PSLF230S04L100581</t>
  </si>
  <si>
    <t>PSLF230S04L100603</t>
  </si>
  <si>
    <t>PSLF230S04L101186</t>
  </si>
  <si>
    <t>PSLF230S04L(H)101424</t>
  </si>
  <si>
    <t>PSLF230S04L111550</t>
  </si>
  <si>
    <t>PSLF231401A141245</t>
  </si>
  <si>
    <t>PSLF231901A101186</t>
  </si>
  <si>
    <t>PSLF231A02X300014</t>
  </si>
  <si>
    <t>PSLF231C01A101186</t>
  </si>
  <si>
    <t>PSLF231C06A100581</t>
  </si>
  <si>
    <t>PSLF231C06A101186</t>
  </si>
  <si>
    <t>PSLF231C06A(H)101424</t>
  </si>
  <si>
    <t>PSLF231C06A106916</t>
  </si>
  <si>
    <t>PSLF231S05A100603</t>
  </si>
  <si>
    <t>PSLF231U16L100603</t>
  </si>
  <si>
    <t>PSLF241401A104155</t>
  </si>
  <si>
    <t>PSLF241401A142600</t>
  </si>
  <si>
    <t>PSLF241701A(H)101424</t>
  </si>
  <si>
    <t>PSLF241701A111550</t>
  </si>
  <si>
    <t>PSLF241701B100581</t>
  </si>
  <si>
    <t>PSLF241701B111550</t>
  </si>
  <si>
    <t>PSLF241A02X300014</t>
  </si>
  <si>
    <t>PSLF241E08A100581</t>
  </si>
  <si>
    <t>PSLF241E08A100603</t>
  </si>
  <si>
    <t>PSLF241E08A101186</t>
  </si>
  <si>
    <t>PSLF241E08A101206</t>
  </si>
  <si>
    <t>PSLF241E08A(H)101424</t>
  </si>
  <si>
    <t>PSLF241E08A106916</t>
  </si>
  <si>
    <t>PSLF241E08A111550</t>
  </si>
  <si>
    <t>PSLF241E08A114501</t>
  </si>
  <si>
    <t>PSLF241E08A142310</t>
  </si>
  <si>
    <t>PSLF241E09A100603</t>
  </si>
  <si>
    <t>PSLF241W06A101186</t>
  </si>
  <si>
    <t>PSLF241W06A(H)101424</t>
  </si>
  <si>
    <t>PSLF251503A100581</t>
  </si>
  <si>
    <t>PSLF251503E100581</t>
  </si>
  <si>
    <t>PSLF251503E100603</t>
  </si>
  <si>
    <t>PSLF251503E101186</t>
  </si>
  <si>
    <t>PSLF251503E101206</t>
  </si>
  <si>
    <t>PSLF251503E(H)101424</t>
  </si>
  <si>
    <t>PSLF251503E111550</t>
  </si>
  <si>
    <t>PSLF251503E114501</t>
  </si>
  <si>
    <t>PSLF251503L100581</t>
  </si>
  <si>
    <t>PSLF251503L100603</t>
  </si>
  <si>
    <t>PSLF251503L101186</t>
  </si>
  <si>
    <t>PSLF251503L(H)101424</t>
  </si>
  <si>
    <t>PSLF251503L111550</t>
  </si>
  <si>
    <t>PSLF251503L114501</t>
  </si>
  <si>
    <t>PSLF251B02A100581</t>
  </si>
  <si>
    <t>PSLF261B02A100581</t>
  </si>
  <si>
    <t>PSLF261S07A100581</t>
  </si>
  <si>
    <t>PSLF261S07A(H)101424</t>
  </si>
  <si>
    <t>PSLF261S07A(RC)100581</t>
  </si>
  <si>
    <t>PSLF261S07A(RC)100603</t>
  </si>
  <si>
    <t>PSLF261S07A(RC)101186</t>
  </si>
  <si>
    <t>PSLF261S07A(RC)101206</t>
  </si>
  <si>
    <t>PSLF261S07A(RC)101424</t>
  </si>
  <si>
    <t>PSLF261S07A(RC)111550</t>
  </si>
  <si>
    <t>PSLF261S07A(RC)114501</t>
  </si>
  <si>
    <t>PSLF261S07A(RC)142310</t>
  </si>
  <si>
    <t>PSLF261S07A(RC_H)101424</t>
  </si>
  <si>
    <t>PSLF261S07A(W)(H)101424</t>
  </si>
  <si>
    <t>PSLF261S07A(W)106916</t>
  </si>
  <si>
    <t>PSLF261S07B100603</t>
  </si>
  <si>
    <t>PSLF261S07B101186</t>
  </si>
  <si>
    <t>PSLF261S07B101206</t>
  </si>
  <si>
    <t>PSLF261S07B(H)101424</t>
  </si>
  <si>
    <t>PSLF261S07B111550</t>
  </si>
  <si>
    <t>PSLF261S07B114501</t>
  </si>
  <si>
    <t>PSLF261S07B142310</t>
  </si>
  <si>
    <t>PSLF271E07A101186</t>
  </si>
  <si>
    <t>PSLF271E07A101206</t>
  </si>
  <si>
    <t>PSLF271M07A101184</t>
  </si>
  <si>
    <t>PSLF271M07A101186</t>
  </si>
  <si>
    <t>PSLF271M07A101206</t>
  </si>
  <si>
    <t>PSLF271M07A(H)101424</t>
  </si>
  <si>
    <t>PSLF271M07B101186</t>
  </si>
  <si>
    <t>PSLF271M07B106916</t>
  </si>
  <si>
    <t>PSLF271M07F(H)101424</t>
  </si>
  <si>
    <t>PSLF281G06A100603</t>
  </si>
  <si>
    <t>PSLF281G06A101186</t>
  </si>
  <si>
    <t>PSLF281G06A(H)101424</t>
  </si>
  <si>
    <t>PSLF281W07A101186</t>
  </si>
  <si>
    <t>PSLF281W07A101206</t>
  </si>
  <si>
    <t>PSLF281W07A(H)101424</t>
  </si>
  <si>
    <t>PSLF281W07A111550</t>
  </si>
  <si>
    <t>PSLF291301A100581</t>
  </si>
  <si>
    <t>PSLF291301A100603</t>
  </si>
  <si>
    <t>PSLF291301A101186</t>
  </si>
  <si>
    <t>PSLF291301A111550</t>
  </si>
  <si>
    <t>PSLF291301A114501</t>
  </si>
  <si>
    <t>PSLF291301B100581</t>
  </si>
  <si>
    <t>PSLF291301B100603</t>
  </si>
  <si>
    <t>PSLF291301B101186</t>
  </si>
  <si>
    <t>PSLF291301B111550</t>
  </si>
  <si>
    <t>PSLF291301B114501</t>
  </si>
  <si>
    <t>PSLF301201A100603</t>
  </si>
  <si>
    <t>PSLF301201A101184</t>
  </si>
  <si>
    <t>PSLF301201A114501</t>
  </si>
  <si>
    <t>PSLF301201B100603</t>
  </si>
  <si>
    <t>PSLF301201B101184</t>
  </si>
  <si>
    <t>PSLF301201B101186</t>
  </si>
  <si>
    <t>PSLF301201B101206</t>
  </si>
  <si>
    <t>PSLF301201B101424</t>
  </si>
  <si>
    <t>PSLF301201B111550</t>
  </si>
  <si>
    <t>PSLF301201B114501</t>
  </si>
  <si>
    <t>PSLF301201B142310</t>
  </si>
  <si>
    <t>PSLF301E10A100581</t>
  </si>
  <si>
    <t>PSLF301E10A100603</t>
  </si>
  <si>
    <t>PSLF301E10A101184</t>
  </si>
  <si>
    <t>PSLF301E10A111550</t>
  </si>
  <si>
    <t>PSLF311E09A(W)100581</t>
  </si>
  <si>
    <t>PSLF311E09A(W)100603</t>
  </si>
  <si>
    <t>PSLF311E09A(W)101186</t>
  </si>
  <si>
    <t>PSLF311E09A(W)101206</t>
  </si>
  <si>
    <t>PSLF311E09A(W)(H)101424</t>
  </si>
  <si>
    <t>PSLF311E09A(W)111550</t>
  </si>
  <si>
    <t>PSLF311E09A(W)114501</t>
  </si>
  <si>
    <t>PSLF311G06A101186</t>
  </si>
  <si>
    <t>PSLF311G06A101206</t>
  </si>
  <si>
    <t>PSLF311G06A(H)101424</t>
  </si>
  <si>
    <t>PSLF321C06A100603</t>
  </si>
  <si>
    <t>PSLF321C06A101186</t>
  </si>
  <si>
    <t>PSLF321C06A101206</t>
  </si>
  <si>
    <t>PSLF321C06A111550</t>
  </si>
  <si>
    <t>PSLF321C06B101186</t>
  </si>
  <si>
    <t>PSLF321C06B101206</t>
  </si>
  <si>
    <t>PSLF321C06B111550</t>
  </si>
  <si>
    <t>PSLF321E07A100581</t>
  </si>
  <si>
    <t>PSLF321E07A100603</t>
  </si>
  <si>
    <t>PSLF321E07A101186</t>
  </si>
  <si>
    <t>PSLF321E07A101206</t>
  </si>
  <si>
    <t>PSLF321E07A(H)101424</t>
  </si>
  <si>
    <t>PSLF321E07A106916</t>
  </si>
  <si>
    <t>PSLF321E07A111550</t>
  </si>
  <si>
    <t>PSLF321E07A114501</t>
  </si>
  <si>
    <t>PSLF321E07B101206</t>
  </si>
  <si>
    <t>PSLF321E07B(H)101424</t>
  </si>
  <si>
    <t>PSLF321E07B106916</t>
  </si>
  <si>
    <t>PSLF321E07C100581</t>
  </si>
  <si>
    <t>PSLF321E07C101186</t>
  </si>
  <si>
    <t>PSLF321E07C101206</t>
  </si>
  <si>
    <t>PSLF321E07C(H)101424</t>
  </si>
  <si>
    <t>PSLF321E07C106916</t>
  </si>
  <si>
    <t>PSLF321E07C114501</t>
  </si>
  <si>
    <t>PSLF321E07F(H)101424</t>
  </si>
  <si>
    <t>PSLF321E10A100603</t>
  </si>
  <si>
    <t>PSLF321E10A111550</t>
  </si>
  <si>
    <t>PSLF321P07A100581</t>
  </si>
  <si>
    <t>PSLF321P07A100603</t>
  </si>
  <si>
    <t>PSLF321P07A101186</t>
  </si>
  <si>
    <t>PSLF321P07A(H)101424</t>
  </si>
  <si>
    <t>PSLF321P07A111550</t>
  </si>
  <si>
    <t>PSLF321P07A114501</t>
  </si>
  <si>
    <t>PSLF321P07B100581</t>
  </si>
  <si>
    <t>PSLF321P07B100603</t>
  </si>
  <si>
    <t>PSLF321P07B(H)101424</t>
  </si>
  <si>
    <t>PSLF321P07B111550</t>
  </si>
  <si>
    <t>PSLF321S08A100581</t>
  </si>
  <si>
    <t>PSLF321S08A101186</t>
  </si>
  <si>
    <t>PSLF321S08A111550</t>
  </si>
  <si>
    <t>PSLF330F06A101186</t>
  </si>
  <si>
    <t>PSLF330S05A106916</t>
  </si>
  <si>
    <t>PSLF330S05A114163</t>
  </si>
  <si>
    <t>PSLF330S06A101186</t>
  </si>
  <si>
    <t>PSLF330S06A106916</t>
  </si>
  <si>
    <t>PSLF331151A(L)142600</t>
  </si>
  <si>
    <t>PSLF331151A(S)104155</t>
  </si>
  <si>
    <t>PSLF331151A(S)142600</t>
  </si>
  <si>
    <t>PSLF331151B(L)142600</t>
  </si>
  <si>
    <t>PSLF331401M142051</t>
  </si>
  <si>
    <t>PSLF331401MA142051</t>
  </si>
  <si>
    <t>PSLF331G06A111550</t>
  </si>
  <si>
    <t>PSLF341301A141245</t>
  </si>
  <si>
    <t>PSLF341U16C(H)101424</t>
  </si>
  <si>
    <t>PSLF341U16L100603</t>
  </si>
  <si>
    <t>PSLF350201A(H)101424</t>
  </si>
  <si>
    <t>PSLF350201A109171</t>
  </si>
  <si>
    <t>PSLF360A04A100581</t>
  </si>
  <si>
    <t>PSLF360A04A101184</t>
  </si>
  <si>
    <t>PSLF360A04A101186</t>
  </si>
  <si>
    <t>PSLF361201A100581</t>
  </si>
  <si>
    <t>PSLF361201A100603</t>
  </si>
  <si>
    <t>PSLF361201A101186</t>
  </si>
  <si>
    <t>PSLF361201A101206</t>
  </si>
  <si>
    <t>PSLF361201A101424</t>
  </si>
  <si>
    <t>PSLF361201A111550</t>
  </si>
  <si>
    <t>PSLF361201A114163</t>
  </si>
  <si>
    <t>PSLF361201A114501</t>
  </si>
  <si>
    <t>PSLF361201A142310</t>
  </si>
  <si>
    <t>PSLF361201B100581</t>
  </si>
  <si>
    <t>PSLF361201B100603</t>
  </si>
  <si>
    <t>PSLF361201B101186</t>
  </si>
  <si>
    <t>PSLF361201B101206</t>
  </si>
  <si>
    <t>PSLF361201B101424</t>
  </si>
  <si>
    <t>PSLF361201B111550</t>
  </si>
  <si>
    <t>PSLF361201B114163</t>
  </si>
  <si>
    <t>PSLF361201B114501</t>
  </si>
  <si>
    <t>PSLF361201B142310</t>
  </si>
  <si>
    <t>PSLF361301A100581</t>
  </si>
  <si>
    <t>PSLF361301A100603</t>
  </si>
  <si>
    <t>PSLF361301A101186</t>
  </si>
  <si>
    <t>PSLF361301B100581</t>
  </si>
  <si>
    <t>PSLF361301B100603</t>
  </si>
  <si>
    <t>PSLF361301B101186</t>
  </si>
  <si>
    <t>PSLF361501A141245</t>
  </si>
  <si>
    <t>PSLF361G06C100581</t>
  </si>
  <si>
    <t>PSLF361G06D100581</t>
  </si>
  <si>
    <t>PSLF361G06E100581</t>
  </si>
  <si>
    <t>PSLF361G06E(H)101424</t>
  </si>
  <si>
    <t>PSLF361G06F100581</t>
  </si>
  <si>
    <t>PSLF361G06F(H)101424</t>
  </si>
  <si>
    <t>PSLF371D05A100581</t>
  </si>
  <si>
    <t>PSLF371D05A101186</t>
  </si>
  <si>
    <t>PSLF371D05A101206</t>
  </si>
  <si>
    <t>PSLF371D05A111550</t>
  </si>
  <si>
    <t>PSLF371S05A100603</t>
  </si>
  <si>
    <t>PSLF371S05A101186</t>
  </si>
  <si>
    <t>PSLF371S05A(H)101424</t>
  </si>
  <si>
    <t>PSLF371S05A111550</t>
  </si>
  <si>
    <t>PSLF380501A101206</t>
  </si>
  <si>
    <t>PSLF381E10A100581</t>
  </si>
  <si>
    <t>PSLF381E10A100603</t>
  </si>
  <si>
    <t>PSLF381E10A111550</t>
  </si>
  <si>
    <t>PSLF381S01C100581</t>
  </si>
  <si>
    <t>PSLF391301A100581</t>
  </si>
  <si>
    <t>PSLF391301A100603</t>
  </si>
  <si>
    <t>PSLF391301A101186</t>
  </si>
  <si>
    <t>PSLF391301A101206</t>
  </si>
  <si>
    <t>PSLF391301A(H)101424</t>
  </si>
  <si>
    <t>PSLF391301A111550</t>
  </si>
  <si>
    <t>PSLF391301A114501</t>
  </si>
  <si>
    <t>PSLF391301B100581</t>
  </si>
  <si>
    <t>PSLF391301B100603</t>
  </si>
  <si>
    <t>PSLF391301B101186</t>
  </si>
  <si>
    <t>PSLF391301B101206</t>
  </si>
  <si>
    <t>PSLF391301B(H)101424</t>
  </si>
  <si>
    <t>PSLF391301B111550</t>
  </si>
  <si>
    <t>PSLF391301B114501</t>
  </si>
  <si>
    <t>PSLF400131A107603</t>
  </si>
  <si>
    <t>PSLF401201A100581</t>
  </si>
  <si>
    <t>PSLF401201A100603</t>
  </si>
  <si>
    <t>PSLF401201A101186</t>
  </si>
  <si>
    <t>PSLF401201A101424</t>
  </si>
  <si>
    <t>PSLF401201A111550</t>
  </si>
  <si>
    <t>PSLF401201A114501</t>
  </si>
  <si>
    <t>PSLF411S08A100581</t>
  </si>
  <si>
    <t>PSLF411S08A101186</t>
  </si>
  <si>
    <t>PSLF411S08A(H)101424</t>
  </si>
  <si>
    <t>PSLF411S08A111550</t>
  </si>
  <si>
    <t>PSLF431E10A100603</t>
  </si>
  <si>
    <t>PSLF441M07A100603</t>
  </si>
  <si>
    <t>PSLF441M07A101186</t>
  </si>
  <si>
    <t>PSLF441M07A(H)101424</t>
  </si>
  <si>
    <t>PSLF441M07A114501</t>
  </si>
  <si>
    <t>PSLF450301A141245</t>
  </si>
  <si>
    <t>PSLF450A04A100581</t>
  </si>
  <si>
    <t>PSLF450A04A101184</t>
  </si>
  <si>
    <t>PSLF450A04A101186</t>
  </si>
  <si>
    <t>PSLF450A04A101206</t>
  </si>
  <si>
    <t>PSLF450A04A106916</t>
  </si>
  <si>
    <t>PSLF490S06A100603</t>
  </si>
  <si>
    <t>PSLF490S06A101184</t>
  </si>
  <si>
    <t>PSLF490S06A101186</t>
  </si>
  <si>
    <t>PSLF490S06A(H)101424</t>
  </si>
  <si>
    <t>PSLF490S06A114501</t>
  </si>
  <si>
    <t>PSLF490S06A(KA)101186</t>
  </si>
  <si>
    <t>PSLF490S06B101186</t>
  </si>
  <si>
    <t>PSLF490S06B106916</t>
  </si>
  <si>
    <t>PSLF490S06C101184</t>
  </si>
  <si>
    <t>PSLF501D03A100581</t>
  </si>
  <si>
    <t>PSLF501D03A100603</t>
  </si>
  <si>
    <t>PSLF501D03A(H)101424</t>
  </si>
  <si>
    <t>PSLF521501A100581</t>
  </si>
  <si>
    <t>PSLF521501A111550</t>
  </si>
  <si>
    <t>PSLF530501A100581</t>
  </si>
  <si>
    <t>PSLF530501A101206</t>
  </si>
  <si>
    <t>PSLF531301L300015</t>
  </si>
  <si>
    <t>PSLF531501D100581</t>
  </si>
  <si>
    <t>PSLF531501D100603</t>
  </si>
  <si>
    <t>PSLF531501D101186</t>
  </si>
  <si>
    <t>PSLF531501D101206</t>
  </si>
  <si>
    <t>PSLF531501D(H)101424</t>
  </si>
  <si>
    <t>PSLF531501D111550</t>
  </si>
  <si>
    <t>PSLF550S05A101206</t>
  </si>
  <si>
    <t>PSLF550S05A(H)101424</t>
  </si>
  <si>
    <t>PSLF550S05B106916</t>
  </si>
  <si>
    <t>PSLF551S08A100581</t>
  </si>
  <si>
    <t>PSLF551S08A101186</t>
  </si>
  <si>
    <t>PSLF551S08A101206</t>
  </si>
  <si>
    <t>PSLF551S08A(H)101424</t>
  </si>
  <si>
    <t>PSLF551S08A111550</t>
  </si>
  <si>
    <t>PSLF551S08B100581</t>
  </si>
  <si>
    <t>PSLF551S08B101186</t>
  </si>
  <si>
    <t>PSLF551S08B101206</t>
  </si>
  <si>
    <t>PSLF551S08B(H)101424</t>
  </si>
  <si>
    <t>PSLF551S08B111550</t>
  </si>
  <si>
    <t>PSLF560501A100581</t>
  </si>
  <si>
    <t>PSLF560501A100603</t>
  </si>
  <si>
    <t>PSLF560501A101184</t>
  </si>
  <si>
    <t>PSLF560501A101186</t>
  </si>
  <si>
    <t>PSLF570A04A100581</t>
  </si>
  <si>
    <t>PSLF570A04A101206</t>
  </si>
  <si>
    <t>PSLF570A04A(H)101424</t>
  </si>
  <si>
    <t>PSLF590101A100581</t>
  </si>
  <si>
    <t>PSLF590101A100603</t>
  </si>
  <si>
    <t>PSLF590101A(H)101424</t>
  </si>
  <si>
    <t>PSLF610S05A100581</t>
  </si>
  <si>
    <t>PSLF620S06A101184</t>
  </si>
  <si>
    <t>PSLF620S06A142310</t>
  </si>
  <si>
    <t>PSLF620S06A(KA)100581</t>
  </si>
  <si>
    <t>PSLF620S06A(KA)101186</t>
  </si>
  <si>
    <t>PSLF621P07A100581</t>
  </si>
  <si>
    <t>PSLF621P07A100603</t>
  </si>
  <si>
    <t>PSLF621P07A101186</t>
  </si>
  <si>
    <t>PSLF621P07A101206</t>
  </si>
  <si>
    <t>PSLF621P07A(H)101424</t>
  </si>
  <si>
    <t>PSLF621P07A114501</t>
  </si>
  <si>
    <t>PSLF621P07B100581</t>
  </si>
  <si>
    <t>PSLF621P07B101186</t>
  </si>
  <si>
    <t>PSLF621P07B101206</t>
  </si>
  <si>
    <t>PSLF621P07B(H)101424</t>
  </si>
  <si>
    <t>PSLF621P07B111550</t>
  </si>
  <si>
    <t>PSLF621P07C100581</t>
  </si>
  <si>
    <t>PSLF650101A100603</t>
  </si>
  <si>
    <t>PSLF650101A(H)101424</t>
  </si>
  <si>
    <t>PSLF650101B(H)101424</t>
  </si>
  <si>
    <t>PSLF650B01C101186</t>
  </si>
  <si>
    <t>PSLF650B01C(H)101424</t>
  </si>
  <si>
    <t>PSLF650B01C106916</t>
  </si>
  <si>
    <t>PSLF660S05A101186</t>
  </si>
  <si>
    <t>PSLF660S05A101206</t>
  </si>
  <si>
    <t>PSLF660S05A(H)101424</t>
  </si>
  <si>
    <t>PSLF660S05A106916</t>
  </si>
  <si>
    <t>PSLF660S05B(H)101424</t>
  </si>
  <si>
    <t>PSLF671F05A101206</t>
  </si>
  <si>
    <t>PSLF680501A100581</t>
  </si>
  <si>
    <t>PSLF680501A(H)101424</t>
  </si>
  <si>
    <t>PSLF710A04A101186</t>
  </si>
  <si>
    <t>PSLF710A04A106916</t>
  </si>
  <si>
    <t>PSLF710A04A114163</t>
  </si>
  <si>
    <t>PSLF720401A141245</t>
  </si>
  <si>
    <t>PSLF720S05L101206</t>
  </si>
  <si>
    <t>PSLF720S05L(H)101424</t>
  </si>
  <si>
    <t>PSLF720S05N101186</t>
  </si>
  <si>
    <t>PSLF720S05N(H)101424</t>
  </si>
  <si>
    <t>PSLF720S05N106916</t>
  </si>
  <si>
    <t>PSLF720S05N114163</t>
  </si>
  <si>
    <t>PSLF720S05N(H)106916</t>
  </si>
  <si>
    <t>PSLF720S06A101184</t>
  </si>
  <si>
    <t>PSLF720S06A101206</t>
  </si>
  <si>
    <t>PSLF720S06A114501</t>
  </si>
  <si>
    <t>PSLF720S06L100581</t>
  </si>
  <si>
    <t>PSLF720S06L100603</t>
  </si>
  <si>
    <t>PSLF720S06L101184</t>
  </si>
  <si>
    <t>PSLF720S06L101186</t>
  </si>
  <si>
    <t>PSLF720S06L101206</t>
  </si>
  <si>
    <t>PSLF720S06L(H)101424</t>
  </si>
  <si>
    <t>PSLF720S06L106916</t>
  </si>
  <si>
    <t>PSLF720S06L111550</t>
  </si>
  <si>
    <t>PSLF720S06L114163</t>
  </si>
  <si>
    <t>PSLF720S06L114501</t>
  </si>
  <si>
    <t>PSLF720S06L(H)101186</t>
  </si>
  <si>
    <t>PSLF720S06L(H)106916</t>
  </si>
  <si>
    <t>PSLF720S07A100581</t>
  </si>
  <si>
    <t>PSLF720S07A101184</t>
  </si>
  <si>
    <t>PSLF720S07A101186</t>
  </si>
  <si>
    <t>PSLF720S07A101206</t>
  </si>
  <si>
    <t>PSLF720S07A(H)101424</t>
  </si>
  <si>
    <t>PSLF720S07A106916</t>
  </si>
  <si>
    <t>PSLF720S07A114501</t>
  </si>
  <si>
    <t>PSLF720S07A(H)100603</t>
  </si>
  <si>
    <t>PSLF720S07B101186</t>
  </si>
  <si>
    <t>PSLF720S07B106916</t>
  </si>
  <si>
    <t>PSLF720S07T100603</t>
  </si>
  <si>
    <t>PSLF760101A100581</t>
  </si>
  <si>
    <t>PSLF760101A100603</t>
  </si>
  <si>
    <t>PSLF760101A101186</t>
  </si>
  <si>
    <t>PSLF760101A(H)101424</t>
  </si>
  <si>
    <t>PSLF760101A111550</t>
  </si>
  <si>
    <t>PSLF760501A101206</t>
  </si>
  <si>
    <t>PSLF760501A(H)101424</t>
  </si>
  <si>
    <t>PSLF760501A106916</t>
  </si>
  <si>
    <t>PSLF760C04A100603</t>
  </si>
  <si>
    <t>PSLF760C04A101184</t>
  </si>
  <si>
    <t>PSLF760C04A106916</t>
  </si>
  <si>
    <t>PSLF770501A100581</t>
  </si>
  <si>
    <t>PSLF770501A101186</t>
  </si>
  <si>
    <t>PSLF770G05A101206</t>
  </si>
  <si>
    <t>PSLF770S05A101184</t>
  </si>
  <si>
    <t>PSLF770S05A101186</t>
  </si>
  <si>
    <t>PSLF770S05A101206</t>
  </si>
  <si>
    <t>PSLF780H06A101184</t>
  </si>
  <si>
    <t>PSLF780H06A101186</t>
  </si>
  <si>
    <t>PSLF780H06A114501</t>
  </si>
  <si>
    <t>PSLF780H06B101186</t>
  </si>
  <si>
    <t>PSLF790B04A101186</t>
  </si>
  <si>
    <t>PSLF790B04A(H)101424</t>
  </si>
  <si>
    <t>PSLF790B04E101186</t>
  </si>
  <si>
    <t>PSLF790D04A101184</t>
  </si>
  <si>
    <t>PSLF790D04A(H)101424</t>
  </si>
  <si>
    <t>PSLF790D04A106916</t>
  </si>
  <si>
    <t>PSLF790D04C101184</t>
  </si>
  <si>
    <t>PSLF790D04D101186</t>
  </si>
  <si>
    <t>PSLF790D04E101206</t>
  </si>
  <si>
    <t>PSLF800A03A100581</t>
  </si>
  <si>
    <t>PSLF800A03A101424</t>
  </si>
  <si>
    <t>PSLF800A03A111550</t>
  </si>
  <si>
    <t>PSLF800A03C100581</t>
  </si>
  <si>
    <t>PSLF800A03C100603</t>
  </si>
  <si>
    <t>PSLF800A03C(H)101424</t>
  </si>
  <si>
    <t>PSLF800A03C111550</t>
  </si>
  <si>
    <t>PSLF800A03D101186</t>
  </si>
  <si>
    <t>PSLF800A03D(H)101424</t>
  </si>
  <si>
    <t>PSLF800A03H101186</t>
  </si>
  <si>
    <t>PSLF800A03S(H)101424</t>
  </si>
  <si>
    <t>PSLF810S05A101186</t>
  </si>
  <si>
    <t>PSLF810S05B101186</t>
  </si>
  <si>
    <t>PSLF810S05C101184</t>
  </si>
  <si>
    <t>PSLF810S05C(H)101424</t>
  </si>
  <si>
    <t>PSLF850101A100603</t>
  </si>
  <si>
    <t>PSLF850101A(H)101424</t>
  </si>
  <si>
    <t>PSLF850402X300014</t>
  </si>
  <si>
    <t>PSLF860C04A100603</t>
  </si>
  <si>
    <t>PSLF860C04A101206</t>
  </si>
  <si>
    <t>PSLF860C04A111550</t>
  </si>
  <si>
    <t>PSLF870G06A101184</t>
  </si>
  <si>
    <t>PSLF870G06A101186</t>
  </si>
  <si>
    <t>PSLF870G06A106916</t>
  </si>
  <si>
    <t>PSLF870G06A114501</t>
  </si>
  <si>
    <t>PSLF870G06A(KA)101184</t>
  </si>
  <si>
    <t>PSLF870G06B101186</t>
  </si>
  <si>
    <t>PSLF870G06B106916</t>
  </si>
  <si>
    <t>PSLF880S05A106916</t>
  </si>
  <si>
    <t>PSLF881P07A101186</t>
  </si>
  <si>
    <t>PSLF881P07A101206</t>
  </si>
  <si>
    <t>PSLF881P07A(H)101424</t>
  </si>
  <si>
    <t>PSLF881P07B101186</t>
  </si>
  <si>
    <t>PSLF881P07B101206</t>
  </si>
  <si>
    <t>PSLF881P07B(H)101424</t>
  </si>
  <si>
    <t>PSLF881P07C100581</t>
  </si>
  <si>
    <t>PSLF881P07C(H)101424</t>
  </si>
  <si>
    <t>PSLF881P07C111550</t>
  </si>
  <si>
    <t>PSLF881P07D100581</t>
  </si>
  <si>
    <t>PSLF881P07D101186</t>
  </si>
  <si>
    <t>PSLF881P07D(H)101424</t>
  </si>
  <si>
    <t>PSLF881P07D111550</t>
  </si>
  <si>
    <t>PSLF900701L300015</t>
  </si>
  <si>
    <t>PSLF930C04A100603</t>
  </si>
  <si>
    <t>PSLF930C04A101186</t>
  </si>
  <si>
    <t>PSLF930C04A101206</t>
  </si>
  <si>
    <t>PSLF930C04A106916</t>
  </si>
  <si>
    <t>PSLF930C04A111550</t>
  </si>
  <si>
    <t>PSLF930C04B101186</t>
  </si>
  <si>
    <t>PSLF930C04D106916</t>
  </si>
  <si>
    <t>PSLF930C04D111550</t>
  </si>
  <si>
    <t>PSLF930G06A100581</t>
  </si>
  <si>
    <t>PSLF930G06A100603</t>
  </si>
  <si>
    <t>PSLF930G06A101186</t>
  </si>
  <si>
    <t>PSLF930G06A101206</t>
  </si>
  <si>
    <t>PSLF940H06A101184</t>
  </si>
  <si>
    <t>PSLF970G06A101184</t>
  </si>
  <si>
    <t>PSLF970G06A101186</t>
  </si>
  <si>
    <t>PSLF970G06A101206</t>
  </si>
  <si>
    <t>PSLF970G06A(H)101424</t>
  </si>
  <si>
    <t>PSLF970G06A114501</t>
  </si>
  <si>
    <t>PSLF970G06B101186</t>
  </si>
  <si>
    <t>PSLF970G06B106916</t>
  </si>
  <si>
    <t>PSLF970G06D(H)101424</t>
  </si>
  <si>
    <t>PSLF970G06F(H)101424</t>
  </si>
  <si>
    <t>PSLF980C07A101184</t>
  </si>
  <si>
    <t>PSLF980C07A101186</t>
  </si>
  <si>
    <t>PSLF980C07A101206</t>
  </si>
  <si>
    <t>PSLF980C07A106916</t>
  </si>
  <si>
    <t>PSLF980C07A114501</t>
  </si>
  <si>
    <t>PSLF980C07B101186</t>
  </si>
  <si>
    <t>PSLF980C07B106916</t>
  </si>
  <si>
    <t>PSLF980G06A(H)101424</t>
  </si>
  <si>
    <t>PSLF980G06B101186</t>
  </si>
  <si>
    <t>PSLF980G06B(H)101424</t>
  </si>
  <si>
    <t>PSLF980G06B106916</t>
  </si>
  <si>
    <t>PSLF990D04B101206</t>
  </si>
  <si>
    <t>PSLF990G05A(H)101424</t>
  </si>
  <si>
    <t>PSLF990G05A114501</t>
  </si>
  <si>
    <t>PSLF990S05A(V)100581</t>
  </si>
  <si>
    <t>PSLF990S05A(V)101184</t>
  </si>
  <si>
    <t>PSLF990S05A(V)101186</t>
  </si>
  <si>
    <t>PSLF990S06A101184</t>
  </si>
  <si>
    <t>PSLF990S06A(KA)101186</t>
  </si>
  <si>
    <t>PSLL111302M142051</t>
  </si>
  <si>
    <t>PSLL111305M142051</t>
  </si>
  <si>
    <t>PSLL121401M142051</t>
  </si>
  <si>
    <t>PSLL121401MA142051</t>
  </si>
  <si>
    <t>PSLL121501P142648</t>
  </si>
  <si>
    <t>PSLL131201W142650</t>
  </si>
  <si>
    <t>PSLL131605M142051</t>
  </si>
  <si>
    <t>PSLL141302MA142051</t>
  </si>
  <si>
    <t>PSLL151701P142648</t>
  </si>
  <si>
    <t>PSLL161201W142650</t>
  </si>
  <si>
    <t>PSLL161B05M142051</t>
  </si>
  <si>
    <t>PSLL171301W142548</t>
  </si>
  <si>
    <t>PSLL171301W142650</t>
  </si>
  <si>
    <t>PSLL171401P142648</t>
  </si>
  <si>
    <t>PSLL181301M142051</t>
  </si>
  <si>
    <t>PSLL191301W101564</t>
  </si>
  <si>
    <t>PSLL191301W142548</t>
  </si>
  <si>
    <t>PSLL191301W142650</t>
  </si>
  <si>
    <t>PSLL211D06M142051</t>
  </si>
  <si>
    <t>PSLL221201W142650</t>
  </si>
  <si>
    <t>PSLL221501M142051</t>
  </si>
  <si>
    <t>PSLL221501MA142051</t>
  </si>
  <si>
    <t>PSLL221B05M142051</t>
  </si>
  <si>
    <t>PSLL241205M142051</t>
  </si>
  <si>
    <t>PSLL241206M142051</t>
  </si>
  <si>
    <t>PSLL800501P142648</t>
  </si>
  <si>
    <t>PSLL950201M142051</t>
  </si>
  <si>
    <t>PSNH350621A100702</t>
  </si>
  <si>
    <t>PSNH350621A300009</t>
  </si>
  <si>
    <t>PSNH400701A100702</t>
  </si>
  <si>
    <t>PSNH400701D100702</t>
  </si>
  <si>
    <t>PSNH450801A100702</t>
  </si>
  <si>
    <t>PSNH450801A300013</t>
  </si>
  <si>
    <t>PSNH450801A300060</t>
  </si>
  <si>
    <t>PSNH450801C100702</t>
  </si>
  <si>
    <t>PSNH450801D100702</t>
  </si>
  <si>
    <t>PSNH460102A100702</t>
  </si>
  <si>
    <t>PSNH460102A300009</t>
  </si>
  <si>
    <t>PSNH460102A300013</t>
  </si>
  <si>
    <t>PSNH460102B300013</t>
  </si>
  <si>
    <t>PSNH470102A100702</t>
  </si>
  <si>
    <t>PSNH470102A300009</t>
  </si>
  <si>
    <t>PSNH520901B100702</t>
  </si>
  <si>
    <t>PSNH520901B300013</t>
  </si>
  <si>
    <t>PSNH520901B300054</t>
  </si>
  <si>
    <t>PSNH520901D300013</t>
  </si>
  <si>
    <t>PSNH520901D300054</t>
  </si>
  <si>
    <t>PSNH530122A100702</t>
  </si>
  <si>
    <t>PSNH530122B100702</t>
  </si>
  <si>
    <t>PSNH530122D100702</t>
  </si>
  <si>
    <t>PSNH600132A300013</t>
  </si>
  <si>
    <t>PSNH600132B100702</t>
  </si>
  <si>
    <t>PSNH600132B300013</t>
  </si>
  <si>
    <t>PSNV100181A300009</t>
  </si>
  <si>
    <t>PSNV170571G100702</t>
  </si>
  <si>
    <t>PSNV170571H100702</t>
  </si>
  <si>
    <t>PSNV230421B100702</t>
  </si>
  <si>
    <t>PSNV230421B300013</t>
  </si>
  <si>
    <t>PSNV230421B300054</t>
  </si>
  <si>
    <t>PSNV230421D100702</t>
  </si>
  <si>
    <t>PSNV230421D300013</t>
  </si>
  <si>
    <t>PSNV230421D300054</t>
  </si>
  <si>
    <t>PSNV240441A100702</t>
  </si>
  <si>
    <t>PSNV240441A300009</t>
  </si>
  <si>
    <t>PSNV240441A300013</t>
  </si>
  <si>
    <t>PSNV320571A100702</t>
  </si>
  <si>
    <t>PSNV320571A300141</t>
  </si>
  <si>
    <t>PSNV320571B100702</t>
  </si>
  <si>
    <t>PSNV320571B300013</t>
  </si>
  <si>
    <t>PSNV320571D100702</t>
  </si>
  <si>
    <t>PSNV320571E100702</t>
  </si>
  <si>
    <t>PSNV320571E300013</t>
  </si>
  <si>
    <t>PSNV320571G100702</t>
  </si>
  <si>
    <t>PSNV320571H100702</t>
  </si>
  <si>
    <t>PSOH131701A100702</t>
  </si>
  <si>
    <t>PSOH131701A102455</t>
  </si>
  <si>
    <t>PSOH131701A142336</t>
  </si>
  <si>
    <t>PSOH131701A300009</t>
  </si>
  <si>
    <t>PSOH131701A300013</t>
  </si>
  <si>
    <t>PSOH131701A300054</t>
  </si>
  <si>
    <t>PSOH131701B102455</t>
  </si>
  <si>
    <t>PSOH131701B300013</t>
  </si>
  <si>
    <t>PSOH420901A100702</t>
  </si>
  <si>
    <t>PSOH420901A300009</t>
  </si>
  <si>
    <t>PSOH470102A142336</t>
  </si>
  <si>
    <t>PSOH470102A300009</t>
  </si>
  <si>
    <t>PSOH470102A300013</t>
  </si>
  <si>
    <t>PSOH500701A100702</t>
  </si>
  <si>
    <t>PSOH500701A102455</t>
  </si>
  <si>
    <t>PSOH500701A300009</t>
  </si>
  <si>
    <t>PSOH500701A300013</t>
  </si>
  <si>
    <t>PSOH500701B100702</t>
  </si>
  <si>
    <t>PSOH500701B102455</t>
  </si>
  <si>
    <t>PSOH500701B300009</t>
  </si>
  <si>
    <t>PSOH500701B300141</t>
  </si>
  <si>
    <t>PSOV121142A100702</t>
  </si>
  <si>
    <t>PSOV121212A100702</t>
  </si>
  <si>
    <t>PSOV121282R100702</t>
  </si>
  <si>
    <t>PSOV121701A100702</t>
  </si>
  <si>
    <t>PSOV131701A102455</t>
  </si>
  <si>
    <t>PSOV131701A300013</t>
  </si>
  <si>
    <t>PSOV131701A300054</t>
  </si>
  <si>
    <t>PSOV131701A(N)300013</t>
  </si>
  <si>
    <t>PSOV131701B102455</t>
  </si>
  <si>
    <t>PSOV131701B300141</t>
  </si>
  <si>
    <t>PSOV131701B(N)102455</t>
  </si>
  <si>
    <t>PSOV131701B(N)300013</t>
  </si>
  <si>
    <t>PSOV131701B(N)300141</t>
  </si>
  <si>
    <t>PSOV151422R100702</t>
  </si>
  <si>
    <t>PSOV201162U400144</t>
  </si>
  <si>
    <t>PSOV201562R100702</t>
  </si>
  <si>
    <t>PSOV201701A100702</t>
  </si>
  <si>
    <t>PSOV201701A300013</t>
  </si>
  <si>
    <t>PSOV201701A300019</t>
  </si>
  <si>
    <t>PSOV201701A300141</t>
  </si>
  <si>
    <t>PSOV201701A(N)102455</t>
  </si>
  <si>
    <t>PSOV201701A(N)142336</t>
  </si>
  <si>
    <t>PSOV201701A(N)300013</t>
  </si>
  <si>
    <t>PSOV201701A(N)300141</t>
  </si>
  <si>
    <t>PSOV250351U400144</t>
  </si>
  <si>
    <t>PSOV250701A100702</t>
  </si>
  <si>
    <t>PSOV250701A300009</t>
  </si>
  <si>
    <t>PSOV300601S100335</t>
  </si>
  <si>
    <t>PSOV530122S100335</t>
  </si>
  <si>
    <t>PSOV550102A142336</t>
  </si>
  <si>
    <t>PSOV550102A300009</t>
  </si>
  <si>
    <t>PSOV750701A100702</t>
  </si>
  <si>
    <t>PSOV750701A300013</t>
  </si>
  <si>
    <t>PSOV750701A(N)100702</t>
  </si>
  <si>
    <t>PSOV750701B100702</t>
  </si>
  <si>
    <t>PSOV750701B102455</t>
  </si>
  <si>
    <t>PSOV750701B300013</t>
  </si>
  <si>
    <t>PSOV750701U400144</t>
  </si>
  <si>
    <t>PSOV850182S100335</t>
  </si>
  <si>
    <t>PSOV900212A100702</t>
  </si>
  <si>
    <t>PSPF231503A101186</t>
  </si>
  <si>
    <t>PSPF231503A(H)101424</t>
  </si>
  <si>
    <t>PSPF251501A106916</t>
  </si>
  <si>
    <t>PSPF251503A100581</t>
  </si>
  <si>
    <t>PSPF251503A101184</t>
  </si>
  <si>
    <t>PSPF251503A101186</t>
  </si>
  <si>
    <t>PSPF251503A101424</t>
  </si>
  <si>
    <t>PSPF251503C100581</t>
  </si>
  <si>
    <t>PSPF251503C101206</t>
  </si>
  <si>
    <t>PSPF251503D101186</t>
  </si>
  <si>
    <t>PSPF251504A101186</t>
  </si>
  <si>
    <t>PSPF291501A101186</t>
  </si>
  <si>
    <t>PSPF361503A101186</t>
  </si>
  <si>
    <t>PSPF361503B106916</t>
  </si>
  <si>
    <t>PSPF361504A101186</t>
  </si>
  <si>
    <t>PSPF371503A100581</t>
  </si>
  <si>
    <t>PSPF371503A(H)101424</t>
  </si>
  <si>
    <t>PSPF371503B101186</t>
  </si>
  <si>
    <t>PSPF371504A101186</t>
  </si>
  <si>
    <t>PSPF371504A(H)101424</t>
  </si>
  <si>
    <t>PSPF381501B106916</t>
  </si>
  <si>
    <t>PSPF391501A(H)101424</t>
  </si>
  <si>
    <t>PSPF411501A100581</t>
  </si>
  <si>
    <t>PSPF411501A(H)101424</t>
  </si>
  <si>
    <t>PSPF411701A100581</t>
  </si>
  <si>
    <t>PSPF520501A(H)101424</t>
  </si>
  <si>
    <t>PSPF601601A100581</t>
  </si>
  <si>
    <t>PSPF751503A100603</t>
  </si>
  <si>
    <t>PSPF751503A101186</t>
  </si>
  <si>
    <t>PSPF881503A100581</t>
  </si>
  <si>
    <t>PSPF881503A100603</t>
  </si>
  <si>
    <t>PSPF881503A101184</t>
  </si>
  <si>
    <t>PSPF881503A101186</t>
  </si>
  <si>
    <t>PSPF881503A(US)101184</t>
  </si>
  <si>
    <t>PSQH350621A100702</t>
  </si>
  <si>
    <t>PSQH400701A100702</t>
  </si>
  <si>
    <t>PSQH450801A100702</t>
  </si>
  <si>
    <t>PSQH450801D100702</t>
  </si>
  <si>
    <t>PSQH470102A100702</t>
  </si>
  <si>
    <t>PSQH470102D100702</t>
  </si>
  <si>
    <t>PSQH520901A100702</t>
  </si>
  <si>
    <t>PSQH550122A100702</t>
  </si>
  <si>
    <t>PSQV240441A100702</t>
  </si>
  <si>
    <t>PSQV320571A100702</t>
  </si>
  <si>
    <t>PSQV320571D100702</t>
  </si>
  <si>
    <t>PSSF112101A142567</t>
  </si>
  <si>
    <t>PSSF112102A142567</t>
  </si>
  <si>
    <t>PSSF132201A300007</t>
  </si>
  <si>
    <t>PSSF132202A141352</t>
  </si>
  <si>
    <t>PSSF132202A(SP)142437</t>
  </si>
  <si>
    <t>PSSF162202A110920</t>
  </si>
  <si>
    <t>PSSF162202A141352</t>
  </si>
  <si>
    <t>PSSF162202A400144</t>
  </si>
  <si>
    <t>PSSF162202A(SP)142437</t>
  </si>
  <si>
    <t>PSSF162204C142461</t>
  </si>
  <si>
    <t>PSSF162204C400144</t>
  </si>
  <si>
    <t>PSSF201101A141294</t>
  </si>
  <si>
    <t>PSSF201101A141658</t>
  </si>
  <si>
    <t>PSSF201101A400144</t>
  </si>
  <si>
    <t>PSSF222201A141352</t>
  </si>
  <si>
    <t>PSSF222201A(SP)142437</t>
  </si>
  <si>
    <t>PSSF351101A142567</t>
  </si>
  <si>
    <t>PSSF351102A142567</t>
  </si>
  <si>
    <t>PSSF711101A142567</t>
  </si>
  <si>
    <t>PSSF711102A142567</t>
  </si>
  <si>
    <t>PSSF751202B142390</t>
  </si>
  <si>
    <t>PSSF751202D142390</t>
  </si>
  <si>
    <t>PSSF751202D300026</t>
  </si>
  <si>
    <t>PSSF751202F142390</t>
  </si>
  <si>
    <t>PSSF751301A141185</t>
  </si>
  <si>
    <t>PSSF801202A142390</t>
  </si>
  <si>
    <t>PSSF801202A300026</t>
  </si>
  <si>
    <t>PSSH162202A142107</t>
  </si>
  <si>
    <t>PSSH222201A142107</t>
  </si>
  <si>
    <t>PSSH222201B142107</t>
  </si>
  <si>
    <t>PSSH551101A141294</t>
  </si>
  <si>
    <t>PSSH551101A141658</t>
  </si>
  <si>
    <t>PSSH551101A400144</t>
  </si>
  <si>
    <t>PSSW162201C141724</t>
  </si>
  <si>
    <t>PSSW162201C142790</t>
  </si>
  <si>
    <t>PSSW162201D141724</t>
  </si>
  <si>
    <t>PSSW162201E142390</t>
  </si>
  <si>
    <t>PSSW301201A141185</t>
  </si>
  <si>
    <t>PSSW301201A141957</t>
  </si>
  <si>
    <t>PSSW301201A142567</t>
  </si>
  <si>
    <t>PSSW301202A142567</t>
  </si>
  <si>
    <t>PSZV151701S100335</t>
  </si>
  <si>
    <t>PSZV201701S100335</t>
  </si>
  <si>
    <t>기초재고</t>
    <phoneticPr fontId="1" type="noConversion"/>
  </si>
  <si>
    <t>사업부</t>
    <phoneticPr fontId="1" type="noConversion"/>
  </si>
  <si>
    <t>6월</t>
    <phoneticPr fontId="1" type="noConversion"/>
  </si>
  <si>
    <t>기말재고</t>
    <phoneticPr fontId="2" type="noConversion"/>
  </si>
  <si>
    <t>재고일수</t>
    <phoneticPr fontId="2" type="noConversion"/>
  </si>
  <si>
    <t>CH사업부</t>
  </si>
  <si>
    <t>A</t>
    <phoneticPr fontId="1" type="noConversion"/>
  </si>
  <si>
    <t>B</t>
    <phoneticPr fontId="1" type="noConversion"/>
  </si>
  <si>
    <t>C</t>
    <phoneticPr fontId="1" type="noConversion"/>
  </si>
  <si>
    <t>D</t>
  </si>
  <si>
    <t>D</t>
    <phoneticPr fontId="1" type="noConversion"/>
  </si>
  <si>
    <t>자재명</t>
    <phoneticPr fontId="1" type="noConversion"/>
  </si>
  <si>
    <t>유형</t>
    <phoneticPr fontId="1" type="noConversion"/>
  </si>
  <si>
    <t>상품</t>
    <phoneticPr fontId="1" type="noConversion"/>
  </si>
  <si>
    <t>7월</t>
    <phoneticPr fontId="1" type="noConversion"/>
  </si>
  <si>
    <t>판매계획</t>
    <phoneticPr fontId="1" type="noConversion"/>
  </si>
  <si>
    <t>플랜트</t>
    <phoneticPr fontId="1" type="noConversion"/>
  </si>
  <si>
    <t>향남</t>
    <phoneticPr fontId="1" type="noConversion"/>
  </si>
  <si>
    <t>오송</t>
    <phoneticPr fontId="1" type="noConversion"/>
  </si>
  <si>
    <t>계</t>
    <phoneticPr fontId="1" type="noConversion"/>
  </si>
  <si>
    <t>품목군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</si>
  <si>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</si>
  <si>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</si>
  <si>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</si>
  <si>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D</t>
    <phoneticPr fontId="1" type="noConversion"/>
  </si>
  <si>
    <t>8월</t>
    <phoneticPr fontId="1" type="noConversion"/>
  </si>
  <si>
    <t>9월</t>
    <phoneticPr fontId="1" type="noConversion"/>
  </si>
  <si>
    <t>10월</t>
    <phoneticPr fontId="1" type="noConversion"/>
  </si>
  <si>
    <t>11월</t>
    <phoneticPr fontId="1" type="noConversion"/>
  </si>
  <si>
    <t>12월</t>
    <phoneticPr fontId="1" type="noConversion"/>
  </si>
  <si>
    <t>완제품</t>
    <phoneticPr fontId="1" type="noConversion"/>
  </si>
  <si>
    <t>사업부별</t>
    <phoneticPr fontId="1" type="noConversion"/>
  </si>
  <si>
    <t>▣ RTF 월별 대응 현황</t>
    <phoneticPr fontId="1" type="noConversion"/>
  </si>
  <si>
    <t>CH</t>
    <phoneticPr fontId="1" type="noConversion"/>
  </si>
  <si>
    <t>ETC</t>
    <phoneticPr fontId="1" type="noConversion"/>
  </si>
  <si>
    <t>플랜트별</t>
    <phoneticPr fontId="1" type="noConversion"/>
  </si>
  <si>
    <t>나보타</t>
    <phoneticPr fontId="1" type="noConversion"/>
  </si>
  <si>
    <t>유형별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</si>
</sst>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1">
    <numFmt numFmtId="176" formatCode="#,###,###,##0"/>
    <numFmt numFmtId="177" formatCode="mm&quot;월&quot;\ dd&quot;일&quot;"/>
    <numFmt numFmtId="178" formatCode="General&quot;월&quot;"/>
    <numFmt numFmtId="179" formatCode="[$-409]d&quot;-&quot;mmm;@"/>
    <numFmt numFmtId="180" formatCode="&quot;원화&quot;\ \ "/>
    <numFmt numFmtId="181" formatCode="&quot;유로,CNY&quot;\ \ "/>
    <numFmt numFmtId="182" formatCode="##,###,###,###,##0.0000"/>
    <numFmt numFmtId="183" formatCode="#,###,###,##0.000000"/>
    <numFmt numFmtId="184" formatCode="#,###,###,###,##0.00000"/>
    <numFmt numFmtId="185" formatCode="[$-409]d/mmm;@"/>
    <numFmt numFmtId="186" formatCode="_ * #,##0.00_ ;_ * \-#,##0.00_ ;_ * &quot;-&quot;??_ ;_ @_ "/>
  </numFmts>
  <fonts count="2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9"/>
      <name val="Arial"/>
      <family val="2"/>
    </font>
    <font>
      <sz val="1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b/>
      <sz val="19"/>
      <name val="Arial"/>
      <family val="2"/>
    </font>
    <font>
      <b/>
      <sz val="1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0"/>
      <name val="Arial"/>
      <family val="2"/>
    </font>
    <font>
      <sz val="11"/>
      <name val="돋움"/>
      <family val="2"/>
      <charset val="129"/>
    </font>
    <font>
      <b/>
      <sz val="9"/>
      <color theme="1"/>
      <name val="돋움"/>
      <family val="3"/>
      <charset val="129"/>
    </font>
    <font>
      <b/>
      <sz val="9"/>
      <color theme="1"/>
      <name val="Arial"/>
      <family val="2"/>
    </font>
    <font>
      <sz val="9"/>
      <color theme="1"/>
      <name val="Arial"/>
      <family val="2"/>
    </font>
    <font>
      <sz val="11"/>
      <color theme="1"/>
      <name val="맑은 고딕"/>
      <family val="3"/>
      <charset val="134"/>
      <scheme val="minor"/>
    </font>
    <font>
      <b/>
      <sz val="14"/>
      <color theme="1"/>
      <name val="조선일보명조"/>
      <family val="1"/>
      <charset val="129"/>
    </font>
    <font>
      <sz val="11"/>
      <color theme="1"/>
      <name val="조선일보명조"/>
      <family val="1"/>
      <charset val="129"/>
    </font>
    <font>
      <sz val="11"/>
      <name val="조선일보명조"/>
      <family val="1"/>
      <charset val="129"/>
    </font>
    <font>
      <b/>
      <sz val="11"/>
      <color rgb="FF0000CC"/>
      <name val="조선일보명조"/>
      <family val="1"/>
      <charset val="129"/>
    </font>
    <font>
      <b/>
      <sz val="11"/>
      <name val="조선일보명조"/>
      <family val="1"/>
      <charset val="129"/>
    </font>
    <font>
      <sz val="11"/>
      <color theme="0"/>
      <name val="조선일보명조"/>
      <family val="1"/>
      <charset val="129"/>
    </font>
    <font>
      <b/>
      <sz val="12"/>
      <color theme="1"/>
      <name val="조선일보명조"/>
      <family val="1"/>
      <charset val="129"/>
    </font>
    <font>
      <b/>
      <sz val="20"/>
      <color theme="1"/>
      <name val="조선일보명조"/>
      <family val="1"/>
      <charset val="129"/>
    </font>
  </fonts>
  <fills count="5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0"/>
        <bgColor indexed="64"/>
      </patternFill>
    </fill>
  </fills>
  <borders count="5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11"/>
      </left>
      <right style="thin">
        <color indexed="11"/>
      </right>
      <top/>
      <bottom/>
      <diagonal/>
    </border>
    <border>
      <left style="thin">
        <color indexed="11"/>
      </left>
      <right style="thin">
        <color indexed="11"/>
      </right>
      <top/>
      <bottom style="thin">
        <color indexed="1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11"/>
      </left>
      <right style="thin">
        <color indexed="11"/>
      </right>
      <top style="thin">
        <color indexed="9"/>
      </top>
      <bottom/>
      <diagonal/>
    </border>
    <border>
      <left style="thin">
        <color indexed="11"/>
      </left>
      <right style="thin">
        <color indexed="11"/>
      </right>
      <top style="thin">
        <color indexed="11"/>
      </top>
      <bottom style="thin">
        <color indexed="11"/>
      </bottom>
      <diagonal/>
    </border>
    <border>
      <left style="thin">
        <color indexed="11"/>
      </left>
      <right style="thin">
        <color indexed="11"/>
      </right>
      <top style="thin">
        <color indexed="1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/>
      <bottom/>
      <diagonal/>
    </border>
    <border>
      <left style="thin">
        <color indexed="12"/>
      </left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11"/>
      </left>
      <right style="thin">
        <color indexed="11"/>
      </right>
      <top style="thin">
        <color indexed="11"/>
      </top>
      <bottom style="thin">
        <color indexed="1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indexed="64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auto="1"/>
      </top>
      <bottom/>
      <diagonal/>
    </border>
    <border>
      <left style="thin">
        <color indexed="64"/>
      </left>
      <right/>
      <top style="medium">
        <color auto="1"/>
      </top>
      <bottom style="thin">
        <color indexed="64"/>
      </bottom>
      <diagonal/>
    </border>
    <border>
      <left style="medium">
        <color indexed="64"/>
      </left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 style="medium">
        <color indexed="64"/>
      </right>
      <top style="medium">
        <color auto="1"/>
      </top>
      <bottom style="thin">
        <color indexed="64"/>
      </bottom>
      <diagonal/>
    </border>
    <border>
      <left style="medium">
        <color auto="1"/>
      </left>
      <right/>
      <top style="thin">
        <color indexed="64"/>
      </top>
      <bottom/>
      <diagonal/>
    </border>
    <border>
      <left style="medium">
        <color auto="1"/>
      </left>
      <right style="thin">
        <color indexed="64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auto="1"/>
      </bottom>
      <diagonal/>
    </border>
    <border>
      <left style="thin">
        <color indexed="64"/>
      </left>
      <right style="thin">
        <color indexed="64"/>
      </right>
      <top/>
      <bottom style="medium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auto="1"/>
      </bottom>
      <diagonal/>
    </border>
    <border>
      <left style="thin">
        <color indexed="64"/>
      </left>
      <right/>
      <top style="hair">
        <color indexed="64"/>
      </top>
      <bottom style="medium">
        <color auto="1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auto="1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/>
      <right/>
      <top style="medium">
        <color auto="1"/>
      </top>
      <bottom/>
      <diagonal/>
    </border>
  </borders>
  <cellStyleXfs count="7">
    <xf numFmtId="0" fontId="0" fillId="0" borderId="0">
      <alignment vertical="center"/>
    </xf>
    <xf numFmtId="179" fontId="10" fillId="0" borderId="0"/>
    <xf numFmtId="185" fontId="8" fillId="0" borderId="0">
      <alignment vertical="center"/>
    </xf>
    <xf numFmtId="179" fontId="8" fillId="0" borderId="0">
      <alignment vertical="center"/>
    </xf>
    <xf numFmtId="179" fontId="8" fillId="0" borderId="0">
      <alignment vertical="center"/>
    </xf>
    <xf numFmtId="0" fontId="14" fillId="0" borderId="0">
      <alignment vertical="center"/>
    </xf>
    <xf numFmtId="186" fontId="8" fillId="0" borderId="0" applyFont="0" applyFill="0" applyBorder="0" applyAlignment="0" applyProtection="0">
      <alignment vertical="center"/>
    </xf>
  </cellStyleXfs>
  <cellXfs count="108">
    <xf numFmtId="0" fontId="0" fillId="0" borderId="0" xfId="0">
      <alignment vertical="center"/>
    </xf>
    <xf numFmtId="0" fontId="4" fillId="0" borderId="0" xfId="0" applyFont="1" applyFill="1">
      <alignment vertical="center"/>
    </xf>
    <xf numFmtId="0" fontId="4" fillId="0" borderId="0" xfId="0" applyFont="1" applyFill="1" applyAlignment="1">
      <alignment horizontal="center" vertical="center"/>
    </xf>
    <xf numFmtId="0" fontId="6" fillId="0" borderId="0" xfId="0" applyNumberFormat="1" applyFont="1" applyFill="1" applyBorder="1" applyAlignment="1" applyProtection="1"/>
    <xf numFmtId="0" fontId="4" fillId="0" borderId="0" xfId="0" applyFont="1" applyFill="1" applyAlignment="1"/>
    <xf numFmtId="0" fontId="3" fillId="0" borderId="2" xfId="0" applyNumberFormat="1" applyFont="1" applyFill="1" applyBorder="1" applyAlignment="1" applyProtection="1">
      <alignment vertical="top"/>
    </xf>
    <xf numFmtId="0" fontId="3" fillId="0" borderId="3" xfId="0" applyNumberFormat="1" applyFont="1" applyFill="1" applyBorder="1" applyAlignment="1" applyProtection="1">
      <alignment vertical="top"/>
    </xf>
    <xf numFmtId="176" fontId="4" fillId="0" borderId="0" xfId="0" applyNumberFormat="1" applyFont="1" applyFill="1" applyAlignment="1"/>
    <xf numFmtId="0" fontId="0" fillId="0" borderId="5" xfId="0" applyBorder="1" applyAlignment="1"/>
    <xf numFmtId="0" fontId="3" fillId="0" borderId="7" xfId="0" applyNumberFormat="1" applyFont="1" applyFill="1" applyBorder="1" applyAlignment="1" applyProtection="1">
      <alignment horizontal="center" vertical="center" wrapText="1"/>
    </xf>
    <xf numFmtId="0" fontId="3" fillId="0" borderId="8" xfId="0" applyNumberFormat="1" applyFont="1" applyFill="1" applyBorder="1" applyAlignment="1" applyProtection="1">
      <alignment vertical="top"/>
    </xf>
    <xf numFmtId="0" fontId="3" fillId="0" borderId="9" xfId="0" applyNumberFormat="1" applyFont="1" applyFill="1" applyBorder="1" applyAlignment="1" applyProtection="1">
      <alignment horizontal="left" vertical="center"/>
    </xf>
    <xf numFmtId="176" fontId="3" fillId="0" borderId="9" xfId="0" applyNumberFormat="1" applyFont="1" applyFill="1" applyBorder="1" applyAlignment="1" applyProtection="1">
      <alignment horizontal="right" vertical="center"/>
    </xf>
    <xf numFmtId="0" fontId="3" fillId="0" borderId="10" xfId="0" applyNumberFormat="1" applyFont="1" applyFill="1" applyBorder="1" applyAlignment="1" applyProtection="1">
      <alignment vertical="top"/>
    </xf>
    <xf numFmtId="0" fontId="7" fillId="0" borderId="11" xfId="0" applyFont="1" applyFill="1" applyBorder="1" applyAlignment="1">
      <alignment horizontal="center" vertical="center"/>
    </xf>
    <xf numFmtId="177" fontId="7" fillId="0" borderId="11" xfId="0" applyNumberFormat="1" applyFont="1" applyFill="1" applyBorder="1" applyAlignment="1">
      <alignment horizontal="center" vertical="center"/>
    </xf>
    <xf numFmtId="178" fontId="4" fillId="0" borderId="0" xfId="0" applyNumberFormat="1" applyFont="1" applyFill="1" applyAlignment="1">
      <alignment horizontal="center" vertical="center"/>
    </xf>
    <xf numFmtId="0" fontId="5" fillId="0" borderId="0" xfId="0" applyFont="1" applyFill="1">
      <alignment vertical="center"/>
    </xf>
    <xf numFmtId="0" fontId="3" fillId="0" borderId="11" xfId="0" applyNumberFormat="1" applyFont="1" applyFill="1" applyBorder="1" applyAlignment="1" applyProtection="1">
      <alignment vertical="top"/>
    </xf>
    <xf numFmtId="0" fontId="3" fillId="0" borderId="11" xfId="0" applyFont="1" applyFill="1" applyBorder="1">
      <alignment vertical="center"/>
    </xf>
    <xf numFmtId="0" fontId="3" fillId="0" borderId="12" xfId="0" applyNumberFormat="1" applyFont="1" applyFill="1" applyBorder="1" applyAlignment="1" applyProtection="1">
      <alignment horizontal="center" vertical="center"/>
    </xf>
    <xf numFmtId="0" fontId="11" fillId="2" borderId="0" xfId="0" applyNumberFormat="1" applyFont="1" applyFill="1" applyBorder="1" applyAlignment="1" applyProtection="1">
      <alignment horizontal="center" vertical="center"/>
    </xf>
    <xf numFmtId="180" fontId="12" fillId="3" borderId="13" xfId="0" applyNumberFormat="1" applyFont="1" applyFill="1" applyBorder="1" applyAlignment="1" applyProtection="1">
      <alignment horizontal="center" vertical="center"/>
    </xf>
    <xf numFmtId="181" fontId="12" fillId="3" borderId="13" xfId="0" applyNumberFormat="1" applyFont="1" applyFill="1" applyBorder="1" applyAlignment="1" applyProtection="1">
      <alignment horizontal="center" vertical="center"/>
    </xf>
    <xf numFmtId="0" fontId="3" fillId="0" borderId="14" xfId="0" applyNumberFormat="1" applyFont="1" applyFill="1" applyBorder="1" applyAlignment="1" applyProtection="1">
      <alignment horizontal="left" vertical="center"/>
    </xf>
    <xf numFmtId="182" fontId="3" fillId="0" borderId="14" xfId="0" applyNumberFormat="1" applyFont="1" applyFill="1" applyBorder="1" applyAlignment="1" applyProtection="1">
      <alignment horizontal="right" vertical="center"/>
    </xf>
    <xf numFmtId="183" fontId="3" fillId="0" borderId="14" xfId="0" applyNumberFormat="1" applyFont="1" applyFill="1" applyBorder="1" applyAlignment="1" applyProtection="1">
      <alignment horizontal="right" vertical="center"/>
    </xf>
    <xf numFmtId="184" fontId="13" fillId="0" borderId="0" xfId="0" applyNumberFormat="1" applyFont="1" applyFill="1" applyBorder="1" applyAlignment="1" applyProtection="1">
      <alignment horizontal="right" vertical="center"/>
    </xf>
    <xf numFmtId="2" fontId="0" fillId="0" borderId="0" xfId="0" applyNumberFormat="1">
      <alignment vertical="center"/>
    </xf>
    <xf numFmtId="0" fontId="0" fillId="0" borderId="0" xfId="0" applyFont="1" applyFill="1">
      <alignment vertical="center"/>
    </xf>
    <xf numFmtId="0" fontId="3" fillId="0" borderId="16" xfId="0" applyNumberFormat="1" applyFont="1" applyFill="1" applyBorder="1" applyAlignment="1" applyProtection="1">
      <alignment horizontal="left" vertical="center"/>
    </xf>
    <xf numFmtId="0" fontId="9" fillId="0" borderId="0" xfId="0" applyFont="1" applyFill="1">
      <alignment vertical="center"/>
    </xf>
    <xf numFmtId="0" fontId="7" fillId="0" borderId="4" xfId="0" applyFont="1" applyFill="1" applyBorder="1" applyAlignment="1">
      <alignment horizontal="center" vertical="center"/>
    </xf>
    <xf numFmtId="0" fontId="4" fillId="0" borderId="6" xfId="0" applyFont="1" applyFill="1" applyBorder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7" fillId="0" borderId="11" xfId="0" applyFont="1" applyFill="1" applyBorder="1" applyAlignment="1">
      <alignment horizontal="center" vertical="center"/>
    </xf>
    <xf numFmtId="0" fontId="16" fillId="0" borderId="0" xfId="0" applyFont="1">
      <alignment vertical="center"/>
    </xf>
    <xf numFmtId="38" fontId="16" fillId="0" borderId="0" xfId="0" applyNumberFormat="1" applyFont="1">
      <alignment vertical="center"/>
    </xf>
    <xf numFmtId="0" fontId="17" fillId="0" borderId="20" xfId="0" applyFont="1" applyFill="1" applyBorder="1" applyAlignment="1" applyProtection="1">
      <alignment horizontal="center" vertical="center"/>
      <protection locked="0"/>
    </xf>
    <xf numFmtId="0" fontId="17" fillId="0" borderId="21" xfId="0" applyFont="1" applyFill="1" applyBorder="1" applyAlignment="1" applyProtection="1">
      <alignment vertical="center"/>
      <protection locked="0"/>
    </xf>
    <xf numFmtId="38" fontId="16" fillId="0" borderId="21" xfId="0" applyNumberFormat="1" applyFont="1" applyBorder="1">
      <alignment vertical="center"/>
    </xf>
    <xf numFmtId="38" fontId="18" fillId="0" borderId="21" xfId="0" applyNumberFormat="1" applyFont="1" applyBorder="1" applyAlignment="1">
      <alignment vertical="center"/>
    </xf>
    <xf numFmtId="38" fontId="19" fillId="0" borderId="21" xfId="0" applyNumberFormat="1" applyFont="1" applyBorder="1" applyAlignment="1">
      <alignment vertical="center"/>
    </xf>
    <xf numFmtId="0" fontId="17" fillId="0" borderId="15" xfId="0" applyFont="1" applyFill="1" applyBorder="1" applyAlignment="1" applyProtection="1">
      <alignment horizontal="center" vertical="center"/>
      <protection locked="0"/>
    </xf>
    <xf numFmtId="0" fontId="17" fillId="0" borderId="19" xfId="0" applyFont="1" applyFill="1" applyBorder="1" applyAlignment="1" applyProtection="1">
      <alignment horizontal="center" vertical="center"/>
      <protection locked="0"/>
    </xf>
    <xf numFmtId="0" fontId="17" fillId="0" borderId="1" xfId="0" applyFont="1" applyFill="1" applyBorder="1" applyAlignment="1" applyProtection="1">
      <alignment vertical="center"/>
      <protection locked="0"/>
    </xf>
    <xf numFmtId="38" fontId="16" fillId="0" borderId="1" xfId="0" applyNumberFormat="1" applyFont="1" applyBorder="1">
      <alignment vertical="center"/>
    </xf>
    <xf numFmtId="38" fontId="18" fillId="0" borderId="1" xfId="0" applyNumberFormat="1" applyFont="1" applyBorder="1" applyAlignment="1">
      <alignment vertical="center"/>
    </xf>
    <xf numFmtId="38" fontId="19" fillId="0" borderId="1" xfId="0" applyNumberFormat="1" applyFont="1" applyBorder="1" applyAlignment="1">
      <alignment vertical="center"/>
    </xf>
    <xf numFmtId="0" fontId="17" fillId="0" borderId="23" xfId="0" applyFont="1" applyFill="1" applyBorder="1" applyAlignment="1" applyProtection="1">
      <alignment vertical="center"/>
      <protection locked="0"/>
    </xf>
    <xf numFmtId="0" fontId="19" fillId="4" borderId="17" xfId="0" applyFont="1" applyFill="1" applyBorder="1" applyAlignment="1">
      <alignment horizontal="center" vertical="center"/>
    </xf>
    <xf numFmtId="0" fontId="19" fillId="4" borderId="19" xfId="0" applyFont="1" applyFill="1" applyBorder="1" applyAlignment="1">
      <alignment horizontal="center" vertical="center"/>
    </xf>
    <xf numFmtId="38" fontId="19" fillId="4" borderId="20" xfId="0" applyNumberFormat="1" applyFont="1" applyFill="1" applyBorder="1" applyAlignment="1">
      <alignment horizontal="center" vertical="center"/>
    </xf>
    <xf numFmtId="38" fontId="19" fillId="4" borderId="20" xfId="0" applyNumberFormat="1" applyFont="1" applyFill="1" applyBorder="1" applyAlignment="1">
      <alignment horizontal="center" vertical="center" wrapText="1"/>
    </xf>
    <xf numFmtId="0" fontId="19" fillId="4" borderId="18" xfId="0" applyFont="1" applyFill="1" applyBorder="1" applyAlignment="1">
      <alignment horizontal="center" vertical="center"/>
    </xf>
    <xf numFmtId="0" fontId="19" fillId="4" borderId="24" xfId="0" applyFont="1" applyFill="1" applyBorder="1" applyAlignment="1">
      <alignment horizontal="center" vertical="center"/>
    </xf>
    <xf numFmtId="0" fontId="17" fillId="4" borderId="21" xfId="0" applyFont="1" applyFill="1" applyBorder="1" applyAlignment="1" applyProtection="1">
      <alignment vertical="center"/>
      <protection locked="0"/>
    </xf>
    <xf numFmtId="38" fontId="17" fillId="4" borderId="17" xfId="0" applyNumberFormat="1" applyFont="1" applyFill="1" applyBorder="1">
      <alignment vertical="center"/>
    </xf>
    <xf numFmtId="38" fontId="19" fillId="4" borderId="17" xfId="0" applyNumberFormat="1" applyFont="1" applyFill="1" applyBorder="1" applyAlignment="1">
      <alignment vertical="center"/>
    </xf>
    <xf numFmtId="38" fontId="16" fillId="0" borderId="0" xfId="0" applyNumberFormat="1" applyFont="1" applyBorder="1">
      <alignment vertical="center"/>
    </xf>
    <xf numFmtId="38" fontId="16" fillId="0" borderId="23" xfId="0" applyNumberFormat="1" applyFont="1" applyBorder="1">
      <alignment vertical="center"/>
    </xf>
    <xf numFmtId="38" fontId="18" fillId="0" borderId="23" xfId="0" applyNumberFormat="1" applyFont="1" applyBorder="1" applyAlignment="1">
      <alignment vertical="center"/>
    </xf>
    <xf numFmtId="38" fontId="19" fillId="0" borderId="23" xfId="0" applyNumberFormat="1" applyFont="1" applyBorder="1" applyAlignment="1">
      <alignment vertical="center"/>
    </xf>
    <xf numFmtId="0" fontId="15" fillId="4" borderId="0" xfId="0" applyFont="1" applyFill="1" applyAlignment="1">
      <alignment horizontal="left" vertical="center"/>
    </xf>
    <xf numFmtId="0" fontId="16" fillId="4" borderId="0" xfId="0" applyFont="1" applyFill="1">
      <alignment vertical="center"/>
    </xf>
    <xf numFmtId="38" fontId="16" fillId="4" borderId="0" xfId="0" applyNumberFormat="1" applyFont="1" applyFill="1">
      <alignment vertical="center"/>
    </xf>
    <xf numFmtId="38" fontId="19" fillId="4" borderId="22" xfId="0" applyNumberFormat="1" applyFont="1" applyFill="1" applyBorder="1" applyAlignment="1">
      <alignment horizontal="center" vertical="center"/>
    </xf>
    <xf numFmtId="38" fontId="17" fillId="4" borderId="5" xfId="0" applyNumberFormat="1" applyFont="1" applyFill="1" applyBorder="1">
      <alignment vertical="center"/>
    </xf>
    <xf numFmtId="38" fontId="16" fillId="0" borderId="25" xfId="0" applyNumberFormat="1" applyFont="1" applyBorder="1">
      <alignment vertical="center"/>
    </xf>
    <xf numFmtId="38" fontId="16" fillId="0" borderId="26" xfId="0" applyNumberFormat="1" applyFont="1" applyBorder="1">
      <alignment vertical="center"/>
    </xf>
    <xf numFmtId="38" fontId="16" fillId="0" borderId="27" xfId="0" applyNumberFormat="1" applyFont="1" applyBorder="1">
      <alignment vertical="center"/>
    </xf>
    <xf numFmtId="38" fontId="19" fillId="4" borderId="28" xfId="0" applyNumberFormat="1" applyFont="1" applyFill="1" applyBorder="1" applyAlignment="1">
      <alignment horizontal="center" vertical="center"/>
    </xf>
    <xf numFmtId="38" fontId="19" fillId="4" borderId="29" xfId="0" applyNumberFormat="1" applyFont="1" applyFill="1" applyBorder="1" applyAlignment="1">
      <alignment horizontal="center" vertical="center" wrapText="1"/>
    </xf>
    <xf numFmtId="38" fontId="17" fillId="4" borderId="30" xfId="0" applyNumberFormat="1" applyFont="1" applyFill="1" applyBorder="1">
      <alignment vertical="center"/>
    </xf>
    <xf numFmtId="38" fontId="17" fillId="4" borderId="31" xfId="0" applyNumberFormat="1" applyFont="1" applyFill="1" applyBorder="1">
      <alignment vertical="center"/>
    </xf>
    <xf numFmtId="38" fontId="16" fillId="0" borderId="32" xfId="0" applyNumberFormat="1" applyFont="1" applyBorder="1">
      <alignment vertical="center"/>
    </xf>
    <xf numFmtId="38" fontId="16" fillId="0" borderId="33" xfId="0" applyNumberFormat="1" applyFont="1" applyBorder="1">
      <alignment vertical="center"/>
    </xf>
    <xf numFmtId="38" fontId="16" fillId="0" borderId="34" xfId="0" applyNumberFormat="1" applyFont="1" applyBorder="1">
      <alignment vertical="center"/>
    </xf>
    <xf numFmtId="38" fontId="16" fillId="0" borderId="35" xfId="0" applyNumberFormat="1" applyFont="1" applyBorder="1">
      <alignment vertical="center"/>
    </xf>
    <xf numFmtId="38" fontId="16" fillId="0" borderId="36" xfId="0" applyNumberFormat="1" applyFont="1" applyBorder="1">
      <alignment vertical="center"/>
    </xf>
    <xf numFmtId="38" fontId="16" fillId="0" borderId="37" xfId="0" applyNumberFormat="1" applyFont="1" applyBorder="1">
      <alignment vertical="center"/>
    </xf>
    <xf numFmtId="38" fontId="19" fillId="4" borderId="22" xfId="0" applyNumberFormat="1" applyFont="1" applyFill="1" applyBorder="1" applyAlignment="1">
      <alignment horizontal="center" vertical="center" wrapText="1"/>
    </xf>
    <xf numFmtId="0" fontId="16" fillId="0" borderId="0" xfId="0" applyFont="1" applyBorder="1">
      <alignment vertical="center"/>
    </xf>
    <xf numFmtId="0" fontId="19" fillId="4" borderId="38" xfId="0" applyFont="1" applyFill="1" applyBorder="1" applyAlignment="1">
      <alignment horizontal="center" vertical="center"/>
    </xf>
    <xf numFmtId="0" fontId="19" fillId="4" borderId="39" xfId="0" applyFont="1" applyFill="1" applyBorder="1" applyAlignment="1">
      <alignment horizontal="center" vertical="center"/>
    </xf>
    <xf numFmtId="0" fontId="19" fillId="4" borderId="40" xfId="0" applyFont="1" applyFill="1" applyBorder="1" applyAlignment="1">
      <alignment horizontal="center" vertical="center"/>
    </xf>
    <xf numFmtId="38" fontId="19" fillId="4" borderId="41" xfId="0" applyNumberFormat="1" applyFont="1" applyFill="1" applyBorder="1" applyAlignment="1">
      <alignment horizontal="center" vertical="center"/>
    </xf>
    <xf numFmtId="38" fontId="19" fillId="4" borderId="42" xfId="0" applyNumberFormat="1" applyFont="1" applyFill="1" applyBorder="1" applyAlignment="1">
      <alignment horizontal="center" vertical="center" wrapText="1"/>
    </xf>
    <xf numFmtId="38" fontId="19" fillId="4" borderId="43" xfId="0" applyNumberFormat="1" applyFont="1" applyFill="1" applyBorder="1" applyAlignment="1">
      <alignment horizontal="center" vertical="center" wrapText="1"/>
    </xf>
    <xf numFmtId="38" fontId="19" fillId="4" borderId="44" xfId="0" applyNumberFormat="1" applyFont="1" applyFill="1" applyBorder="1" applyAlignment="1">
      <alignment horizontal="center" vertical="center" wrapText="1"/>
    </xf>
    <xf numFmtId="0" fontId="19" fillId="4" borderId="30" xfId="0" applyFont="1" applyFill="1" applyBorder="1" applyAlignment="1">
      <alignment horizontal="center" vertical="center"/>
    </xf>
    <xf numFmtId="0" fontId="17" fillId="4" borderId="45" xfId="0" applyFont="1" applyFill="1" applyBorder="1" applyAlignment="1" applyProtection="1">
      <alignment horizontal="center" vertical="center"/>
      <protection locked="0"/>
    </xf>
    <xf numFmtId="0" fontId="17" fillId="0" borderId="46" xfId="0" applyFont="1" applyFill="1" applyBorder="1" applyAlignment="1" applyProtection="1">
      <alignment horizontal="center" vertical="center"/>
      <protection locked="0"/>
    </xf>
    <xf numFmtId="0" fontId="20" fillId="0" borderId="46" xfId="0" applyFont="1" applyFill="1" applyBorder="1" applyAlignment="1" applyProtection="1">
      <alignment horizontal="center" vertical="center"/>
      <protection locked="0"/>
    </xf>
    <xf numFmtId="0" fontId="20" fillId="0" borderId="47" xfId="0" applyFont="1" applyFill="1" applyBorder="1" applyAlignment="1" applyProtection="1">
      <alignment horizontal="center" vertical="center"/>
      <protection locked="0"/>
    </xf>
    <xf numFmtId="0" fontId="17" fillId="0" borderId="48" xfId="0" applyFont="1" applyFill="1" applyBorder="1" applyAlignment="1" applyProtection="1">
      <alignment horizontal="center" vertical="center"/>
      <protection locked="0"/>
    </xf>
    <xf numFmtId="0" fontId="17" fillId="0" borderId="49" xfId="0" applyFont="1" applyFill="1" applyBorder="1" applyAlignment="1" applyProtection="1">
      <alignment vertical="center"/>
      <protection locked="0"/>
    </xf>
    <xf numFmtId="38" fontId="16" fillId="0" borderId="50" xfId="0" applyNumberFormat="1" applyFont="1" applyBorder="1">
      <alignment vertical="center"/>
    </xf>
    <xf numFmtId="38" fontId="16" fillId="0" borderId="51" xfId="0" applyNumberFormat="1" applyFont="1" applyBorder="1">
      <alignment vertical="center"/>
    </xf>
    <xf numFmtId="38" fontId="18" fillId="0" borderId="49" xfId="0" applyNumberFormat="1" applyFont="1" applyBorder="1" applyAlignment="1">
      <alignment vertical="center"/>
    </xf>
    <xf numFmtId="38" fontId="19" fillId="0" borderId="49" xfId="0" applyNumberFormat="1" applyFont="1" applyBorder="1" applyAlignment="1">
      <alignment vertical="center"/>
    </xf>
    <xf numFmtId="38" fontId="16" fillId="0" borderId="49" xfId="0" applyNumberFormat="1" applyFont="1" applyBorder="1">
      <alignment vertical="center"/>
    </xf>
    <xf numFmtId="38" fontId="16" fillId="0" borderId="52" xfId="0" applyNumberFormat="1" applyFont="1" applyBorder="1">
      <alignment vertical="center"/>
    </xf>
    <xf numFmtId="0" fontId="21" fillId="4" borderId="0" xfId="0" applyFont="1" applyFill="1" applyAlignment="1">
      <alignment horizontal="left" vertical="center"/>
    </xf>
    <xf numFmtId="0" fontId="22" fillId="4" borderId="0" xfId="0" applyFont="1" applyFill="1" applyAlignment="1">
      <alignment horizontal="left" vertical="center"/>
    </xf>
    <xf numFmtId="0" fontId="16" fillId="0" borderId="53" xfId="0" applyFont="1" applyBorder="1">
      <alignment vertical="center"/>
    </xf>
    <xf numFmtId="0" fontId="16" fillId="0" borderId="54" xfId="0" applyFont="1" applyBorder="1">
      <alignment vertical="center"/>
    </xf>
    <xf numFmtId="38" fontId="16" fillId="0" borderId="54" xfId="0" applyNumberFormat="1" applyFont="1" applyBorder="1">
      <alignment vertical="center"/>
    </xf>
  </cellXfs>
  <cellStyles count="7">
    <cellStyle name="??&amp;_x0012_?&amp;_x000b_?_x0008_*_x0007_?_x0007__x0001__x0001_" xfId="1"/>
    <cellStyle name="常规 2" xfId="4"/>
    <cellStyle name="常规 2 10" xfId="5"/>
    <cellStyle name="常规 2 10 2" xfId="2"/>
    <cellStyle name="常规 5" xfId="3"/>
    <cellStyle name="千位分隔 2" xfId="6"/>
    <cellStyle name="표준" xfId="0" builtinId="0"/>
  </cellStyles>
  <dxfs count="0"/>
  <tableStyles count="0" defaultTableStyle="TableStyleMedium2" defaultPivotStyle="PivotStyleLight16"/>
  <colors>
    <mruColors>
      <color rgb="FF66FFFF"/>
      <color rgb="FFCCECFF"/>
      <color rgb="FFFFCCFF"/>
      <color rgb="FFFFFFCC"/>
      <color rgb="FFFF99FF"/>
      <color rgb="FFCCFFFF"/>
      <color rgb="FFFFE7FF"/>
      <color rgb="FF00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0000"/>
    <pageSetUpPr fitToPage="1"/>
  </sheetPr>
  <dimension ref="B2:BE90"/>
  <sheetViews>
    <sheetView showGridLines="0" showZeros="0" tabSelected="1" zoomScale="85" zoomScaleNormal="85" workbookViewId="0">
      <selection activeCell="B2" sqref="B2"/>
    </sheetView>
  </sheetViews>
  <sheetFormatPr defaultRowHeight="13.5" outlineLevelRow="2" outlineLevelCol="2" x14ac:dyDescent="0.3"/>
  <cols>
    <col min="1" max="1" width="1.875" style="36" customWidth="1"/>
    <col min="2" max="2" width="14.75" style="36" customWidth="1"/>
    <col min="3" max="3" width="14.75" style="36" customWidth="1" collapsed="1"/>
    <col min="4" max="4" width="9.875" style="36" customWidth="1"/>
    <col min="5" max="5" width="20" style="36" hidden="1" customWidth="1" outlineLevel="1"/>
    <col min="6" max="6" width="15.875" style="36" hidden="1" customWidth="1" outlineLevel="1"/>
    <col min="7" max="7" width="9.25" style="37" bestFit="1" customWidth="1" collapsed="1"/>
    <col min="8" max="10" width="11.5" style="37" customWidth="1"/>
    <col min="11" max="12" width="11.5" style="37" hidden="1" customWidth="1" outlineLevel="2"/>
    <col min="13" max="14" width="11.5" style="37" hidden="1" customWidth="1" outlineLevel="1"/>
    <col min="15" max="15" width="11.5" style="37" customWidth="1" collapsed="1"/>
    <col min="16" max="17" width="11.5" style="37" customWidth="1"/>
    <col min="18" max="21" width="11.5" style="37" hidden="1" customWidth="1" outlineLevel="1"/>
    <col min="22" max="22" width="11.5" style="37" customWidth="1" collapsed="1"/>
    <col min="23" max="24" width="11.5" style="37" customWidth="1"/>
    <col min="25" max="28" width="11.5" style="37" hidden="1" customWidth="1" outlineLevel="1"/>
    <col min="29" max="29" width="11.5" style="37" customWidth="1" collapsed="1"/>
    <col min="30" max="31" width="11.5" style="37" customWidth="1"/>
    <col min="32" max="35" width="11.5" style="37" hidden="1" customWidth="1" outlineLevel="1"/>
    <col min="36" max="36" width="11.5" style="37" customWidth="1" collapsed="1"/>
    <col min="37" max="38" width="11.5" style="37" customWidth="1"/>
    <col min="39" max="42" width="11.5" style="37" hidden="1" customWidth="1" outlineLevel="1"/>
    <col min="43" max="43" width="11.5" style="37" customWidth="1" collapsed="1"/>
    <col min="44" max="45" width="11.5" style="37" customWidth="1"/>
    <col min="46" max="49" width="11.5" style="37" hidden="1" customWidth="1" outlineLevel="1"/>
    <col min="50" max="50" width="11.5" style="37" customWidth="1" collapsed="1"/>
    <col min="51" max="52" width="11.5" style="37" customWidth="1"/>
    <col min="53" max="56" width="11.5" style="37" hidden="1" customWidth="1" outlineLevel="1"/>
    <col min="57" max="57" width="10.625" style="36" bestFit="1" customWidth="1" collapsed="1"/>
    <col min="58" max="58" width="9.5" style="36" bestFit="1" customWidth="1"/>
    <col min="59" max="59" width="9" style="36" customWidth="1"/>
    <col min="60" max="16384" width="9" style="36"/>
  </cols>
  <sheetData>
    <row r="2" spans="2:57" s="64" customFormat="1" ht="24" x14ac:dyDescent="0.3">
      <c r="B2" s="104" t="s">
        <v>5772</v>
      </c>
      <c r="C2" s="63"/>
      <c r="D2" s="63"/>
      <c r="G2" s="65"/>
      <c r="H2" s="65"/>
      <c r="I2" s="65"/>
      <c r="J2" s="65"/>
      <c r="K2" s="65"/>
      <c r="L2" s="65"/>
      <c r="M2" s="65"/>
      <c r="N2" s="65"/>
      <c r="O2" s="65"/>
      <c r="P2" s="65"/>
      <c r="Q2" s="65"/>
      <c r="R2" s="65"/>
      <c r="S2" s="65"/>
      <c r="T2" s="65"/>
      <c r="U2" s="65"/>
      <c r="V2" s="65"/>
      <c r="W2" s="65"/>
      <c r="X2" s="65"/>
      <c r="Y2" s="65"/>
      <c r="Z2" s="65"/>
      <c r="AA2" s="65"/>
      <c r="AB2" s="65"/>
      <c r="AC2" s="65"/>
      <c r="AD2" s="65"/>
      <c r="AE2" s="65"/>
      <c r="AF2" s="65"/>
      <c r="AG2" s="65"/>
      <c r="AH2" s="65"/>
      <c r="AI2" s="65"/>
      <c r="AJ2" s="65"/>
      <c r="AK2" s="65"/>
      <c r="AL2" s="65"/>
      <c r="AM2" s="65"/>
      <c r="AN2" s="65"/>
      <c r="AO2" s="65"/>
      <c r="AP2" s="65"/>
      <c r="AQ2" s="65"/>
      <c r="AR2" s="65"/>
      <c r="AS2" s="65"/>
      <c r="AT2" s="65"/>
      <c r="AU2" s="65"/>
      <c r="AV2" s="65"/>
      <c r="AW2" s="65"/>
      <c r="AX2" s="65"/>
      <c r="AY2" s="65"/>
      <c r="AZ2" s="65"/>
      <c r="BA2" s="65"/>
      <c r="BB2" s="65"/>
      <c r="BC2" s="65"/>
      <c r="BD2" s="65"/>
    </row>
    <row r="3" spans="2:57" s="64" customFormat="1" ht="17.25" x14ac:dyDescent="0.3">
      <c r="B3" s="63"/>
      <c r="C3" s="63"/>
      <c r="D3" s="63"/>
      <c r="G3" s="65"/>
      <c r="H3" s="65"/>
      <c r="I3" s="65"/>
      <c r="J3" s="65"/>
      <c r="K3" s="65"/>
      <c r="L3" s="65"/>
      <c r="M3" s="65"/>
      <c r="N3" s="65"/>
      <c r="O3" s="65"/>
      <c r="P3" s="65"/>
      <c r="Q3" s="65"/>
      <c r="R3" s="65"/>
      <c r="S3" s="65"/>
      <c r="T3" s="65"/>
      <c r="U3" s="65"/>
      <c r="V3" s="65"/>
      <c r="W3" s="65"/>
      <c r="X3" s="65"/>
      <c r="Y3" s="65"/>
      <c r="Z3" s="65"/>
      <c r="AA3" s="65"/>
      <c r="AB3" s="65"/>
      <c r="AC3" s="65"/>
      <c r="AD3" s="65"/>
      <c r="AE3" s="65"/>
      <c r="AF3" s="65"/>
      <c r="AG3" s="65"/>
      <c r="AH3" s="65"/>
      <c r="AI3" s="65"/>
      <c r="AJ3" s="65"/>
      <c r="AK3" s="65"/>
      <c r="AL3" s="65"/>
      <c r="AM3" s="65"/>
      <c r="AN3" s="65"/>
      <c r="AO3" s="65"/>
      <c r="AP3" s="65"/>
      <c r="AQ3" s="65"/>
      <c r="AR3" s="65"/>
      <c r="AS3" s="65"/>
      <c r="AT3" s="65"/>
      <c r="AU3" s="65"/>
      <c r="AV3" s="65"/>
      <c r="AW3" s="65"/>
      <c r="AX3" s="65"/>
      <c r="AY3" s="65"/>
      <c r="AZ3" s="65"/>
      <c r="BA3" s="65"/>
      <c r="BB3" s="65"/>
      <c r="BC3" s="65"/>
      <c r="BD3" s="65"/>
    </row>
    <row r="4" spans="2:57" s="64" customFormat="1" ht="17.25" x14ac:dyDescent="0.3">
      <c r="B4" s="63"/>
      <c r="C4" s="63"/>
      <c r="D4" s="63"/>
      <c r="G4" s="65"/>
      <c r="H4" s="65"/>
      <c r="I4" s="65"/>
      <c r="J4" s="65"/>
      <c r="K4" s="65"/>
      <c r="L4" s="65"/>
      <c r="M4" s="65"/>
      <c r="N4" s="65"/>
      <c r="O4" s="65"/>
      <c r="P4" s="65"/>
      <c r="Q4" s="65"/>
      <c r="R4" s="65"/>
      <c r="S4" s="65"/>
      <c r="T4" s="65"/>
      <c r="U4" s="65"/>
      <c r="V4" s="65"/>
      <c r="W4" s="65"/>
      <c r="X4" s="65"/>
      <c r="Y4" s="65"/>
      <c r="Z4" s="65"/>
      <c r="AA4" s="65"/>
      <c r="AB4" s="65"/>
      <c r="AC4" s="65"/>
      <c r="AD4" s="65"/>
      <c r="AE4" s="65"/>
      <c r="AF4" s="65"/>
      <c r="AG4" s="65"/>
      <c r="AH4" s="65"/>
      <c r="AI4" s="65"/>
      <c r="AJ4" s="65"/>
      <c r="AK4" s="65"/>
      <c r="AL4" s="65"/>
      <c r="AM4" s="65"/>
      <c r="AN4" s="65"/>
      <c r="AO4" s="65"/>
      <c r="AP4" s="65"/>
      <c r="AQ4" s="65"/>
      <c r="AR4" s="65"/>
      <c r="AS4" s="65"/>
      <c r="AT4" s="65"/>
      <c r="AU4" s="65"/>
      <c r="AV4" s="65"/>
      <c r="AW4" s="65"/>
      <c r="AX4" s="65"/>
      <c r="AY4" s="65"/>
      <c r="AZ4" s="65"/>
      <c r="BA4" s="65"/>
      <c r="BB4" s="65"/>
      <c r="BC4" s="65"/>
      <c r="BD4" s="65"/>
    </row>
    <row r="5" spans="2:57" s="64" customFormat="1" ht="18" thickBot="1" x14ac:dyDescent="0.35">
      <c r="B5" s="103" t="s">
        <v>5771</v>
      </c>
      <c r="C5" s="63"/>
      <c r="D5" s="63"/>
      <c r="G5" s="65"/>
      <c r="H5" s="65"/>
      <c r="I5" s="65"/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  <c r="Y5" s="65"/>
      <c r="Z5" s="65"/>
      <c r="AA5" s="65"/>
      <c r="AB5" s="65"/>
      <c r="AC5" s="65"/>
      <c r="AD5" s="65"/>
      <c r="AE5" s="65"/>
      <c r="AF5" s="65"/>
      <c r="AG5" s="65"/>
      <c r="AH5" s="65"/>
      <c r="AI5" s="65"/>
      <c r="AJ5" s="65"/>
      <c r="AK5" s="65"/>
      <c r="AL5" s="65"/>
      <c r="AM5" s="65"/>
      <c r="AN5" s="65"/>
      <c r="AO5" s="65"/>
      <c r="AP5" s="65"/>
      <c r="AQ5" s="65"/>
      <c r="AR5" s="65"/>
      <c r="AS5" s="65"/>
      <c r="AT5" s="65"/>
      <c r="AU5" s="65"/>
      <c r="AV5" s="65"/>
      <c r="AW5" s="65"/>
      <c r="AX5" s="65"/>
      <c r="AY5" s="65"/>
      <c r="AZ5" s="65"/>
      <c r="BA5" s="65"/>
      <c r="BB5" s="65"/>
      <c r="BC5" s="65"/>
      <c r="BD5" s="65"/>
    </row>
    <row r="6" spans="2:57" ht="16.5" customHeight="1" x14ac:dyDescent="0.3">
      <c r="B6" s="83" t="s">
        <v>5741</v>
      </c>
      <c r="C6" s="84" t="s">
        <v>5752</v>
      </c>
      <c r="D6" s="85" t="s">
        <v>5760</v>
      </c>
      <c r="E6" s="84" t="s">
        <v>976</v>
      </c>
      <c r="F6" s="84" t="s">
        <v>5751</v>
      </c>
      <c r="G6" s="86" t="s">
        <v>5740</v>
      </c>
      <c r="H6" s="87" t="s">
        <v>5742</v>
      </c>
      <c r="I6" s="88"/>
      <c r="J6" s="88"/>
      <c r="K6" s="88"/>
      <c r="L6" s="88"/>
      <c r="M6" s="88"/>
      <c r="N6" s="89"/>
      <c r="O6" s="87" t="s">
        <v>5754</v>
      </c>
      <c r="P6" s="88"/>
      <c r="Q6" s="88"/>
      <c r="R6" s="88"/>
      <c r="S6" s="88"/>
      <c r="T6" s="88"/>
      <c r="U6" s="89"/>
      <c r="V6" s="87" t="s">
        <v>5765</v>
      </c>
      <c r="W6" s="88"/>
      <c r="X6" s="88"/>
      <c r="Y6" s="88"/>
      <c r="Z6" s="88"/>
      <c r="AA6" s="88"/>
      <c r="AB6" s="88"/>
      <c r="AC6" s="87" t="s">
        <v>5766</v>
      </c>
      <c r="AD6" s="88"/>
      <c r="AE6" s="88"/>
      <c r="AF6" s="88"/>
      <c r="AG6" s="88"/>
      <c r="AH6" s="88"/>
      <c r="AI6" s="88"/>
      <c r="AJ6" s="87" t="s">
        <v>5767</v>
      </c>
      <c r="AK6" s="88"/>
      <c r="AL6" s="88"/>
      <c r="AM6" s="88"/>
      <c r="AN6" s="88"/>
      <c r="AO6" s="88"/>
      <c r="AP6" s="88"/>
      <c r="AQ6" s="87" t="s">
        <v>5768</v>
      </c>
      <c r="AR6" s="88"/>
      <c r="AS6" s="88"/>
      <c r="AT6" s="88"/>
      <c r="AU6" s="88"/>
      <c r="AV6" s="88"/>
      <c r="AW6" s="88"/>
      <c r="AX6" s="87" t="s">
        <v>5769</v>
      </c>
      <c r="AY6" s="88"/>
      <c r="AZ6" s="88"/>
      <c r="BA6" s="88"/>
      <c r="BB6" s="88"/>
      <c r="BC6" s="88"/>
      <c r="BD6" s="88"/>
      <c r="BE6" s="105"/>
    </row>
    <row r="7" spans="2:57" x14ac:dyDescent="0.3">
      <c r="B7" s="90"/>
      <c r="C7" s="50"/>
      <c r="D7" s="51"/>
      <c r="E7" s="50"/>
      <c r="F7" s="50"/>
      <c r="G7" s="66"/>
      <c r="H7" s="71" t="s">
        <v>5755</v>
      </c>
      <c r="I7" s="52" t="s">
        <v>1053</v>
      </c>
      <c r="J7" s="52" t="s">
        <v>980</v>
      </c>
      <c r="K7" s="52" t="s">
        <v>981</v>
      </c>
      <c r="L7" s="52" t="s">
        <v>982</v>
      </c>
      <c r="M7" s="53" t="s">
        <v>5743</v>
      </c>
      <c r="N7" s="72" t="s">
        <v>5744</v>
      </c>
      <c r="O7" s="71" t="s">
        <v>5755</v>
      </c>
      <c r="P7" s="52" t="s">
        <v>1053</v>
      </c>
      <c r="Q7" s="52" t="s">
        <v>977</v>
      </c>
      <c r="R7" s="52" t="s">
        <v>978</v>
      </c>
      <c r="S7" s="52" t="s">
        <v>979</v>
      </c>
      <c r="T7" s="53" t="s">
        <v>5743</v>
      </c>
      <c r="U7" s="72" t="s">
        <v>5744</v>
      </c>
      <c r="V7" s="71" t="s">
        <v>5755</v>
      </c>
      <c r="W7" s="52" t="s">
        <v>1053</v>
      </c>
      <c r="X7" s="52" t="s">
        <v>977</v>
      </c>
      <c r="Y7" s="52" t="s">
        <v>978</v>
      </c>
      <c r="Z7" s="52" t="s">
        <v>979</v>
      </c>
      <c r="AA7" s="53" t="s">
        <v>5743</v>
      </c>
      <c r="AB7" s="81" t="s">
        <v>5744</v>
      </c>
      <c r="AC7" s="71" t="s">
        <v>5755</v>
      </c>
      <c r="AD7" s="52" t="s">
        <v>1053</v>
      </c>
      <c r="AE7" s="52" t="s">
        <v>977</v>
      </c>
      <c r="AF7" s="52" t="s">
        <v>978</v>
      </c>
      <c r="AG7" s="52" t="s">
        <v>979</v>
      </c>
      <c r="AH7" s="53" t="s">
        <v>5743</v>
      </c>
      <c r="AI7" s="81" t="s">
        <v>5744</v>
      </c>
      <c r="AJ7" s="71" t="s">
        <v>5755</v>
      </c>
      <c r="AK7" s="52" t="s">
        <v>1053</v>
      </c>
      <c r="AL7" s="52" t="s">
        <v>977</v>
      </c>
      <c r="AM7" s="52" t="s">
        <v>978</v>
      </c>
      <c r="AN7" s="52" t="s">
        <v>979</v>
      </c>
      <c r="AO7" s="53" t="s">
        <v>5743</v>
      </c>
      <c r="AP7" s="81" t="s">
        <v>5744</v>
      </c>
      <c r="AQ7" s="71" t="s">
        <v>5755</v>
      </c>
      <c r="AR7" s="52" t="s">
        <v>1053</v>
      </c>
      <c r="AS7" s="52" t="s">
        <v>977</v>
      </c>
      <c r="AT7" s="52" t="s">
        <v>978</v>
      </c>
      <c r="AU7" s="52" t="s">
        <v>979</v>
      </c>
      <c r="AV7" s="53" t="s">
        <v>5743</v>
      </c>
      <c r="AW7" s="81" t="s">
        <v>5744</v>
      </c>
      <c r="AX7" s="71" t="s">
        <v>5755</v>
      </c>
      <c r="AY7" s="52" t="s">
        <v>1053</v>
      </c>
      <c r="AZ7" s="52" t="s">
        <v>977</v>
      </c>
      <c r="BA7" s="52" t="s">
        <v>978</v>
      </c>
      <c r="BB7" s="52" t="s">
        <v>979</v>
      </c>
      <c r="BC7" s="53" t="s">
        <v>5743</v>
      </c>
      <c r="BD7" s="81" t="s">
        <v>5744</v>
      </c>
      <c r="BE7" s="105"/>
    </row>
    <row r="8" spans="2:57" ht="15" customHeight="1" x14ac:dyDescent="0.3">
      <c r="B8" s="91" t="s">
        <v>5774</v>
      </c>
      <c r="C8" s="54" t="s">
        <v>5759</v>
      </c>
      <c r="D8" s="55"/>
      <c r="E8" s="56" t="s">
        <v>5746</v>
      </c>
      <c r="F8" s="56" t="s">
        <v>5746</v>
      </c>
      <c r="G8" s="67"/>
      <c r="H8" s="73"/>
      <c r="I8" s="58"/>
      <c r="J8" s="58"/>
      <c r="K8" s="57"/>
      <c r="L8" s="58"/>
      <c r="M8" s="57"/>
      <c r="N8" s="74"/>
      <c r="O8" s="73"/>
      <c r="P8" s="58"/>
      <c r="Q8" s="58"/>
      <c r="R8" s="57"/>
      <c r="S8" s="58"/>
      <c r="T8" s="57"/>
      <c r="U8" s="74"/>
      <c r="V8" s="73"/>
      <c r="W8" s="58"/>
      <c r="X8" s="58"/>
      <c r="Y8" s="57"/>
      <c r="Z8" s="58"/>
      <c r="AA8" s="57"/>
      <c r="AB8" s="67"/>
      <c r="AC8" s="73"/>
      <c r="AD8" s="58"/>
      <c r="AE8" s="58"/>
      <c r="AF8" s="57"/>
      <c r="AG8" s="58"/>
      <c r="AH8" s="57"/>
      <c r="AI8" s="67"/>
      <c r="AJ8" s="73"/>
      <c r="AK8" s="58"/>
      <c r="AL8" s="58"/>
      <c r="AM8" s="57"/>
      <c r="AN8" s="58"/>
      <c r="AO8" s="57"/>
      <c r="AP8" s="67"/>
      <c r="AQ8" s="73"/>
      <c r="AR8" s="58"/>
      <c r="AS8" s="58"/>
      <c r="AT8" s="57"/>
      <c r="AU8" s="58"/>
      <c r="AV8" s="57"/>
      <c r="AW8" s="67"/>
      <c r="AX8" s="73"/>
      <c r="AY8" s="58"/>
      <c r="AZ8" s="58"/>
      <c r="BA8" s="57"/>
      <c r="BB8" s="58"/>
      <c r="BC8" s="57"/>
      <c r="BD8" s="67"/>
      <c r="BE8" s="105"/>
    </row>
    <row r="9" spans="2:57" ht="15" hidden="1" customHeight="1" outlineLevel="1" x14ac:dyDescent="0.3">
      <c r="B9" s="92"/>
      <c r="C9" s="38" t="s">
        <v>5770</v>
      </c>
      <c r="D9" s="38" t="s">
        <v>5761</v>
      </c>
      <c r="E9" s="39" t="s">
        <v>5746</v>
      </c>
      <c r="F9" s="39" t="s">
        <v>5746</v>
      </c>
      <c r="G9" s="68"/>
      <c r="H9" s="75"/>
      <c r="I9" s="41"/>
      <c r="J9" s="42"/>
      <c r="K9" s="40"/>
      <c r="L9" s="42"/>
      <c r="M9" s="40"/>
      <c r="N9" s="76"/>
      <c r="O9" s="75"/>
      <c r="P9" s="41"/>
      <c r="Q9" s="42"/>
      <c r="R9" s="40"/>
      <c r="S9" s="42"/>
      <c r="T9" s="40"/>
      <c r="U9" s="76"/>
      <c r="V9" s="75"/>
      <c r="W9" s="41"/>
      <c r="X9" s="42"/>
      <c r="Y9" s="40"/>
      <c r="Z9" s="42"/>
      <c r="AA9" s="40"/>
      <c r="AB9" s="68"/>
      <c r="AC9" s="75"/>
      <c r="AD9" s="41"/>
      <c r="AE9" s="42"/>
      <c r="AF9" s="40"/>
      <c r="AG9" s="42"/>
      <c r="AH9" s="40"/>
      <c r="AI9" s="68"/>
      <c r="AJ9" s="75"/>
      <c r="AK9" s="41"/>
      <c r="AL9" s="42"/>
      <c r="AM9" s="40"/>
      <c r="AN9" s="42"/>
      <c r="AO9" s="40"/>
      <c r="AP9" s="68"/>
      <c r="AQ9" s="75"/>
      <c r="AR9" s="41"/>
      <c r="AS9" s="42"/>
      <c r="AT9" s="40"/>
      <c r="AU9" s="42"/>
      <c r="AV9" s="40"/>
      <c r="AW9" s="68"/>
      <c r="AX9" s="75"/>
      <c r="AY9" s="41"/>
      <c r="AZ9" s="42"/>
      <c r="BA9" s="40"/>
      <c r="BB9" s="42"/>
      <c r="BC9" s="40"/>
      <c r="BD9" s="68"/>
      <c r="BE9" s="105"/>
    </row>
    <row r="10" spans="2:57" ht="15" hidden="1" customHeight="1" outlineLevel="1" x14ac:dyDescent="0.3">
      <c r="B10" s="93" t="s">
        <v>5745</v>
      </c>
      <c r="C10" s="43"/>
      <c r="D10" s="44"/>
      <c r="E10" s="49" t="s">
        <v>5747</v>
      </c>
      <c r="F10" s="49" t="s">
        <v>5747</v>
      </c>
      <c r="G10" s="69"/>
      <c r="H10" s="77"/>
      <c r="I10" s="61"/>
      <c r="J10" s="62"/>
      <c r="K10" s="60"/>
      <c r="L10" s="62"/>
      <c r="M10" s="60"/>
      <c r="N10" s="78"/>
      <c r="O10" s="77"/>
      <c r="P10" s="61"/>
      <c r="Q10" s="62"/>
      <c r="R10" s="60"/>
      <c r="S10" s="62"/>
      <c r="T10" s="60"/>
      <c r="U10" s="78"/>
      <c r="V10" s="77"/>
      <c r="W10" s="61"/>
      <c r="X10" s="62"/>
      <c r="Y10" s="60"/>
      <c r="Z10" s="62"/>
      <c r="AA10" s="60"/>
      <c r="AB10" s="69"/>
      <c r="AC10" s="77"/>
      <c r="AD10" s="61"/>
      <c r="AE10" s="62"/>
      <c r="AF10" s="60"/>
      <c r="AG10" s="62"/>
      <c r="AH10" s="60"/>
      <c r="AI10" s="69"/>
      <c r="AJ10" s="77"/>
      <c r="AK10" s="61"/>
      <c r="AL10" s="62"/>
      <c r="AM10" s="60"/>
      <c r="AN10" s="62"/>
      <c r="AO10" s="60"/>
      <c r="AP10" s="69"/>
      <c r="AQ10" s="77"/>
      <c r="AR10" s="61"/>
      <c r="AS10" s="62"/>
      <c r="AT10" s="60"/>
      <c r="AU10" s="62"/>
      <c r="AV10" s="60"/>
      <c r="AW10" s="69"/>
      <c r="AX10" s="77"/>
      <c r="AY10" s="61"/>
      <c r="AZ10" s="62"/>
      <c r="BA10" s="60"/>
      <c r="BB10" s="62"/>
      <c r="BC10" s="60"/>
      <c r="BD10" s="69"/>
      <c r="BE10" s="105"/>
    </row>
    <row r="11" spans="2:57" ht="15" hidden="1" customHeight="1" outlineLevel="1" x14ac:dyDescent="0.3">
      <c r="B11" s="93" t="s">
        <v>5745</v>
      </c>
      <c r="C11" s="43"/>
      <c r="D11" s="43" t="s">
        <v>5762</v>
      </c>
      <c r="E11" s="39" t="s">
        <v>5748</v>
      </c>
      <c r="F11" s="39" t="s">
        <v>5748</v>
      </c>
      <c r="G11" s="68"/>
      <c r="H11" s="75"/>
      <c r="I11" s="41"/>
      <c r="J11" s="42"/>
      <c r="K11" s="40"/>
      <c r="L11" s="42"/>
      <c r="M11" s="40"/>
      <c r="N11" s="76"/>
      <c r="O11" s="75"/>
      <c r="P11" s="41"/>
      <c r="Q11" s="42"/>
      <c r="R11" s="40"/>
      <c r="S11" s="42"/>
      <c r="T11" s="40"/>
      <c r="U11" s="76"/>
      <c r="V11" s="75"/>
      <c r="W11" s="41"/>
      <c r="X11" s="42"/>
      <c r="Y11" s="40"/>
      <c r="Z11" s="42"/>
      <c r="AA11" s="40"/>
      <c r="AB11" s="68"/>
      <c r="AC11" s="75"/>
      <c r="AD11" s="41"/>
      <c r="AE11" s="42"/>
      <c r="AF11" s="40"/>
      <c r="AG11" s="42"/>
      <c r="AH11" s="40"/>
      <c r="AI11" s="68"/>
      <c r="AJ11" s="75"/>
      <c r="AK11" s="41"/>
      <c r="AL11" s="42"/>
      <c r="AM11" s="40"/>
      <c r="AN11" s="42"/>
      <c r="AO11" s="40"/>
      <c r="AP11" s="68"/>
      <c r="AQ11" s="75"/>
      <c r="AR11" s="41"/>
      <c r="AS11" s="42"/>
      <c r="AT11" s="40"/>
      <c r="AU11" s="42"/>
      <c r="AV11" s="40"/>
      <c r="AW11" s="68"/>
      <c r="AX11" s="75"/>
      <c r="AY11" s="41"/>
      <c r="AZ11" s="42"/>
      <c r="BA11" s="40"/>
      <c r="BB11" s="42"/>
      <c r="BC11" s="40"/>
      <c r="BD11" s="68"/>
      <c r="BE11" s="105"/>
    </row>
    <row r="12" spans="2:57" ht="15" hidden="1" customHeight="1" outlineLevel="1" x14ac:dyDescent="0.3">
      <c r="B12" s="93" t="s">
        <v>5745</v>
      </c>
      <c r="C12" s="43"/>
      <c r="D12" s="44"/>
      <c r="E12" s="45" t="s">
        <v>5750</v>
      </c>
      <c r="F12" s="45" t="s">
        <v>5750</v>
      </c>
      <c r="G12" s="70"/>
      <c r="H12" s="79"/>
      <c r="I12" s="47"/>
      <c r="J12" s="48"/>
      <c r="K12" s="46"/>
      <c r="L12" s="48"/>
      <c r="M12" s="46"/>
      <c r="N12" s="80"/>
      <c r="O12" s="79"/>
      <c r="P12" s="47"/>
      <c r="Q12" s="48"/>
      <c r="R12" s="46"/>
      <c r="S12" s="48"/>
      <c r="T12" s="46"/>
      <c r="U12" s="80"/>
      <c r="V12" s="79"/>
      <c r="W12" s="47"/>
      <c r="X12" s="48"/>
      <c r="Y12" s="46"/>
      <c r="Z12" s="48"/>
      <c r="AA12" s="46"/>
      <c r="AB12" s="70"/>
      <c r="AC12" s="79"/>
      <c r="AD12" s="47"/>
      <c r="AE12" s="48"/>
      <c r="AF12" s="46"/>
      <c r="AG12" s="48"/>
      <c r="AH12" s="46"/>
      <c r="AI12" s="70"/>
      <c r="AJ12" s="79"/>
      <c r="AK12" s="47"/>
      <c r="AL12" s="48"/>
      <c r="AM12" s="46"/>
      <c r="AN12" s="48"/>
      <c r="AO12" s="46"/>
      <c r="AP12" s="70"/>
      <c r="AQ12" s="79"/>
      <c r="AR12" s="47"/>
      <c r="AS12" s="48"/>
      <c r="AT12" s="46"/>
      <c r="AU12" s="48"/>
      <c r="AV12" s="46"/>
      <c r="AW12" s="70"/>
      <c r="AX12" s="79"/>
      <c r="AY12" s="47"/>
      <c r="AZ12" s="48"/>
      <c r="BA12" s="46"/>
      <c r="BB12" s="48"/>
      <c r="BC12" s="46"/>
      <c r="BD12" s="70"/>
      <c r="BE12" s="105"/>
    </row>
    <row r="13" spans="2:57" ht="15" hidden="1" customHeight="1" outlineLevel="1" x14ac:dyDescent="0.3">
      <c r="B13" s="93" t="s">
        <v>5745</v>
      </c>
      <c r="C13" s="38" t="s">
        <v>5753</v>
      </c>
      <c r="D13" s="38" t="s">
        <v>5763</v>
      </c>
      <c r="E13" s="39" t="s">
        <v>5749</v>
      </c>
      <c r="F13" s="39" t="s">
        <v>5749</v>
      </c>
      <c r="G13" s="68"/>
      <c r="H13" s="75"/>
      <c r="I13" s="41"/>
      <c r="J13" s="42"/>
      <c r="K13" s="40"/>
      <c r="L13" s="42"/>
      <c r="M13" s="40"/>
      <c r="N13" s="76"/>
      <c r="O13" s="75"/>
      <c r="P13" s="41"/>
      <c r="Q13" s="42"/>
      <c r="R13" s="40"/>
      <c r="S13" s="42"/>
      <c r="T13" s="40"/>
      <c r="U13" s="76"/>
      <c r="V13" s="75"/>
      <c r="W13" s="41"/>
      <c r="X13" s="42"/>
      <c r="Y13" s="40"/>
      <c r="Z13" s="42"/>
      <c r="AA13" s="40"/>
      <c r="AB13" s="68"/>
      <c r="AC13" s="75"/>
      <c r="AD13" s="41"/>
      <c r="AE13" s="42"/>
      <c r="AF13" s="40"/>
      <c r="AG13" s="42"/>
      <c r="AH13" s="40"/>
      <c r="AI13" s="68"/>
      <c r="AJ13" s="75"/>
      <c r="AK13" s="41"/>
      <c r="AL13" s="42"/>
      <c r="AM13" s="40"/>
      <c r="AN13" s="42"/>
      <c r="AO13" s="40"/>
      <c r="AP13" s="68"/>
      <c r="AQ13" s="75"/>
      <c r="AR13" s="41"/>
      <c r="AS13" s="42"/>
      <c r="AT13" s="40"/>
      <c r="AU13" s="42"/>
      <c r="AV13" s="40"/>
      <c r="AW13" s="68"/>
      <c r="AX13" s="75"/>
      <c r="AY13" s="41"/>
      <c r="AZ13" s="42"/>
      <c r="BA13" s="40"/>
      <c r="BB13" s="42"/>
      <c r="BC13" s="40"/>
      <c r="BD13" s="68"/>
      <c r="BE13" s="105"/>
    </row>
    <row r="14" spans="2:57" ht="15" hidden="1" customHeight="1" outlineLevel="1" x14ac:dyDescent="0.3">
      <c r="B14" s="93" t="s">
        <v>5745</v>
      </c>
      <c r="C14" s="43"/>
      <c r="D14" s="44"/>
      <c r="E14" s="49" t="s">
        <v>5749</v>
      </c>
      <c r="F14" s="49" t="s">
        <v>5749</v>
      </c>
      <c r="G14" s="69"/>
      <c r="H14" s="77"/>
      <c r="I14" s="61"/>
      <c r="J14" s="62"/>
      <c r="K14" s="60"/>
      <c r="L14" s="62"/>
      <c r="M14" s="60"/>
      <c r="N14" s="78"/>
      <c r="O14" s="77"/>
      <c r="P14" s="61"/>
      <c r="Q14" s="62"/>
      <c r="R14" s="60"/>
      <c r="S14" s="62"/>
      <c r="T14" s="60"/>
      <c r="U14" s="78"/>
      <c r="V14" s="77"/>
      <c r="W14" s="61"/>
      <c r="X14" s="62"/>
      <c r="Y14" s="60"/>
      <c r="Z14" s="62"/>
      <c r="AA14" s="60"/>
      <c r="AB14" s="69"/>
      <c r="AC14" s="77"/>
      <c r="AD14" s="61"/>
      <c r="AE14" s="62"/>
      <c r="AF14" s="60"/>
      <c r="AG14" s="62"/>
      <c r="AH14" s="60"/>
      <c r="AI14" s="69"/>
      <c r="AJ14" s="77"/>
      <c r="AK14" s="61"/>
      <c r="AL14" s="62"/>
      <c r="AM14" s="60"/>
      <c r="AN14" s="62"/>
      <c r="AO14" s="60"/>
      <c r="AP14" s="69"/>
      <c r="AQ14" s="77"/>
      <c r="AR14" s="61"/>
      <c r="AS14" s="62"/>
      <c r="AT14" s="60"/>
      <c r="AU14" s="62"/>
      <c r="AV14" s="60"/>
      <c r="AW14" s="69"/>
      <c r="AX14" s="77"/>
      <c r="AY14" s="61"/>
      <c r="AZ14" s="62"/>
      <c r="BA14" s="60"/>
      <c r="BB14" s="62"/>
      <c r="BC14" s="60"/>
      <c r="BD14" s="69"/>
      <c r="BE14" s="105"/>
    </row>
    <row r="15" spans="2:57" ht="15" hidden="1" customHeight="1" outlineLevel="1" x14ac:dyDescent="0.3">
      <c r="B15" s="93" t="s">
        <v>5745</v>
      </c>
      <c r="C15" s="43"/>
      <c r="D15" s="38" t="s">
        <v>5764</v>
      </c>
      <c r="E15" s="39" t="s">
        <v>5749</v>
      </c>
      <c r="F15" s="39" t="s">
        <v>5749</v>
      </c>
      <c r="G15" s="68"/>
      <c r="H15" s="75"/>
      <c r="I15" s="41"/>
      <c r="J15" s="42"/>
      <c r="K15" s="40"/>
      <c r="L15" s="42"/>
      <c r="M15" s="40"/>
      <c r="N15" s="76"/>
      <c r="O15" s="75"/>
      <c r="P15" s="41"/>
      <c r="Q15" s="42"/>
      <c r="R15" s="40"/>
      <c r="S15" s="42"/>
      <c r="T15" s="40"/>
      <c r="U15" s="76"/>
      <c r="V15" s="75"/>
      <c r="W15" s="41"/>
      <c r="X15" s="42"/>
      <c r="Y15" s="40"/>
      <c r="Z15" s="42"/>
      <c r="AA15" s="40"/>
      <c r="AB15" s="68"/>
      <c r="AC15" s="75"/>
      <c r="AD15" s="41"/>
      <c r="AE15" s="42"/>
      <c r="AF15" s="40"/>
      <c r="AG15" s="42"/>
      <c r="AH15" s="40"/>
      <c r="AI15" s="68"/>
      <c r="AJ15" s="75"/>
      <c r="AK15" s="41"/>
      <c r="AL15" s="42"/>
      <c r="AM15" s="40"/>
      <c r="AN15" s="42"/>
      <c r="AO15" s="40"/>
      <c r="AP15" s="68"/>
      <c r="AQ15" s="75"/>
      <c r="AR15" s="41"/>
      <c r="AS15" s="42"/>
      <c r="AT15" s="40"/>
      <c r="AU15" s="42"/>
      <c r="AV15" s="40"/>
      <c r="AW15" s="68"/>
      <c r="AX15" s="75"/>
      <c r="AY15" s="41"/>
      <c r="AZ15" s="42"/>
      <c r="BA15" s="40"/>
      <c r="BB15" s="42"/>
      <c r="BC15" s="40"/>
      <c r="BD15" s="68"/>
      <c r="BE15" s="105"/>
    </row>
    <row r="16" spans="2:57" ht="15" hidden="1" customHeight="1" outlineLevel="1" thickBot="1" x14ac:dyDescent="0.35">
      <c r="B16" s="93" t="s">
        <v>5745</v>
      </c>
      <c r="C16" s="43"/>
      <c r="D16" s="43"/>
      <c r="E16" s="49" t="s">
        <v>5749</v>
      </c>
      <c r="F16" s="49" t="s">
        <v>5749</v>
      </c>
      <c r="G16" s="69"/>
      <c r="H16" s="77"/>
      <c r="I16" s="61"/>
      <c r="J16" s="62"/>
      <c r="K16" s="60"/>
      <c r="L16" s="62"/>
      <c r="M16" s="60"/>
      <c r="N16" s="78"/>
      <c r="O16" s="77"/>
      <c r="P16" s="61"/>
      <c r="Q16" s="62"/>
      <c r="R16" s="60"/>
      <c r="S16" s="62"/>
      <c r="T16" s="60"/>
      <c r="U16" s="78"/>
      <c r="V16" s="77"/>
      <c r="W16" s="61"/>
      <c r="X16" s="62"/>
      <c r="Y16" s="60"/>
      <c r="Z16" s="62"/>
      <c r="AA16" s="60"/>
      <c r="AB16" s="69"/>
      <c r="AC16" s="77"/>
      <c r="AD16" s="61"/>
      <c r="AE16" s="62"/>
      <c r="AF16" s="60"/>
      <c r="AG16" s="62"/>
      <c r="AH16" s="60"/>
      <c r="AI16" s="69"/>
      <c r="AJ16" s="77"/>
      <c r="AK16" s="61"/>
      <c r="AL16" s="62"/>
      <c r="AM16" s="60"/>
      <c r="AN16" s="62"/>
      <c r="AO16" s="60"/>
      <c r="AP16" s="69"/>
      <c r="AQ16" s="77"/>
      <c r="AR16" s="61"/>
      <c r="AS16" s="62"/>
      <c r="AT16" s="60"/>
      <c r="AU16" s="62"/>
      <c r="AV16" s="60"/>
      <c r="AW16" s="69"/>
      <c r="AX16" s="77"/>
      <c r="AY16" s="61"/>
      <c r="AZ16" s="62"/>
      <c r="BA16" s="101"/>
      <c r="BB16" s="100"/>
      <c r="BC16" s="101"/>
      <c r="BD16" s="97"/>
      <c r="BE16" s="105"/>
    </row>
    <row r="17" spans="2:57" ht="15" customHeight="1" collapsed="1" thickBot="1" x14ac:dyDescent="0.35">
      <c r="B17" s="91" t="s">
        <v>5773</v>
      </c>
      <c r="C17" s="54" t="s">
        <v>5759</v>
      </c>
      <c r="D17" s="55"/>
      <c r="E17" s="56" t="s">
        <v>5746</v>
      </c>
      <c r="F17" s="56" t="s">
        <v>5746</v>
      </c>
      <c r="G17" s="67"/>
      <c r="H17" s="73"/>
      <c r="I17" s="58"/>
      <c r="J17" s="58"/>
      <c r="K17" s="57"/>
      <c r="L17" s="58"/>
      <c r="M17" s="57"/>
      <c r="N17" s="74"/>
      <c r="O17" s="73"/>
      <c r="P17" s="58"/>
      <c r="Q17" s="58"/>
      <c r="R17" s="57"/>
      <c r="S17" s="58"/>
      <c r="T17" s="57"/>
      <c r="U17" s="74"/>
      <c r="V17" s="73"/>
      <c r="W17" s="58"/>
      <c r="X17" s="58"/>
      <c r="Y17" s="57"/>
      <c r="Z17" s="58"/>
      <c r="AA17" s="57"/>
      <c r="AB17" s="67"/>
      <c r="AC17" s="73"/>
      <c r="AD17" s="58"/>
      <c r="AE17" s="58"/>
      <c r="AF17" s="57"/>
      <c r="AG17" s="58"/>
      <c r="AH17" s="57"/>
      <c r="AI17" s="67"/>
      <c r="AJ17" s="73"/>
      <c r="AK17" s="58"/>
      <c r="AL17" s="58"/>
      <c r="AM17" s="57"/>
      <c r="AN17" s="58"/>
      <c r="AO17" s="57"/>
      <c r="AP17" s="67"/>
      <c r="AQ17" s="73"/>
      <c r="AR17" s="58"/>
      <c r="AS17" s="58"/>
      <c r="AT17" s="57"/>
      <c r="AU17" s="58"/>
      <c r="AV17" s="57"/>
      <c r="AW17" s="67"/>
      <c r="AX17" s="73"/>
      <c r="AY17" s="58"/>
      <c r="AZ17" s="58"/>
      <c r="BA17" s="57"/>
      <c r="BB17" s="58"/>
      <c r="BC17" s="57"/>
      <c r="BD17" s="67"/>
      <c r="BE17" s="105"/>
    </row>
    <row r="18" spans="2:57" ht="15" hidden="1" customHeight="1" outlineLevel="2" x14ac:dyDescent="0.3">
      <c r="B18" s="92"/>
      <c r="C18" s="38" t="s">
        <v>5770</v>
      </c>
      <c r="D18" s="38" t="s">
        <v>5761</v>
      </c>
      <c r="E18" s="39" t="s">
        <v>5746</v>
      </c>
      <c r="F18" s="39" t="s">
        <v>5746</v>
      </c>
      <c r="G18" s="68"/>
      <c r="H18" s="75"/>
      <c r="I18" s="41"/>
      <c r="J18" s="42"/>
      <c r="K18" s="40"/>
      <c r="L18" s="42"/>
      <c r="M18" s="40"/>
      <c r="N18" s="76"/>
      <c r="O18" s="75"/>
      <c r="P18" s="41"/>
      <c r="Q18" s="42"/>
      <c r="R18" s="40"/>
      <c r="S18" s="42"/>
      <c r="T18" s="40"/>
      <c r="U18" s="76"/>
      <c r="V18" s="75"/>
      <c r="W18" s="41"/>
      <c r="X18" s="42"/>
      <c r="Y18" s="40"/>
      <c r="Z18" s="42"/>
      <c r="AA18" s="40"/>
      <c r="AB18" s="68"/>
      <c r="AC18" s="75"/>
      <c r="AD18" s="41"/>
      <c r="AE18" s="42"/>
      <c r="AF18" s="40"/>
      <c r="AG18" s="42"/>
      <c r="AH18" s="40"/>
      <c r="AI18" s="68"/>
      <c r="AJ18" s="75"/>
      <c r="AK18" s="41"/>
      <c r="AL18" s="42"/>
      <c r="AM18" s="40"/>
      <c r="AN18" s="42"/>
      <c r="AO18" s="40"/>
      <c r="AP18" s="68"/>
      <c r="AQ18" s="75"/>
      <c r="AR18" s="41"/>
      <c r="AS18" s="42"/>
      <c r="AT18" s="40"/>
      <c r="AU18" s="42"/>
      <c r="AV18" s="40"/>
      <c r="AW18" s="68"/>
      <c r="AX18" s="75"/>
      <c r="AY18" s="41"/>
      <c r="AZ18" s="42"/>
      <c r="BA18" s="40"/>
      <c r="BB18" s="42"/>
      <c r="BC18" s="40"/>
      <c r="BD18" s="68"/>
      <c r="BE18" s="105"/>
    </row>
    <row r="19" spans="2:57" ht="15" hidden="1" customHeight="1" outlineLevel="2" x14ac:dyDescent="0.3">
      <c r="B19" s="93" t="s">
        <v>5745</v>
      </c>
      <c r="C19" s="43"/>
      <c r="D19" s="44"/>
      <c r="E19" s="49" t="s">
        <v>5747</v>
      </c>
      <c r="F19" s="49" t="s">
        <v>5747</v>
      </c>
      <c r="G19" s="69"/>
      <c r="H19" s="77"/>
      <c r="I19" s="61"/>
      <c r="J19" s="62"/>
      <c r="K19" s="60"/>
      <c r="L19" s="62"/>
      <c r="M19" s="60"/>
      <c r="N19" s="78"/>
      <c r="O19" s="77"/>
      <c r="P19" s="61"/>
      <c r="Q19" s="62"/>
      <c r="R19" s="60"/>
      <c r="S19" s="62"/>
      <c r="T19" s="60"/>
      <c r="U19" s="78"/>
      <c r="V19" s="77"/>
      <c r="W19" s="61"/>
      <c r="X19" s="62"/>
      <c r="Y19" s="60"/>
      <c r="Z19" s="62"/>
      <c r="AA19" s="60"/>
      <c r="AB19" s="69"/>
      <c r="AC19" s="77"/>
      <c r="AD19" s="61"/>
      <c r="AE19" s="62"/>
      <c r="AF19" s="60"/>
      <c r="AG19" s="62"/>
      <c r="AH19" s="60"/>
      <c r="AI19" s="69"/>
      <c r="AJ19" s="77"/>
      <c r="AK19" s="61"/>
      <c r="AL19" s="62"/>
      <c r="AM19" s="60"/>
      <c r="AN19" s="62"/>
      <c r="AO19" s="60"/>
      <c r="AP19" s="69"/>
      <c r="AQ19" s="77"/>
      <c r="AR19" s="61"/>
      <c r="AS19" s="62"/>
      <c r="AT19" s="60"/>
      <c r="AU19" s="62"/>
      <c r="AV19" s="60"/>
      <c r="AW19" s="69"/>
      <c r="AX19" s="77"/>
      <c r="AY19" s="61"/>
      <c r="AZ19" s="62"/>
      <c r="BA19" s="60"/>
      <c r="BB19" s="62"/>
      <c r="BC19" s="60"/>
      <c r="BD19" s="69"/>
      <c r="BE19" s="105"/>
    </row>
    <row r="20" spans="2:57" ht="15" hidden="1" customHeight="1" outlineLevel="2" x14ac:dyDescent="0.3">
      <c r="B20" s="93" t="s">
        <v>5745</v>
      </c>
      <c r="C20" s="43"/>
      <c r="D20" s="43" t="s">
        <v>5762</v>
      </c>
      <c r="E20" s="39" t="s">
        <v>5748</v>
      </c>
      <c r="F20" s="39" t="s">
        <v>5748</v>
      </c>
      <c r="G20" s="68"/>
      <c r="H20" s="75"/>
      <c r="I20" s="41"/>
      <c r="J20" s="42"/>
      <c r="K20" s="40"/>
      <c r="L20" s="42"/>
      <c r="M20" s="40"/>
      <c r="N20" s="76"/>
      <c r="O20" s="75"/>
      <c r="P20" s="41"/>
      <c r="Q20" s="42"/>
      <c r="R20" s="40"/>
      <c r="S20" s="42"/>
      <c r="T20" s="40"/>
      <c r="U20" s="76"/>
      <c r="V20" s="75"/>
      <c r="W20" s="41"/>
      <c r="X20" s="42"/>
      <c r="Y20" s="40"/>
      <c r="Z20" s="42"/>
      <c r="AA20" s="40"/>
      <c r="AB20" s="68"/>
      <c r="AC20" s="75"/>
      <c r="AD20" s="41"/>
      <c r="AE20" s="42"/>
      <c r="AF20" s="40"/>
      <c r="AG20" s="42"/>
      <c r="AH20" s="40"/>
      <c r="AI20" s="68"/>
      <c r="AJ20" s="75"/>
      <c r="AK20" s="41"/>
      <c r="AL20" s="42"/>
      <c r="AM20" s="40"/>
      <c r="AN20" s="42"/>
      <c r="AO20" s="40"/>
      <c r="AP20" s="68"/>
      <c r="AQ20" s="75"/>
      <c r="AR20" s="41"/>
      <c r="AS20" s="42"/>
      <c r="AT20" s="40"/>
      <c r="AU20" s="42"/>
      <c r="AV20" s="40"/>
      <c r="AW20" s="68"/>
      <c r="AX20" s="75"/>
      <c r="AY20" s="41"/>
      <c r="AZ20" s="42"/>
      <c r="BA20" s="40"/>
      <c r="BB20" s="42"/>
      <c r="BC20" s="40"/>
      <c r="BD20" s="68"/>
      <c r="BE20" s="105"/>
    </row>
    <row r="21" spans="2:57" ht="15" hidden="1" customHeight="1" outlineLevel="2" x14ac:dyDescent="0.3">
      <c r="B21" s="93" t="s">
        <v>5745</v>
      </c>
      <c r="C21" s="43"/>
      <c r="D21" s="44"/>
      <c r="E21" s="45" t="s">
        <v>5750</v>
      </c>
      <c r="F21" s="45" t="s">
        <v>5750</v>
      </c>
      <c r="G21" s="70"/>
      <c r="H21" s="79"/>
      <c r="I21" s="47"/>
      <c r="J21" s="48"/>
      <c r="K21" s="46"/>
      <c r="L21" s="48"/>
      <c r="M21" s="46"/>
      <c r="N21" s="80"/>
      <c r="O21" s="79"/>
      <c r="P21" s="47"/>
      <c r="Q21" s="48"/>
      <c r="R21" s="46"/>
      <c r="S21" s="48"/>
      <c r="T21" s="46"/>
      <c r="U21" s="80"/>
      <c r="V21" s="79"/>
      <c r="W21" s="47"/>
      <c r="X21" s="48"/>
      <c r="Y21" s="46"/>
      <c r="Z21" s="48"/>
      <c r="AA21" s="46"/>
      <c r="AB21" s="70"/>
      <c r="AC21" s="79"/>
      <c r="AD21" s="47"/>
      <c r="AE21" s="48"/>
      <c r="AF21" s="46"/>
      <c r="AG21" s="48"/>
      <c r="AH21" s="46"/>
      <c r="AI21" s="70"/>
      <c r="AJ21" s="79"/>
      <c r="AK21" s="47"/>
      <c r="AL21" s="48"/>
      <c r="AM21" s="46"/>
      <c r="AN21" s="48"/>
      <c r="AO21" s="46"/>
      <c r="AP21" s="70"/>
      <c r="AQ21" s="79"/>
      <c r="AR21" s="47"/>
      <c r="AS21" s="48"/>
      <c r="AT21" s="46"/>
      <c r="AU21" s="48"/>
      <c r="AV21" s="46"/>
      <c r="AW21" s="70"/>
      <c r="AX21" s="79"/>
      <c r="AY21" s="47"/>
      <c r="AZ21" s="48"/>
      <c r="BA21" s="46"/>
      <c r="BB21" s="48"/>
      <c r="BC21" s="46"/>
      <c r="BD21" s="70"/>
      <c r="BE21" s="105"/>
    </row>
    <row r="22" spans="2:57" ht="15" hidden="1" customHeight="1" outlineLevel="2" x14ac:dyDescent="0.3">
      <c r="B22" s="93" t="s">
        <v>5745</v>
      </c>
      <c r="C22" s="38" t="s">
        <v>5753</v>
      </c>
      <c r="D22" s="38" t="s">
        <v>5763</v>
      </c>
      <c r="E22" s="39" t="s">
        <v>5749</v>
      </c>
      <c r="F22" s="39" t="s">
        <v>5749</v>
      </c>
      <c r="G22" s="68"/>
      <c r="H22" s="75"/>
      <c r="I22" s="41"/>
      <c r="J22" s="42"/>
      <c r="K22" s="40"/>
      <c r="L22" s="42"/>
      <c r="M22" s="40"/>
      <c r="N22" s="76"/>
      <c r="O22" s="75"/>
      <c r="P22" s="41"/>
      <c r="Q22" s="42"/>
      <c r="R22" s="40"/>
      <c r="S22" s="42"/>
      <c r="T22" s="40"/>
      <c r="U22" s="76"/>
      <c r="V22" s="75"/>
      <c r="W22" s="41"/>
      <c r="X22" s="42"/>
      <c r="Y22" s="40"/>
      <c r="Z22" s="42"/>
      <c r="AA22" s="40"/>
      <c r="AB22" s="68"/>
      <c r="AC22" s="75"/>
      <c r="AD22" s="41"/>
      <c r="AE22" s="42"/>
      <c r="AF22" s="40"/>
      <c r="AG22" s="42"/>
      <c r="AH22" s="40"/>
      <c r="AI22" s="68"/>
      <c r="AJ22" s="75"/>
      <c r="AK22" s="41"/>
      <c r="AL22" s="42"/>
      <c r="AM22" s="40"/>
      <c r="AN22" s="42"/>
      <c r="AO22" s="40"/>
      <c r="AP22" s="68"/>
      <c r="AQ22" s="75"/>
      <c r="AR22" s="41"/>
      <c r="AS22" s="42"/>
      <c r="AT22" s="40"/>
      <c r="AU22" s="42"/>
      <c r="AV22" s="40"/>
      <c r="AW22" s="68"/>
      <c r="AX22" s="75"/>
      <c r="AY22" s="41"/>
      <c r="AZ22" s="42"/>
      <c r="BA22" s="40"/>
      <c r="BB22" s="42"/>
      <c r="BC22" s="40"/>
      <c r="BD22" s="68"/>
      <c r="BE22" s="105"/>
    </row>
    <row r="23" spans="2:57" ht="15" hidden="1" customHeight="1" outlineLevel="2" x14ac:dyDescent="0.3">
      <c r="B23" s="93" t="s">
        <v>5745</v>
      </c>
      <c r="C23" s="43"/>
      <c r="D23" s="44"/>
      <c r="E23" s="49" t="s">
        <v>5749</v>
      </c>
      <c r="F23" s="49" t="s">
        <v>5749</v>
      </c>
      <c r="G23" s="69"/>
      <c r="H23" s="77"/>
      <c r="I23" s="61"/>
      <c r="J23" s="62"/>
      <c r="K23" s="60"/>
      <c r="L23" s="62"/>
      <c r="M23" s="60"/>
      <c r="N23" s="78"/>
      <c r="O23" s="77"/>
      <c r="P23" s="61"/>
      <c r="Q23" s="62"/>
      <c r="R23" s="60"/>
      <c r="S23" s="62"/>
      <c r="T23" s="60"/>
      <c r="U23" s="78"/>
      <c r="V23" s="77"/>
      <c r="W23" s="61"/>
      <c r="X23" s="62"/>
      <c r="Y23" s="60"/>
      <c r="Z23" s="62"/>
      <c r="AA23" s="60"/>
      <c r="AB23" s="69"/>
      <c r="AC23" s="77"/>
      <c r="AD23" s="61"/>
      <c r="AE23" s="62"/>
      <c r="AF23" s="60"/>
      <c r="AG23" s="62"/>
      <c r="AH23" s="60"/>
      <c r="AI23" s="69"/>
      <c r="AJ23" s="77"/>
      <c r="AK23" s="61"/>
      <c r="AL23" s="62"/>
      <c r="AM23" s="60"/>
      <c r="AN23" s="62"/>
      <c r="AO23" s="60"/>
      <c r="AP23" s="69"/>
      <c r="AQ23" s="77"/>
      <c r="AR23" s="61"/>
      <c r="AS23" s="62"/>
      <c r="AT23" s="60"/>
      <c r="AU23" s="62"/>
      <c r="AV23" s="60"/>
      <c r="AW23" s="69"/>
      <c r="AX23" s="77"/>
      <c r="AY23" s="61"/>
      <c r="AZ23" s="62"/>
      <c r="BA23" s="60"/>
      <c r="BB23" s="62"/>
      <c r="BC23" s="60"/>
      <c r="BD23" s="69"/>
      <c r="BE23" s="105"/>
    </row>
    <row r="24" spans="2:57" ht="15" hidden="1" customHeight="1" outlineLevel="2" x14ac:dyDescent="0.3">
      <c r="B24" s="93" t="s">
        <v>5745</v>
      </c>
      <c r="C24" s="43"/>
      <c r="D24" s="38" t="s">
        <v>5764</v>
      </c>
      <c r="E24" s="39" t="s">
        <v>5749</v>
      </c>
      <c r="F24" s="39" t="s">
        <v>5749</v>
      </c>
      <c r="G24" s="68"/>
      <c r="H24" s="75"/>
      <c r="I24" s="41"/>
      <c r="J24" s="42"/>
      <c r="K24" s="40"/>
      <c r="L24" s="42"/>
      <c r="M24" s="40"/>
      <c r="N24" s="76"/>
      <c r="O24" s="75"/>
      <c r="P24" s="41"/>
      <c r="Q24" s="42"/>
      <c r="R24" s="40"/>
      <c r="S24" s="42"/>
      <c r="T24" s="40"/>
      <c r="U24" s="76"/>
      <c r="V24" s="75"/>
      <c r="W24" s="41"/>
      <c r="X24" s="42"/>
      <c r="Y24" s="40"/>
      <c r="Z24" s="42"/>
      <c r="AA24" s="40"/>
      <c r="AB24" s="68"/>
      <c r="AC24" s="75"/>
      <c r="AD24" s="41"/>
      <c r="AE24" s="42"/>
      <c r="AF24" s="40"/>
      <c r="AG24" s="42"/>
      <c r="AH24" s="40"/>
      <c r="AI24" s="68"/>
      <c r="AJ24" s="75"/>
      <c r="AK24" s="41"/>
      <c r="AL24" s="42"/>
      <c r="AM24" s="40"/>
      <c r="AN24" s="42"/>
      <c r="AO24" s="40"/>
      <c r="AP24" s="68"/>
      <c r="AQ24" s="75"/>
      <c r="AR24" s="41"/>
      <c r="AS24" s="42"/>
      <c r="AT24" s="40"/>
      <c r="AU24" s="42"/>
      <c r="AV24" s="40"/>
      <c r="AW24" s="68"/>
      <c r="AX24" s="75"/>
      <c r="AY24" s="41"/>
      <c r="AZ24" s="42"/>
      <c r="BA24" s="40"/>
      <c r="BB24" s="42"/>
      <c r="BC24" s="40"/>
      <c r="BD24" s="68"/>
      <c r="BE24" s="105"/>
    </row>
    <row r="25" spans="2:57" ht="15" hidden="1" customHeight="1" outlineLevel="2" thickBot="1" x14ac:dyDescent="0.35">
      <c r="B25" s="94" t="s">
        <v>5745</v>
      </c>
      <c r="C25" s="95"/>
      <c r="D25" s="95"/>
      <c r="E25" s="96" t="s">
        <v>5749</v>
      </c>
      <c r="F25" s="96" t="s">
        <v>5749</v>
      </c>
      <c r="G25" s="97"/>
      <c r="H25" s="98"/>
      <c r="I25" s="99"/>
      <c r="J25" s="100"/>
      <c r="K25" s="101"/>
      <c r="L25" s="100"/>
      <c r="M25" s="101"/>
      <c r="N25" s="102"/>
      <c r="O25" s="98"/>
      <c r="P25" s="99"/>
      <c r="Q25" s="100"/>
      <c r="R25" s="101"/>
      <c r="S25" s="100"/>
      <c r="T25" s="101"/>
      <c r="U25" s="102"/>
      <c r="V25" s="98"/>
      <c r="W25" s="99"/>
      <c r="X25" s="100"/>
      <c r="Y25" s="101"/>
      <c r="Z25" s="100"/>
      <c r="AA25" s="101"/>
      <c r="AB25" s="97"/>
      <c r="AC25" s="98"/>
      <c r="AD25" s="99"/>
      <c r="AE25" s="100"/>
      <c r="AF25" s="101"/>
      <c r="AG25" s="100"/>
      <c r="AH25" s="101"/>
      <c r="AI25" s="97"/>
      <c r="AJ25" s="98"/>
      <c r="AK25" s="99"/>
      <c r="AL25" s="100"/>
      <c r="AM25" s="101"/>
      <c r="AN25" s="100"/>
      <c r="AO25" s="101"/>
      <c r="AP25" s="97"/>
      <c r="AQ25" s="98"/>
      <c r="AR25" s="99"/>
      <c r="AS25" s="100"/>
      <c r="AT25" s="101"/>
      <c r="AU25" s="100"/>
      <c r="AV25" s="101"/>
      <c r="AW25" s="97"/>
      <c r="AX25" s="98"/>
      <c r="AY25" s="99"/>
      <c r="AZ25" s="100"/>
      <c r="BA25" s="101"/>
      <c r="BB25" s="100"/>
      <c r="BC25" s="101"/>
      <c r="BD25" s="97"/>
      <c r="BE25" s="105"/>
    </row>
    <row r="26" spans="2:57" collapsed="1" x14ac:dyDescent="0.3">
      <c r="B26" s="106"/>
      <c r="C26" s="106"/>
      <c r="D26" s="106"/>
      <c r="E26" s="106"/>
      <c r="F26" s="106"/>
      <c r="G26" s="107"/>
      <c r="H26" s="107"/>
      <c r="I26" s="107"/>
      <c r="J26" s="107"/>
      <c r="K26" s="107"/>
      <c r="L26" s="107"/>
      <c r="M26" s="107"/>
      <c r="N26" s="107"/>
      <c r="O26" s="107"/>
      <c r="P26" s="107"/>
      <c r="Q26" s="107"/>
      <c r="R26" s="107"/>
      <c r="S26" s="107"/>
      <c r="T26" s="107"/>
      <c r="U26" s="107"/>
      <c r="V26" s="107"/>
      <c r="W26" s="107"/>
      <c r="X26" s="107"/>
      <c r="Y26" s="107"/>
      <c r="Z26" s="107"/>
      <c r="AA26" s="107"/>
      <c r="AB26" s="107"/>
      <c r="AC26" s="107"/>
      <c r="AD26" s="107"/>
      <c r="AE26" s="107"/>
      <c r="AF26" s="107"/>
      <c r="AG26" s="107"/>
      <c r="AH26" s="107"/>
      <c r="AI26" s="107"/>
      <c r="AJ26" s="107"/>
      <c r="AK26" s="107"/>
      <c r="AL26" s="107"/>
      <c r="AM26" s="107"/>
      <c r="AN26" s="107"/>
      <c r="AO26" s="107"/>
      <c r="AP26" s="107"/>
      <c r="AQ26" s="107"/>
      <c r="AR26" s="107"/>
      <c r="AS26" s="107"/>
      <c r="AT26" s="107"/>
      <c r="AU26" s="107"/>
      <c r="AV26" s="107"/>
      <c r="AW26" s="107"/>
      <c r="AX26" s="107"/>
      <c r="AY26" s="107"/>
      <c r="AZ26" s="107"/>
    </row>
    <row r="27" spans="2:57" x14ac:dyDescent="0.3">
      <c r="B27" s="82"/>
      <c r="C27" s="82"/>
      <c r="D27" s="82"/>
      <c r="E27" s="82"/>
      <c r="F27" s="82"/>
      <c r="G27" s="59"/>
      <c r="H27" s="59"/>
      <c r="I27" s="59"/>
      <c r="J27" s="59"/>
      <c r="K27" s="59"/>
      <c r="L27" s="59"/>
      <c r="M27" s="59"/>
      <c r="N27" s="59"/>
      <c r="O27" s="59"/>
      <c r="P27" s="59"/>
      <c r="Q27" s="59"/>
      <c r="R27" s="59"/>
      <c r="S27" s="59"/>
      <c r="T27" s="59"/>
      <c r="U27" s="59"/>
      <c r="V27" s="59"/>
      <c r="W27" s="59"/>
      <c r="X27" s="59"/>
      <c r="Y27" s="59"/>
      <c r="Z27" s="59"/>
      <c r="AA27" s="59"/>
      <c r="AB27" s="59"/>
      <c r="AC27" s="59"/>
      <c r="AD27" s="59"/>
      <c r="AE27" s="59"/>
      <c r="AF27" s="59"/>
      <c r="AG27" s="59"/>
      <c r="AH27" s="59"/>
      <c r="AI27" s="59"/>
      <c r="AJ27" s="59"/>
      <c r="AK27" s="59"/>
      <c r="AL27" s="59"/>
      <c r="AM27" s="59"/>
      <c r="AN27" s="59"/>
      <c r="AO27" s="59"/>
      <c r="AP27" s="59"/>
      <c r="AQ27" s="59"/>
      <c r="AR27" s="59"/>
      <c r="AS27" s="59"/>
      <c r="AT27" s="59"/>
      <c r="AU27" s="59"/>
      <c r="AV27" s="59"/>
      <c r="AW27" s="59"/>
      <c r="AX27" s="59"/>
      <c r="AY27" s="59"/>
      <c r="AZ27" s="59"/>
    </row>
    <row r="28" spans="2:57" x14ac:dyDescent="0.3">
      <c r="B28" s="82"/>
      <c r="C28" s="82"/>
      <c r="D28" s="82"/>
      <c r="E28" s="82"/>
      <c r="F28" s="82"/>
      <c r="G28" s="59"/>
      <c r="H28" s="59"/>
      <c r="I28" s="59"/>
      <c r="J28" s="59"/>
      <c r="K28" s="59"/>
      <c r="L28" s="59"/>
      <c r="M28" s="59"/>
      <c r="N28" s="59"/>
      <c r="O28" s="59"/>
      <c r="P28" s="59"/>
      <c r="Q28" s="59"/>
      <c r="R28" s="59"/>
      <c r="S28" s="59"/>
      <c r="T28" s="59"/>
      <c r="U28" s="59"/>
      <c r="V28" s="59"/>
      <c r="W28" s="59"/>
      <c r="X28" s="59"/>
      <c r="Y28" s="59"/>
      <c r="Z28" s="59"/>
      <c r="AA28" s="59"/>
      <c r="AB28" s="59"/>
      <c r="AC28" s="59"/>
      <c r="AD28" s="59"/>
      <c r="AE28" s="59"/>
      <c r="AF28" s="59"/>
      <c r="AG28" s="59"/>
      <c r="AH28" s="59"/>
      <c r="AI28" s="59"/>
      <c r="AJ28" s="59"/>
      <c r="AK28" s="59"/>
      <c r="AL28" s="59"/>
      <c r="AM28" s="59"/>
      <c r="AN28" s="59"/>
      <c r="AO28" s="59"/>
      <c r="AP28" s="59"/>
      <c r="AQ28" s="59"/>
      <c r="AR28" s="59"/>
      <c r="AS28" s="59"/>
      <c r="AT28" s="59"/>
      <c r="AU28" s="59"/>
      <c r="AV28" s="59"/>
      <c r="AW28" s="59"/>
      <c r="AX28" s="59"/>
      <c r="AY28" s="59"/>
      <c r="AZ28" s="59"/>
    </row>
    <row r="29" spans="2:57" ht="15" thickBot="1" x14ac:dyDescent="0.35">
      <c r="B29" s="103" t="s">
        <v>5775</v>
      </c>
    </row>
    <row r="30" spans="2:57" ht="16.5" customHeight="1" x14ac:dyDescent="0.3">
      <c r="B30" s="83" t="s">
        <v>5756</v>
      </c>
      <c r="C30" s="84" t="s">
        <v>5752</v>
      </c>
      <c r="D30" s="85" t="s">
        <v>5760</v>
      </c>
      <c r="E30" s="84" t="s">
        <v>976</v>
      </c>
      <c r="F30" s="84" t="s">
        <v>5751</v>
      </c>
      <c r="G30" s="86" t="s">
        <v>5740</v>
      </c>
      <c r="H30" s="87" t="s">
        <v>1046</v>
      </c>
      <c r="I30" s="88"/>
      <c r="J30" s="88"/>
      <c r="K30" s="88"/>
      <c r="L30" s="88"/>
      <c r="M30" s="88"/>
      <c r="N30" s="89"/>
      <c r="O30" s="87" t="s">
        <v>1047</v>
      </c>
      <c r="P30" s="88"/>
      <c r="Q30" s="88"/>
      <c r="R30" s="88"/>
      <c r="S30" s="88"/>
      <c r="T30" s="88"/>
      <c r="U30" s="89"/>
      <c r="V30" s="87" t="s">
        <v>5765</v>
      </c>
      <c r="W30" s="88"/>
      <c r="X30" s="88"/>
      <c r="Y30" s="88"/>
      <c r="Z30" s="88"/>
      <c r="AA30" s="88"/>
      <c r="AB30" s="88"/>
      <c r="AC30" s="87" t="s">
        <v>5766</v>
      </c>
      <c r="AD30" s="88"/>
      <c r="AE30" s="88"/>
      <c r="AF30" s="88"/>
      <c r="AG30" s="88"/>
      <c r="AH30" s="88"/>
      <c r="AI30" s="88"/>
      <c r="AJ30" s="87" t="s">
        <v>5767</v>
      </c>
      <c r="AK30" s="88"/>
      <c r="AL30" s="88"/>
      <c r="AM30" s="88"/>
      <c r="AN30" s="88"/>
      <c r="AO30" s="88"/>
      <c r="AP30" s="88"/>
      <c r="AQ30" s="87" t="s">
        <v>5768</v>
      </c>
      <c r="AR30" s="88"/>
      <c r="AS30" s="88"/>
      <c r="AT30" s="88"/>
      <c r="AU30" s="88"/>
      <c r="AV30" s="88"/>
      <c r="AW30" s="88"/>
      <c r="AX30" s="87" t="s">
        <v>5769</v>
      </c>
      <c r="AY30" s="88"/>
      <c r="AZ30" s="88"/>
      <c r="BA30" s="88"/>
      <c r="BB30" s="88"/>
      <c r="BC30" s="88"/>
      <c r="BD30" s="88"/>
      <c r="BE30" s="105"/>
    </row>
    <row r="31" spans="2:57" x14ac:dyDescent="0.3">
      <c r="B31" s="90"/>
      <c r="C31" s="50"/>
      <c r="D31" s="51"/>
      <c r="E31" s="50"/>
      <c r="F31" s="50"/>
      <c r="G31" s="66"/>
      <c r="H31" s="71" t="s">
        <v>5755</v>
      </c>
      <c r="I31" s="52" t="s">
        <v>1053</v>
      </c>
      <c r="J31" s="52" t="s">
        <v>977</v>
      </c>
      <c r="K31" s="52" t="s">
        <v>978</v>
      </c>
      <c r="L31" s="52" t="s">
        <v>979</v>
      </c>
      <c r="M31" s="53" t="s">
        <v>5743</v>
      </c>
      <c r="N31" s="72" t="s">
        <v>5744</v>
      </c>
      <c r="O31" s="71" t="s">
        <v>5755</v>
      </c>
      <c r="P31" s="52" t="s">
        <v>1053</v>
      </c>
      <c r="Q31" s="52" t="s">
        <v>977</v>
      </c>
      <c r="R31" s="52" t="s">
        <v>978</v>
      </c>
      <c r="S31" s="52" t="s">
        <v>979</v>
      </c>
      <c r="T31" s="53" t="s">
        <v>5743</v>
      </c>
      <c r="U31" s="72" t="s">
        <v>5744</v>
      </c>
      <c r="V31" s="71" t="s">
        <v>5755</v>
      </c>
      <c r="W31" s="52" t="s">
        <v>1053</v>
      </c>
      <c r="X31" s="52" t="s">
        <v>977</v>
      </c>
      <c r="Y31" s="52" t="s">
        <v>978</v>
      </c>
      <c r="Z31" s="52" t="s">
        <v>979</v>
      </c>
      <c r="AA31" s="53" t="s">
        <v>5743</v>
      </c>
      <c r="AB31" s="81" t="s">
        <v>5744</v>
      </c>
      <c r="AC31" s="71" t="s">
        <v>5755</v>
      </c>
      <c r="AD31" s="52" t="s">
        <v>1053</v>
      </c>
      <c r="AE31" s="52" t="s">
        <v>977</v>
      </c>
      <c r="AF31" s="52" t="s">
        <v>978</v>
      </c>
      <c r="AG31" s="52" t="s">
        <v>979</v>
      </c>
      <c r="AH31" s="53" t="s">
        <v>5743</v>
      </c>
      <c r="AI31" s="81" t="s">
        <v>5744</v>
      </c>
      <c r="AJ31" s="71" t="s">
        <v>5755</v>
      </c>
      <c r="AK31" s="52" t="s">
        <v>1053</v>
      </c>
      <c r="AL31" s="52" t="s">
        <v>977</v>
      </c>
      <c r="AM31" s="52" t="s">
        <v>978</v>
      </c>
      <c r="AN31" s="52" t="s">
        <v>979</v>
      </c>
      <c r="AO31" s="53" t="s">
        <v>5743</v>
      </c>
      <c r="AP31" s="81" t="s">
        <v>5744</v>
      </c>
      <c r="AQ31" s="71" t="s">
        <v>5755</v>
      </c>
      <c r="AR31" s="52" t="s">
        <v>1053</v>
      </c>
      <c r="AS31" s="52" t="s">
        <v>977</v>
      </c>
      <c r="AT31" s="52" t="s">
        <v>978</v>
      </c>
      <c r="AU31" s="52" t="s">
        <v>979</v>
      </c>
      <c r="AV31" s="53" t="s">
        <v>5743</v>
      </c>
      <c r="AW31" s="81" t="s">
        <v>5744</v>
      </c>
      <c r="AX31" s="71" t="s">
        <v>5755</v>
      </c>
      <c r="AY31" s="52" t="s">
        <v>1053</v>
      </c>
      <c r="AZ31" s="52" t="s">
        <v>977</v>
      </c>
      <c r="BA31" s="52" t="s">
        <v>978</v>
      </c>
      <c r="BB31" s="52" t="s">
        <v>979</v>
      </c>
      <c r="BC31" s="53" t="s">
        <v>5743</v>
      </c>
      <c r="BD31" s="81" t="s">
        <v>5744</v>
      </c>
      <c r="BE31" s="105"/>
    </row>
    <row r="32" spans="2:57" ht="15" customHeight="1" x14ac:dyDescent="0.3">
      <c r="B32" s="91" t="s">
        <v>5757</v>
      </c>
      <c r="C32" s="54" t="s">
        <v>5759</v>
      </c>
      <c r="D32" s="55"/>
      <c r="E32" s="56" t="s">
        <v>5746</v>
      </c>
      <c r="F32" s="56" t="s">
        <v>5746</v>
      </c>
      <c r="G32" s="67"/>
      <c r="H32" s="73"/>
      <c r="I32" s="58"/>
      <c r="J32" s="58"/>
      <c r="K32" s="57"/>
      <c r="L32" s="58"/>
      <c r="M32" s="57"/>
      <c r="N32" s="74"/>
      <c r="O32" s="73"/>
      <c r="P32" s="58"/>
      <c r="Q32" s="58"/>
      <c r="R32" s="57"/>
      <c r="S32" s="58"/>
      <c r="T32" s="57"/>
      <c r="U32" s="74"/>
      <c r="V32" s="73"/>
      <c r="W32" s="58"/>
      <c r="X32" s="58"/>
      <c r="Y32" s="57"/>
      <c r="Z32" s="58"/>
      <c r="AA32" s="57"/>
      <c r="AB32" s="67"/>
      <c r="AC32" s="73"/>
      <c r="AD32" s="58"/>
      <c r="AE32" s="58"/>
      <c r="AF32" s="57"/>
      <c r="AG32" s="58"/>
      <c r="AH32" s="57"/>
      <c r="AI32" s="67"/>
      <c r="AJ32" s="73"/>
      <c r="AK32" s="58"/>
      <c r="AL32" s="58"/>
      <c r="AM32" s="57"/>
      <c r="AN32" s="58"/>
      <c r="AO32" s="57"/>
      <c r="AP32" s="67"/>
      <c r="AQ32" s="73"/>
      <c r="AR32" s="58"/>
      <c r="AS32" s="58"/>
      <c r="AT32" s="57"/>
      <c r="AU32" s="58"/>
      <c r="AV32" s="57"/>
      <c r="AW32" s="67"/>
      <c r="AX32" s="73"/>
      <c r="AY32" s="58"/>
      <c r="AZ32" s="58"/>
      <c r="BA32" s="57"/>
      <c r="BB32" s="58"/>
      <c r="BC32" s="57"/>
      <c r="BD32" s="67"/>
      <c r="BE32" s="105"/>
    </row>
    <row r="33" spans="2:57" ht="15" hidden="1" customHeight="1" outlineLevel="1" x14ac:dyDescent="0.3">
      <c r="B33" s="92"/>
      <c r="C33" s="38" t="s">
        <v>5770</v>
      </c>
      <c r="D33" s="38" t="s">
        <v>5761</v>
      </c>
      <c r="E33" s="39" t="s">
        <v>5746</v>
      </c>
      <c r="F33" s="39" t="s">
        <v>5746</v>
      </c>
      <c r="G33" s="68"/>
      <c r="H33" s="75"/>
      <c r="I33" s="41"/>
      <c r="J33" s="42"/>
      <c r="K33" s="40"/>
      <c r="L33" s="42"/>
      <c r="M33" s="40"/>
      <c r="N33" s="76"/>
      <c r="O33" s="75"/>
      <c r="P33" s="41"/>
      <c r="Q33" s="42"/>
      <c r="R33" s="40"/>
      <c r="S33" s="42"/>
      <c r="T33" s="40"/>
      <c r="U33" s="76"/>
      <c r="V33" s="75"/>
      <c r="W33" s="41"/>
      <c r="X33" s="42"/>
      <c r="Y33" s="40"/>
      <c r="Z33" s="42"/>
      <c r="AA33" s="40"/>
      <c r="AB33" s="68"/>
      <c r="AC33" s="75"/>
      <c r="AD33" s="41"/>
      <c r="AE33" s="42"/>
      <c r="AF33" s="40"/>
      <c r="AG33" s="42"/>
      <c r="AH33" s="40"/>
      <c r="AI33" s="68"/>
      <c r="AJ33" s="75"/>
      <c r="AK33" s="41"/>
      <c r="AL33" s="42"/>
      <c r="AM33" s="40"/>
      <c r="AN33" s="42"/>
      <c r="AO33" s="40"/>
      <c r="AP33" s="68"/>
      <c r="AQ33" s="75"/>
      <c r="AR33" s="41"/>
      <c r="AS33" s="42"/>
      <c r="AT33" s="40"/>
      <c r="AU33" s="42"/>
      <c r="AV33" s="40"/>
      <c r="AW33" s="68"/>
      <c r="AX33" s="75"/>
      <c r="AY33" s="41"/>
      <c r="AZ33" s="42"/>
      <c r="BA33" s="40"/>
      <c r="BB33" s="42"/>
      <c r="BC33" s="40"/>
      <c r="BD33" s="68"/>
      <c r="BE33" s="105"/>
    </row>
    <row r="34" spans="2:57" ht="15" hidden="1" customHeight="1" outlineLevel="1" x14ac:dyDescent="0.3">
      <c r="B34" s="93" t="s">
        <v>5745</v>
      </c>
      <c r="C34" s="43"/>
      <c r="D34" s="44"/>
      <c r="E34" s="49" t="s">
        <v>5747</v>
      </c>
      <c r="F34" s="49" t="s">
        <v>5747</v>
      </c>
      <c r="G34" s="69"/>
      <c r="H34" s="77"/>
      <c r="I34" s="61"/>
      <c r="J34" s="62"/>
      <c r="K34" s="60"/>
      <c r="L34" s="62"/>
      <c r="M34" s="60"/>
      <c r="N34" s="78"/>
      <c r="O34" s="77"/>
      <c r="P34" s="61"/>
      <c r="Q34" s="62"/>
      <c r="R34" s="60"/>
      <c r="S34" s="62"/>
      <c r="T34" s="60"/>
      <c r="U34" s="78"/>
      <c r="V34" s="77"/>
      <c r="W34" s="61"/>
      <c r="X34" s="62"/>
      <c r="Y34" s="60"/>
      <c r="Z34" s="62"/>
      <c r="AA34" s="60"/>
      <c r="AB34" s="69"/>
      <c r="AC34" s="77"/>
      <c r="AD34" s="61"/>
      <c r="AE34" s="62"/>
      <c r="AF34" s="60"/>
      <c r="AG34" s="62"/>
      <c r="AH34" s="60"/>
      <c r="AI34" s="69"/>
      <c r="AJ34" s="77"/>
      <c r="AK34" s="61"/>
      <c r="AL34" s="62"/>
      <c r="AM34" s="60"/>
      <c r="AN34" s="62"/>
      <c r="AO34" s="60"/>
      <c r="AP34" s="69"/>
      <c r="AQ34" s="77"/>
      <c r="AR34" s="61"/>
      <c r="AS34" s="62"/>
      <c r="AT34" s="60"/>
      <c r="AU34" s="62"/>
      <c r="AV34" s="60"/>
      <c r="AW34" s="69"/>
      <c r="AX34" s="77"/>
      <c r="AY34" s="61"/>
      <c r="AZ34" s="62"/>
      <c r="BA34" s="60"/>
      <c r="BB34" s="62"/>
      <c r="BC34" s="60"/>
      <c r="BD34" s="69"/>
      <c r="BE34" s="105"/>
    </row>
    <row r="35" spans="2:57" ht="15" hidden="1" customHeight="1" outlineLevel="1" x14ac:dyDescent="0.3">
      <c r="B35" s="93" t="s">
        <v>5745</v>
      </c>
      <c r="C35" s="43"/>
      <c r="D35" s="43" t="s">
        <v>5762</v>
      </c>
      <c r="E35" s="39" t="s">
        <v>5748</v>
      </c>
      <c r="F35" s="39" t="s">
        <v>5748</v>
      </c>
      <c r="G35" s="68"/>
      <c r="H35" s="75"/>
      <c r="I35" s="41"/>
      <c r="J35" s="42"/>
      <c r="K35" s="40"/>
      <c r="L35" s="42"/>
      <c r="M35" s="40"/>
      <c r="N35" s="76"/>
      <c r="O35" s="75"/>
      <c r="P35" s="41"/>
      <c r="Q35" s="42"/>
      <c r="R35" s="40"/>
      <c r="S35" s="42"/>
      <c r="T35" s="40"/>
      <c r="U35" s="76"/>
      <c r="V35" s="75"/>
      <c r="W35" s="41"/>
      <c r="X35" s="42"/>
      <c r="Y35" s="40"/>
      <c r="Z35" s="42"/>
      <c r="AA35" s="40"/>
      <c r="AB35" s="68"/>
      <c r="AC35" s="75"/>
      <c r="AD35" s="41"/>
      <c r="AE35" s="42"/>
      <c r="AF35" s="40"/>
      <c r="AG35" s="42"/>
      <c r="AH35" s="40"/>
      <c r="AI35" s="68"/>
      <c r="AJ35" s="75"/>
      <c r="AK35" s="41"/>
      <c r="AL35" s="42"/>
      <c r="AM35" s="40"/>
      <c r="AN35" s="42"/>
      <c r="AO35" s="40"/>
      <c r="AP35" s="68"/>
      <c r="AQ35" s="75"/>
      <c r="AR35" s="41"/>
      <c r="AS35" s="42"/>
      <c r="AT35" s="40"/>
      <c r="AU35" s="42"/>
      <c r="AV35" s="40"/>
      <c r="AW35" s="68"/>
      <c r="AX35" s="75"/>
      <c r="AY35" s="41"/>
      <c r="AZ35" s="42"/>
      <c r="BA35" s="40"/>
      <c r="BB35" s="42"/>
      <c r="BC35" s="40"/>
      <c r="BD35" s="68"/>
      <c r="BE35" s="105"/>
    </row>
    <row r="36" spans="2:57" ht="15" hidden="1" customHeight="1" outlineLevel="1" x14ac:dyDescent="0.3">
      <c r="B36" s="93" t="s">
        <v>5745</v>
      </c>
      <c r="C36" s="43"/>
      <c r="D36" s="44"/>
      <c r="E36" s="45" t="s">
        <v>5750</v>
      </c>
      <c r="F36" s="45" t="s">
        <v>5750</v>
      </c>
      <c r="G36" s="70"/>
      <c r="H36" s="79"/>
      <c r="I36" s="47"/>
      <c r="J36" s="48"/>
      <c r="K36" s="46"/>
      <c r="L36" s="48"/>
      <c r="M36" s="46"/>
      <c r="N36" s="80"/>
      <c r="O36" s="79"/>
      <c r="P36" s="47"/>
      <c r="Q36" s="48"/>
      <c r="R36" s="46"/>
      <c r="S36" s="48"/>
      <c r="T36" s="46"/>
      <c r="U36" s="80"/>
      <c r="V36" s="79"/>
      <c r="W36" s="47"/>
      <c r="X36" s="48"/>
      <c r="Y36" s="46"/>
      <c r="Z36" s="48"/>
      <c r="AA36" s="46"/>
      <c r="AB36" s="70"/>
      <c r="AC36" s="79"/>
      <c r="AD36" s="47"/>
      <c r="AE36" s="48"/>
      <c r="AF36" s="46"/>
      <c r="AG36" s="48"/>
      <c r="AH36" s="46"/>
      <c r="AI36" s="70"/>
      <c r="AJ36" s="79"/>
      <c r="AK36" s="47"/>
      <c r="AL36" s="48"/>
      <c r="AM36" s="46"/>
      <c r="AN36" s="48"/>
      <c r="AO36" s="46"/>
      <c r="AP36" s="70"/>
      <c r="AQ36" s="79"/>
      <c r="AR36" s="47"/>
      <c r="AS36" s="48"/>
      <c r="AT36" s="46"/>
      <c r="AU36" s="48"/>
      <c r="AV36" s="46"/>
      <c r="AW36" s="70"/>
      <c r="AX36" s="79"/>
      <c r="AY36" s="47"/>
      <c r="AZ36" s="48"/>
      <c r="BA36" s="46"/>
      <c r="BB36" s="48"/>
      <c r="BC36" s="46"/>
      <c r="BD36" s="70"/>
      <c r="BE36" s="105"/>
    </row>
    <row r="37" spans="2:57" ht="15" hidden="1" customHeight="1" outlineLevel="1" x14ac:dyDescent="0.3">
      <c r="B37" s="93" t="s">
        <v>5745</v>
      </c>
      <c r="C37" s="38" t="s">
        <v>5753</v>
      </c>
      <c r="D37" s="38" t="s">
        <v>5763</v>
      </c>
      <c r="E37" s="39" t="s">
        <v>5749</v>
      </c>
      <c r="F37" s="39" t="s">
        <v>5749</v>
      </c>
      <c r="G37" s="68"/>
      <c r="H37" s="75"/>
      <c r="I37" s="41"/>
      <c r="J37" s="42"/>
      <c r="K37" s="40"/>
      <c r="L37" s="42"/>
      <c r="M37" s="40"/>
      <c r="N37" s="76"/>
      <c r="O37" s="75"/>
      <c r="P37" s="41"/>
      <c r="Q37" s="42"/>
      <c r="R37" s="40"/>
      <c r="S37" s="42"/>
      <c r="T37" s="40"/>
      <c r="U37" s="76"/>
      <c r="V37" s="75"/>
      <c r="W37" s="41"/>
      <c r="X37" s="42"/>
      <c r="Y37" s="40"/>
      <c r="Z37" s="42"/>
      <c r="AA37" s="40"/>
      <c r="AB37" s="68"/>
      <c r="AC37" s="75"/>
      <c r="AD37" s="41"/>
      <c r="AE37" s="42"/>
      <c r="AF37" s="40"/>
      <c r="AG37" s="42"/>
      <c r="AH37" s="40"/>
      <c r="AI37" s="68"/>
      <c r="AJ37" s="75"/>
      <c r="AK37" s="41"/>
      <c r="AL37" s="42"/>
      <c r="AM37" s="40"/>
      <c r="AN37" s="42"/>
      <c r="AO37" s="40"/>
      <c r="AP37" s="68"/>
      <c r="AQ37" s="75"/>
      <c r="AR37" s="41"/>
      <c r="AS37" s="42"/>
      <c r="AT37" s="40"/>
      <c r="AU37" s="42"/>
      <c r="AV37" s="40"/>
      <c r="AW37" s="68"/>
      <c r="AX37" s="75"/>
      <c r="AY37" s="41"/>
      <c r="AZ37" s="42"/>
      <c r="BA37" s="40"/>
      <c r="BB37" s="42"/>
      <c r="BC37" s="40"/>
      <c r="BD37" s="68"/>
      <c r="BE37" s="105"/>
    </row>
    <row r="38" spans="2:57" ht="15" hidden="1" customHeight="1" outlineLevel="1" x14ac:dyDescent="0.3">
      <c r="B38" s="93" t="s">
        <v>5745</v>
      </c>
      <c r="C38" s="43"/>
      <c r="D38" s="44"/>
      <c r="E38" s="49" t="s">
        <v>5749</v>
      </c>
      <c r="F38" s="49" t="s">
        <v>5749</v>
      </c>
      <c r="G38" s="69"/>
      <c r="H38" s="77"/>
      <c r="I38" s="61"/>
      <c r="J38" s="62"/>
      <c r="K38" s="60"/>
      <c r="L38" s="62"/>
      <c r="M38" s="60"/>
      <c r="N38" s="78"/>
      <c r="O38" s="77"/>
      <c r="P38" s="61"/>
      <c r="Q38" s="62"/>
      <c r="R38" s="60"/>
      <c r="S38" s="62"/>
      <c r="T38" s="60"/>
      <c r="U38" s="78"/>
      <c r="V38" s="77"/>
      <c r="W38" s="61"/>
      <c r="X38" s="62"/>
      <c r="Y38" s="60"/>
      <c r="Z38" s="62"/>
      <c r="AA38" s="60"/>
      <c r="AB38" s="69"/>
      <c r="AC38" s="77"/>
      <c r="AD38" s="61"/>
      <c r="AE38" s="62"/>
      <c r="AF38" s="60"/>
      <c r="AG38" s="62"/>
      <c r="AH38" s="60"/>
      <c r="AI38" s="69"/>
      <c r="AJ38" s="77"/>
      <c r="AK38" s="61"/>
      <c r="AL38" s="62"/>
      <c r="AM38" s="60"/>
      <c r="AN38" s="62"/>
      <c r="AO38" s="60"/>
      <c r="AP38" s="69"/>
      <c r="AQ38" s="77"/>
      <c r="AR38" s="61"/>
      <c r="AS38" s="62"/>
      <c r="AT38" s="60"/>
      <c r="AU38" s="62"/>
      <c r="AV38" s="60"/>
      <c r="AW38" s="69"/>
      <c r="AX38" s="77"/>
      <c r="AY38" s="61"/>
      <c r="AZ38" s="62"/>
      <c r="BA38" s="60"/>
      <c r="BB38" s="62"/>
      <c r="BC38" s="60"/>
      <c r="BD38" s="69"/>
      <c r="BE38" s="105"/>
    </row>
    <row r="39" spans="2:57" ht="15" hidden="1" customHeight="1" outlineLevel="1" x14ac:dyDescent="0.3">
      <c r="B39" s="93" t="s">
        <v>5745</v>
      </c>
      <c r="C39" s="43"/>
      <c r="D39" s="38" t="s">
        <v>5764</v>
      </c>
      <c r="E39" s="39" t="s">
        <v>5749</v>
      </c>
      <c r="F39" s="39" t="s">
        <v>5749</v>
      </c>
      <c r="G39" s="68"/>
      <c r="H39" s="75"/>
      <c r="I39" s="41"/>
      <c r="J39" s="42"/>
      <c r="K39" s="40"/>
      <c r="L39" s="42"/>
      <c r="M39" s="40"/>
      <c r="N39" s="76"/>
      <c r="O39" s="75"/>
      <c r="P39" s="41"/>
      <c r="Q39" s="42"/>
      <c r="R39" s="40"/>
      <c r="S39" s="42"/>
      <c r="T39" s="40"/>
      <c r="U39" s="76"/>
      <c r="V39" s="75"/>
      <c r="W39" s="41"/>
      <c r="X39" s="42"/>
      <c r="Y39" s="40"/>
      <c r="Z39" s="42"/>
      <c r="AA39" s="40"/>
      <c r="AB39" s="68"/>
      <c r="AC39" s="75"/>
      <c r="AD39" s="41"/>
      <c r="AE39" s="42"/>
      <c r="AF39" s="40"/>
      <c r="AG39" s="42"/>
      <c r="AH39" s="40"/>
      <c r="AI39" s="68"/>
      <c r="AJ39" s="75"/>
      <c r="AK39" s="41"/>
      <c r="AL39" s="42"/>
      <c r="AM39" s="40"/>
      <c r="AN39" s="42"/>
      <c r="AO39" s="40"/>
      <c r="AP39" s="68"/>
      <c r="AQ39" s="75"/>
      <c r="AR39" s="41"/>
      <c r="AS39" s="42"/>
      <c r="AT39" s="40"/>
      <c r="AU39" s="42"/>
      <c r="AV39" s="40"/>
      <c r="AW39" s="68"/>
      <c r="AX39" s="75"/>
      <c r="AY39" s="41"/>
      <c r="AZ39" s="42"/>
      <c r="BA39" s="40"/>
      <c r="BB39" s="42"/>
      <c r="BC39" s="40"/>
      <c r="BD39" s="68"/>
      <c r="BE39" s="105"/>
    </row>
    <row r="40" spans="2:57" ht="15" hidden="1" customHeight="1" outlineLevel="1" thickBot="1" x14ac:dyDescent="0.35">
      <c r="B40" s="93" t="s">
        <v>5745</v>
      </c>
      <c r="C40" s="43"/>
      <c r="D40" s="43"/>
      <c r="E40" s="49" t="s">
        <v>5749</v>
      </c>
      <c r="F40" s="49" t="s">
        <v>5749</v>
      </c>
      <c r="G40" s="69"/>
      <c r="H40" s="77"/>
      <c r="I40" s="61"/>
      <c r="J40" s="62"/>
      <c r="K40" s="60"/>
      <c r="L40" s="62"/>
      <c r="M40" s="60"/>
      <c r="N40" s="78"/>
      <c r="O40" s="77"/>
      <c r="P40" s="61"/>
      <c r="Q40" s="62"/>
      <c r="R40" s="60"/>
      <c r="S40" s="62"/>
      <c r="T40" s="60"/>
      <c r="U40" s="78"/>
      <c r="V40" s="77"/>
      <c r="W40" s="61"/>
      <c r="X40" s="62"/>
      <c r="Y40" s="60"/>
      <c r="Z40" s="62"/>
      <c r="AA40" s="60"/>
      <c r="AB40" s="69"/>
      <c r="AC40" s="77"/>
      <c r="AD40" s="61"/>
      <c r="AE40" s="62"/>
      <c r="AF40" s="60"/>
      <c r="AG40" s="62"/>
      <c r="AH40" s="60"/>
      <c r="AI40" s="69"/>
      <c r="AJ40" s="77"/>
      <c r="AK40" s="61"/>
      <c r="AL40" s="62"/>
      <c r="AM40" s="60"/>
      <c r="AN40" s="62"/>
      <c r="AO40" s="60"/>
      <c r="AP40" s="69"/>
      <c r="AQ40" s="77"/>
      <c r="AR40" s="61"/>
      <c r="AS40" s="62"/>
      <c r="AT40" s="60"/>
      <c r="AU40" s="62"/>
      <c r="AV40" s="60"/>
      <c r="AW40" s="69"/>
      <c r="AX40" s="77"/>
      <c r="AY40" s="61"/>
      <c r="AZ40" s="62"/>
      <c r="BA40" s="101"/>
      <c r="BB40" s="100"/>
      <c r="BC40" s="101"/>
      <c r="BD40" s="97"/>
      <c r="BE40" s="105"/>
    </row>
    <row r="41" spans="2:57" ht="15" customHeight="1" collapsed="1" x14ac:dyDescent="0.3">
      <c r="B41" s="91" t="s">
        <v>5758</v>
      </c>
      <c r="C41" s="54" t="s">
        <v>5759</v>
      </c>
      <c r="D41" s="55"/>
      <c r="E41" s="56" t="s">
        <v>5746</v>
      </c>
      <c r="F41" s="56" t="s">
        <v>5746</v>
      </c>
      <c r="G41" s="67"/>
      <c r="H41" s="73"/>
      <c r="I41" s="58"/>
      <c r="J41" s="58"/>
      <c r="K41" s="57"/>
      <c r="L41" s="58"/>
      <c r="M41" s="57"/>
      <c r="N41" s="74"/>
      <c r="O41" s="73"/>
      <c r="P41" s="58"/>
      <c r="Q41" s="58"/>
      <c r="R41" s="57"/>
      <c r="S41" s="58"/>
      <c r="T41" s="57"/>
      <c r="U41" s="74"/>
      <c r="V41" s="73"/>
      <c r="W41" s="58"/>
      <c r="X41" s="58"/>
      <c r="Y41" s="57"/>
      <c r="Z41" s="58"/>
      <c r="AA41" s="57"/>
      <c r="AB41" s="67"/>
      <c r="AC41" s="73"/>
      <c r="AD41" s="58"/>
      <c r="AE41" s="58"/>
      <c r="AF41" s="57"/>
      <c r="AG41" s="58"/>
      <c r="AH41" s="57"/>
      <c r="AI41" s="67"/>
      <c r="AJ41" s="73"/>
      <c r="AK41" s="58"/>
      <c r="AL41" s="58"/>
      <c r="AM41" s="57"/>
      <c r="AN41" s="58"/>
      <c r="AO41" s="57"/>
      <c r="AP41" s="67"/>
      <c r="AQ41" s="73"/>
      <c r="AR41" s="58"/>
      <c r="AS41" s="58"/>
      <c r="AT41" s="57"/>
      <c r="AU41" s="58"/>
      <c r="AV41" s="57"/>
      <c r="AW41" s="67"/>
      <c r="AX41" s="73"/>
      <c r="AY41" s="58"/>
      <c r="AZ41" s="58"/>
      <c r="BA41" s="57"/>
      <c r="BB41" s="58"/>
      <c r="BC41" s="57"/>
      <c r="BD41" s="67"/>
      <c r="BE41" s="105"/>
    </row>
    <row r="42" spans="2:57" ht="15" hidden="1" customHeight="1" outlineLevel="1" x14ac:dyDescent="0.3">
      <c r="B42" s="92"/>
      <c r="C42" s="38" t="s">
        <v>5770</v>
      </c>
      <c r="D42" s="38" t="s">
        <v>5761</v>
      </c>
      <c r="E42" s="39" t="s">
        <v>5746</v>
      </c>
      <c r="F42" s="39" t="s">
        <v>5746</v>
      </c>
      <c r="G42" s="68"/>
      <c r="H42" s="75"/>
      <c r="I42" s="41"/>
      <c r="J42" s="42"/>
      <c r="K42" s="40"/>
      <c r="L42" s="42"/>
      <c r="M42" s="40"/>
      <c r="N42" s="76"/>
      <c r="O42" s="75"/>
      <c r="P42" s="41"/>
      <c r="Q42" s="42"/>
      <c r="R42" s="40"/>
      <c r="S42" s="42"/>
      <c r="T42" s="40"/>
      <c r="U42" s="76"/>
      <c r="V42" s="75"/>
      <c r="W42" s="41"/>
      <c r="X42" s="42"/>
      <c r="Y42" s="40"/>
      <c r="Z42" s="42"/>
      <c r="AA42" s="40"/>
      <c r="AB42" s="68"/>
      <c r="AC42" s="75"/>
      <c r="AD42" s="41"/>
      <c r="AE42" s="42"/>
      <c r="AF42" s="40"/>
      <c r="AG42" s="42"/>
      <c r="AH42" s="40"/>
      <c r="AI42" s="68"/>
      <c r="AJ42" s="75"/>
      <c r="AK42" s="41"/>
      <c r="AL42" s="42"/>
      <c r="AM42" s="40"/>
      <c r="AN42" s="42"/>
      <c r="AO42" s="40"/>
      <c r="AP42" s="68"/>
      <c r="AQ42" s="75"/>
      <c r="AR42" s="41"/>
      <c r="AS42" s="42"/>
      <c r="AT42" s="40"/>
      <c r="AU42" s="42"/>
      <c r="AV42" s="40"/>
      <c r="AW42" s="68"/>
      <c r="AX42" s="75"/>
      <c r="AY42" s="41"/>
      <c r="AZ42" s="42"/>
      <c r="BA42" s="40"/>
      <c r="BB42" s="42"/>
      <c r="BC42" s="40"/>
      <c r="BD42" s="68"/>
      <c r="BE42" s="105"/>
    </row>
    <row r="43" spans="2:57" ht="15" hidden="1" customHeight="1" outlineLevel="1" x14ac:dyDescent="0.3">
      <c r="B43" s="93" t="s">
        <v>5745</v>
      </c>
      <c r="C43" s="43"/>
      <c r="D43" s="44"/>
      <c r="E43" s="49" t="s">
        <v>5747</v>
      </c>
      <c r="F43" s="49" t="s">
        <v>5747</v>
      </c>
      <c r="G43" s="69"/>
      <c r="H43" s="77"/>
      <c r="I43" s="61"/>
      <c r="J43" s="62"/>
      <c r="K43" s="60"/>
      <c r="L43" s="62"/>
      <c r="M43" s="60"/>
      <c r="N43" s="78"/>
      <c r="O43" s="77"/>
      <c r="P43" s="61"/>
      <c r="Q43" s="62"/>
      <c r="R43" s="60"/>
      <c r="S43" s="62"/>
      <c r="T43" s="60"/>
      <c r="U43" s="78"/>
      <c r="V43" s="77"/>
      <c r="W43" s="61"/>
      <c r="X43" s="62"/>
      <c r="Y43" s="60"/>
      <c r="Z43" s="62"/>
      <c r="AA43" s="60"/>
      <c r="AB43" s="69"/>
      <c r="AC43" s="77"/>
      <c r="AD43" s="61"/>
      <c r="AE43" s="62"/>
      <c r="AF43" s="60"/>
      <c r="AG43" s="62"/>
      <c r="AH43" s="60"/>
      <c r="AI43" s="69"/>
      <c r="AJ43" s="77"/>
      <c r="AK43" s="61"/>
      <c r="AL43" s="62"/>
      <c r="AM43" s="60"/>
      <c r="AN43" s="62"/>
      <c r="AO43" s="60"/>
      <c r="AP43" s="69"/>
      <c r="AQ43" s="77"/>
      <c r="AR43" s="61"/>
      <c r="AS43" s="62"/>
      <c r="AT43" s="60"/>
      <c r="AU43" s="62"/>
      <c r="AV43" s="60"/>
      <c r="AW43" s="69"/>
      <c r="AX43" s="77"/>
      <c r="AY43" s="61"/>
      <c r="AZ43" s="62"/>
      <c r="BA43" s="60"/>
      <c r="BB43" s="62"/>
      <c r="BC43" s="60"/>
      <c r="BD43" s="69"/>
      <c r="BE43" s="105"/>
    </row>
    <row r="44" spans="2:57" ht="15" hidden="1" customHeight="1" outlineLevel="1" x14ac:dyDescent="0.3">
      <c r="B44" s="93" t="s">
        <v>5745</v>
      </c>
      <c r="C44" s="43"/>
      <c r="D44" s="43" t="s">
        <v>5762</v>
      </c>
      <c r="E44" s="39" t="s">
        <v>5748</v>
      </c>
      <c r="F44" s="39" t="s">
        <v>5748</v>
      </c>
      <c r="G44" s="68"/>
      <c r="H44" s="75"/>
      <c r="I44" s="41"/>
      <c r="J44" s="42"/>
      <c r="K44" s="40"/>
      <c r="L44" s="42"/>
      <c r="M44" s="40"/>
      <c r="N44" s="76"/>
      <c r="O44" s="75"/>
      <c r="P44" s="41"/>
      <c r="Q44" s="42"/>
      <c r="R44" s="40"/>
      <c r="S44" s="42"/>
      <c r="T44" s="40"/>
      <c r="U44" s="76"/>
      <c r="V44" s="75"/>
      <c r="W44" s="41"/>
      <c r="X44" s="42"/>
      <c r="Y44" s="40"/>
      <c r="Z44" s="42"/>
      <c r="AA44" s="40"/>
      <c r="AB44" s="68"/>
      <c r="AC44" s="75"/>
      <c r="AD44" s="41"/>
      <c r="AE44" s="42"/>
      <c r="AF44" s="40"/>
      <c r="AG44" s="42"/>
      <c r="AH44" s="40"/>
      <c r="AI44" s="68"/>
      <c r="AJ44" s="75"/>
      <c r="AK44" s="41"/>
      <c r="AL44" s="42"/>
      <c r="AM44" s="40"/>
      <c r="AN44" s="42"/>
      <c r="AO44" s="40"/>
      <c r="AP44" s="68"/>
      <c r="AQ44" s="75"/>
      <c r="AR44" s="41"/>
      <c r="AS44" s="42"/>
      <c r="AT44" s="40"/>
      <c r="AU44" s="42"/>
      <c r="AV44" s="40"/>
      <c r="AW44" s="68"/>
      <c r="AX44" s="75"/>
      <c r="AY44" s="41"/>
      <c r="AZ44" s="42"/>
      <c r="BA44" s="40"/>
      <c r="BB44" s="42"/>
      <c r="BC44" s="40"/>
      <c r="BD44" s="68"/>
      <c r="BE44" s="105"/>
    </row>
    <row r="45" spans="2:57" ht="15" hidden="1" customHeight="1" outlineLevel="1" x14ac:dyDescent="0.3">
      <c r="B45" s="93" t="s">
        <v>5745</v>
      </c>
      <c r="C45" s="43"/>
      <c r="D45" s="44"/>
      <c r="E45" s="45" t="s">
        <v>5750</v>
      </c>
      <c r="F45" s="45" t="s">
        <v>5750</v>
      </c>
      <c r="G45" s="70"/>
      <c r="H45" s="79"/>
      <c r="I45" s="47"/>
      <c r="J45" s="48"/>
      <c r="K45" s="46"/>
      <c r="L45" s="48"/>
      <c r="M45" s="46"/>
      <c r="N45" s="80"/>
      <c r="O45" s="79"/>
      <c r="P45" s="47"/>
      <c r="Q45" s="48"/>
      <c r="R45" s="46"/>
      <c r="S45" s="48"/>
      <c r="T45" s="46"/>
      <c r="U45" s="80"/>
      <c r="V45" s="79"/>
      <c r="W45" s="47"/>
      <c r="X45" s="48"/>
      <c r="Y45" s="46"/>
      <c r="Z45" s="48"/>
      <c r="AA45" s="46"/>
      <c r="AB45" s="70"/>
      <c r="AC45" s="79"/>
      <c r="AD45" s="47"/>
      <c r="AE45" s="48"/>
      <c r="AF45" s="46"/>
      <c r="AG45" s="48"/>
      <c r="AH45" s="46"/>
      <c r="AI45" s="70"/>
      <c r="AJ45" s="79"/>
      <c r="AK45" s="47"/>
      <c r="AL45" s="48"/>
      <c r="AM45" s="46"/>
      <c r="AN45" s="48"/>
      <c r="AO45" s="46"/>
      <c r="AP45" s="70"/>
      <c r="AQ45" s="79"/>
      <c r="AR45" s="47"/>
      <c r="AS45" s="48"/>
      <c r="AT45" s="46"/>
      <c r="AU45" s="48"/>
      <c r="AV45" s="46"/>
      <c r="AW45" s="70"/>
      <c r="AX45" s="79"/>
      <c r="AY45" s="47"/>
      <c r="AZ45" s="48"/>
      <c r="BA45" s="46"/>
      <c r="BB45" s="48"/>
      <c r="BC45" s="46"/>
      <c r="BD45" s="70"/>
      <c r="BE45" s="105"/>
    </row>
    <row r="46" spans="2:57" ht="15" hidden="1" customHeight="1" outlineLevel="1" x14ac:dyDescent="0.3">
      <c r="B46" s="93" t="s">
        <v>5745</v>
      </c>
      <c r="C46" s="38" t="s">
        <v>5753</v>
      </c>
      <c r="D46" s="38" t="s">
        <v>5763</v>
      </c>
      <c r="E46" s="39" t="s">
        <v>5749</v>
      </c>
      <c r="F46" s="39" t="s">
        <v>5749</v>
      </c>
      <c r="G46" s="68"/>
      <c r="H46" s="75"/>
      <c r="I46" s="41"/>
      <c r="J46" s="42"/>
      <c r="K46" s="40"/>
      <c r="L46" s="42"/>
      <c r="M46" s="40"/>
      <c r="N46" s="76"/>
      <c r="O46" s="75"/>
      <c r="P46" s="41"/>
      <c r="Q46" s="42"/>
      <c r="R46" s="40"/>
      <c r="S46" s="42"/>
      <c r="T46" s="40"/>
      <c r="U46" s="76"/>
      <c r="V46" s="75"/>
      <c r="W46" s="41"/>
      <c r="X46" s="42"/>
      <c r="Y46" s="40"/>
      <c r="Z46" s="42"/>
      <c r="AA46" s="40"/>
      <c r="AB46" s="68"/>
      <c r="AC46" s="75"/>
      <c r="AD46" s="41"/>
      <c r="AE46" s="42"/>
      <c r="AF46" s="40"/>
      <c r="AG46" s="42"/>
      <c r="AH46" s="40"/>
      <c r="AI46" s="68"/>
      <c r="AJ46" s="75"/>
      <c r="AK46" s="41"/>
      <c r="AL46" s="42"/>
      <c r="AM46" s="40"/>
      <c r="AN46" s="42"/>
      <c r="AO46" s="40"/>
      <c r="AP46" s="68"/>
      <c r="AQ46" s="75"/>
      <c r="AR46" s="41"/>
      <c r="AS46" s="42"/>
      <c r="AT46" s="40"/>
      <c r="AU46" s="42"/>
      <c r="AV46" s="40"/>
      <c r="AW46" s="68"/>
      <c r="AX46" s="75"/>
      <c r="AY46" s="41"/>
      <c r="AZ46" s="42"/>
      <c r="BA46" s="40"/>
      <c r="BB46" s="42"/>
      <c r="BC46" s="40"/>
      <c r="BD46" s="68"/>
      <c r="BE46" s="105"/>
    </row>
    <row r="47" spans="2:57" ht="15" hidden="1" customHeight="1" outlineLevel="1" x14ac:dyDescent="0.3">
      <c r="B47" s="93" t="s">
        <v>5745</v>
      </c>
      <c r="C47" s="43"/>
      <c r="D47" s="44"/>
      <c r="E47" s="49" t="s">
        <v>5749</v>
      </c>
      <c r="F47" s="49" t="s">
        <v>5749</v>
      </c>
      <c r="G47" s="69"/>
      <c r="H47" s="77"/>
      <c r="I47" s="61"/>
      <c r="J47" s="62"/>
      <c r="K47" s="60"/>
      <c r="L47" s="62"/>
      <c r="M47" s="60"/>
      <c r="N47" s="78"/>
      <c r="O47" s="77"/>
      <c r="P47" s="61"/>
      <c r="Q47" s="62"/>
      <c r="R47" s="60"/>
      <c r="S47" s="62"/>
      <c r="T47" s="60"/>
      <c r="U47" s="78"/>
      <c r="V47" s="77"/>
      <c r="W47" s="61"/>
      <c r="X47" s="62"/>
      <c r="Y47" s="60"/>
      <c r="Z47" s="62"/>
      <c r="AA47" s="60"/>
      <c r="AB47" s="69"/>
      <c r="AC47" s="77"/>
      <c r="AD47" s="61"/>
      <c r="AE47" s="62"/>
      <c r="AF47" s="60"/>
      <c r="AG47" s="62"/>
      <c r="AH47" s="60"/>
      <c r="AI47" s="69"/>
      <c r="AJ47" s="77"/>
      <c r="AK47" s="61"/>
      <c r="AL47" s="62"/>
      <c r="AM47" s="60"/>
      <c r="AN47" s="62"/>
      <c r="AO47" s="60"/>
      <c r="AP47" s="69"/>
      <c r="AQ47" s="77"/>
      <c r="AR47" s="61"/>
      <c r="AS47" s="62"/>
      <c r="AT47" s="60"/>
      <c r="AU47" s="62"/>
      <c r="AV47" s="60"/>
      <c r="AW47" s="69"/>
      <c r="AX47" s="77"/>
      <c r="AY47" s="61"/>
      <c r="AZ47" s="62"/>
      <c r="BA47" s="60"/>
      <c r="BB47" s="62"/>
      <c r="BC47" s="60"/>
      <c r="BD47" s="69"/>
      <c r="BE47" s="105"/>
    </row>
    <row r="48" spans="2:57" ht="15" hidden="1" customHeight="1" outlineLevel="1" x14ac:dyDescent="0.3">
      <c r="B48" s="93" t="s">
        <v>5745</v>
      </c>
      <c r="C48" s="43"/>
      <c r="D48" s="38" t="s">
        <v>5764</v>
      </c>
      <c r="E48" s="39" t="s">
        <v>5749</v>
      </c>
      <c r="F48" s="39" t="s">
        <v>5749</v>
      </c>
      <c r="G48" s="68"/>
      <c r="H48" s="75"/>
      <c r="I48" s="41"/>
      <c r="J48" s="42"/>
      <c r="K48" s="40"/>
      <c r="L48" s="42"/>
      <c r="M48" s="40"/>
      <c r="N48" s="76"/>
      <c r="O48" s="75"/>
      <c r="P48" s="41"/>
      <c r="Q48" s="42"/>
      <c r="R48" s="40"/>
      <c r="S48" s="42"/>
      <c r="T48" s="40"/>
      <c r="U48" s="76"/>
      <c r="V48" s="75"/>
      <c r="W48" s="41"/>
      <c r="X48" s="42"/>
      <c r="Y48" s="40"/>
      <c r="Z48" s="42"/>
      <c r="AA48" s="40"/>
      <c r="AB48" s="68"/>
      <c r="AC48" s="75"/>
      <c r="AD48" s="41"/>
      <c r="AE48" s="42"/>
      <c r="AF48" s="40"/>
      <c r="AG48" s="42"/>
      <c r="AH48" s="40"/>
      <c r="AI48" s="68"/>
      <c r="AJ48" s="75"/>
      <c r="AK48" s="41"/>
      <c r="AL48" s="42"/>
      <c r="AM48" s="40"/>
      <c r="AN48" s="42"/>
      <c r="AO48" s="40"/>
      <c r="AP48" s="68"/>
      <c r="AQ48" s="75"/>
      <c r="AR48" s="41"/>
      <c r="AS48" s="42"/>
      <c r="AT48" s="40"/>
      <c r="AU48" s="42"/>
      <c r="AV48" s="40"/>
      <c r="AW48" s="68"/>
      <c r="AX48" s="75"/>
      <c r="AY48" s="41"/>
      <c r="AZ48" s="42"/>
      <c r="BA48" s="40"/>
      <c r="BB48" s="42"/>
      <c r="BC48" s="40"/>
      <c r="BD48" s="68"/>
      <c r="BE48" s="105"/>
    </row>
    <row r="49" spans="2:57" ht="15" hidden="1" customHeight="1" outlineLevel="1" thickBot="1" x14ac:dyDescent="0.35">
      <c r="B49" s="94" t="s">
        <v>5745</v>
      </c>
      <c r="C49" s="95"/>
      <c r="D49" s="95"/>
      <c r="E49" s="96" t="s">
        <v>5749</v>
      </c>
      <c r="F49" s="96" t="s">
        <v>5749</v>
      </c>
      <c r="G49" s="97"/>
      <c r="H49" s="98"/>
      <c r="I49" s="99"/>
      <c r="J49" s="100"/>
      <c r="K49" s="101"/>
      <c r="L49" s="100"/>
      <c r="M49" s="101"/>
      <c r="N49" s="102"/>
      <c r="O49" s="98"/>
      <c r="P49" s="99"/>
      <c r="Q49" s="100"/>
      <c r="R49" s="101"/>
      <c r="S49" s="100"/>
      <c r="T49" s="101"/>
      <c r="U49" s="102"/>
      <c r="V49" s="98"/>
      <c r="W49" s="99"/>
      <c r="X49" s="100"/>
      <c r="Y49" s="101"/>
      <c r="Z49" s="100"/>
      <c r="AA49" s="101"/>
      <c r="AB49" s="97"/>
      <c r="AC49" s="98"/>
      <c r="AD49" s="99"/>
      <c r="AE49" s="100"/>
      <c r="AF49" s="101"/>
      <c r="AG49" s="100"/>
      <c r="AH49" s="101"/>
      <c r="AI49" s="97"/>
      <c r="AJ49" s="98"/>
      <c r="AK49" s="99"/>
      <c r="AL49" s="100"/>
      <c r="AM49" s="101"/>
      <c r="AN49" s="100"/>
      <c r="AO49" s="101"/>
      <c r="AP49" s="97"/>
      <c r="AQ49" s="98"/>
      <c r="AR49" s="99"/>
      <c r="AS49" s="100"/>
      <c r="AT49" s="101"/>
      <c r="AU49" s="100"/>
      <c r="AV49" s="101"/>
      <c r="AW49" s="97"/>
      <c r="AX49" s="98"/>
      <c r="AY49" s="99"/>
      <c r="AZ49" s="100"/>
      <c r="BA49" s="101"/>
      <c r="BB49" s="100"/>
      <c r="BC49" s="101"/>
      <c r="BD49" s="97"/>
      <c r="BE49" s="105"/>
    </row>
    <row r="50" spans="2:57" ht="15" customHeight="1" collapsed="1" thickBot="1" x14ac:dyDescent="0.35">
      <c r="B50" s="91" t="s">
        <v>5776</v>
      </c>
      <c r="C50" s="54" t="s">
        <v>5759</v>
      </c>
      <c r="D50" s="55"/>
      <c r="E50" s="56" t="s">
        <v>5746</v>
      </c>
      <c r="F50" s="56" t="s">
        <v>5746</v>
      </c>
      <c r="G50" s="67"/>
      <c r="H50" s="73"/>
      <c r="I50" s="58"/>
      <c r="J50" s="58"/>
      <c r="K50" s="57"/>
      <c r="L50" s="58"/>
      <c r="M50" s="57"/>
      <c r="N50" s="74"/>
      <c r="O50" s="73"/>
      <c r="P50" s="58"/>
      <c r="Q50" s="58"/>
      <c r="R50" s="57"/>
      <c r="S50" s="58"/>
      <c r="T50" s="57"/>
      <c r="U50" s="74"/>
      <c r="V50" s="73"/>
      <c r="W50" s="58"/>
      <c r="X50" s="58"/>
      <c r="Y50" s="57"/>
      <c r="Z50" s="58"/>
      <c r="AA50" s="57"/>
      <c r="AB50" s="67"/>
      <c r="AC50" s="73"/>
      <c r="AD50" s="58"/>
      <c r="AE50" s="58"/>
      <c r="AF50" s="57"/>
      <c r="AG50" s="58"/>
      <c r="AH50" s="57"/>
      <c r="AI50" s="67"/>
      <c r="AJ50" s="73"/>
      <c r="AK50" s="58"/>
      <c r="AL50" s="58"/>
      <c r="AM50" s="57"/>
      <c r="AN50" s="58"/>
      <c r="AO50" s="57"/>
      <c r="AP50" s="67"/>
      <c r="AQ50" s="73"/>
      <c r="AR50" s="58"/>
      <c r="AS50" s="58"/>
      <c r="AT50" s="57"/>
      <c r="AU50" s="58"/>
      <c r="AV50" s="57"/>
      <c r="AW50" s="67"/>
      <c r="AX50" s="73"/>
      <c r="AY50" s="58"/>
      <c r="AZ50" s="58"/>
      <c r="BA50" s="57"/>
      <c r="BB50" s="58"/>
      <c r="BC50" s="57"/>
      <c r="BD50" s="67"/>
      <c r="BE50" s="105"/>
    </row>
    <row r="51" spans="2:57" ht="15" hidden="1" customHeight="1" outlineLevel="2" x14ac:dyDescent="0.3">
      <c r="B51" s="92"/>
      <c r="C51" s="38" t="s">
        <v>5770</v>
      </c>
      <c r="D51" s="38" t="s">
        <v>5761</v>
      </c>
      <c r="E51" s="39" t="s">
        <v>5746</v>
      </c>
      <c r="F51" s="39" t="s">
        <v>5746</v>
      </c>
      <c r="G51" s="68"/>
      <c r="H51" s="75"/>
      <c r="I51" s="41"/>
      <c r="J51" s="42"/>
      <c r="K51" s="40"/>
      <c r="L51" s="42"/>
      <c r="M51" s="40"/>
      <c r="N51" s="76"/>
      <c r="O51" s="75"/>
      <c r="P51" s="41"/>
      <c r="Q51" s="42"/>
      <c r="R51" s="40"/>
      <c r="S51" s="42"/>
      <c r="T51" s="40"/>
      <c r="U51" s="76"/>
      <c r="V51" s="75"/>
      <c r="W51" s="41"/>
      <c r="X51" s="42"/>
      <c r="Y51" s="40"/>
      <c r="Z51" s="42"/>
      <c r="AA51" s="40"/>
      <c r="AB51" s="68"/>
      <c r="AC51" s="75"/>
      <c r="AD51" s="41"/>
      <c r="AE51" s="42"/>
      <c r="AF51" s="40"/>
      <c r="AG51" s="42"/>
      <c r="AH51" s="40"/>
      <c r="AI51" s="68"/>
      <c r="AJ51" s="75"/>
      <c r="AK51" s="41"/>
      <c r="AL51" s="42"/>
      <c r="AM51" s="40"/>
      <c r="AN51" s="42"/>
      <c r="AO51" s="40"/>
      <c r="AP51" s="68"/>
      <c r="AQ51" s="75"/>
      <c r="AR51" s="41"/>
      <c r="AS51" s="42"/>
      <c r="AT51" s="40"/>
      <c r="AU51" s="42"/>
      <c r="AV51" s="40"/>
      <c r="AW51" s="68"/>
      <c r="AX51" s="75"/>
      <c r="AY51" s="41"/>
      <c r="AZ51" s="42"/>
      <c r="BA51" s="40"/>
      <c r="BB51" s="42"/>
      <c r="BC51" s="40"/>
      <c r="BD51" s="68"/>
      <c r="BE51" s="105"/>
    </row>
    <row r="52" spans="2:57" ht="15" hidden="1" customHeight="1" outlineLevel="2" x14ac:dyDescent="0.3">
      <c r="B52" s="93" t="s">
        <v>5745</v>
      </c>
      <c r="C52" s="43"/>
      <c r="D52" s="44"/>
      <c r="E52" s="49" t="s">
        <v>5747</v>
      </c>
      <c r="F52" s="49" t="s">
        <v>5747</v>
      </c>
      <c r="G52" s="69"/>
      <c r="H52" s="77"/>
      <c r="I52" s="61"/>
      <c r="J52" s="62"/>
      <c r="K52" s="60"/>
      <c r="L52" s="62"/>
      <c r="M52" s="60"/>
      <c r="N52" s="78"/>
      <c r="O52" s="77"/>
      <c r="P52" s="61"/>
      <c r="Q52" s="62"/>
      <c r="R52" s="60"/>
      <c r="S52" s="62"/>
      <c r="T52" s="60"/>
      <c r="U52" s="78"/>
      <c r="V52" s="77"/>
      <c r="W52" s="61"/>
      <c r="X52" s="62"/>
      <c r="Y52" s="60"/>
      <c r="Z52" s="62"/>
      <c r="AA52" s="60"/>
      <c r="AB52" s="69"/>
      <c r="AC52" s="77"/>
      <c r="AD52" s="61"/>
      <c r="AE52" s="62"/>
      <c r="AF52" s="60"/>
      <c r="AG52" s="62"/>
      <c r="AH52" s="60"/>
      <c r="AI52" s="69"/>
      <c r="AJ52" s="77"/>
      <c r="AK52" s="61"/>
      <c r="AL52" s="62"/>
      <c r="AM52" s="60"/>
      <c r="AN52" s="62"/>
      <c r="AO52" s="60"/>
      <c r="AP52" s="69"/>
      <c r="AQ52" s="77"/>
      <c r="AR52" s="61"/>
      <c r="AS52" s="62"/>
      <c r="AT52" s="60"/>
      <c r="AU52" s="62"/>
      <c r="AV52" s="60"/>
      <c r="AW52" s="69"/>
      <c r="AX52" s="77"/>
      <c r="AY52" s="61"/>
      <c r="AZ52" s="62"/>
      <c r="BA52" s="60"/>
      <c r="BB52" s="62"/>
      <c r="BC52" s="60"/>
      <c r="BD52" s="69"/>
      <c r="BE52" s="105"/>
    </row>
    <row r="53" spans="2:57" ht="15" hidden="1" customHeight="1" outlineLevel="2" x14ac:dyDescent="0.3">
      <c r="B53" s="93" t="s">
        <v>5745</v>
      </c>
      <c r="C53" s="43"/>
      <c r="D53" s="43" t="s">
        <v>5762</v>
      </c>
      <c r="E53" s="39" t="s">
        <v>5748</v>
      </c>
      <c r="F53" s="39" t="s">
        <v>5748</v>
      </c>
      <c r="G53" s="68"/>
      <c r="H53" s="75"/>
      <c r="I53" s="41"/>
      <c r="J53" s="42"/>
      <c r="K53" s="40"/>
      <c r="L53" s="42"/>
      <c r="M53" s="40"/>
      <c r="N53" s="76"/>
      <c r="O53" s="75"/>
      <c r="P53" s="41"/>
      <c r="Q53" s="42"/>
      <c r="R53" s="40"/>
      <c r="S53" s="42"/>
      <c r="T53" s="40"/>
      <c r="U53" s="76"/>
      <c r="V53" s="75"/>
      <c r="W53" s="41"/>
      <c r="X53" s="42"/>
      <c r="Y53" s="40"/>
      <c r="Z53" s="42"/>
      <c r="AA53" s="40"/>
      <c r="AB53" s="68"/>
      <c r="AC53" s="75"/>
      <c r="AD53" s="41"/>
      <c r="AE53" s="42"/>
      <c r="AF53" s="40"/>
      <c r="AG53" s="42"/>
      <c r="AH53" s="40"/>
      <c r="AI53" s="68"/>
      <c r="AJ53" s="75"/>
      <c r="AK53" s="41"/>
      <c r="AL53" s="42"/>
      <c r="AM53" s="40"/>
      <c r="AN53" s="42"/>
      <c r="AO53" s="40"/>
      <c r="AP53" s="68"/>
      <c r="AQ53" s="75"/>
      <c r="AR53" s="41"/>
      <c r="AS53" s="42"/>
      <c r="AT53" s="40"/>
      <c r="AU53" s="42"/>
      <c r="AV53" s="40"/>
      <c r="AW53" s="68"/>
      <c r="AX53" s="75"/>
      <c r="AY53" s="41"/>
      <c r="AZ53" s="42"/>
      <c r="BA53" s="40"/>
      <c r="BB53" s="42"/>
      <c r="BC53" s="40"/>
      <c r="BD53" s="68"/>
      <c r="BE53" s="105"/>
    </row>
    <row r="54" spans="2:57" ht="15" hidden="1" customHeight="1" outlineLevel="2" x14ac:dyDescent="0.3">
      <c r="B54" s="93" t="s">
        <v>5745</v>
      </c>
      <c r="C54" s="43"/>
      <c r="D54" s="44"/>
      <c r="E54" s="45" t="s">
        <v>5750</v>
      </c>
      <c r="F54" s="45" t="s">
        <v>5750</v>
      </c>
      <c r="G54" s="70"/>
      <c r="H54" s="79"/>
      <c r="I54" s="47"/>
      <c r="J54" s="48"/>
      <c r="K54" s="46"/>
      <c r="L54" s="48"/>
      <c r="M54" s="46"/>
      <c r="N54" s="80"/>
      <c r="O54" s="79"/>
      <c r="P54" s="47"/>
      <c r="Q54" s="48"/>
      <c r="R54" s="46"/>
      <c r="S54" s="48"/>
      <c r="T54" s="46"/>
      <c r="U54" s="80"/>
      <c r="V54" s="79"/>
      <c r="W54" s="47"/>
      <c r="X54" s="48"/>
      <c r="Y54" s="46"/>
      <c r="Z54" s="48"/>
      <c r="AA54" s="46"/>
      <c r="AB54" s="70"/>
      <c r="AC54" s="79"/>
      <c r="AD54" s="47"/>
      <c r="AE54" s="48"/>
      <c r="AF54" s="46"/>
      <c r="AG54" s="48"/>
      <c r="AH54" s="46"/>
      <c r="AI54" s="70"/>
      <c r="AJ54" s="79"/>
      <c r="AK54" s="47"/>
      <c r="AL54" s="48"/>
      <c r="AM54" s="46"/>
      <c r="AN54" s="48"/>
      <c r="AO54" s="46"/>
      <c r="AP54" s="70"/>
      <c r="AQ54" s="79"/>
      <c r="AR54" s="47"/>
      <c r="AS54" s="48"/>
      <c r="AT54" s="46"/>
      <c r="AU54" s="48"/>
      <c r="AV54" s="46"/>
      <c r="AW54" s="70"/>
      <c r="AX54" s="79"/>
      <c r="AY54" s="47"/>
      <c r="AZ54" s="48"/>
      <c r="BA54" s="46"/>
      <c r="BB54" s="48"/>
      <c r="BC54" s="46"/>
      <c r="BD54" s="70"/>
      <c r="BE54" s="105"/>
    </row>
    <row r="55" spans="2:57" ht="15" hidden="1" customHeight="1" outlineLevel="2" x14ac:dyDescent="0.3">
      <c r="B55" s="93" t="s">
        <v>5745</v>
      </c>
      <c r="C55" s="38" t="s">
        <v>5753</v>
      </c>
      <c r="D55" s="38" t="s">
        <v>5763</v>
      </c>
      <c r="E55" s="39" t="s">
        <v>5749</v>
      </c>
      <c r="F55" s="39" t="s">
        <v>5749</v>
      </c>
      <c r="G55" s="68"/>
      <c r="H55" s="75"/>
      <c r="I55" s="41"/>
      <c r="J55" s="42"/>
      <c r="K55" s="40"/>
      <c r="L55" s="42"/>
      <c r="M55" s="40"/>
      <c r="N55" s="76"/>
      <c r="O55" s="75"/>
      <c r="P55" s="41"/>
      <c r="Q55" s="42"/>
      <c r="R55" s="40"/>
      <c r="S55" s="42"/>
      <c r="T55" s="40"/>
      <c r="U55" s="76"/>
      <c r="V55" s="75"/>
      <c r="W55" s="41"/>
      <c r="X55" s="42"/>
      <c r="Y55" s="40"/>
      <c r="Z55" s="42"/>
      <c r="AA55" s="40"/>
      <c r="AB55" s="68"/>
      <c r="AC55" s="75"/>
      <c r="AD55" s="41"/>
      <c r="AE55" s="42"/>
      <c r="AF55" s="40"/>
      <c r="AG55" s="42"/>
      <c r="AH55" s="40"/>
      <c r="AI55" s="68"/>
      <c r="AJ55" s="75"/>
      <c r="AK55" s="41"/>
      <c r="AL55" s="42"/>
      <c r="AM55" s="40"/>
      <c r="AN55" s="42"/>
      <c r="AO55" s="40"/>
      <c r="AP55" s="68"/>
      <c r="AQ55" s="75"/>
      <c r="AR55" s="41"/>
      <c r="AS55" s="42"/>
      <c r="AT55" s="40"/>
      <c r="AU55" s="42"/>
      <c r="AV55" s="40"/>
      <c r="AW55" s="68"/>
      <c r="AX55" s="75"/>
      <c r="AY55" s="41"/>
      <c r="AZ55" s="42"/>
      <c r="BA55" s="40"/>
      <c r="BB55" s="42"/>
      <c r="BC55" s="40"/>
      <c r="BD55" s="68"/>
      <c r="BE55" s="105"/>
    </row>
    <row r="56" spans="2:57" ht="15" hidden="1" customHeight="1" outlineLevel="2" x14ac:dyDescent="0.3">
      <c r="B56" s="93" t="s">
        <v>5745</v>
      </c>
      <c r="C56" s="43"/>
      <c r="D56" s="44"/>
      <c r="E56" s="49" t="s">
        <v>5749</v>
      </c>
      <c r="F56" s="49" t="s">
        <v>5749</v>
      </c>
      <c r="G56" s="69"/>
      <c r="H56" s="77"/>
      <c r="I56" s="61"/>
      <c r="J56" s="62"/>
      <c r="K56" s="60"/>
      <c r="L56" s="62"/>
      <c r="M56" s="60"/>
      <c r="N56" s="78"/>
      <c r="O56" s="77"/>
      <c r="P56" s="61"/>
      <c r="Q56" s="62"/>
      <c r="R56" s="60"/>
      <c r="S56" s="62"/>
      <c r="T56" s="60"/>
      <c r="U56" s="78"/>
      <c r="V56" s="77"/>
      <c r="W56" s="61"/>
      <c r="X56" s="62"/>
      <c r="Y56" s="60"/>
      <c r="Z56" s="62"/>
      <c r="AA56" s="60"/>
      <c r="AB56" s="69"/>
      <c r="AC56" s="77"/>
      <c r="AD56" s="61"/>
      <c r="AE56" s="62"/>
      <c r="AF56" s="60"/>
      <c r="AG56" s="62"/>
      <c r="AH56" s="60"/>
      <c r="AI56" s="69"/>
      <c r="AJ56" s="77"/>
      <c r="AK56" s="61"/>
      <c r="AL56" s="62"/>
      <c r="AM56" s="60"/>
      <c r="AN56" s="62"/>
      <c r="AO56" s="60"/>
      <c r="AP56" s="69"/>
      <c r="AQ56" s="77"/>
      <c r="AR56" s="61"/>
      <c r="AS56" s="62"/>
      <c r="AT56" s="60"/>
      <c r="AU56" s="62"/>
      <c r="AV56" s="60"/>
      <c r="AW56" s="69"/>
      <c r="AX56" s="77"/>
      <c r="AY56" s="61"/>
      <c r="AZ56" s="62"/>
      <c r="BA56" s="60"/>
      <c r="BB56" s="62"/>
      <c r="BC56" s="60"/>
      <c r="BD56" s="69"/>
      <c r="BE56" s="105"/>
    </row>
    <row r="57" spans="2:57" ht="15" hidden="1" customHeight="1" outlineLevel="2" x14ac:dyDescent="0.3">
      <c r="B57" s="93" t="s">
        <v>5745</v>
      </c>
      <c r="C57" s="43"/>
      <c r="D57" s="38" t="s">
        <v>5764</v>
      </c>
      <c r="E57" s="39" t="s">
        <v>5749</v>
      </c>
      <c r="F57" s="39" t="s">
        <v>5749</v>
      </c>
      <c r="G57" s="68"/>
      <c r="H57" s="75"/>
      <c r="I57" s="41"/>
      <c r="J57" s="42"/>
      <c r="K57" s="40"/>
      <c r="L57" s="42"/>
      <c r="M57" s="40"/>
      <c r="N57" s="76"/>
      <c r="O57" s="75"/>
      <c r="P57" s="41"/>
      <c r="Q57" s="42"/>
      <c r="R57" s="40"/>
      <c r="S57" s="42"/>
      <c r="T57" s="40"/>
      <c r="U57" s="76"/>
      <c r="V57" s="75"/>
      <c r="W57" s="41"/>
      <c r="X57" s="42"/>
      <c r="Y57" s="40"/>
      <c r="Z57" s="42"/>
      <c r="AA57" s="40"/>
      <c r="AB57" s="68"/>
      <c r="AC57" s="75"/>
      <c r="AD57" s="41"/>
      <c r="AE57" s="42"/>
      <c r="AF57" s="40"/>
      <c r="AG57" s="42"/>
      <c r="AH57" s="40"/>
      <c r="AI57" s="68"/>
      <c r="AJ57" s="75"/>
      <c r="AK57" s="41"/>
      <c r="AL57" s="42"/>
      <c r="AM57" s="40"/>
      <c r="AN57" s="42"/>
      <c r="AO57" s="40"/>
      <c r="AP57" s="68"/>
      <c r="AQ57" s="75"/>
      <c r="AR57" s="41"/>
      <c r="AS57" s="42"/>
      <c r="AT57" s="40"/>
      <c r="AU57" s="42"/>
      <c r="AV57" s="40"/>
      <c r="AW57" s="68"/>
      <c r="AX57" s="75"/>
      <c r="AY57" s="41"/>
      <c r="AZ57" s="42"/>
      <c r="BA57" s="40"/>
      <c r="BB57" s="42"/>
      <c r="BC57" s="40"/>
      <c r="BD57" s="68"/>
      <c r="BE57" s="105"/>
    </row>
    <row r="58" spans="2:57" ht="15" hidden="1" customHeight="1" outlineLevel="2" thickBot="1" x14ac:dyDescent="0.35">
      <c r="B58" s="94" t="s">
        <v>5745</v>
      </c>
      <c r="C58" s="95"/>
      <c r="D58" s="95"/>
      <c r="E58" s="96" t="s">
        <v>5749</v>
      </c>
      <c r="F58" s="96" t="s">
        <v>5749</v>
      </c>
      <c r="G58" s="97"/>
      <c r="H58" s="98"/>
      <c r="I58" s="99"/>
      <c r="J58" s="100"/>
      <c r="K58" s="101"/>
      <c r="L58" s="100"/>
      <c r="M58" s="101"/>
      <c r="N58" s="102"/>
      <c r="O58" s="98"/>
      <c r="P58" s="99"/>
      <c r="Q58" s="100"/>
      <c r="R58" s="101"/>
      <c r="S58" s="100"/>
      <c r="T58" s="101"/>
      <c r="U58" s="102"/>
      <c r="V58" s="98"/>
      <c r="W58" s="99"/>
      <c r="X58" s="100"/>
      <c r="Y58" s="101"/>
      <c r="Z58" s="100"/>
      <c r="AA58" s="101"/>
      <c r="AB58" s="97"/>
      <c r="AC58" s="98"/>
      <c r="AD58" s="99"/>
      <c r="AE58" s="100"/>
      <c r="AF58" s="101"/>
      <c r="AG58" s="100"/>
      <c r="AH58" s="101"/>
      <c r="AI58" s="97"/>
      <c r="AJ58" s="98"/>
      <c r="AK58" s="99"/>
      <c r="AL58" s="100"/>
      <c r="AM58" s="101"/>
      <c r="AN58" s="100"/>
      <c r="AO58" s="101"/>
      <c r="AP58" s="97"/>
      <c r="AQ58" s="98"/>
      <c r="AR58" s="99"/>
      <c r="AS58" s="100"/>
      <c r="AT58" s="101"/>
      <c r="AU58" s="100"/>
      <c r="AV58" s="101"/>
      <c r="AW58" s="97"/>
      <c r="AX58" s="98"/>
      <c r="AY58" s="99"/>
      <c r="AZ58" s="100"/>
      <c r="BA58" s="101"/>
      <c r="BB58" s="100"/>
      <c r="BC58" s="101"/>
      <c r="BD58" s="97"/>
      <c r="BE58" s="105"/>
    </row>
    <row r="59" spans="2:57" collapsed="1" x14ac:dyDescent="0.3">
      <c r="B59" s="106"/>
      <c r="C59" s="106"/>
      <c r="D59" s="106"/>
      <c r="E59" s="106"/>
      <c r="F59" s="106"/>
      <c r="G59" s="107"/>
      <c r="H59" s="107"/>
      <c r="I59" s="107"/>
      <c r="J59" s="107"/>
      <c r="K59" s="107"/>
      <c r="L59" s="107"/>
      <c r="M59" s="107"/>
      <c r="N59" s="107"/>
      <c r="O59" s="107"/>
      <c r="P59" s="107"/>
      <c r="Q59" s="107"/>
      <c r="R59" s="107"/>
      <c r="S59" s="107"/>
      <c r="T59" s="107"/>
      <c r="U59" s="107"/>
      <c r="V59" s="107"/>
      <c r="W59" s="107"/>
      <c r="X59" s="107"/>
      <c r="Y59" s="107"/>
      <c r="Z59" s="107"/>
      <c r="AA59" s="107"/>
      <c r="AB59" s="107"/>
      <c r="AC59" s="107"/>
      <c r="AD59" s="107"/>
      <c r="AE59" s="107"/>
      <c r="AF59" s="107"/>
      <c r="AG59" s="107"/>
      <c r="AH59" s="107"/>
      <c r="AI59" s="107"/>
      <c r="AJ59" s="107"/>
      <c r="AK59" s="107"/>
      <c r="AL59" s="107"/>
      <c r="AM59" s="107"/>
      <c r="AN59" s="107"/>
      <c r="AO59" s="107"/>
      <c r="AP59" s="107"/>
      <c r="AQ59" s="107"/>
      <c r="AR59" s="107"/>
      <c r="AS59" s="107"/>
      <c r="AT59" s="107"/>
      <c r="AU59" s="107"/>
      <c r="AV59" s="107"/>
      <c r="AW59" s="107"/>
      <c r="AX59" s="107"/>
      <c r="AY59" s="107"/>
      <c r="AZ59" s="107"/>
    </row>
    <row r="60" spans="2:57" x14ac:dyDescent="0.3">
      <c r="B60" s="82"/>
      <c r="C60" s="82"/>
      <c r="D60" s="82"/>
      <c r="E60" s="82"/>
      <c r="F60" s="82"/>
      <c r="G60" s="59"/>
      <c r="H60" s="59"/>
      <c r="I60" s="59"/>
      <c r="J60" s="59"/>
      <c r="K60" s="59"/>
      <c r="L60" s="59"/>
      <c r="M60" s="59"/>
      <c r="N60" s="59"/>
      <c r="O60" s="59"/>
      <c r="P60" s="59"/>
      <c r="Q60" s="59"/>
      <c r="R60" s="59"/>
      <c r="S60" s="59"/>
      <c r="T60" s="59"/>
      <c r="U60" s="59"/>
      <c r="V60" s="59"/>
      <c r="W60" s="59"/>
      <c r="X60" s="59"/>
      <c r="Y60" s="59"/>
      <c r="Z60" s="59"/>
      <c r="AA60" s="59"/>
      <c r="AB60" s="59"/>
      <c r="AC60" s="59"/>
      <c r="AD60" s="59"/>
      <c r="AE60" s="59"/>
      <c r="AF60" s="59"/>
      <c r="AG60" s="59"/>
      <c r="AH60" s="59"/>
      <c r="AI60" s="59"/>
      <c r="AJ60" s="59"/>
      <c r="AK60" s="59"/>
      <c r="AL60" s="59"/>
      <c r="AM60" s="59"/>
      <c r="AN60" s="59"/>
      <c r="AO60" s="59"/>
      <c r="AP60" s="59"/>
      <c r="AQ60" s="59"/>
      <c r="AR60" s="59"/>
      <c r="AS60" s="59"/>
      <c r="AT60" s="59"/>
      <c r="AU60" s="59"/>
      <c r="AV60" s="59"/>
      <c r="AW60" s="59"/>
      <c r="AX60" s="59"/>
      <c r="AY60" s="59"/>
      <c r="AZ60" s="59"/>
    </row>
    <row r="61" spans="2:57" x14ac:dyDescent="0.3">
      <c r="B61" s="82"/>
      <c r="C61" s="82"/>
      <c r="D61" s="82"/>
      <c r="E61" s="82"/>
      <c r="F61" s="82"/>
      <c r="G61" s="59"/>
      <c r="H61" s="59"/>
      <c r="I61" s="59"/>
      <c r="J61" s="59"/>
      <c r="K61" s="59"/>
      <c r="L61" s="59"/>
      <c r="M61" s="59"/>
      <c r="N61" s="59"/>
      <c r="O61" s="59"/>
      <c r="P61" s="59"/>
      <c r="Q61" s="59"/>
      <c r="R61" s="59"/>
      <c r="S61" s="59"/>
      <c r="T61" s="59"/>
      <c r="U61" s="59"/>
      <c r="V61" s="59"/>
      <c r="W61" s="59"/>
      <c r="X61" s="59"/>
      <c r="Y61" s="59"/>
      <c r="Z61" s="59"/>
      <c r="AA61" s="59"/>
      <c r="AB61" s="59"/>
      <c r="AC61" s="59"/>
      <c r="AD61" s="59"/>
      <c r="AE61" s="59"/>
      <c r="AF61" s="59"/>
      <c r="AG61" s="59"/>
      <c r="AH61" s="59"/>
      <c r="AI61" s="59"/>
      <c r="AJ61" s="59"/>
      <c r="AK61" s="59"/>
      <c r="AL61" s="59"/>
      <c r="AM61" s="59"/>
      <c r="AN61" s="59"/>
      <c r="AO61" s="59"/>
      <c r="AP61" s="59"/>
      <c r="AQ61" s="59"/>
      <c r="AR61" s="59"/>
      <c r="AS61" s="59"/>
      <c r="AT61" s="59"/>
      <c r="AU61" s="59"/>
      <c r="AV61" s="59"/>
      <c r="AW61" s="59"/>
      <c r="AX61" s="59"/>
      <c r="AY61" s="59"/>
      <c r="AZ61" s="59"/>
    </row>
    <row r="62" spans="2:57" ht="15" thickBot="1" x14ac:dyDescent="0.35">
      <c r="B62" s="103" t="s">
        <v>5777</v>
      </c>
    </row>
    <row r="63" spans="2:57" ht="16.5" customHeight="1" x14ac:dyDescent="0.3">
      <c r="B63" s="83" t="s">
        <v>5777</v>
      </c>
      <c r="C63" s="84" t="s">
        <v>5756</v>
      </c>
      <c r="D63" s="85" t="s">
        <v>5760</v>
      </c>
      <c r="E63" s="84" t="s">
        <v>976</v>
      </c>
      <c r="F63" s="84" t="s">
        <v>5751</v>
      </c>
      <c r="G63" s="86" t="s">
        <v>5740</v>
      </c>
      <c r="H63" s="87" t="s">
        <v>1046</v>
      </c>
      <c r="I63" s="88"/>
      <c r="J63" s="88"/>
      <c r="K63" s="88"/>
      <c r="L63" s="88"/>
      <c r="M63" s="88"/>
      <c r="N63" s="89"/>
      <c r="O63" s="87" t="s">
        <v>1047</v>
      </c>
      <c r="P63" s="88"/>
      <c r="Q63" s="88"/>
      <c r="R63" s="88"/>
      <c r="S63" s="88"/>
      <c r="T63" s="88"/>
      <c r="U63" s="89"/>
      <c r="V63" s="87" t="s">
        <v>5765</v>
      </c>
      <c r="W63" s="88"/>
      <c r="X63" s="88"/>
      <c r="Y63" s="88"/>
      <c r="Z63" s="88"/>
      <c r="AA63" s="88"/>
      <c r="AB63" s="88"/>
      <c r="AC63" s="87" t="s">
        <v>5766</v>
      </c>
      <c r="AD63" s="88"/>
      <c r="AE63" s="88"/>
      <c r="AF63" s="88"/>
      <c r="AG63" s="88"/>
      <c r="AH63" s="88"/>
      <c r="AI63" s="88"/>
      <c r="AJ63" s="87" t="s">
        <v>5767</v>
      </c>
      <c r="AK63" s="88"/>
      <c r="AL63" s="88"/>
      <c r="AM63" s="88"/>
      <c r="AN63" s="88"/>
      <c r="AO63" s="88"/>
      <c r="AP63" s="88"/>
      <c r="AQ63" s="87" t="s">
        <v>5768</v>
      </c>
      <c r="AR63" s="88"/>
      <c r="AS63" s="88"/>
      <c r="AT63" s="88"/>
      <c r="AU63" s="88"/>
      <c r="AV63" s="88"/>
      <c r="AW63" s="88"/>
      <c r="AX63" s="87" t="s">
        <v>5769</v>
      </c>
      <c r="AY63" s="88"/>
      <c r="AZ63" s="88"/>
      <c r="BA63" s="88"/>
      <c r="BB63" s="88"/>
      <c r="BC63" s="88"/>
      <c r="BD63" s="88"/>
      <c r="BE63" s="105"/>
    </row>
    <row r="64" spans="2:57" x14ac:dyDescent="0.3">
      <c r="B64" s="90"/>
      <c r="C64" s="50"/>
      <c r="D64" s="51"/>
      <c r="E64" s="50"/>
      <c r="F64" s="50"/>
      <c r="G64" s="66"/>
      <c r="H64" s="71" t="s">
        <v>5755</v>
      </c>
      <c r="I64" s="52" t="s">
        <v>1053</v>
      </c>
      <c r="J64" s="52" t="s">
        <v>977</v>
      </c>
      <c r="K64" s="52" t="s">
        <v>978</v>
      </c>
      <c r="L64" s="52" t="s">
        <v>979</v>
      </c>
      <c r="M64" s="53" t="s">
        <v>5743</v>
      </c>
      <c r="N64" s="72" t="s">
        <v>5744</v>
      </c>
      <c r="O64" s="71" t="s">
        <v>5755</v>
      </c>
      <c r="P64" s="52" t="s">
        <v>1053</v>
      </c>
      <c r="Q64" s="52" t="s">
        <v>977</v>
      </c>
      <c r="R64" s="52" t="s">
        <v>978</v>
      </c>
      <c r="S64" s="52" t="s">
        <v>979</v>
      </c>
      <c r="T64" s="53" t="s">
        <v>5743</v>
      </c>
      <c r="U64" s="72" t="s">
        <v>5744</v>
      </c>
      <c r="V64" s="71" t="s">
        <v>5755</v>
      </c>
      <c r="W64" s="52" t="s">
        <v>1053</v>
      </c>
      <c r="X64" s="52" t="s">
        <v>977</v>
      </c>
      <c r="Y64" s="52" t="s">
        <v>978</v>
      </c>
      <c r="Z64" s="52" t="s">
        <v>979</v>
      </c>
      <c r="AA64" s="53" t="s">
        <v>5743</v>
      </c>
      <c r="AB64" s="81" t="s">
        <v>5744</v>
      </c>
      <c r="AC64" s="71" t="s">
        <v>5755</v>
      </c>
      <c r="AD64" s="52" t="s">
        <v>1053</v>
      </c>
      <c r="AE64" s="52" t="s">
        <v>977</v>
      </c>
      <c r="AF64" s="52" t="s">
        <v>978</v>
      </c>
      <c r="AG64" s="52" t="s">
        <v>979</v>
      </c>
      <c r="AH64" s="53" t="s">
        <v>5743</v>
      </c>
      <c r="AI64" s="81" t="s">
        <v>5744</v>
      </c>
      <c r="AJ64" s="71" t="s">
        <v>5755</v>
      </c>
      <c r="AK64" s="52" t="s">
        <v>1053</v>
      </c>
      <c r="AL64" s="52" t="s">
        <v>977</v>
      </c>
      <c r="AM64" s="52" t="s">
        <v>978</v>
      </c>
      <c r="AN64" s="52" t="s">
        <v>979</v>
      </c>
      <c r="AO64" s="53" t="s">
        <v>5743</v>
      </c>
      <c r="AP64" s="81" t="s">
        <v>5744</v>
      </c>
      <c r="AQ64" s="71" t="s">
        <v>5755</v>
      </c>
      <c r="AR64" s="52" t="s">
        <v>1053</v>
      </c>
      <c r="AS64" s="52" t="s">
        <v>977</v>
      </c>
      <c r="AT64" s="52" t="s">
        <v>978</v>
      </c>
      <c r="AU64" s="52" t="s">
        <v>979</v>
      </c>
      <c r="AV64" s="53" t="s">
        <v>5743</v>
      </c>
      <c r="AW64" s="81" t="s">
        <v>5744</v>
      </c>
      <c r="AX64" s="71" t="s">
        <v>5755</v>
      </c>
      <c r="AY64" s="52" t="s">
        <v>1053</v>
      </c>
      <c r="AZ64" s="52" t="s">
        <v>977</v>
      </c>
      <c r="BA64" s="52" t="s">
        <v>978</v>
      </c>
      <c r="BB64" s="52" t="s">
        <v>979</v>
      </c>
      <c r="BC64" s="53" t="s">
        <v>5743</v>
      </c>
      <c r="BD64" s="81" t="s">
        <v>5744</v>
      </c>
      <c r="BE64" s="105"/>
    </row>
    <row r="65" spans="2:57" ht="15" customHeight="1" x14ac:dyDescent="0.3">
      <c r="B65" s="91" t="s">
        <v>5770</v>
      </c>
      <c r="C65" s="54" t="s">
        <v>5759</v>
      </c>
      <c r="D65" s="55"/>
      <c r="E65" s="56" t="s">
        <v>5746</v>
      </c>
      <c r="F65" s="56" t="s">
        <v>5746</v>
      </c>
      <c r="G65" s="67"/>
      <c r="H65" s="73"/>
      <c r="I65" s="58"/>
      <c r="J65" s="58"/>
      <c r="K65" s="57"/>
      <c r="L65" s="58"/>
      <c r="M65" s="57"/>
      <c r="N65" s="74"/>
      <c r="O65" s="73"/>
      <c r="P65" s="58"/>
      <c r="Q65" s="58"/>
      <c r="R65" s="57"/>
      <c r="S65" s="58"/>
      <c r="T65" s="57"/>
      <c r="U65" s="74"/>
      <c r="V65" s="73"/>
      <c r="W65" s="58"/>
      <c r="X65" s="58"/>
      <c r="Y65" s="57"/>
      <c r="Z65" s="58"/>
      <c r="AA65" s="57"/>
      <c r="AB65" s="67"/>
      <c r="AC65" s="73"/>
      <c r="AD65" s="58"/>
      <c r="AE65" s="58"/>
      <c r="AF65" s="57"/>
      <c r="AG65" s="58"/>
      <c r="AH65" s="57"/>
      <c r="AI65" s="67"/>
      <c r="AJ65" s="73"/>
      <c r="AK65" s="58"/>
      <c r="AL65" s="58"/>
      <c r="AM65" s="57"/>
      <c r="AN65" s="58"/>
      <c r="AO65" s="57"/>
      <c r="AP65" s="67"/>
      <c r="AQ65" s="73"/>
      <c r="AR65" s="58"/>
      <c r="AS65" s="58"/>
      <c r="AT65" s="57"/>
      <c r="AU65" s="58"/>
      <c r="AV65" s="57"/>
      <c r="AW65" s="67"/>
      <c r="AX65" s="73"/>
      <c r="AY65" s="58"/>
      <c r="AZ65" s="58"/>
      <c r="BA65" s="57"/>
      <c r="BB65" s="58"/>
      <c r="BC65" s="57"/>
      <c r="BD65" s="67"/>
      <c r="BE65" s="105"/>
    </row>
    <row r="66" spans="2:57" ht="15" hidden="1" customHeight="1" outlineLevel="1" x14ac:dyDescent="0.3">
      <c r="B66" s="92"/>
      <c r="C66" s="38" t="s">
        <v>5757</v>
      </c>
      <c r="D66" s="38" t="s">
        <v>5761</v>
      </c>
      <c r="E66" s="39" t="s">
        <v>5746</v>
      </c>
      <c r="F66" s="39" t="s">
        <v>5746</v>
      </c>
      <c r="G66" s="68"/>
      <c r="H66" s="75"/>
      <c r="I66" s="41"/>
      <c r="J66" s="42"/>
      <c r="K66" s="40"/>
      <c r="L66" s="42"/>
      <c r="M66" s="40"/>
      <c r="N66" s="76"/>
      <c r="O66" s="75"/>
      <c r="P66" s="41"/>
      <c r="Q66" s="42"/>
      <c r="R66" s="40"/>
      <c r="S66" s="42"/>
      <c r="T66" s="40"/>
      <c r="U66" s="76"/>
      <c r="V66" s="75"/>
      <c r="W66" s="41"/>
      <c r="X66" s="42"/>
      <c r="Y66" s="40"/>
      <c r="Z66" s="42"/>
      <c r="AA66" s="40"/>
      <c r="AB66" s="68"/>
      <c r="AC66" s="75"/>
      <c r="AD66" s="41"/>
      <c r="AE66" s="42"/>
      <c r="AF66" s="40"/>
      <c r="AG66" s="42"/>
      <c r="AH66" s="40"/>
      <c r="AI66" s="68"/>
      <c r="AJ66" s="75"/>
      <c r="AK66" s="41"/>
      <c r="AL66" s="42"/>
      <c r="AM66" s="40"/>
      <c r="AN66" s="42"/>
      <c r="AO66" s="40"/>
      <c r="AP66" s="68"/>
      <c r="AQ66" s="75"/>
      <c r="AR66" s="41"/>
      <c r="AS66" s="42"/>
      <c r="AT66" s="40"/>
      <c r="AU66" s="42"/>
      <c r="AV66" s="40"/>
      <c r="AW66" s="68"/>
      <c r="AX66" s="75"/>
      <c r="AY66" s="41"/>
      <c r="AZ66" s="42"/>
      <c r="BA66" s="40"/>
      <c r="BB66" s="42"/>
      <c r="BC66" s="40"/>
      <c r="BD66" s="68"/>
      <c r="BE66" s="105"/>
    </row>
    <row r="67" spans="2:57" ht="15" hidden="1" customHeight="1" outlineLevel="1" x14ac:dyDescent="0.3">
      <c r="B67" s="93" t="s">
        <v>5745</v>
      </c>
      <c r="C67" s="43"/>
      <c r="D67" s="44"/>
      <c r="E67" s="49" t="s">
        <v>5747</v>
      </c>
      <c r="F67" s="49" t="s">
        <v>5747</v>
      </c>
      <c r="G67" s="69"/>
      <c r="H67" s="77"/>
      <c r="I67" s="61"/>
      <c r="J67" s="62"/>
      <c r="K67" s="60"/>
      <c r="L67" s="62"/>
      <c r="M67" s="60"/>
      <c r="N67" s="78"/>
      <c r="O67" s="77"/>
      <c r="P67" s="61"/>
      <c r="Q67" s="62"/>
      <c r="R67" s="60"/>
      <c r="S67" s="62"/>
      <c r="T67" s="60"/>
      <c r="U67" s="78"/>
      <c r="V67" s="77"/>
      <c r="W67" s="61"/>
      <c r="X67" s="62"/>
      <c r="Y67" s="60"/>
      <c r="Z67" s="62"/>
      <c r="AA67" s="60"/>
      <c r="AB67" s="69"/>
      <c r="AC67" s="77"/>
      <c r="AD67" s="61"/>
      <c r="AE67" s="62"/>
      <c r="AF67" s="60"/>
      <c r="AG67" s="62"/>
      <c r="AH67" s="60"/>
      <c r="AI67" s="69"/>
      <c r="AJ67" s="77"/>
      <c r="AK67" s="61"/>
      <c r="AL67" s="62"/>
      <c r="AM67" s="60"/>
      <c r="AN67" s="62"/>
      <c r="AO67" s="60"/>
      <c r="AP67" s="69"/>
      <c r="AQ67" s="77"/>
      <c r="AR67" s="61"/>
      <c r="AS67" s="62"/>
      <c r="AT67" s="60"/>
      <c r="AU67" s="62"/>
      <c r="AV67" s="60"/>
      <c r="AW67" s="69"/>
      <c r="AX67" s="77"/>
      <c r="AY67" s="61"/>
      <c r="AZ67" s="62"/>
      <c r="BA67" s="60"/>
      <c r="BB67" s="62"/>
      <c r="BC67" s="60"/>
      <c r="BD67" s="69"/>
      <c r="BE67" s="105"/>
    </row>
    <row r="68" spans="2:57" ht="15" hidden="1" customHeight="1" outlineLevel="1" x14ac:dyDescent="0.3">
      <c r="B68" s="93" t="s">
        <v>5745</v>
      </c>
      <c r="C68" s="43"/>
      <c r="D68" s="43" t="s">
        <v>5762</v>
      </c>
      <c r="E68" s="39" t="s">
        <v>5748</v>
      </c>
      <c r="F68" s="39" t="s">
        <v>5748</v>
      </c>
      <c r="G68" s="68"/>
      <c r="H68" s="75"/>
      <c r="I68" s="41"/>
      <c r="J68" s="42"/>
      <c r="K68" s="40"/>
      <c r="L68" s="42"/>
      <c r="M68" s="40"/>
      <c r="N68" s="76"/>
      <c r="O68" s="75"/>
      <c r="P68" s="41"/>
      <c r="Q68" s="42"/>
      <c r="R68" s="40"/>
      <c r="S68" s="42"/>
      <c r="T68" s="40"/>
      <c r="U68" s="76"/>
      <c r="V68" s="75"/>
      <c r="W68" s="41"/>
      <c r="X68" s="42"/>
      <c r="Y68" s="40"/>
      <c r="Z68" s="42"/>
      <c r="AA68" s="40"/>
      <c r="AB68" s="68"/>
      <c r="AC68" s="75"/>
      <c r="AD68" s="41"/>
      <c r="AE68" s="42"/>
      <c r="AF68" s="40"/>
      <c r="AG68" s="42"/>
      <c r="AH68" s="40"/>
      <c r="AI68" s="68"/>
      <c r="AJ68" s="75"/>
      <c r="AK68" s="41"/>
      <c r="AL68" s="42"/>
      <c r="AM68" s="40"/>
      <c r="AN68" s="42"/>
      <c r="AO68" s="40"/>
      <c r="AP68" s="68"/>
      <c r="AQ68" s="75"/>
      <c r="AR68" s="41"/>
      <c r="AS68" s="42"/>
      <c r="AT68" s="40"/>
      <c r="AU68" s="42"/>
      <c r="AV68" s="40"/>
      <c r="AW68" s="68"/>
      <c r="AX68" s="75"/>
      <c r="AY68" s="41"/>
      <c r="AZ68" s="42"/>
      <c r="BA68" s="40"/>
      <c r="BB68" s="42"/>
      <c r="BC68" s="40"/>
      <c r="BD68" s="68"/>
      <c r="BE68" s="105"/>
    </row>
    <row r="69" spans="2:57" ht="15" hidden="1" customHeight="1" outlineLevel="1" x14ac:dyDescent="0.3">
      <c r="B69" s="93" t="s">
        <v>5745</v>
      </c>
      <c r="C69" s="43"/>
      <c r="D69" s="44"/>
      <c r="E69" s="45" t="s">
        <v>5750</v>
      </c>
      <c r="F69" s="45" t="s">
        <v>5750</v>
      </c>
      <c r="G69" s="70"/>
      <c r="H69" s="79"/>
      <c r="I69" s="47"/>
      <c r="J69" s="48"/>
      <c r="K69" s="46"/>
      <c r="L69" s="48"/>
      <c r="M69" s="46"/>
      <c r="N69" s="80"/>
      <c r="O69" s="79"/>
      <c r="P69" s="47"/>
      <c r="Q69" s="48"/>
      <c r="R69" s="46"/>
      <c r="S69" s="48"/>
      <c r="T69" s="46"/>
      <c r="U69" s="80"/>
      <c r="V69" s="79"/>
      <c r="W69" s="47"/>
      <c r="X69" s="48"/>
      <c r="Y69" s="46"/>
      <c r="Z69" s="48"/>
      <c r="AA69" s="46"/>
      <c r="AB69" s="70"/>
      <c r="AC69" s="79"/>
      <c r="AD69" s="47"/>
      <c r="AE69" s="48"/>
      <c r="AF69" s="46"/>
      <c r="AG69" s="48"/>
      <c r="AH69" s="46"/>
      <c r="AI69" s="70"/>
      <c r="AJ69" s="79"/>
      <c r="AK69" s="47"/>
      <c r="AL69" s="48"/>
      <c r="AM69" s="46"/>
      <c r="AN69" s="48"/>
      <c r="AO69" s="46"/>
      <c r="AP69" s="70"/>
      <c r="AQ69" s="79"/>
      <c r="AR69" s="47"/>
      <c r="AS69" s="48"/>
      <c r="AT69" s="46"/>
      <c r="AU69" s="48"/>
      <c r="AV69" s="46"/>
      <c r="AW69" s="70"/>
      <c r="AX69" s="79"/>
      <c r="AY69" s="47"/>
      <c r="AZ69" s="48"/>
      <c r="BA69" s="46"/>
      <c r="BB69" s="48"/>
      <c r="BC69" s="46"/>
      <c r="BD69" s="70"/>
      <c r="BE69" s="105"/>
    </row>
    <row r="70" spans="2:57" ht="15" hidden="1" customHeight="1" outlineLevel="1" x14ac:dyDescent="0.3">
      <c r="B70" s="93" t="s">
        <v>5745</v>
      </c>
      <c r="C70" s="38" t="s">
        <v>5758</v>
      </c>
      <c r="D70" s="38" t="s">
        <v>5763</v>
      </c>
      <c r="E70" s="39" t="s">
        <v>5749</v>
      </c>
      <c r="F70" s="39" t="s">
        <v>5749</v>
      </c>
      <c r="G70" s="68"/>
      <c r="H70" s="75"/>
      <c r="I70" s="41"/>
      <c r="J70" s="42"/>
      <c r="K70" s="40"/>
      <c r="L70" s="42"/>
      <c r="M70" s="40"/>
      <c r="N70" s="76"/>
      <c r="O70" s="75"/>
      <c r="P70" s="41"/>
      <c r="Q70" s="42"/>
      <c r="R70" s="40"/>
      <c r="S70" s="42"/>
      <c r="T70" s="40"/>
      <c r="U70" s="76"/>
      <c r="V70" s="75"/>
      <c r="W70" s="41"/>
      <c r="X70" s="42"/>
      <c r="Y70" s="40"/>
      <c r="Z70" s="42"/>
      <c r="AA70" s="40"/>
      <c r="AB70" s="68"/>
      <c r="AC70" s="75"/>
      <c r="AD70" s="41"/>
      <c r="AE70" s="42"/>
      <c r="AF70" s="40"/>
      <c r="AG70" s="42"/>
      <c r="AH70" s="40"/>
      <c r="AI70" s="68"/>
      <c r="AJ70" s="75"/>
      <c r="AK70" s="41"/>
      <c r="AL70" s="42"/>
      <c r="AM70" s="40"/>
      <c r="AN70" s="42"/>
      <c r="AO70" s="40"/>
      <c r="AP70" s="68"/>
      <c r="AQ70" s="75"/>
      <c r="AR70" s="41"/>
      <c r="AS70" s="42"/>
      <c r="AT70" s="40"/>
      <c r="AU70" s="42"/>
      <c r="AV70" s="40"/>
      <c r="AW70" s="68"/>
      <c r="AX70" s="75"/>
      <c r="AY70" s="41"/>
      <c r="AZ70" s="42"/>
      <c r="BA70" s="40"/>
      <c r="BB70" s="42"/>
      <c r="BC70" s="40"/>
      <c r="BD70" s="68"/>
      <c r="BE70" s="105"/>
    </row>
    <row r="71" spans="2:57" ht="15" hidden="1" customHeight="1" outlineLevel="1" x14ac:dyDescent="0.3">
      <c r="B71" s="93" t="s">
        <v>5745</v>
      </c>
      <c r="C71" s="43"/>
      <c r="D71" s="44"/>
      <c r="E71" s="49" t="s">
        <v>5749</v>
      </c>
      <c r="F71" s="49" t="s">
        <v>5749</v>
      </c>
      <c r="G71" s="69"/>
      <c r="H71" s="77"/>
      <c r="I71" s="61"/>
      <c r="J71" s="62"/>
      <c r="K71" s="60"/>
      <c r="L71" s="62"/>
      <c r="M71" s="60"/>
      <c r="N71" s="78"/>
      <c r="O71" s="77"/>
      <c r="P71" s="61"/>
      <c r="Q71" s="62"/>
      <c r="R71" s="60"/>
      <c r="S71" s="62"/>
      <c r="T71" s="60"/>
      <c r="U71" s="78"/>
      <c r="V71" s="77"/>
      <c r="W71" s="61"/>
      <c r="X71" s="62"/>
      <c r="Y71" s="60"/>
      <c r="Z71" s="62"/>
      <c r="AA71" s="60"/>
      <c r="AB71" s="69"/>
      <c r="AC71" s="77"/>
      <c r="AD71" s="61"/>
      <c r="AE71" s="62"/>
      <c r="AF71" s="60"/>
      <c r="AG71" s="62"/>
      <c r="AH71" s="60"/>
      <c r="AI71" s="69"/>
      <c r="AJ71" s="77"/>
      <c r="AK71" s="61"/>
      <c r="AL71" s="62"/>
      <c r="AM71" s="60"/>
      <c r="AN71" s="62"/>
      <c r="AO71" s="60"/>
      <c r="AP71" s="69"/>
      <c r="AQ71" s="77"/>
      <c r="AR71" s="61"/>
      <c r="AS71" s="62"/>
      <c r="AT71" s="60"/>
      <c r="AU71" s="62"/>
      <c r="AV71" s="60"/>
      <c r="AW71" s="69"/>
      <c r="AX71" s="77"/>
      <c r="AY71" s="61"/>
      <c r="AZ71" s="62"/>
      <c r="BA71" s="60"/>
      <c r="BB71" s="62"/>
      <c r="BC71" s="60"/>
      <c r="BD71" s="69"/>
      <c r="BE71" s="105"/>
    </row>
    <row r="72" spans="2:57" ht="15" hidden="1" customHeight="1" outlineLevel="1" x14ac:dyDescent="0.3">
      <c r="B72" s="93" t="s">
        <v>5745</v>
      </c>
      <c r="C72" s="43"/>
      <c r="D72" s="38" t="s">
        <v>5764</v>
      </c>
      <c r="E72" s="39" t="s">
        <v>5749</v>
      </c>
      <c r="F72" s="39" t="s">
        <v>5749</v>
      </c>
      <c r="G72" s="68"/>
      <c r="H72" s="75"/>
      <c r="I72" s="41"/>
      <c r="J72" s="42"/>
      <c r="K72" s="40"/>
      <c r="L72" s="42"/>
      <c r="M72" s="40"/>
      <c r="N72" s="76"/>
      <c r="O72" s="75"/>
      <c r="P72" s="41"/>
      <c r="Q72" s="42"/>
      <c r="R72" s="40"/>
      <c r="S72" s="42"/>
      <c r="T72" s="40"/>
      <c r="U72" s="76"/>
      <c r="V72" s="75"/>
      <c r="W72" s="41"/>
      <c r="X72" s="42"/>
      <c r="Y72" s="40"/>
      <c r="Z72" s="42"/>
      <c r="AA72" s="40"/>
      <c r="AB72" s="68"/>
      <c r="AC72" s="75"/>
      <c r="AD72" s="41"/>
      <c r="AE72" s="42"/>
      <c r="AF72" s="40"/>
      <c r="AG72" s="42"/>
      <c r="AH72" s="40"/>
      <c r="AI72" s="68"/>
      <c r="AJ72" s="75"/>
      <c r="AK72" s="41"/>
      <c r="AL72" s="42"/>
      <c r="AM72" s="40"/>
      <c r="AN72" s="42"/>
      <c r="AO72" s="40"/>
      <c r="AP72" s="68"/>
      <c r="AQ72" s="75"/>
      <c r="AR72" s="41"/>
      <c r="AS72" s="42"/>
      <c r="AT72" s="40"/>
      <c r="AU72" s="42"/>
      <c r="AV72" s="40"/>
      <c r="AW72" s="68"/>
      <c r="AX72" s="75"/>
      <c r="AY72" s="41"/>
      <c r="AZ72" s="42"/>
      <c r="BA72" s="40"/>
      <c r="BB72" s="42"/>
      <c r="BC72" s="40"/>
      <c r="BD72" s="68"/>
      <c r="BE72" s="105"/>
    </row>
    <row r="73" spans="2:57" ht="15" hidden="1" customHeight="1" outlineLevel="1" thickBot="1" x14ac:dyDescent="0.35">
      <c r="B73" s="93" t="s">
        <v>5745</v>
      </c>
      <c r="C73" s="43"/>
      <c r="D73" s="43"/>
      <c r="E73" s="49" t="s">
        <v>5749</v>
      </c>
      <c r="F73" s="49" t="s">
        <v>5749</v>
      </c>
      <c r="G73" s="69"/>
      <c r="H73" s="77"/>
      <c r="I73" s="61"/>
      <c r="J73" s="62"/>
      <c r="K73" s="60"/>
      <c r="L73" s="62"/>
      <c r="M73" s="60"/>
      <c r="N73" s="78"/>
      <c r="O73" s="77"/>
      <c r="P73" s="61"/>
      <c r="Q73" s="62"/>
      <c r="R73" s="60"/>
      <c r="S73" s="62"/>
      <c r="T73" s="60"/>
      <c r="U73" s="78"/>
      <c r="V73" s="77"/>
      <c r="W73" s="61"/>
      <c r="X73" s="62"/>
      <c r="Y73" s="60"/>
      <c r="Z73" s="62"/>
      <c r="AA73" s="60"/>
      <c r="AB73" s="69"/>
      <c r="AC73" s="77"/>
      <c r="AD73" s="61"/>
      <c r="AE73" s="62"/>
      <c r="AF73" s="60"/>
      <c r="AG73" s="62"/>
      <c r="AH73" s="60"/>
      <c r="AI73" s="69"/>
      <c r="AJ73" s="77"/>
      <c r="AK73" s="61"/>
      <c r="AL73" s="62"/>
      <c r="AM73" s="60"/>
      <c r="AN73" s="62"/>
      <c r="AO73" s="60"/>
      <c r="AP73" s="69"/>
      <c r="AQ73" s="77"/>
      <c r="AR73" s="61"/>
      <c r="AS73" s="62"/>
      <c r="AT73" s="60"/>
      <c r="AU73" s="62"/>
      <c r="AV73" s="60"/>
      <c r="AW73" s="69"/>
      <c r="AX73" s="77"/>
      <c r="AY73" s="61"/>
      <c r="AZ73" s="62"/>
      <c r="BA73" s="101"/>
      <c r="BB73" s="100"/>
      <c r="BC73" s="101"/>
      <c r="BD73" s="97"/>
      <c r="BE73" s="105"/>
    </row>
    <row r="74" spans="2:57" ht="15" customHeight="1" collapsed="1" thickBot="1" x14ac:dyDescent="0.35">
      <c r="B74" s="91" t="s">
        <v>5753</v>
      </c>
      <c r="C74" s="54" t="s">
        <v>5759</v>
      </c>
      <c r="D74" s="55"/>
      <c r="E74" s="56" t="s">
        <v>5746</v>
      </c>
      <c r="F74" s="56" t="s">
        <v>5746</v>
      </c>
      <c r="G74" s="67"/>
      <c r="H74" s="73"/>
      <c r="I74" s="58"/>
      <c r="J74" s="58"/>
      <c r="K74" s="57"/>
      <c r="L74" s="58"/>
      <c r="M74" s="57"/>
      <c r="N74" s="74"/>
      <c r="O74" s="73"/>
      <c r="P74" s="58"/>
      <c r="Q74" s="58"/>
      <c r="R74" s="57"/>
      <c r="S74" s="58"/>
      <c r="T74" s="57"/>
      <c r="U74" s="74"/>
      <c r="V74" s="73"/>
      <c r="W74" s="58"/>
      <c r="X74" s="58"/>
      <c r="Y74" s="57"/>
      <c r="Z74" s="58"/>
      <c r="AA74" s="57"/>
      <c r="AB74" s="67"/>
      <c r="AC74" s="73"/>
      <c r="AD74" s="58"/>
      <c r="AE74" s="58"/>
      <c r="AF74" s="57"/>
      <c r="AG74" s="58"/>
      <c r="AH74" s="57"/>
      <c r="AI74" s="67"/>
      <c r="AJ74" s="73"/>
      <c r="AK74" s="58"/>
      <c r="AL74" s="58"/>
      <c r="AM74" s="57"/>
      <c r="AN74" s="58"/>
      <c r="AO74" s="57"/>
      <c r="AP74" s="67"/>
      <c r="AQ74" s="73"/>
      <c r="AR74" s="58"/>
      <c r="AS74" s="58"/>
      <c r="AT74" s="57"/>
      <c r="AU74" s="58"/>
      <c r="AV74" s="57"/>
      <c r="AW74" s="67"/>
      <c r="AX74" s="73"/>
      <c r="AY74" s="58"/>
      <c r="AZ74" s="58"/>
      <c r="BA74" s="57"/>
      <c r="BB74" s="58"/>
      <c r="BC74" s="57"/>
      <c r="BD74" s="67"/>
      <c r="BE74" s="105"/>
    </row>
    <row r="75" spans="2:57" ht="15" hidden="1" customHeight="1" outlineLevel="1" x14ac:dyDescent="0.3">
      <c r="B75" s="92"/>
      <c r="C75" s="38" t="s">
        <v>5757</v>
      </c>
      <c r="D75" s="38" t="s">
        <v>5761</v>
      </c>
      <c r="E75" s="39" t="s">
        <v>5746</v>
      </c>
      <c r="F75" s="39" t="s">
        <v>5746</v>
      </c>
      <c r="G75" s="68"/>
      <c r="H75" s="75"/>
      <c r="I75" s="41"/>
      <c r="J75" s="42"/>
      <c r="K75" s="40"/>
      <c r="L75" s="42"/>
      <c r="M75" s="40"/>
      <c r="N75" s="76"/>
      <c r="O75" s="75"/>
      <c r="P75" s="41"/>
      <c r="Q75" s="42"/>
      <c r="R75" s="40"/>
      <c r="S75" s="42"/>
      <c r="T75" s="40"/>
      <c r="U75" s="76"/>
      <c r="V75" s="75"/>
      <c r="W75" s="41"/>
      <c r="X75" s="42"/>
      <c r="Y75" s="40"/>
      <c r="Z75" s="42"/>
      <c r="AA75" s="40"/>
      <c r="AB75" s="68"/>
      <c r="AC75" s="75"/>
      <c r="AD75" s="41"/>
      <c r="AE75" s="42"/>
      <c r="AF75" s="40"/>
      <c r="AG75" s="42"/>
      <c r="AH75" s="40"/>
      <c r="AI75" s="68"/>
      <c r="AJ75" s="75"/>
      <c r="AK75" s="41"/>
      <c r="AL75" s="42"/>
      <c r="AM75" s="40"/>
      <c r="AN75" s="42"/>
      <c r="AO75" s="40"/>
      <c r="AP75" s="68"/>
      <c r="AQ75" s="75"/>
      <c r="AR75" s="41"/>
      <c r="AS75" s="42"/>
      <c r="AT75" s="40"/>
      <c r="AU75" s="42"/>
      <c r="AV75" s="40"/>
      <c r="AW75" s="68"/>
      <c r="AX75" s="75"/>
      <c r="AY75" s="41"/>
      <c r="AZ75" s="42"/>
      <c r="BA75" s="40"/>
      <c r="BB75" s="42"/>
      <c r="BC75" s="40"/>
      <c r="BD75" s="68"/>
      <c r="BE75" s="105"/>
    </row>
    <row r="76" spans="2:57" ht="15" hidden="1" customHeight="1" outlineLevel="1" x14ac:dyDescent="0.3">
      <c r="B76" s="93" t="s">
        <v>5745</v>
      </c>
      <c r="C76" s="43"/>
      <c r="D76" s="44"/>
      <c r="E76" s="49" t="s">
        <v>5747</v>
      </c>
      <c r="F76" s="49" t="s">
        <v>5747</v>
      </c>
      <c r="G76" s="69"/>
      <c r="H76" s="77"/>
      <c r="I76" s="61"/>
      <c r="J76" s="62"/>
      <c r="K76" s="60"/>
      <c r="L76" s="62"/>
      <c r="M76" s="60"/>
      <c r="N76" s="78"/>
      <c r="O76" s="77"/>
      <c r="P76" s="61"/>
      <c r="Q76" s="62"/>
      <c r="R76" s="60"/>
      <c r="S76" s="62"/>
      <c r="T76" s="60"/>
      <c r="U76" s="78"/>
      <c r="V76" s="77"/>
      <c r="W76" s="61"/>
      <c r="X76" s="62"/>
      <c r="Y76" s="60"/>
      <c r="Z76" s="62"/>
      <c r="AA76" s="60"/>
      <c r="AB76" s="69"/>
      <c r="AC76" s="77"/>
      <c r="AD76" s="61"/>
      <c r="AE76" s="62"/>
      <c r="AF76" s="60"/>
      <c r="AG76" s="62"/>
      <c r="AH76" s="60"/>
      <c r="AI76" s="69"/>
      <c r="AJ76" s="77"/>
      <c r="AK76" s="61"/>
      <c r="AL76" s="62"/>
      <c r="AM76" s="60"/>
      <c r="AN76" s="62"/>
      <c r="AO76" s="60"/>
      <c r="AP76" s="69"/>
      <c r="AQ76" s="77"/>
      <c r="AR76" s="61"/>
      <c r="AS76" s="62"/>
      <c r="AT76" s="60"/>
      <c r="AU76" s="62"/>
      <c r="AV76" s="60"/>
      <c r="AW76" s="69"/>
      <c r="AX76" s="77"/>
      <c r="AY76" s="61"/>
      <c r="AZ76" s="62"/>
      <c r="BA76" s="60"/>
      <c r="BB76" s="62"/>
      <c r="BC76" s="60"/>
      <c r="BD76" s="69"/>
      <c r="BE76" s="105"/>
    </row>
    <row r="77" spans="2:57" ht="15" hidden="1" customHeight="1" outlineLevel="1" x14ac:dyDescent="0.3">
      <c r="B77" s="93" t="s">
        <v>5745</v>
      </c>
      <c r="C77" s="43"/>
      <c r="D77" s="43" t="s">
        <v>5762</v>
      </c>
      <c r="E77" s="39" t="s">
        <v>5748</v>
      </c>
      <c r="F77" s="39" t="s">
        <v>5748</v>
      </c>
      <c r="G77" s="68"/>
      <c r="H77" s="75"/>
      <c r="I77" s="41"/>
      <c r="J77" s="42"/>
      <c r="K77" s="40"/>
      <c r="L77" s="42"/>
      <c r="M77" s="40"/>
      <c r="N77" s="76"/>
      <c r="O77" s="75"/>
      <c r="P77" s="41"/>
      <c r="Q77" s="42"/>
      <c r="R77" s="40"/>
      <c r="S77" s="42"/>
      <c r="T77" s="40"/>
      <c r="U77" s="76"/>
      <c r="V77" s="75"/>
      <c r="W77" s="41"/>
      <c r="X77" s="42"/>
      <c r="Y77" s="40"/>
      <c r="Z77" s="42"/>
      <c r="AA77" s="40"/>
      <c r="AB77" s="68"/>
      <c r="AC77" s="75"/>
      <c r="AD77" s="41"/>
      <c r="AE77" s="42"/>
      <c r="AF77" s="40"/>
      <c r="AG77" s="42"/>
      <c r="AH77" s="40"/>
      <c r="AI77" s="68"/>
      <c r="AJ77" s="75"/>
      <c r="AK77" s="41"/>
      <c r="AL77" s="42"/>
      <c r="AM77" s="40"/>
      <c r="AN77" s="42"/>
      <c r="AO77" s="40"/>
      <c r="AP77" s="68"/>
      <c r="AQ77" s="75"/>
      <c r="AR77" s="41"/>
      <c r="AS77" s="42"/>
      <c r="AT77" s="40"/>
      <c r="AU77" s="42"/>
      <c r="AV77" s="40"/>
      <c r="AW77" s="68"/>
      <c r="AX77" s="75"/>
      <c r="AY77" s="41"/>
      <c r="AZ77" s="42"/>
      <c r="BA77" s="40"/>
      <c r="BB77" s="42"/>
      <c r="BC77" s="40"/>
      <c r="BD77" s="68"/>
      <c r="BE77" s="105"/>
    </row>
    <row r="78" spans="2:57" ht="15" hidden="1" customHeight="1" outlineLevel="1" x14ac:dyDescent="0.3">
      <c r="B78" s="93" t="s">
        <v>5745</v>
      </c>
      <c r="C78" s="43"/>
      <c r="D78" s="44"/>
      <c r="E78" s="45" t="s">
        <v>5750</v>
      </c>
      <c r="F78" s="45" t="s">
        <v>5750</v>
      </c>
      <c r="G78" s="70"/>
      <c r="H78" s="79"/>
      <c r="I78" s="47"/>
      <c r="J78" s="48"/>
      <c r="K78" s="46"/>
      <c r="L78" s="48"/>
      <c r="M78" s="46"/>
      <c r="N78" s="80"/>
      <c r="O78" s="79"/>
      <c r="P78" s="47"/>
      <c r="Q78" s="48"/>
      <c r="R78" s="46"/>
      <c r="S78" s="48"/>
      <c r="T78" s="46"/>
      <c r="U78" s="80"/>
      <c r="V78" s="79"/>
      <c r="W78" s="47"/>
      <c r="X78" s="48"/>
      <c r="Y78" s="46"/>
      <c r="Z78" s="48"/>
      <c r="AA78" s="46"/>
      <c r="AB78" s="70"/>
      <c r="AC78" s="79"/>
      <c r="AD78" s="47"/>
      <c r="AE78" s="48"/>
      <c r="AF78" s="46"/>
      <c r="AG78" s="48"/>
      <c r="AH78" s="46"/>
      <c r="AI78" s="70"/>
      <c r="AJ78" s="79"/>
      <c r="AK78" s="47"/>
      <c r="AL78" s="48"/>
      <c r="AM78" s="46"/>
      <c r="AN78" s="48"/>
      <c r="AO78" s="46"/>
      <c r="AP78" s="70"/>
      <c r="AQ78" s="79"/>
      <c r="AR78" s="47"/>
      <c r="AS78" s="48"/>
      <c r="AT78" s="46"/>
      <c r="AU78" s="48"/>
      <c r="AV78" s="46"/>
      <c r="AW78" s="70"/>
      <c r="AX78" s="79"/>
      <c r="AY78" s="47"/>
      <c r="AZ78" s="48"/>
      <c r="BA78" s="46"/>
      <c r="BB78" s="48"/>
      <c r="BC78" s="46"/>
      <c r="BD78" s="70"/>
      <c r="BE78" s="105"/>
    </row>
    <row r="79" spans="2:57" ht="15" hidden="1" customHeight="1" outlineLevel="1" x14ac:dyDescent="0.3">
      <c r="B79" s="93" t="s">
        <v>5745</v>
      </c>
      <c r="C79" s="38" t="s">
        <v>5758</v>
      </c>
      <c r="D79" s="38" t="s">
        <v>5763</v>
      </c>
      <c r="E79" s="39" t="s">
        <v>5749</v>
      </c>
      <c r="F79" s="39" t="s">
        <v>5749</v>
      </c>
      <c r="G79" s="68"/>
      <c r="H79" s="75"/>
      <c r="I79" s="41"/>
      <c r="J79" s="42"/>
      <c r="K79" s="40"/>
      <c r="L79" s="42"/>
      <c r="M79" s="40"/>
      <c r="N79" s="76"/>
      <c r="O79" s="75"/>
      <c r="P79" s="41"/>
      <c r="Q79" s="42"/>
      <c r="R79" s="40"/>
      <c r="S79" s="42"/>
      <c r="T79" s="40"/>
      <c r="U79" s="76"/>
      <c r="V79" s="75"/>
      <c r="W79" s="41"/>
      <c r="X79" s="42"/>
      <c r="Y79" s="40"/>
      <c r="Z79" s="42"/>
      <c r="AA79" s="40"/>
      <c r="AB79" s="68"/>
      <c r="AC79" s="75"/>
      <c r="AD79" s="41"/>
      <c r="AE79" s="42"/>
      <c r="AF79" s="40"/>
      <c r="AG79" s="42"/>
      <c r="AH79" s="40"/>
      <c r="AI79" s="68"/>
      <c r="AJ79" s="75"/>
      <c r="AK79" s="41"/>
      <c r="AL79" s="42"/>
      <c r="AM79" s="40"/>
      <c r="AN79" s="42"/>
      <c r="AO79" s="40"/>
      <c r="AP79" s="68"/>
      <c r="AQ79" s="75"/>
      <c r="AR79" s="41"/>
      <c r="AS79" s="42"/>
      <c r="AT79" s="40"/>
      <c r="AU79" s="42"/>
      <c r="AV79" s="40"/>
      <c r="AW79" s="68"/>
      <c r="AX79" s="75"/>
      <c r="AY79" s="41"/>
      <c r="AZ79" s="42"/>
      <c r="BA79" s="40"/>
      <c r="BB79" s="42"/>
      <c r="BC79" s="40"/>
      <c r="BD79" s="68"/>
      <c r="BE79" s="105"/>
    </row>
    <row r="80" spans="2:57" ht="15" hidden="1" customHeight="1" outlineLevel="1" x14ac:dyDescent="0.3">
      <c r="B80" s="93" t="s">
        <v>5745</v>
      </c>
      <c r="C80" s="43"/>
      <c r="D80" s="44"/>
      <c r="E80" s="49" t="s">
        <v>5749</v>
      </c>
      <c r="F80" s="49" t="s">
        <v>5749</v>
      </c>
      <c r="G80" s="69"/>
      <c r="H80" s="77"/>
      <c r="I80" s="61"/>
      <c r="J80" s="62"/>
      <c r="K80" s="60"/>
      <c r="L80" s="62"/>
      <c r="M80" s="60"/>
      <c r="N80" s="78"/>
      <c r="O80" s="77"/>
      <c r="P80" s="61"/>
      <c r="Q80" s="62"/>
      <c r="R80" s="60"/>
      <c r="S80" s="62"/>
      <c r="T80" s="60"/>
      <c r="U80" s="78"/>
      <c r="V80" s="77"/>
      <c r="W80" s="61"/>
      <c r="X80" s="62"/>
      <c r="Y80" s="60"/>
      <c r="Z80" s="62"/>
      <c r="AA80" s="60"/>
      <c r="AB80" s="69"/>
      <c r="AC80" s="77"/>
      <c r="AD80" s="61"/>
      <c r="AE80" s="62"/>
      <c r="AF80" s="60"/>
      <c r="AG80" s="62"/>
      <c r="AH80" s="60"/>
      <c r="AI80" s="69"/>
      <c r="AJ80" s="77"/>
      <c r="AK80" s="61"/>
      <c r="AL80" s="62"/>
      <c r="AM80" s="60"/>
      <c r="AN80" s="62"/>
      <c r="AO80" s="60"/>
      <c r="AP80" s="69"/>
      <c r="AQ80" s="77"/>
      <c r="AR80" s="61"/>
      <c r="AS80" s="62"/>
      <c r="AT80" s="60"/>
      <c r="AU80" s="62"/>
      <c r="AV80" s="60"/>
      <c r="AW80" s="69"/>
      <c r="AX80" s="77"/>
      <c r="AY80" s="61"/>
      <c r="AZ80" s="62"/>
      <c r="BA80" s="60"/>
      <c r="BB80" s="62"/>
      <c r="BC80" s="60"/>
      <c r="BD80" s="69"/>
      <c r="BE80" s="105"/>
    </row>
    <row r="81" spans="2:57" ht="15" hidden="1" customHeight="1" outlineLevel="1" x14ac:dyDescent="0.3">
      <c r="B81" s="93" t="s">
        <v>5745</v>
      </c>
      <c r="C81" s="43"/>
      <c r="D81" s="38" t="s">
        <v>5764</v>
      </c>
      <c r="E81" s="39" t="s">
        <v>5749</v>
      </c>
      <c r="F81" s="39" t="s">
        <v>5749</v>
      </c>
      <c r="G81" s="68"/>
      <c r="H81" s="75"/>
      <c r="I81" s="41"/>
      <c r="J81" s="42"/>
      <c r="K81" s="40"/>
      <c r="L81" s="42"/>
      <c r="M81" s="40"/>
      <c r="N81" s="76"/>
      <c r="O81" s="75"/>
      <c r="P81" s="41"/>
      <c r="Q81" s="42"/>
      <c r="R81" s="40"/>
      <c r="S81" s="42"/>
      <c r="T81" s="40"/>
      <c r="U81" s="76"/>
      <c r="V81" s="75"/>
      <c r="W81" s="41"/>
      <c r="X81" s="42"/>
      <c r="Y81" s="40"/>
      <c r="Z81" s="42"/>
      <c r="AA81" s="40"/>
      <c r="AB81" s="68"/>
      <c r="AC81" s="75"/>
      <c r="AD81" s="41"/>
      <c r="AE81" s="42"/>
      <c r="AF81" s="40"/>
      <c r="AG81" s="42"/>
      <c r="AH81" s="40"/>
      <c r="AI81" s="68"/>
      <c r="AJ81" s="75"/>
      <c r="AK81" s="41"/>
      <c r="AL81" s="42"/>
      <c r="AM81" s="40"/>
      <c r="AN81" s="42"/>
      <c r="AO81" s="40"/>
      <c r="AP81" s="68"/>
      <c r="AQ81" s="75"/>
      <c r="AR81" s="41"/>
      <c r="AS81" s="42"/>
      <c r="AT81" s="40"/>
      <c r="AU81" s="42"/>
      <c r="AV81" s="40"/>
      <c r="AW81" s="68"/>
      <c r="AX81" s="75"/>
      <c r="AY81" s="41"/>
      <c r="AZ81" s="42"/>
      <c r="BA81" s="40"/>
      <c r="BB81" s="42"/>
      <c r="BC81" s="40"/>
      <c r="BD81" s="68"/>
      <c r="BE81" s="105"/>
    </row>
    <row r="82" spans="2:57" ht="15" hidden="1" customHeight="1" outlineLevel="1" thickBot="1" x14ac:dyDescent="0.35">
      <c r="B82" s="94" t="s">
        <v>5745</v>
      </c>
      <c r="C82" s="95"/>
      <c r="D82" s="95"/>
      <c r="E82" s="96" t="s">
        <v>5749</v>
      </c>
      <c r="F82" s="96" t="s">
        <v>5749</v>
      </c>
      <c r="G82" s="97"/>
      <c r="H82" s="98"/>
      <c r="I82" s="99"/>
      <c r="J82" s="100"/>
      <c r="K82" s="101"/>
      <c r="L82" s="100"/>
      <c r="M82" s="101"/>
      <c r="N82" s="102"/>
      <c r="O82" s="98"/>
      <c r="P82" s="99"/>
      <c r="Q82" s="100"/>
      <c r="R82" s="101"/>
      <c r="S82" s="100"/>
      <c r="T82" s="101"/>
      <c r="U82" s="102"/>
      <c r="V82" s="98"/>
      <c r="W82" s="99"/>
      <c r="X82" s="100"/>
      <c r="Y82" s="101"/>
      <c r="Z82" s="100"/>
      <c r="AA82" s="101"/>
      <c r="AB82" s="97"/>
      <c r="AC82" s="98"/>
      <c r="AD82" s="99"/>
      <c r="AE82" s="100"/>
      <c r="AF82" s="101"/>
      <c r="AG82" s="100"/>
      <c r="AH82" s="101"/>
      <c r="AI82" s="97"/>
      <c r="AJ82" s="98"/>
      <c r="AK82" s="99"/>
      <c r="AL82" s="100"/>
      <c r="AM82" s="101"/>
      <c r="AN82" s="100"/>
      <c r="AO82" s="101"/>
      <c r="AP82" s="97"/>
      <c r="AQ82" s="98"/>
      <c r="AR82" s="99"/>
      <c r="AS82" s="100"/>
      <c r="AT82" s="101"/>
      <c r="AU82" s="100"/>
      <c r="AV82" s="101"/>
      <c r="AW82" s="97"/>
      <c r="AX82" s="98"/>
      <c r="AY82" s="99"/>
      <c r="AZ82" s="100"/>
      <c r="BA82" s="101"/>
      <c r="BB82" s="100"/>
      <c r="BC82" s="101"/>
      <c r="BD82" s="97"/>
      <c r="BE82" s="105"/>
    </row>
    <row r="83" spans="2:57" collapsed="1" x14ac:dyDescent="0.3">
      <c r="B83" s="106"/>
      <c r="C83" s="106"/>
      <c r="D83" s="106"/>
      <c r="E83" s="106"/>
      <c r="F83" s="106"/>
      <c r="G83" s="107"/>
      <c r="H83" s="107"/>
      <c r="I83" s="107"/>
      <c r="J83" s="107"/>
      <c r="K83" s="107"/>
      <c r="L83" s="107"/>
      <c r="M83" s="107"/>
      <c r="N83" s="107"/>
      <c r="O83" s="107"/>
      <c r="P83" s="107"/>
      <c r="Q83" s="107"/>
      <c r="R83" s="107"/>
      <c r="S83" s="107"/>
      <c r="T83" s="107"/>
      <c r="U83" s="107"/>
      <c r="V83" s="107"/>
      <c r="W83" s="107"/>
      <c r="X83" s="107"/>
      <c r="Y83" s="107"/>
      <c r="Z83" s="107"/>
      <c r="AA83" s="107"/>
      <c r="AB83" s="107"/>
      <c r="AC83" s="107"/>
      <c r="AD83" s="107"/>
      <c r="AE83" s="107"/>
      <c r="AF83" s="107"/>
      <c r="AG83" s="107"/>
      <c r="AH83" s="107"/>
      <c r="AI83" s="107"/>
      <c r="AJ83" s="107"/>
      <c r="AK83" s="107"/>
      <c r="AL83" s="107"/>
      <c r="AM83" s="107"/>
      <c r="AN83" s="107"/>
      <c r="AO83" s="107"/>
      <c r="AP83" s="107"/>
      <c r="AQ83" s="107"/>
      <c r="AR83" s="107"/>
      <c r="AS83" s="107"/>
      <c r="AT83" s="107"/>
      <c r="AU83" s="107"/>
      <c r="AV83" s="107"/>
      <c r="AW83" s="107"/>
      <c r="AX83" s="107"/>
      <c r="AY83" s="107"/>
      <c r="AZ83" s="107"/>
    </row>
    <row r="84" spans="2:57" x14ac:dyDescent="0.3">
      <c r="B84" s="82"/>
      <c r="C84" s="82"/>
      <c r="D84" s="82"/>
      <c r="E84" s="82"/>
      <c r="F84" s="82"/>
      <c r="G84" s="59"/>
      <c r="H84" s="59"/>
      <c r="I84" s="59"/>
      <c r="J84" s="59"/>
      <c r="K84" s="59"/>
      <c r="L84" s="59"/>
      <c r="M84" s="59"/>
      <c r="N84" s="59"/>
      <c r="O84" s="59"/>
      <c r="P84" s="59"/>
      <c r="Q84" s="59"/>
      <c r="R84" s="59"/>
      <c r="S84" s="59"/>
      <c r="T84" s="59"/>
      <c r="U84" s="59"/>
      <c r="V84" s="59"/>
      <c r="W84" s="59"/>
      <c r="X84" s="59"/>
      <c r="Y84" s="59"/>
      <c r="Z84" s="59"/>
      <c r="AA84" s="59"/>
      <c r="AB84" s="59"/>
      <c r="AC84" s="59"/>
      <c r="AD84" s="59"/>
      <c r="AE84" s="59"/>
      <c r="AF84" s="59"/>
      <c r="AG84" s="59"/>
      <c r="AH84" s="59"/>
      <c r="AI84" s="59"/>
      <c r="AJ84" s="59"/>
      <c r="AK84" s="59"/>
      <c r="AL84" s="59"/>
      <c r="AM84" s="59"/>
      <c r="AN84" s="59"/>
      <c r="AO84" s="59"/>
      <c r="AP84" s="59"/>
      <c r="AQ84" s="59"/>
      <c r="AR84" s="59"/>
      <c r="AS84" s="59"/>
      <c r="AT84" s="59"/>
      <c r="AU84" s="59"/>
      <c r="AV84" s="59"/>
      <c r="AW84" s="59"/>
      <c r="AX84" s="59"/>
      <c r="AY84" s="59"/>
      <c r="AZ84" s="59"/>
    </row>
    <row r="85" spans="2:57" x14ac:dyDescent="0.3">
      <c r="B85" s="82"/>
      <c r="C85" s="82"/>
      <c r="D85" s="82"/>
      <c r="E85" s="82"/>
      <c r="F85" s="82"/>
      <c r="G85" s="59"/>
      <c r="H85" s="59"/>
      <c r="I85" s="59"/>
      <c r="J85" s="59"/>
      <c r="K85" s="59"/>
      <c r="L85" s="59"/>
      <c r="M85" s="59"/>
      <c r="N85" s="59"/>
      <c r="O85" s="59"/>
      <c r="P85" s="59"/>
      <c r="Q85" s="59"/>
      <c r="R85" s="59"/>
      <c r="S85" s="59"/>
      <c r="T85" s="59"/>
      <c r="U85" s="59"/>
      <c r="V85" s="59"/>
      <c r="W85" s="59"/>
      <c r="X85" s="59"/>
      <c r="Y85" s="59"/>
      <c r="Z85" s="59"/>
      <c r="AA85" s="59"/>
      <c r="AB85" s="59"/>
      <c r="AC85" s="59"/>
      <c r="AD85" s="59"/>
      <c r="AE85" s="59"/>
      <c r="AF85" s="59"/>
      <c r="AG85" s="59"/>
      <c r="AH85" s="59"/>
      <c r="AI85" s="59"/>
      <c r="AJ85" s="59"/>
      <c r="AK85" s="59"/>
      <c r="AL85" s="59"/>
      <c r="AM85" s="59"/>
      <c r="AN85" s="59"/>
      <c r="AO85" s="59"/>
      <c r="AP85" s="59"/>
      <c r="AQ85" s="59"/>
      <c r="AR85" s="59"/>
      <c r="AS85" s="59"/>
      <c r="AT85" s="59"/>
      <c r="AU85" s="59"/>
      <c r="AV85" s="59"/>
      <c r="AW85" s="59"/>
      <c r="AX85" s="59"/>
      <c r="AY85" s="59"/>
      <c r="AZ85" s="59"/>
    </row>
    <row r="86" spans="2:57" x14ac:dyDescent="0.3">
      <c r="B86" s="82"/>
      <c r="C86" s="82"/>
      <c r="D86" s="82"/>
      <c r="E86" s="82"/>
      <c r="F86" s="82"/>
      <c r="G86" s="59"/>
      <c r="H86" s="59"/>
      <c r="I86" s="59"/>
      <c r="J86" s="59"/>
      <c r="K86" s="59"/>
      <c r="L86" s="59"/>
      <c r="M86" s="59"/>
      <c r="N86" s="59"/>
      <c r="O86" s="59"/>
      <c r="P86" s="59"/>
      <c r="Q86" s="59"/>
      <c r="R86" s="59"/>
      <c r="S86" s="59"/>
      <c r="T86" s="59"/>
      <c r="U86" s="59"/>
      <c r="V86" s="59"/>
      <c r="W86" s="59"/>
      <c r="X86" s="59"/>
      <c r="Y86" s="59"/>
      <c r="Z86" s="59"/>
      <c r="AA86" s="59"/>
      <c r="AB86" s="59"/>
      <c r="AC86" s="59"/>
      <c r="AD86" s="59"/>
      <c r="AE86" s="59"/>
      <c r="AF86" s="59"/>
      <c r="AG86" s="59"/>
      <c r="AH86" s="59"/>
      <c r="AI86" s="59"/>
      <c r="AJ86" s="59"/>
      <c r="AK86" s="59"/>
      <c r="AL86" s="59"/>
      <c r="AM86" s="59"/>
      <c r="AN86" s="59"/>
      <c r="AO86" s="59"/>
      <c r="AP86" s="59"/>
      <c r="AQ86" s="59"/>
      <c r="AR86" s="59"/>
      <c r="AS86" s="59"/>
      <c r="AT86" s="59"/>
      <c r="AU86" s="59"/>
      <c r="AV86" s="59"/>
      <c r="AW86" s="59"/>
      <c r="AX86" s="59"/>
      <c r="AY86" s="59"/>
      <c r="AZ86" s="59"/>
    </row>
    <row r="87" spans="2:57" x14ac:dyDescent="0.3">
      <c r="B87" s="82"/>
      <c r="C87" s="82"/>
      <c r="D87" s="82"/>
      <c r="E87" s="82"/>
      <c r="F87" s="82"/>
      <c r="G87" s="59"/>
      <c r="H87" s="59"/>
      <c r="I87" s="59"/>
      <c r="J87" s="59"/>
      <c r="K87" s="59"/>
      <c r="L87" s="59"/>
      <c r="M87" s="59"/>
      <c r="N87" s="59"/>
      <c r="O87" s="59"/>
      <c r="P87" s="59"/>
      <c r="Q87" s="59"/>
      <c r="R87" s="59"/>
      <c r="S87" s="59"/>
      <c r="T87" s="59"/>
      <c r="U87" s="59"/>
      <c r="V87" s="59"/>
      <c r="W87" s="59"/>
      <c r="X87" s="59"/>
      <c r="Y87" s="59"/>
      <c r="Z87" s="59"/>
      <c r="AA87" s="59"/>
      <c r="AB87" s="59"/>
      <c r="AC87" s="59"/>
      <c r="AD87" s="59"/>
      <c r="AE87" s="59"/>
      <c r="AF87" s="59"/>
      <c r="AG87" s="59"/>
      <c r="AH87" s="59"/>
      <c r="AI87" s="59"/>
      <c r="AJ87" s="59"/>
      <c r="AK87" s="59"/>
      <c r="AL87" s="59"/>
      <c r="AM87" s="59"/>
      <c r="AN87" s="59"/>
      <c r="AO87" s="59"/>
      <c r="AP87" s="59"/>
      <c r="AQ87" s="59"/>
      <c r="AR87" s="59"/>
      <c r="AS87" s="59"/>
      <c r="AT87" s="59"/>
      <c r="AU87" s="59"/>
      <c r="AV87" s="59"/>
      <c r="AW87" s="59"/>
      <c r="AX87" s="59"/>
      <c r="AY87" s="59"/>
      <c r="AZ87" s="59"/>
    </row>
    <row r="88" spans="2:57" x14ac:dyDescent="0.3">
      <c r="B88" s="82"/>
      <c r="C88" s="82"/>
      <c r="D88" s="82"/>
      <c r="E88" s="82"/>
      <c r="F88" s="82"/>
      <c r="G88" s="59"/>
      <c r="H88" s="59"/>
      <c r="I88" s="59"/>
      <c r="J88" s="59"/>
      <c r="K88" s="59"/>
      <c r="L88" s="59"/>
      <c r="M88" s="59"/>
      <c r="N88" s="59"/>
      <c r="O88" s="59"/>
      <c r="P88" s="59"/>
      <c r="Q88" s="59"/>
      <c r="R88" s="59"/>
      <c r="S88" s="59"/>
      <c r="T88" s="59"/>
      <c r="U88" s="59"/>
      <c r="V88" s="59"/>
      <c r="W88" s="59"/>
      <c r="X88" s="59"/>
      <c r="Y88" s="59"/>
      <c r="Z88" s="59"/>
      <c r="AA88" s="59"/>
      <c r="AB88" s="59"/>
      <c r="AC88" s="59"/>
      <c r="AD88" s="59"/>
      <c r="AE88" s="59"/>
      <c r="AF88" s="59"/>
      <c r="AG88" s="59"/>
      <c r="AH88" s="59"/>
      <c r="AI88" s="59"/>
      <c r="AJ88" s="59"/>
      <c r="AK88" s="59"/>
      <c r="AL88" s="59"/>
      <c r="AM88" s="59"/>
      <c r="AN88" s="59"/>
      <c r="AO88" s="59"/>
      <c r="AP88" s="59"/>
      <c r="AQ88" s="59"/>
      <c r="AR88" s="59"/>
      <c r="AS88" s="59"/>
      <c r="AT88" s="59"/>
      <c r="AU88" s="59"/>
      <c r="AV88" s="59"/>
      <c r="AW88" s="59"/>
      <c r="AX88" s="59"/>
      <c r="AY88" s="59"/>
      <c r="AZ88" s="59"/>
    </row>
    <row r="89" spans="2:57" x14ac:dyDescent="0.3">
      <c r="B89" s="82"/>
      <c r="C89" s="82"/>
      <c r="D89" s="82"/>
      <c r="E89" s="82"/>
      <c r="F89" s="82"/>
      <c r="G89" s="59"/>
      <c r="H89" s="59"/>
      <c r="I89" s="59"/>
      <c r="J89" s="59"/>
      <c r="K89" s="59"/>
      <c r="L89" s="59"/>
      <c r="M89" s="59"/>
      <c r="N89" s="59"/>
      <c r="O89" s="59"/>
      <c r="P89" s="59"/>
      <c r="Q89" s="59"/>
      <c r="R89" s="59"/>
      <c r="S89" s="59"/>
      <c r="T89" s="59"/>
      <c r="U89" s="59"/>
      <c r="V89" s="59"/>
      <c r="W89" s="59"/>
      <c r="X89" s="59"/>
      <c r="Y89" s="59"/>
      <c r="Z89" s="59"/>
      <c r="AA89" s="59"/>
      <c r="AB89" s="59"/>
      <c r="AC89" s="59"/>
      <c r="AD89" s="59"/>
      <c r="AE89" s="59"/>
      <c r="AF89" s="59"/>
      <c r="AG89" s="59"/>
      <c r="AH89" s="59"/>
      <c r="AI89" s="59"/>
      <c r="AJ89" s="59"/>
      <c r="AK89" s="59"/>
      <c r="AL89" s="59"/>
      <c r="AM89" s="59"/>
      <c r="AN89" s="59"/>
      <c r="AO89" s="59"/>
      <c r="AP89" s="59"/>
      <c r="AQ89" s="59"/>
      <c r="AR89" s="59"/>
      <c r="AS89" s="59"/>
      <c r="AT89" s="59"/>
      <c r="AU89" s="59"/>
      <c r="AV89" s="59"/>
      <c r="AW89" s="59"/>
      <c r="AX89" s="59"/>
      <c r="AY89" s="59"/>
      <c r="AZ89" s="59"/>
    </row>
    <row r="90" spans="2:57" x14ac:dyDescent="0.3">
      <c r="B90" s="82"/>
      <c r="C90" s="82"/>
      <c r="D90" s="82"/>
      <c r="E90" s="82"/>
      <c r="F90" s="82"/>
      <c r="G90" s="59"/>
      <c r="H90" s="59"/>
      <c r="I90" s="59"/>
      <c r="J90" s="59"/>
      <c r="K90" s="59"/>
      <c r="L90" s="59"/>
      <c r="M90" s="59"/>
      <c r="N90" s="59"/>
      <c r="O90" s="59"/>
      <c r="P90" s="59"/>
      <c r="Q90" s="59"/>
      <c r="R90" s="59"/>
      <c r="S90" s="59"/>
      <c r="T90" s="59"/>
      <c r="U90" s="59"/>
      <c r="V90" s="59"/>
      <c r="W90" s="59"/>
      <c r="X90" s="59"/>
      <c r="Y90" s="59"/>
      <c r="Z90" s="59"/>
      <c r="AA90" s="59"/>
      <c r="AB90" s="59"/>
      <c r="AC90" s="59"/>
      <c r="AD90" s="59"/>
      <c r="AE90" s="59"/>
      <c r="AF90" s="59"/>
      <c r="AG90" s="59"/>
      <c r="AH90" s="59"/>
      <c r="AI90" s="59"/>
      <c r="AJ90" s="59"/>
      <c r="AK90" s="59"/>
      <c r="AL90" s="59"/>
      <c r="AM90" s="59"/>
      <c r="AN90" s="59"/>
      <c r="AO90" s="59"/>
      <c r="AP90" s="59"/>
      <c r="AQ90" s="59"/>
      <c r="AR90" s="59"/>
      <c r="AS90" s="59"/>
      <c r="AT90" s="59"/>
      <c r="AU90" s="59"/>
      <c r="AV90" s="59"/>
      <c r="AW90" s="59"/>
      <c r="AX90" s="59"/>
      <c r="AY90" s="59"/>
      <c r="AZ90" s="59"/>
    </row>
  </sheetData>
  <mergeCells count="81">
    <mergeCell ref="C79:C82"/>
    <mergeCell ref="D79:D80"/>
    <mergeCell ref="D81:D82"/>
    <mergeCell ref="C70:C73"/>
    <mergeCell ref="D70:D71"/>
    <mergeCell ref="D72:D73"/>
    <mergeCell ref="C75:C78"/>
    <mergeCell ref="D75:D76"/>
    <mergeCell ref="D77:D78"/>
    <mergeCell ref="AJ63:AP63"/>
    <mergeCell ref="AQ63:AW63"/>
    <mergeCell ref="AX63:BD63"/>
    <mergeCell ref="C66:C69"/>
    <mergeCell ref="D66:D67"/>
    <mergeCell ref="D68:D69"/>
    <mergeCell ref="G63:G64"/>
    <mergeCell ref="H63:N63"/>
    <mergeCell ref="O63:U63"/>
    <mergeCell ref="V63:AB63"/>
    <mergeCell ref="AC63:AI63"/>
    <mergeCell ref="B63:B64"/>
    <mergeCell ref="C63:C64"/>
    <mergeCell ref="D63:D64"/>
    <mergeCell ref="E63:E64"/>
    <mergeCell ref="F63:F64"/>
    <mergeCell ref="C55:C58"/>
    <mergeCell ref="D55:D56"/>
    <mergeCell ref="D57:D58"/>
    <mergeCell ref="C51:C54"/>
    <mergeCell ref="D51:D52"/>
    <mergeCell ref="D53:D54"/>
    <mergeCell ref="C46:C49"/>
    <mergeCell ref="D46:D47"/>
    <mergeCell ref="D48:D49"/>
    <mergeCell ref="C37:C40"/>
    <mergeCell ref="D37:D38"/>
    <mergeCell ref="D39:D40"/>
    <mergeCell ref="C42:C45"/>
    <mergeCell ref="D42:D43"/>
    <mergeCell ref="D44:D45"/>
    <mergeCell ref="AJ30:AP30"/>
    <mergeCell ref="AQ30:AW30"/>
    <mergeCell ref="AX30:BD30"/>
    <mergeCell ref="C33:C36"/>
    <mergeCell ref="D33:D34"/>
    <mergeCell ref="D35:D36"/>
    <mergeCell ref="G30:G31"/>
    <mergeCell ref="H30:N30"/>
    <mergeCell ref="O30:U30"/>
    <mergeCell ref="V30:AB30"/>
    <mergeCell ref="AC30:AI30"/>
    <mergeCell ref="B30:B31"/>
    <mergeCell ref="C30:C31"/>
    <mergeCell ref="D30:D31"/>
    <mergeCell ref="E30:E31"/>
    <mergeCell ref="F30:F31"/>
    <mergeCell ref="AC6:AI6"/>
    <mergeCell ref="AJ6:AP6"/>
    <mergeCell ref="AQ6:AW6"/>
    <mergeCell ref="AX6:BD6"/>
    <mergeCell ref="C9:C12"/>
    <mergeCell ref="D9:D10"/>
    <mergeCell ref="D11:D12"/>
    <mergeCell ref="C6:C7"/>
    <mergeCell ref="C18:C21"/>
    <mergeCell ref="C22:C25"/>
    <mergeCell ref="B6:B7"/>
    <mergeCell ref="E6:E7"/>
    <mergeCell ref="D6:D7"/>
    <mergeCell ref="D18:D19"/>
    <mergeCell ref="D20:D21"/>
    <mergeCell ref="D22:D23"/>
    <mergeCell ref="D24:D25"/>
    <mergeCell ref="C13:C16"/>
    <mergeCell ref="D13:D14"/>
    <mergeCell ref="D15:D16"/>
    <mergeCell ref="F6:F7"/>
    <mergeCell ref="G6:G7"/>
    <mergeCell ref="H6:N6"/>
    <mergeCell ref="O6:U6"/>
    <mergeCell ref="V6:AB6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10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E399"/>
  <sheetViews>
    <sheetView workbookViewId="0">
      <pane xSplit="11" ySplit="4" topLeftCell="L368" activePane="bottomRight" state="frozen"/>
      <selection pane="topRight" activeCell="I1" sqref="I1"/>
      <selection pane="bottomLeft" activeCell="A5" sqref="A5"/>
      <selection pane="bottomRight" activeCell="H381" sqref="H381"/>
    </sheetView>
  </sheetViews>
  <sheetFormatPr defaultRowHeight="16.5" x14ac:dyDescent="0.3"/>
  <cols>
    <col min="1" max="3" width="9" style="4"/>
    <col min="4" max="9" width="10.875" style="4" customWidth="1"/>
    <col min="10" max="10" width="16.375" style="4" customWidth="1"/>
    <col min="11" max="11" width="10.875" style="4" customWidth="1"/>
    <col min="12" max="53" width="16.375" style="4" customWidth="1"/>
    <col min="54" max="259" width="9" style="4" customWidth="1"/>
    <col min="260" max="265" width="10.875" style="4" customWidth="1"/>
    <col min="266" max="266" width="16.375" style="4" customWidth="1"/>
    <col min="267" max="267" width="10.875" style="4" customWidth="1"/>
    <col min="268" max="309" width="16.375" style="4" customWidth="1"/>
    <col min="310" max="515" width="9" style="4" customWidth="1"/>
    <col min="516" max="521" width="10.875" style="4" customWidth="1"/>
    <col min="522" max="522" width="16.375" style="4" customWidth="1"/>
    <col min="523" max="523" width="10.875" style="4" customWidth="1"/>
    <col min="524" max="565" width="16.375" style="4" customWidth="1"/>
    <col min="566" max="771" width="9" style="4" customWidth="1"/>
    <col min="772" max="777" width="10.875" style="4" customWidth="1"/>
    <col min="778" max="778" width="16.375" style="4" customWidth="1"/>
    <col min="779" max="779" width="10.875" style="4" customWidth="1"/>
    <col min="780" max="821" width="16.375" style="4" customWidth="1"/>
    <col min="822" max="1027" width="9" style="4" customWidth="1"/>
    <col min="1028" max="1033" width="10.875" style="4" customWidth="1"/>
    <col min="1034" max="1034" width="16.375" style="4" customWidth="1"/>
    <col min="1035" max="1035" width="10.875" style="4" customWidth="1"/>
    <col min="1036" max="1077" width="16.375" style="4" customWidth="1"/>
    <col min="1078" max="1283" width="9" style="4" customWidth="1"/>
    <col min="1284" max="1289" width="10.875" style="4" customWidth="1"/>
    <col min="1290" max="1290" width="16.375" style="4" customWidth="1"/>
    <col min="1291" max="1291" width="10.875" style="4" customWidth="1"/>
    <col min="1292" max="1333" width="16.375" style="4" customWidth="1"/>
    <col min="1334" max="1539" width="9" style="4" customWidth="1"/>
    <col min="1540" max="1545" width="10.875" style="4" customWidth="1"/>
    <col min="1546" max="1546" width="16.375" style="4" customWidth="1"/>
    <col min="1547" max="1547" width="10.875" style="4" customWidth="1"/>
    <col min="1548" max="1589" width="16.375" style="4" customWidth="1"/>
    <col min="1590" max="1795" width="9" style="4" customWidth="1"/>
    <col min="1796" max="1801" width="10.875" style="4" customWidth="1"/>
    <col min="1802" max="1802" width="16.375" style="4" customWidth="1"/>
    <col min="1803" max="1803" width="10.875" style="4" customWidth="1"/>
    <col min="1804" max="1845" width="16.375" style="4" customWidth="1"/>
    <col min="1846" max="2051" width="9" style="4" customWidth="1"/>
    <col min="2052" max="2057" width="10.875" style="4" customWidth="1"/>
    <col min="2058" max="2058" width="16.375" style="4" customWidth="1"/>
    <col min="2059" max="2059" width="10.875" style="4" customWidth="1"/>
    <col min="2060" max="2101" width="16.375" style="4" customWidth="1"/>
    <col min="2102" max="2307" width="9" style="4" customWidth="1"/>
    <col min="2308" max="2313" width="10.875" style="4" customWidth="1"/>
    <col min="2314" max="2314" width="16.375" style="4" customWidth="1"/>
    <col min="2315" max="2315" width="10.875" style="4" customWidth="1"/>
    <col min="2316" max="2357" width="16.375" style="4" customWidth="1"/>
    <col min="2358" max="2563" width="9" style="4" customWidth="1"/>
    <col min="2564" max="2569" width="10.875" style="4" customWidth="1"/>
    <col min="2570" max="2570" width="16.375" style="4" customWidth="1"/>
    <col min="2571" max="2571" width="10.875" style="4" customWidth="1"/>
    <col min="2572" max="2613" width="16.375" style="4" customWidth="1"/>
    <col min="2614" max="2819" width="9" style="4" customWidth="1"/>
    <col min="2820" max="2825" width="10.875" style="4" customWidth="1"/>
    <col min="2826" max="2826" width="16.375" style="4" customWidth="1"/>
    <col min="2827" max="2827" width="10.875" style="4" customWidth="1"/>
    <col min="2828" max="2869" width="16.375" style="4" customWidth="1"/>
    <col min="2870" max="3075" width="9" style="4" customWidth="1"/>
    <col min="3076" max="3081" width="10.875" style="4" customWidth="1"/>
    <col min="3082" max="3082" width="16.375" style="4" customWidth="1"/>
    <col min="3083" max="3083" width="10.875" style="4" customWidth="1"/>
    <col min="3084" max="3125" width="16.375" style="4" customWidth="1"/>
    <col min="3126" max="3331" width="9" style="4" customWidth="1"/>
    <col min="3332" max="3337" width="10.875" style="4" customWidth="1"/>
    <col min="3338" max="3338" width="16.375" style="4" customWidth="1"/>
    <col min="3339" max="3339" width="10.875" style="4" customWidth="1"/>
    <col min="3340" max="3381" width="16.375" style="4" customWidth="1"/>
    <col min="3382" max="3587" width="9" style="4" customWidth="1"/>
    <col min="3588" max="3593" width="10.875" style="4" customWidth="1"/>
    <col min="3594" max="3594" width="16.375" style="4" customWidth="1"/>
    <col min="3595" max="3595" width="10.875" style="4" customWidth="1"/>
    <col min="3596" max="3637" width="16.375" style="4" customWidth="1"/>
    <col min="3638" max="3843" width="9" style="4" customWidth="1"/>
    <col min="3844" max="3849" width="10.875" style="4" customWidth="1"/>
    <col min="3850" max="3850" width="16.375" style="4" customWidth="1"/>
    <col min="3851" max="3851" width="10.875" style="4" customWidth="1"/>
    <col min="3852" max="3893" width="16.375" style="4" customWidth="1"/>
    <col min="3894" max="4099" width="9" style="4" customWidth="1"/>
    <col min="4100" max="4105" width="10.875" style="4" customWidth="1"/>
    <col min="4106" max="4106" width="16.375" style="4" customWidth="1"/>
    <col min="4107" max="4107" width="10.875" style="4" customWidth="1"/>
    <col min="4108" max="4149" width="16.375" style="4" customWidth="1"/>
    <col min="4150" max="4355" width="9" style="4" customWidth="1"/>
    <col min="4356" max="4361" width="10.875" style="4" customWidth="1"/>
    <col min="4362" max="4362" width="16.375" style="4" customWidth="1"/>
    <col min="4363" max="4363" width="10.875" style="4" customWidth="1"/>
    <col min="4364" max="4405" width="16.375" style="4" customWidth="1"/>
    <col min="4406" max="4611" width="9" style="4" customWidth="1"/>
    <col min="4612" max="4617" width="10.875" style="4" customWidth="1"/>
    <col min="4618" max="4618" width="16.375" style="4" customWidth="1"/>
    <col min="4619" max="4619" width="10.875" style="4" customWidth="1"/>
    <col min="4620" max="4661" width="16.375" style="4" customWidth="1"/>
    <col min="4662" max="4867" width="9" style="4" customWidth="1"/>
    <col min="4868" max="4873" width="10.875" style="4" customWidth="1"/>
    <col min="4874" max="4874" width="16.375" style="4" customWidth="1"/>
    <col min="4875" max="4875" width="10.875" style="4" customWidth="1"/>
    <col min="4876" max="4917" width="16.375" style="4" customWidth="1"/>
    <col min="4918" max="5123" width="9" style="4" customWidth="1"/>
    <col min="5124" max="5129" width="10.875" style="4" customWidth="1"/>
    <col min="5130" max="5130" width="16.375" style="4" customWidth="1"/>
    <col min="5131" max="5131" width="10.875" style="4" customWidth="1"/>
    <col min="5132" max="5173" width="16.375" style="4" customWidth="1"/>
    <col min="5174" max="5379" width="9" style="4" customWidth="1"/>
    <col min="5380" max="5385" width="10.875" style="4" customWidth="1"/>
    <col min="5386" max="5386" width="16.375" style="4" customWidth="1"/>
    <col min="5387" max="5387" width="10.875" style="4" customWidth="1"/>
    <col min="5388" max="5429" width="16.375" style="4" customWidth="1"/>
    <col min="5430" max="5635" width="9" style="4" customWidth="1"/>
    <col min="5636" max="5641" width="10.875" style="4" customWidth="1"/>
    <col min="5642" max="5642" width="16.375" style="4" customWidth="1"/>
    <col min="5643" max="5643" width="10.875" style="4" customWidth="1"/>
    <col min="5644" max="5685" width="16.375" style="4" customWidth="1"/>
    <col min="5686" max="5891" width="9" style="4" customWidth="1"/>
    <col min="5892" max="5897" width="10.875" style="4" customWidth="1"/>
    <col min="5898" max="5898" width="16.375" style="4" customWidth="1"/>
    <col min="5899" max="5899" width="10.875" style="4" customWidth="1"/>
    <col min="5900" max="5941" width="16.375" style="4" customWidth="1"/>
    <col min="5942" max="6147" width="9" style="4" customWidth="1"/>
    <col min="6148" max="6153" width="10.875" style="4" customWidth="1"/>
    <col min="6154" max="6154" width="16.375" style="4" customWidth="1"/>
    <col min="6155" max="6155" width="10.875" style="4" customWidth="1"/>
    <col min="6156" max="6197" width="16.375" style="4" customWidth="1"/>
    <col min="6198" max="6403" width="9" style="4" customWidth="1"/>
    <col min="6404" max="6409" width="10.875" style="4" customWidth="1"/>
    <col min="6410" max="6410" width="16.375" style="4" customWidth="1"/>
    <col min="6411" max="6411" width="10.875" style="4" customWidth="1"/>
    <col min="6412" max="6453" width="16.375" style="4" customWidth="1"/>
    <col min="6454" max="6659" width="9" style="4" customWidth="1"/>
    <col min="6660" max="6665" width="10.875" style="4" customWidth="1"/>
    <col min="6666" max="6666" width="16.375" style="4" customWidth="1"/>
    <col min="6667" max="6667" width="10.875" style="4" customWidth="1"/>
    <col min="6668" max="6709" width="16.375" style="4" customWidth="1"/>
    <col min="6710" max="6915" width="9" style="4" customWidth="1"/>
    <col min="6916" max="6921" width="10.875" style="4" customWidth="1"/>
    <col min="6922" max="6922" width="16.375" style="4" customWidth="1"/>
    <col min="6923" max="6923" width="10.875" style="4" customWidth="1"/>
    <col min="6924" max="6965" width="16.375" style="4" customWidth="1"/>
    <col min="6966" max="7171" width="9" style="4" customWidth="1"/>
    <col min="7172" max="7177" width="10.875" style="4" customWidth="1"/>
    <col min="7178" max="7178" width="16.375" style="4" customWidth="1"/>
    <col min="7179" max="7179" width="10.875" style="4" customWidth="1"/>
    <col min="7180" max="7221" width="16.375" style="4" customWidth="1"/>
    <col min="7222" max="7427" width="9" style="4" customWidth="1"/>
    <col min="7428" max="7433" width="10.875" style="4" customWidth="1"/>
    <col min="7434" max="7434" width="16.375" style="4" customWidth="1"/>
    <col min="7435" max="7435" width="10.875" style="4" customWidth="1"/>
    <col min="7436" max="7477" width="16.375" style="4" customWidth="1"/>
    <col min="7478" max="7683" width="9" style="4" customWidth="1"/>
    <col min="7684" max="7689" width="10.875" style="4" customWidth="1"/>
    <col min="7690" max="7690" width="16.375" style="4" customWidth="1"/>
    <col min="7691" max="7691" width="10.875" style="4" customWidth="1"/>
    <col min="7692" max="7733" width="16.375" style="4" customWidth="1"/>
    <col min="7734" max="7939" width="9" style="4" customWidth="1"/>
    <col min="7940" max="7945" width="10.875" style="4" customWidth="1"/>
    <col min="7946" max="7946" width="16.375" style="4" customWidth="1"/>
    <col min="7947" max="7947" width="10.875" style="4" customWidth="1"/>
    <col min="7948" max="7989" width="16.375" style="4" customWidth="1"/>
    <col min="7990" max="8195" width="9" style="4" customWidth="1"/>
    <col min="8196" max="8201" width="10.875" style="4" customWidth="1"/>
    <col min="8202" max="8202" width="16.375" style="4" customWidth="1"/>
    <col min="8203" max="8203" width="10.875" style="4" customWidth="1"/>
    <col min="8204" max="8245" width="16.375" style="4" customWidth="1"/>
    <col min="8246" max="8451" width="9" style="4" customWidth="1"/>
    <col min="8452" max="8457" width="10.875" style="4" customWidth="1"/>
    <col min="8458" max="8458" width="16.375" style="4" customWidth="1"/>
    <col min="8459" max="8459" width="10.875" style="4" customWidth="1"/>
    <col min="8460" max="8501" width="16.375" style="4" customWidth="1"/>
    <col min="8502" max="8707" width="9" style="4" customWidth="1"/>
    <col min="8708" max="8713" width="10.875" style="4" customWidth="1"/>
    <col min="8714" max="8714" width="16.375" style="4" customWidth="1"/>
    <col min="8715" max="8715" width="10.875" style="4" customWidth="1"/>
    <col min="8716" max="8757" width="16.375" style="4" customWidth="1"/>
    <col min="8758" max="8963" width="9" style="4" customWidth="1"/>
    <col min="8964" max="8969" width="10.875" style="4" customWidth="1"/>
    <col min="8970" max="8970" width="16.375" style="4" customWidth="1"/>
    <col min="8971" max="8971" width="10.875" style="4" customWidth="1"/>
    <col min="8972" max="9013" width="16.375" style="4" customWidth="1"/>
    <col min="9014" max="9219" width="9" style="4" customWidth="1"/>
    <col min="9220" max="9225" width="10.875" style="4" customWidth="1"/>
    <col min="9226" max="9226" width="16.375" style="4" customWidth="1"/>
    <col min="9227" max="9227" width="10.875" style="4" customWidth="1"/>
    <col min="9228" max="9269" width="16.375" style="4" customWidth="1"/>
    <col min="9270" max="9475" width="9" style="4" customWidth="1"/>
    <col min="9476" max="9481" width="10.875" style="4" customWidth="1"/>
    <col min="9482" max="9482" width="16.375" style="4" customWidth="1"/>
    <col min="9483" max="9483" width="10.875" style="4" customWidth="1"/>
    <col min="9484" max="9525" width="16.375" style="4" customWidth="1"/>
    <col min="9526" max="9731" width="9" style="4" customWidth="1"/>
    <col min="9732" max="9737" width="10.875" style="4" customWidth="1"/>
    <col min="9738" max="9738" width="16.375" style="4" customWidth="1"/>
    <col min="9739" max="9739" width="10.875" style="4" customWidth="1"/>
    <col min="9740" max="9781" width="16.375" style="4" customWidth="1"/>
    <col min="9782" max="9987" width="9" style="4" customWidth="1"/>
    <col min="9988" max="9993" width="10.875" style="4" customWidth="1"/>
    <col min="9994" max="9994" width="16.375" style="4" customWidth="1"/>
    <col min="9995" max="9995" width="10.875" style="4" customWidth="1"/>
    <col min="9996" max="10037" width="16.375" style="4" customWidth="1"/>
    <col min="10038" max="10243" width="9" style="4" customWidth="1"/>
    <col min="10244" max="10249" width="10.875" style="4" customWidth="1"/>
    <col min="10250" max="10250" width="16.375" style="4" customWidth="1"/>
    <col min="10251" max="10251" width="10.875" style="4" customWidth="1"/>
    <col min="10252" max="10293" width="16.375" style="4" customWidth="1"/>
    <col min="10294" max="10499" width="9" style="4" customWidth="1"/>
    <col min="10500" max="10505" width="10.875" style="4" customWidth="1"/>
    <col min="10506" max="10506" width="16.375" style="4" customWidth="1"/>
    <col min="10507" max="10507" width="10.875" style="4" customWidth="1"/>
    <col min="10508" max="10549" width="16.375" style="4" customWidth="1"/>
    <col min="10550" max="10755" width="9" style="4" customWidth="1"/>
    <col min="10756" max="10761" width="10.875" style="4" customWidth="1"/>
    <col min="10762" max="10762" width="16.375" style="4" customWidth="1"/>
    <col min="10763" max="10763" width="10.875" style="4" customWidth="1"/>
    <col min="10764" max="10805" width="16.375" style="4" customWidth="1"/>
    <col min="10806" max="11011" width="9" style="4" customWidth="1"/>
    <col min="11012" max="11017" width="10.875" style="4" customWidth="1"/>
    <col min="11018" max="11018" width="16.375" style="4" customWidth="1"/>
    <col min="11019" max="11019" width="10.875" style="4" customWidth="1"/>
    <col min="11020" max="11061" width="16.375" style="4" customWidth="1"/>
    <col min="11062" max="11267" width="9" style="4" customWidth="1"/>
    <col min="11268" max="11273" width="10.875" style="4" customWidth="1"/>
    <col min="11274" max="11274" width="16.375" style="4" customWidth="1"/>
    <col min="11275" max="11275" width="10.875" style="4" customWidth="1"/>
    <col min="11276" max="11317" width="16.375" style="4" customWidth="1"/>
    <col min="11318" max="11523" width="9" style="4" customWidth="1"/>
    <col min="11524" max="11529" width="10.875" style="4" customWidth="1"/>
    <col min="11530" max="11530" width="16.375" style="4" customWidth="1"/>
    <col min="11531" max="11531" width="10.875" style="4" customWidth="1"/>
    <col min="11532" max="11573" width="16.375" style="4" customWidth="1"/>
    <col min="11574" max="11779" width="9" style="4" customWidth="1"/>
    <col min="11780" max="11785" width="10.875" style="4" customWidth="1"/>
    <col min="11786" max="11786" width="16.375" style="4" customWidth="1"/>
    <col min="11787" max="11787" width="10.875" style="4" customWidth="1"/>
    <col min="11788" max="11829" width="16.375" style="4" customWidth="1"/>
    <col min="11830" max="12035" width="9" style="4" customWidth="1"/>
    <col min="12036" max="12041" width="10.875" style="4" customWidth="1"/>
    <col min="12042" max="12042" width="16.375" style="4" customWidth="1"/>
    <col min="12043" max="12043" width="10.875" style="4" customWidth="1"/>
    <col min="12044" max="12085" width="16.375" style="4" customWidth="1"/>
    <col min="12086" max="12291" width="9" style="4" customWidth="1"/>
    <col min="12292" max="12297" width="10.875" style="4" customWidth="1"/>
    <col min="12298" max="12298" width="16.375" style="4" customWidth="1"/>
    <col min="12299" max="12299" width="10.875" style="4" customWidth="1"/>
    <col min="12300" max="12341" width="16.375" style="4" customWidth="1"/>
    <col min="12342" max="12547" width="9" style="4" customWidth="1"/>
    <col min="12548" max="12553" width="10.875" style="4" customWidth="1"/>
    <col min="12554" max="12554" width="16.375" style="4" customWidth="1"/>
    <col min="12555" max="12555" width="10.875" style="4" customWidth="1"/>
    <col min="12556" max="12597" width="16.375" style="4" customWidth="1"/>
    <col min="12598" max="12803" width="9" style="4" customWidth="1"/>
    <col min="12804" max="12809" width="10.875" style="4" customWidth="1"/>
    <col min="12810" max="12810" width="16.375" style="4" customWidth="1"/>
    <col min="12811" max="12811" width="10.875" style="4" customWidth="1"/>
    <col min="12812" max="12853" width="16.375" style="4" customWidth="1"/>
    <col min="12854" max="13059" width="9" style="4" customWidth="1"/>
    <col min="13060" max="13065" width="10.875" style="4" customWidth="1"/>
    <col min="13066" max="13066" width="16.375" style="4" customWidth="1"/>
    <col min="13067" max="13067" width="10.875" style="4" customWidth="1"/>
    <col min="13068" max="13109" width="16.375" style="4" customWidth="1"/>
    <col min="13110" max="13315" width="9" style="4" customWidth="1"/>
    <col min="13316" max="13321" width="10.875" style="4" customWidth="1"/>
    <col min="13322" max="13322" width="16.375" style="4" customWidth="1"/>
    <col min="13323" max="13323" width="10.875" style="4" customWidth="1"/>
    <col min="13324" max="13365" width="16.375" style="4" customWidth="1"/>
    <col min="13366" max="13571" width="9" style="4" customWidth="1"/>
    <col min="13572" max="13577" width="10.875" style="4" customWidth="1"/>
    <col min="13578" max="13578" width="16.375" style="4" customWidth="1"/>
    <col min="13579" max="13579" width="10.875" style="4" customWidth="1"/>
    <col min="13580" max="13621" width="16.375" style="4" customWidth="1"/>
    <col min="13622" max="13827" width="9" style="4" customWidth="1"/>
    <col min="13828" max="13833" width="10.875" style="4" customWidth="1"/>
    <col min="13834" max="13834" width="16.375" style="4" customWidth="1"/>
    <col min="13835" max="13835" width="10.875" style="4" customWidth="1"/>
    <col min="13836" max="13877" width="16.375" style="4" customWidth="1"/>
    <col min="13878" max="14083" width="9" style="4" customWidth="1"/>
    <col min="14084" max="14089" width="10.875" style="4" customWidth="1"/>
    <col min="14090" max="14090" width="16.375" style="4" customWidth="1"/>
    <col min="14091" max="14091" width="10.875" style="4" customWidth="1"/>
    <col min="14092" max="14133" width="16.375" style="4" customWidth="1"/>
    <col min="14134" max="14339" width="9" style="4" customWidth="1"/>
    <col min="14340" max="14345" width="10.875" style="4" customWidth="1"/>
    <col min="14346" max="14346" width="16.375" style="4" customWidth="1"/>
    <col min="14347" max="14347" width="10.875" style="4" customWidth="1"/>
    <col min="14348" max="14389" width="16.375" style="4" customWidth="1"/>
    <col min="14390" max="14595" width="9" style="4" customWidth="1"/>
    <col min="14596" max="14601" width="10.875" style="4" customWidth="1"/>
    <col min="14602" max="14602" width="16.375" style="4" customWidth="1"/>
    <col min="14603" max="14603" width="10.875" style="4" customWidth="1"/>
    <col min="14604" max="14645" width="16.375" style="4" customWidth="1"/>
    <col min="14646" max="14851" width="9" style="4" customWidth="1"/>
    <col min="14852" max="14857" width="10.875" style="4" customWidth="1"/>
    <col min="14858" max="14858" width="16.375" style="4" customWidth="1"/>
    <col min="14859" max="14859" width="10.875" style="4" customWidth="1"/>
    <col min="14860" max="14901" width="16.375" style="4" customWidth="1"/>
    <col min="14902" max="15107" width="9" style="4" customWidth="1"/>
    <col min="15108" max="15113" width="10.875" style="4" customWidth="1"/>
    <col min="15114" max="15114" width="16.375" style="4" customWidth="1"/>
    <col min="15115" max="15115" width="10.875" style="4" customWidth="1"/>
    <col min="15116" max="15157" width="16.375" style="4" customWidth="1"/>
    <col min="15158" max="15363" width="9" style="4" customWidth="1"/>
    <col min="15364" max="15369" width="10.875" style="4" customWidth="1"/>
    <col min="15370" max="15370" width="16.375" style="4" customWidth="1"/>
    <col min="15371" max="15371" width="10.875" style="4" customWidth="1"/>
    <col min="15372" max="15413" width="16.375" style="4" customWidth="1"/>
    <col min="15414" max="15619" width="9" style="4" customWidth="1"/>
    <col min="15620" max="15625" width="10.875" style="4" customWidth="1"/>
    <col min="15626" max="15626" width="16.375" style="4" customWidth="1"/>
    <col min="15627" max="15627" width="10.875" style="4" customWidth="1"/>
    <col min="15628" max="15669" width="16.375" style="4" customWidth="1"/>
    <col min="15670" max="15875" width="9" style="4" customWidth="1"/>
    <col min="15876" max="15881" width="10.875" style="4" customWidth="1"/>
    <col min="15882" max="15882" width="16.375" style="4" customWidth="1"/>
    <col min="15883" max="15883" width="10.875" style="4" customWidth="1"/>
    <col min="15884" max="15925" width="16.375" style="4" customWidth="1"/>
    <col min="15926" max="16131" width="9" style="4" customWidth="1"/>
    <col min="16132" max="16137" width="10.875" style="4" customWidth="1"/>
    <col min="16138" max="16138" width="16.375" style="4" customWidth="1"/>
    <col min="16139" max="16139" width="10.875" style="4" customWidth="1"/>
    <col min="16140" max="16181" width="16.375" style="4" customWidth="1"/>
    <col min="16182" max="16384" width="9" style="4" customWidth="1"/>
  </cols>
  <sheetData>
    <row r="1" spans="1:57" s="3" customFormat="1" ht="24" x14ac:dyDescent="0.35">
      <c r="D1" s="3" t="s">
        <v>873</v>
      </c>
    </row>
    <row r="2" spans="1:57" ht="12.75" customHeight="1" x14ac:dyDescent="0.3"/>
    <row r="3" spans="1:57" ht="12.75" customHeight="1" x14ac:dyDescent="0.3"/>
    <row r="4" spans="1:57" x14ac:dyDescent="0.3">
      <c r="A4" s="4" t="s">
        <v>983</v>
      </c>
      <c r="B4" s="4" t="s">
        <v>984</v>
      </c>
      <c r="C4" s="4" t="s">
        <v>985</v>
      </c>
      <c r="D4" s="9" t="s">
        <v>874</v>
      </c>
      <c r="E4" s="9" t="s">
        <v>757</v>
      </c>
      <c r="F4" s="9" t="s">
        <v>875</v>
      </c>
      <c r="G4" s="9" t="s">
        <v>758</v>
      </c>
      <c r="H4" s="9" t="s">
        <v>876</v>
      </c>
      <c r="I4" s="9" t="s">
        <v>877</v>
      </c>
      <c r="J4" s="9" t="s">
        <v>878</v>
      </c>
      <c r="K4" s="9" t="s">
        <v>879</v>
      </c>
      <c r="L4" s="9" t="s">
        <v>880</v>
      </c>
      <c r="M4" s="9" t="s">
        <v>759</v>
      </c>
      <c r="N4" s="9" t="s">
        <v>881</v>
      </c>
      <c r="O4" s="9" t="s">
        <v>882</v>
      </c>
      <c r="P4" s="9" t="s">
        <v>883</v>
      </c>
      <c r="Q4" s="9" t="s">
        <v>884</v>
      </c>
      <c r="R4" s="9" t="s">
        <v>885</v>
      </c>
      <c r="S4" s="9" t="s">
        <v>886</v>
      </c>
      <c r="T4" s="9" t="s">
        <v>887</v>
      </c>
      <c r="U4" s="9" t="s">
        <v>888</v>
      </c>
      <c r="V4" s="9" t="s">
        <v>889</v>
      </c>
      <c r="W4" s="9" t="s">
        <v>890</v>
      </c>
      <c r="X4" s="9" t="s">
        <v>891</v>
      </c>
      <c r="Y4" s="9" t="s">
        <v>892</v>
      </c>
      <c r="Z4" s="9" t="s">
        <v>893</v>
      </c>
      <c r="AA4" s="9" t="s">
        <v>894</v>
      </c>
      <c r="AB4" s="9" t="s">
        <v>895</v>
      </c>
      <c r="AC4" s="9" t="s">
        <v>896</v>
      </c>
      <c r="AD4" s="9" t="s">
        <v>897</v>
      </c>
      <c r="AE4" s="9" t="s">
        <v>972</v>
      </c>
      <c r="AF4" s="9" t="s">
        <v>986</v>
      </c>
      <c r="AG4" s="9" t="s">
        <v>987</v>
      </c>
      <c r="AH4" s="9" t="s">
        <v>988</v>
      </c>
      <c r="AI4" s="9" t="s">
        <v>898</v>
      </c>
      <c r="AJ4" s="9" t="s">
        <v>899</v>
      </c>
      <c r="AK4" s="9" t="s">
        <v>900</v>
      </c>
      <c r="AL4" s="9" t="s">
        <v>901</v>
      </c>
      <c r="AM4" s="9" t="s">
        <v>902</v>
      </c>
      <c r="AN4" s="9" t="s">
        <v>903</v>
      </c>
      <c r="AO4" s="9" t="s">
        <v>904</v>
      </c>
      <c r="AP4" s="9" t="s">
        <v>905</v>
      </c>
      <c r="AQ4" s="9" t="s">
        <v>906</v>
      </c>
      <c r="AR4" s="9" t="s">
        <v>907</v>
      </c>
      <c r="AS4" s="9" t="s">
        <v>908</v>
      </c>
      <c r="AT4" s="9" t="s">
        <v>909</v>
      </c>
      <c r="AU4" s="9" t="s">
        <v>910</v>
      </c>
      <c r="AV4" s="9" t="s">
        <v>989</v>
      </c>
      <c r="AW4" s="9" t="s">
        <v>911</v>
      </c>
      <c r="AX4" s="9" t="s">
        <v>912</v>
      </c>
      <c r="AY4" s="9" t="s">
        <v>913</v>
      </c>
      <c r="AZ4" s="9" t="s">
        <v>914</v>
      </c>
      <c r="BA4" s="9" t="s">
        <v>915</v>
      </c>
      <c r="BC4" s="4" t="s">
        <v>973</v>
      </c>
      <c r="BD4" s="4" t="s">
        <v>974</v>
      </c>
      <c r="BE4" s="4" t="s">
        <v>975</v>
      </c>
    </row>
    <row r="5" spans="1:57" ht="15" customHeight="1" x14ac:dyDescent="0.3">
      <c r="A5" s="7">
        <f>SUM(N5:T5)</f>
        <v>7692</v>
      </c>
      <c r="B5" s="7">
        <f>SUM(U5:AA5)</f>
        <v>19120</v>
      </c>
      <c r="C5" s="7">
        <f>SUM(AB5:AH5)</f>
        <v>12284</v>
      </c>
      <c r="D5" s="10"/>
      <c r="E5" s="10" t="s">
        <v>838</v>
      </c>
      <c r="F5" s="10" t="s">
        <v>761</v>
      </c>
      <c r="G5" s="10" t="s">
        <v>990</v>
      </c>
      <c r="H5" s="10" t="s">
        <v>49</v>
      </c>
      <c r="I5" s="11" t="s">
        <v>49</v>
      </c>
      <c r="J5" s="12">
        <v>0</v>
      </c>
      <c r="K5" s="11" t="s">
        <v>916</v>
      </c>
      <c r="L5" s="12">
        <v>0</v>
      </c>
      <c r="M5" s="12">
        <v>161565</v>
      </c>
      <c r="N5" s="12">
        <v>1592</v>
      </c>
      <c r="O5" s="12">
        <v>1100</v>
      </c>
      <c r="P5" s="12">
        <v>0</v>
      </c>
      <c r="Q5" s="12">
        <v>0</v>
      </c>
      <c r="R5" s="12">
        <v>2500</v>
      </c>
      <c r="S5" s="12">
        <v>2500</v>
      </c>
      <c r="T5" s="12">
        <v>0</v>
      </c>
      <c r="U5" s="12">
        <v>9320</v>
      </c>
      <c r="V5" s="12">
        <v>0</v>
      </c>
      <c r="W5" s="12">
        <v>0</v>
      </c>
      <c r="X5" s="12">
        <v>0</v>
      </c>
      <c r="Y5" s="12">
        <v>0</v>
      </c>
      <c r="Z5" s="12">
        <v>0</v>
      </c>
      <c r="AA5" s="12">
        <v>9800</v>
      </c>
      <c r="AB5" s="12">
        <v>12284</v>
      </c>
      <c r="AC5" s="12">
        <v>0</v>
      </c>
      <c r="AD5" s="12">
        <v>0</v>
      </c>
      <c r="AE5" s="12">
        <v>0</v>
      </c>
      <c r="AF5" s="12">
        <v>0</v>
      </c>
      <c r="AG5" s="12">
        <v>0</v>
      </c>
      <c r="AH5" s="12">
        <v>0</v>
      </c>
      <c r="AI5" s="12">
        <v>15303</v>
      </c>
      <c r="AJ5" s="12">
        <v>5000</v>
      </c>
      <c r="AK5" s="12">
        <v>5000</v>
      </c>
      <c r="AL5" s="12">
        <v>0</v>
      </c>
      <c r="AM5" s="12">
        <v>28800</v>
      </c>
      <c r="AN5" s="12">
        <v>3200</v>
      </c>
      <c r="AO5" s="12">
        <v>2500</v>
      </c>
      <c r="AP5" s="12">
        <v>5000</v>
      </c>
      <c r="AQ5" s="12">
        <v>21854</v>
      </c>
      <c r="AR5" s="12">
        <v>19000</v>
      </c>
      <c r="AS5" s="12">
        <v>0</v>
      </c>
      <c r="AT5" s="12">
        <v>16812</v>
      </c>
      <c r="AU5" s="12">
        <v>0</v>
      </c>
      <c r="AV5" s="12">
        <v>0</v>
      </c>
      <c r="AW5" s="12">
        <v>17012</v>
      </c>
      <c r="AX5" s="12">
        <v>47387</v>
      </c>
      <c r="AY5" s="12">
        <v>39500</v>
      </c>
      <c r="AZ5" s="12">
        <v>57666</v>
      </c>
      <c r="BA5" s="12">
        <v>0</v>
      </c>
      <c r="BC5" s="7">
        <f>SUM(N5:P5)</f>
        <v>2692</v>
      </c>
      <c r="BD5" s="7">
        <f>SUM(Q5:W5)</f>
        <v>14320</v>
      </c>
      <c r="BE5" s="7">
        <f>SUM(X5:AD5)</f>
        <v>22084</v>
      </c>
    </row>
    <row r="6" spans="1:57" ht="15" customHeight="1" x14ac:dyDescent="0.3">
      <c r="A6" s="7">
        <f t="shared" ref="A6:A69" si="0">SUM(N6:T6)</f>
        <v>1373963</v>
      </c>
      <c r="B6" s="7">
        <f t="shared" ref="B6:B69" si="1">SUM(U6:AA6)</f>
        <v>1275323</v>
      </c>
      <c r="C6" s="7">
        <f t="shared" ref="C6:C69" si="2">SUM(AB6:AH6)</f>
        <v>1130535</v>
      </c>
      <c r="D6" s="5"/>
      <c r="E6" s="5" t="str">
        <f>E5</f>
        <v>0402-001969</v>
      </c>
      <c r="F6" s="5"/>
      <c r="G6" s="5"/>
      <c r="H6" s="6"/>
      <c r="I6" s="11"/>
      <c r="J6" s="12">
        <v>0</v>
      </c>
      <c r="K6" s="11" t="s">
        <v>917</v>
      </c>
      <c r="L6" s="12">
        <v>200601</v>
      </c>
      <c r="M6" s="12">
        <v>39036</v>
      </c>
      <c r="N6" s="12">
        <v>199009</v>
      </c>
      <c r="O6" s="12">
        <v>197909</v>
      </c>
      <c r="P6" s="12">
        <v>197909</v>
      </c>
      <c r="Q6" s="12">
        <v>197909</v>
      </c>
      <c r="R6" s="12">
        <v>195409</v>
      </c>
      <c r="S6" s="12">
        <v>192909</v>
      </c>
      <c r="T6" s="12">
        <v>192909</v>
      </c>
      <c r="U6" s="12">
        <v>183589</v>
      </c>
      <c r="V6" s="12">
        <v>183589</v>
      </c>
      <c r="W6" s="12">
        <v>183589</v>
      </c>
      <c r="X6" s="12">
        <v>183589</v>
      </c>
      <c r="Y6" s="12">
        <v>183589</v>
      </c>
      <c r="Z6" s="12">
        <v>183589</v>
      </c>
      <c r="AA6" s="12">
        <v>173789</v>
      </c>
      <c r="AB6" s="12">
        <v>161505</v>
      </c>
      <c r="AC6" s="12">
        <v>161505</v>
      </c>
      <c r="AD6" s="12">
        <v>161505</v>
      </c>
      <c r="AE6" s="12">
        <v>161505</v>
      </c>
      <c r="AF6" s="12">
        <v>161505</v>
      </c>
      <c r="AG6" s="12">
        <v>161505</v>
      </c>
      <c r="AH6" s="12">
        <v>161505</v>
      </c>
      <c r="AI6" s="12">
        <v>146202</v>
      </c>
      <c r="AJ6" s="12">
        <v>141202</v>
      </c>
      <c r="AK6" s="12">
        <v>136202</v>
      </c>
      <c r="AL6" s="12">
        <v>136202</v>
      </c>
      <c r="AM6" s="12">
        <v>107402</v>
      </c>
      <c r="AN6" s="12">
        <v>104202</v>
      </c>
      <c r="AO6" s="12">
        <v>101702</v>
      </c>
      <c r="AP6" s="12">
        <v>96702</v>
      </c>
      <c r="AQ6" s="12">
        <v>74848</v>
      </c>
      <c r="AR6" s="12">
        <v>55848</v>
      </c>
      <c r="AS6" s="12">
        <v>55848</v>
      </c>
      <c r="AT6" s="12">
        <v>39036</v>
      </c>
      <c r="AU6" s="12">
        <v>39036</v>
      </c>
      <c r="AV6" s="12">
        <v>39036</v>
      </c>
      <c r="AW6" s="12">
        <v>0</v>
      </c>
      <c r="AX6" s="12">
        <v>0</v>
      </c>
      <c r="AY6" s="12">
        <v>0</v>
      </c>
      <c r="AZ6" s="12">
        <v>0</v>
      </c>
      <c r="BA6" s="12">
        <v>0</v>
      </c>
      <c r="BC6" s="7">
        <f t="shared" ref="BC6:BC69" si="3">SUM(N6:P6)</f>
        <v>594827</v>
      </c>
      <c r="BD6" s="7">
        <f t="shared" ref="BD6:BD69" si="4">SUM(Q6:W6)</f>
        <v>1329903</v>
      </c>
      <c r="BE6" s="7">
        <f t="shared" ref="BE6:BE69" si="5">SUM(X6:AD6)</f>
        <v>1209071</v>
      </c>
    </row>
    <row r="7" spans="1:57" ht="15" customHeight="1" x14ac:dyDescent="0.3">
      <c r="A7" s="7">
        <f t="shared" si="0"/>
        <v>0</v>
      </c>
      <c r="B7" s="7">
        <f t="shared" si="1"/>
        <v>0</v>
      </c>
      <c r="C7" s="7">
        <f t="shared" si="2"/>
        <v>0</v>
      </c>
      <c r="D7" s="5"/>
      <c r="E7" s="5" t="str">
        <f t="shared" ref="E7:E9" si="6">E6</f>
        <v>0402-001969</v>
      </c>
      <c r="F7" s="5"/>
      <c r="G7" s="5"/>
      <c r="H7" s="11" t="s">
        <v>795</v>
      </c>
      <c r="I7" s="11" t="s">
        <v>796</v>
      </c>
      <c r="J7" s="12"/>
      <c r="K7" s="11" t="s">
        <v>918</v>
      </c>
      <c r="L7" s="12">
        <v>0</v>
      </c>
      <c r="M7" s="12">
        <v>0</v>
      </c>
      <c r="N7" s="12">
        <v>0</v>
      </c>
      <c r="O7" s="12">
        <v>0</v>
      </c>
      <c r="P7" s="12">
        <v>0</v>
      </c>
      <c r="Q7" s="12">
        <v>0</v>
      </c>
      <c r="R7" s="12">
        <v>0</v>
      </c>
      <c r="S7" s="12">
        <v>0</v>
      </c>
      <c r="T7" s="12">
        <v>0</v>
      </c>
      <c r="U7" s="12">
        <v>0</v>
      </c>
      <c r="V7" s="12">
        <v>0</v>
      </c>
      <c r="W7" s="12">
        <v>0</v>
      </c>
      <c r="X7" s="12">
        <v>0</v>
      </c>
      <c r="Y7" s="12">
        <v>0</v>
      </c>
      <c r="Z7" s="12">
        <v>0</v>
      </c>
      <c r="AA7" s="12">
        <v>0</v>
      </c>
      <c r="AB7" s="12">
        <v>0</v>
      </c>
      <c r="AC7" s="12">
        <v>0</v>
      </c>
      <c r="AD7" s="12">
        <v>0</v>
      </c>
      <c r="AE7" s="12">
        <v>0</v>
      </c>
      <c r="AF7" s="12">
        <v>0</v>
      </c>
      <c r="AG7" s="12">
        <v>0</v>
      </c>
      <c r="AH7" s="12">
        <v>0</v>
      </c>
      <c r="AI7" s="12">
        <v>0</v>
      </c>
      <c r="AJ7" s="12">
        <v>0</v>
      </c>
      <c r="AK7" s="12">
        <v>0</v>
      </c>
      <c r="AL7" s="12">
        <v>0</v>
      </c>
      <c r="AM7" s="12">
        <v>0</v>
      </c>
      <c r="AN7" s="12">
        <v>0</v>
      </c>
      <c r="AO7" s="12">
        <v>0</v>
      </c>
      <c r="AP7" s="12">
        <v>0</v>
      </c>
      <c r="AQ7" s="12">
        <v>0</v>
      </c>
      <c r="AR7" s="12">
        <v>0</v>
      </c>
      <c r="AS7" s="12">
        <v>0</v>
      </c>
      <c r="AT7" s="12">
        <v>0</v>
      </c>
      <c r="AU7" s="12">
        <v>0</v>
      </c>
      <c r="AV7" s="12">
        <v>0</v>
      </c>
      <c r="AW7" s="12">
        <v>0</v>
      </c>
      <c r="AX7" s="12">
        <v>0</v>
      </c>
      <c r="AY7" s="12">
        <v>0</v>
      </c>
      <c r="AZ7" s="12">
        <v>0</v>
      </c>
      <c r="BA7" s="12">
        <v>0</v>
      </c>
      <c r="BC7" s="7">
        <f t="shared" si="3"/>
        <v>0</v>
      </c>
      <c r="BD7" s="7">
        <f t="shared" si="4"/>
        <v>0</v>
      </c>
      <c r="BE7" s="7">
        <f t="shared" si="5"/>
        <v>0</v>
      </c>
    </row>
    <row r="8" spans="1:57" ht="15" customHeight="1" x14ac:dyDescent="0.3">
      <c r="A8" s="7">
        <f t="shared" si="0"/>
        <v>0</v>
      </c>
      <c r="B8" s="7">
        <f t="shared" si="1"/>
        <v>0</v>
      </c>
      <c r="C8" s="7">
        <f t="shared" si="2"/>
        <v>0</v>
      </c>
      <c r="D8" s="5"/>
      <c r="E8" s="5" t="str">
        <f t="shared" si="6"/>
        <v>0402-001969</v>
      </c>
      <c r="F8" s="5"/>
      <c r="G8" s="5"/>
      <c r="H8" s="11" t="s">
        <v>49</v>
      </c>
      <c r="I8" s="11"/>
      <c r="J8" s="12">
        <v>0</v>
      </c>
      <c r="K8" s="11" t="s">
        <v>919</v>
      </c>
      <c r="L8" s="12">
        <v>0</v>
      </c>
      <c r="M8" s="12">
        <v>0</v>
      </c>
      <c r="N8" s="12">
        <v>0</v>
      </c>
      <c r="O8" s="12">
        <v>0</v>
      </c>
      <c r="P8" s="12">
        <v>0</v>
      </c>
      <c r="Q8" s="12">
        <v>0</v>
      </c>
      <c r="R8" s="12">
        <v>0</v>
      </c>
      <c r="S8" s="12">
        <v>0</v>
      </c>
      <c r="T8" s="12">
        <v>0</v>
      </c>
      <c r="U8" s="12">
        <v>0</v>
      </c>
      <c r="V8" s="12">
        <v>0</v>
      </c>
      <c r="W8" s="12">
        <v>0</v>
      </c>
      <c r="X8" s="12">
        <v>0</v>
      </c>
      <c r="Y8" s="12">
        <v>0</v>
      </c>
      <c r="Z8" s="12">
        <v>0</v>
      </c>
      <c r="AA8" s="12">
        <v>0</v>
      </c>
      <c r="AB8" s="12">
        <v>0</v>
      </c>
      <c r="AC8" s="12">
        <v>0</v>
      </c>
      <c r="AD8" s="12">
        <v>0</v>
      </c>
      <c r="AE8" s="12">
        <v>0</v>
      </c>
      <c r="AF8" s="12">
        <v>0</v>
      </c>
      <c r="AG8" s="12">
        <v>0</v>
      </c>
      <c r="AH8" s="12">
        <v>0</v>
      </c>
      <c r="AI8" s="12">
        <v>0</v>
      </c>
      <c r="AJ8" s="12">
        <v>0</v>
      </c>
      <c r="AK8" s="12">
        <v>0</v>
      </c>
      <c r="AL8" s="12">
        <v>0</v>
      </c>
      <c r="AM8" s="12">
        <v>0</v>
      </c>
      <c r="AN8" s="12">
        <v>0</v>
      </c>
      <c r="AO8" s="12">
        <v>0</v>
      </c>
      <c r="AP8" s="12">
        <v>0</v>
      </c>
      <c r="AQ8" s="12">
        <v>0</v>
      </c>
      <c r="AR8" s="12">
        <v>0</v>
      </c>
      <c r="AS8" s="12">
        <v>0</v>
      </c>
      <c r="AT8" s="12">
        <v>0</v>
      </c>
      <c r="AU8" s="12">
        <v>0</v>
      </c>
      <c r="AV8" s="12">
        <v>0</v>
      </c>
      <c r="AW8" s="12">
        <v>0</v>
      </c>
      <c r="AX8" s="12">
        <v>0</v>
      </c>
      <c r="AY8" s="12">
        <v>0</v>
      </c>
      <c r="AZ8" s="12">
        <v>0</v>
      </c>
      <c r="BA8" s="12">
        <v>0</v>
      </c>
      <c r="BC8" s="7">
        <f t="shared" si="3"/>
        <v>0</v>
      </c>
      <c r="BD8" s="7">
        <f t="shared" si="4"/>
        <v>0</v>
      </c>
      <c r="BE8" s="7">
        <f t="shared" si="5"/>
        <v>0</v>
      </c>
    </row>
    <row r="9" spans="1:57" ht="15" customHeight="1" x14ac:dyDescent="0.3">
      <c r="A9" s="7">
        <f t="shared" si="0"/>
        <v>1373963</v>
      </c>
      <c r="B9" s="7">
        <f t="shared" si="1"/>
        <v>1275323</v>
      </c>
      <c r="C9" s="7">
        <f t="shared" si="2"/>
        <v>1130535</v>
      </c>
      <c r="D9" s="5"/>
      <c r="E9" s="5" t="str">
        <f t="shared" si="6"/>
        <v>0402-001969</v>
      </c>
      <c r="F9" s="5"/>
      <c r="G9" s="6"/>
      <c r="H9" s="11" t="s">
        <v>920</v>
      </c>
      <c r="I9" s="11"/>
      <c r="J9" s="12">
        <v>0</v>
      </c>
      <c r="K9" s="11" t="s">
        <v>921</v>
      </c>
      <c r="L9" s="12">
        <v>0</v>
      </c>
      <c r="M9" s="12">
        <v>39036</v>
      </c>
      <c r="N9" s="12">
        <v>199009</v>
      </c>
      <c r="O9" s="12">
        <v>197909</v>
      </c>
      <c r="P9" s="12">
        <v>197909</v>
      </c>
      <c r="Q9" s="12">
        <v>197909</v>
      </c>
      <c r="R9" s="12">
        <v>195409</v>
      </c>
      <c r="S9" s="12">
        <v>192909</v>
      </c>
      <c r="T9" s="12">
        <v>192909</v>
      </c>
      <c r="U9" s="12">
        <v>183589</v>
      </c>
      <c r="V9" s="12">
        <v>183589</v>
      </c>
      <c r="W9" s="12">
        <v>183589</v>
      </c>
      <c r="X9" s="12">
        <v>183589</v>
      </c>
      <c r="Y9" s="12">
        <v>183589</v>
      </c>
      <c r="Z9" s="12">
        <v>183589</v>
      </c>
      <c r="AA9" s="12">
        <v>173789</v>
      </c>
      <c r="AB9" s="12">
        <v>161505</v>
      </c>
      <c r="AC9" s="12">
        <v>161505</v>
      </c>
      <c r="AD9" s="12">
        <v>161505</v>
      </c>
      <c r="AE9" s="12">
        <v>161505</v>
      </c>
      <c r="AF9" s="12">
        <v>161505</v>
      </c>
      <c r="AG9" s="12">
        <v>161505</v>
      </c>
      <c r="AH9" s="12">
        <v>161505</v>
      </c>
      <c r="AI9" s="12">
        <v>146202</v>
      </c>
      <c r="AJ9" s="12">
        <v>141202</v>
      </c>
      <c r="AK9" s="12">
        <v>136202</v>
      </c>
      <c r="AL9" s="12">
        <v>136202</v>
      </c>
      <c r="AM9" s="12">
        <v>107402</v>
      </c>
      <c r="AN9" s="12">
        <v>104202</v>
      </c>
      <c r="AO9" s="12">
        <v>101702</v>
      </c>
      <c r="AP9" s="12">
        <v>96702</v>
      </c>
      <c r="AQ9" s="12">
        <v>74848</v>
      </c>
      <c r="AR9" s="12">
        <v>55848</v>
      </c>
      <c r="AS9" s="12">
        <v>55848</v>
      </c>
      <c r="AT9" s="12">
        <v>39036</v>
      </c>
      <c r="AU9" s="12">
        <v>39036</v>
      </c>
      <c r="AV9" s="12">
        <v>39036</v>
      </c>
      <c r="AW9" s="12">
        <v>0</v>
      </c>
      <c r="AX9" s="12">
        <v>0</v>
      </c>
      <c r="AY9" s="12">
        <v>0</v>
      </c>
      <c r="AZ9" s="12">
        <v>0</v>
      </c>
      <c r="BA9" s="12">
        <v>0</v>
      </c>
      <c r="BC9" s="7">
        <f t="shared" si="3"/>
        <v>594827</v>
      </c>
      <c r="BD9" s="7">
        <f t="shared" si="4"/>
        <v>1329903</v>
      </c>
      <c r="BE9" s="7">
        <f t="shared" si="5"/>
        <v>1209071</v>
      </c>
    </row>
    <row r="10" spans="1:57" ht="15" customHeight="1" x14ac:dyDescent="0.3">
      <c r="A10" s="7">
        <f t="shared" si="0"/>
        <v>0</v>
      </c>
      <c r="B10" s="7">
        <f t="shared" si="1"/>
        <v>4674</v>
      </c>
      <c r="C10" s="7">
        <f t="shared" si="2"/>
        <v>10000</v>
      </c>
      <c r="D10" s="5"/>
      <c r="E10" s="13" t="s">
        <v>760</v>
      </c>
      <c r="F10" s="5"/>
      <c r="G10" s="13" t="s">
        <v>991</v>
      </c>
      <c r="H10" s="13" t="s">
        <v>49</v>
      </c>
      <c r="I10" s="11" t="s">
        <v>49</v>
      </c>
      <c r="J10" s="12">
        <v>0</v>
      </c>
      <c r="K10" s="11" t="s">
        <v>916</v>
      </c>
      <c r="L10" s="12">
        <v>0</v>
      </c>
      <c r="M10" s="12">
        <v>14774</v>
      </c>
      <c r="N10" s="12">
        <v>0</v>
      </c>
      <c r="O10" s="12">
        <v>0</v>
      </c>
      <c r="P10" s="12">
        <v>0</v>
      </c>
      <c r="Q10" s="12">
        <v>0</v>
      </c>
      <c r="R10" s="12">
        <v>0</v>
      </c>
      <c r="S10" s="12">
        <v>0</v>
      </c>
      <c r="T10" s="12">
        <v>0</v>
      </c>
      <c r="U10" s="12">
        <v>4674</v>
      </c>
      <c r="V10" s="12">
        <v>0</v>
      </c>
      <c r="W10" s="12">
        <v>0</v>
      </c>
      <c r="X10" s="12">
        <v>0</v>
      </c>
      <c r="Y10" s="12">
        <v>0</v>
      </c>
      <c r="Z10" s="12">
        <v>0</v>
      </c>
      <c r="AA10" s="12">
        <v>0</v>
      </c>
      <c r="AB10" s="12">
        <v>10000</v>
      </c>
      <c r="AC10" s="12">
        <v>0</v>
      </c>
      <c r="AD10" s="12">
        <v>0</v>
      </c>
      <c r="AE10" s="12">
        <v>0</v>
      </c>
      <c r="AF10" s="12">
        <v>0</v>
      </c>
      <c r="AG10" s="12">
        <v>0</v>
      </c>
      <c r="AH10" s="12">
        <v>0</v>
      </c>
      <c r="AI10" s="12">
        <v>0</v>
      </c>
      <c r="AJ10" s="12">
        <v>0</v>
      </c>
      <c r="AK10" s="12">
        <v>0</v>
      </c>
      <c r="AL10" s="12">
        <v>0</v>
      </c>
      <c r="AM10" s="12">
        <v>100</v>
      </c>
      <c r="AN10" s="12">
        <v>0</v>
      </c>
      <c r="AO10" s="12">
        <v>0</v>
      </c>
      <c r="AP10" s="12">
        <v>0</v>
      </c>
      <c r="AQ10" s="12">
        <v>0</v>
      </c>
      <c r="AR10" s="12">
        <v>0</v>
      </c>
      <c r="AS10" s="12">
        <v>0</v>
      </c>
      <c r="AT10" s="12">
        <v>0</v>
      </c>
      <c r="AU10" s="12">
        <v>0</v>
      </c>
      <c r="AV10" s="12">
        <v>0</v>
      </c>
      <c r="AW10" s="12">
        <v>4674</v>
      </c>
      <c r="AX10" s="12">
        <v>10000</v>
      </c>
      <c r="AY10" s="12">
        <v>100</v>
      </c>
      <c r="AZ10" s="12">
        <v>0</v>
      </c>
      <c r="BA10" s="12">
        <v>0</v>
      </c>
      <c r="BC10" s="7">
        <f t="shared" si="3"/>
        <v>0</v>
      </c>
      <c r="BD10" s="7">
        <f t="shared" si="4"/>
        <v>4674</v>
      </c>
      <c r="BE10" s="7">
        <f t="shared" si="5"/>
        <v>10000</v>
      </c>
    </row>
    <row r="11" spans="1:57" ht="15" customHeight="1" x14ac:dyDescent="0.3">
      <c r="A11" s="7">
        <f t="shared" si="0"/>
        <v>359303</v>
      </c>
      <c r="B11" s="7">
        <f t="shared" si="1"/>
        <v>326585</v>
      </c>
      <c r="C11" s="7">
        <f t="shared" si="2"/>
        <v>256585</v>
      </c>
      <c r="D11" s="5"/>
      <c r="E11" s="5" t="str">
        <f t="shared" ref="E11:E14" si="7">E10</f>
        <v>0402-002189</v>
      </c>
      <c r="F11" s="5"/>
      <c r="G11" s="5"/>
      <c r="H11" s="6"/>
      <c r="I11" s="11"/>
      <c r="J11" s="12">
        <v>0</v>
      </c>
      <c r="K11" s="11" t="s">
        <v>917</v>
      </c>
      <c r="L11" s="12">
        <v>51329</v>
      </c>
      <c r="M11" s="12">
        <v>36555</v>
      </c>
      <c r="N11" s="12">
        <v>51329</v>
      </c>
      <c r="O11" s="12">
        <v>51329</v>
      </c>
      <c r="P11" s="12">
        <v>51329</v>
      </c>
      <c r="Q11" s="12">
        <v>51329</v>
      </c>
      <c r="R11" s="12">
        <v>51329</v>
      </c>
      <c r="S11" s="12">
        <v>51329</v>
      </c>
      <c r="T11" s="12">
        <v>51329</v>
      </c>
      <c r="U11" s="12">
        <v>46655</v>
      </c>
      <c r="V11" s="12">
        <v>46655</v>
      </c>
      <c r="W11" s="12">
        <v>46655</v>
      </c>
      <c r="X11" s="12">
        <v>46655</v>
      </c>
      <c r="Y11" s="12">
        <v>46655</v>
      </c>
      <c r="Z11" s="12">
        <v>46655</v>
      </c>
      <c r="AA11" s="12">
        <v>46655</v>
      </c>
      <c r="AB11" s="12">
        <v>36655</v>
      </c>
      <c r="AC11" s="12">
        <v>36655</v>
      </c>
      <c r="AD11" s="12">
        <v>36655</v>
      </c>
      <c r="AE11" s="12">
        <v>36655</v>
      </c>
      <c r="AF11" s="12">
        <v>36655</v>
      </c>
      <c r="AG11" s="12">
        <v>36655</v>
      </c>
      <c r="AH11" s="12">
        <v>36655</v>
      </c>
      <c r="AI11" s="12">
        <v>36655</v>
      </c>
      <c r="AJ11" s="12">
        <v>36655</v>
      </c>
      <c r="AK11" s="12">
        <v>36655</v>
      </c>
      <c r="AL11" s="12">
        <v>36655</v>
      </c>
      <c r="AM11" s="12">
        <v>36555</v>
      </c>
      <c r="AN11" s="12">
        <v>36555</v>
      </c>
      <c r="AO11" s="12">
        <v>36555</v>
      </c>
      <c r="AP11" s="12">
        <v>36555</v>
      </c>
      <c r="AQ11" s="12">
        <v>36555</v>
      </c>
      <c r="AR11" s="12">
        <v>36555</v>
      </c>
      <c r="AS11" s="12">
        <v>36555</v>
      </c>
      <c r="AT11" s="12">
        <v>36555</v>
      </c>
      <c r="AU11" s="12">
        <v>36555</v>
      </c>
      <c r="AV11" s="12">
        <v>36555</v>
      </c>
      <c r="AW11" s="12">
        <v>0</v>
      </c>
      <c r="AX11" s="12">
        <v>0</v>
      </c>
      <c r="AY11" s="12">
        <v>0</v>
      </c>
      <c r="AZ11" s="12">
        <v>0</v>
      </c>
      <c r="BA11" s="12">
        <v>0</v>
      </c>
      <c r="BC11" s="7">
        <f t="shared" si="3"/>
        <v>153987</v>
      </c>
      <c r="BD11" s="7">
        <f t="shared" si="4"/>
        <v>345281</v>
      </c>
      <c r="BE11" s="7">
        <f t="shared" si="5"/>
        <v>296585</v>
      </c>
    </row>
    <row r="12" spans="1:57" ht="15" customHeight="1" x14ac:dyDescent="0.3">
      <c r="A12" s="7">
        <f t="shared" si="0"/>
        <v>0</v>
      </c>
      <c r="B12" s="7">
        <f t="shared" si="1"/>
        <v>0</v>
      </c>
      <c r="C12" s="7">
        <f t="shared" si="2"/>
        <v>0</v>
      </c>
      <c r="D12" s="5"/>
      <c r="E12" s="5" t="str">
        <f t="shared" si="7"/>
        <v>0402-002189</v>
      </c>
      <c r="F12" s="5"/>
      <c r="G12" s="5"/>
      <c r="H12" s="11" t="s">
        <v>762</v>
      </c>
      <c r="I12" s="11" t="s">
        <v>763</v>
      </c>
      <c r="J12" s="12"/>
      <c r="K12" s="11" t="s">
        <v>918</v>
      </c>
      <c r="L12" s="12">
        <v>0</v>
      </c>
      <c r="M12" s="12">
        <v>0</v>
      </c>
      <c r="N12" s="12">
        <v>0</v>
      </c>
      <c r="O12" s="12">
        <v>0</v>
      </c>
      <c r="P12" s="12">
        <v>0</v>
      </c>
      <c r="Q12" s="12">
        <v>0</v>
      </c>
      <c r="R12" s="12">
        <v>0</v>
      </c>
      <c r="S12" s="12">
        <v>0</v>
      </c>
      <c r="T12" s="12">
        <v>0</v>
      </c>
      <c r="U12" s="12">
        <v>0</v>
      </c>
      <c r="V12" s="12">
        <v>0</v>
      </c>
      <c r="W12" s="12">
        <v>0</v>
      </c>
      <c r="X12" s="12">
        <v>0</v>
      </c>
      <c r="Y12" s="12">
        <v>0</v>
      </c>
      <c r="Z12" s="12">
        <v>0</v>
      </c>
      <c r="AA12" s="12">
        <v>0</v>
      </c>
      <c r="AB12" s="12">
        <v>0</v>
      </c>
      <c r="AC12" s="12">
        <v>0</v>
      </c>
      <c r="AD12" s="12">
        <v>0</v>
      </c>
      <c r="AE12" s="12">
        <v>0</v>
      </c>
      <c r="AF12" s="12">
        <v>0</v>
      </c>
      <c r="AG12" s="12">
        <v>0</v>
      </c>
      <c r="AH12" s="12">
        <v>0</v>
      </c>
      <c r="AI12" s="12">
        <v>0</v>
      </c>
      <c r="AJ12" s="12">
        <v>0</v>
      </c>
      <c r="AK12" s="12">
        <v>0</v>
      </c>
      <c r="AL12" s="12">
        <v>0</v>
      </c>
      <c r="AM12" s="12">
        <v>0</v>
      </c>
      <c r="AN12" s="12">
        <v>0</v>
      </c>
      <c r="AO12" s="12">
        <v>0</v>
      </c>
      <c r="AP12" s="12">
        <v>0</v>
      </c>
      <c r="AQ12" s="12">
        <v>0</v>
      </c>
      <c r="AR12" s="12">
        <v>0</v>
      </c>
      <c r="AS12" s="12">
        <v>0</v>
      </c>
      <c r="AT12" s="12">
        <v>0</v>
      </c>
      <c r="AU12" s="12">
        <v>0</v>
      </c>
      <c r="AV12" s="12">
        <v>0</v>
      </c>
      <c r="AW12" s="12">
        <v>0</v>
      </c>
      <c r="AX12" s="12">
        <v>0</v>
      </c>
      <c r="AY12" s="12">
        <v>0</v>
      </c>
      <c r="AZ12" s="12">
        <v>0</v>
      </c>
      <c r="BA12" s="12">
        <v>0</v>
      </c>
      <c r="BC12" s="7">
        <f t="shared" si="3"/>
        <v>0</v>
      </c>
      <c r="BD12" s="7">
        <f t="shared" si="4"/>
        <v>0</v>
      </c>
      <c r="BE12" s="7">
        <f t="shared" si="5"/>
        <v>0</v>
      </c>
    </row>
    <row r="13" spans="1:57" ht="15" customHeight="1" x14ac:dyDescent="0.3">
      <c r="A13" s="7">
        <f t="shared" si="0"/>
        <v>0</v>
      </c>
      <c r="B13" s="7">
        <f t="shared" si="1"/>
        <v>0</v>
      </c>
      <c r="C13" s="7">
        <f t="shared" si="2"/>
        <v>0</v>
      </c>
      <c r="D13" s="5"/>
      <c r="E13" s="5" t="str">
        <f t="shared" si="7"/>
        <v>0402-002189</v>
      </c>
      <c r="F13" s="5"/>
      <c r="G13" s="5"/>
      <c r="H13" s="11" t="s">
        <v>49</v>
      </c>
      <c r="I13" s="11"/>
      <c r="J13" s="12">
        <v>0</v>
      </c>
      <c r="K13" s="11" t="s">
        <v>919</v>
      </c>
      <c r="L13" s="12">
        <v>0</v>
      </c>
      <c r="M13" s="12">
        <v>0</v>
      </c>
      <c r="N13" s="12">
        <v>0</v>
      </c>
      <c r="O13" s="12">
        <v>0</v>
      </c>
      <c r="P13" s="12">
        <v>0</v>
      </c>
      <c r="Q13" s="12">
        <v>0</v>
      </c>
      <c r="R13" s="12">
        <v>0</v>
      </c>
      <c r="S13" s="12">
        <v>0</v>
      </c>
      <c r="T13" s="12">
        <v>0</v>
      </c>
      <c r="U13" s="12">
        <v>0</v>
      </c>
      <c r="V13" s="12">
        <v>0</v>
      </c>
      <c r="W13" s="12">
        <v>0</v>
      </c>
      <c r="X13" s="12">
        <v>0</v>
      </c>
      <c r="Y13" s="12">
        <v>0</v>
      </c>
      <c r="Z13" s="12">
        <v>0</v>
      </c>
      <c r="AA13" s="12">
        <v>0</v>
      </c>
      <c r="AB13" s="12">
        <v>0</v>
      </c>
      <c r="AC13" s="12">
        <v>0</v>
      </c>
      <c r="AD13" s="12">
        <v>0</v>
      </c>
      <c r="AE13" s="12">
        <v>0</v>
      </c>
      <c r="AF13" s="12">
        <v>0</v>
      </c>
      <c r="AG13" s="12">
        <v>0</v>
      </c>
      <c r="AH13" s="12">
        <v>0</v>
      </c>
      <c r="AI13" s="12">
        <v>0</v>
      </c>
      <c r="AJ13" s="12">
        <v>0</v>
      </c>
      <c r="AK13" s="12">
        <v>0</v>
      </c>
      <c r="AL13" s="12">
        <v>0</v>
      </c>
      <c r="AM13" s="12">
        <v>0</v>
      </c>
      <c r="AN13" s="12">
        <v>0</v>
      </c>
      <c r="AO13" s="12">
        <v>0</v>
      </c>
      <c r="AP13" s="12">
        <v>0</v>
      </c>
      <c r="AQ13" s="12">
        <v>0</v>
      </c>
      <c r="AR13" s="12">
        <v>0</v>
      </c>
      <c r="AS13" s="12">
        <v>0</v>
      </c>
      <c r="AT13" s="12">
        <v>0</v>
      </c>
      <c r="AU13" s="12">
        <v>0</v>
      </c>
      <c r="AV13" s="12">
        <v>0</v>
      </c>
      <c r="AW13" s="12">
        <v>0</v>
      </c>
      <c r="AX13" s="12">
        <v>0</v>
      </c>
      <c r="AY13" s="12">
        <v>0</v>
      </c>
      <c r="AZ13" s="12">
        <v>0</v>
      </c>
      <c r="BA13" s="12">
        <v>0</v>
      </c>
      <c r="BC13" s="7">
        <f t="shared" si="3"/>
        <v>0</v>
      </c>
      <c r="BD13" s="7">
        <f t="shared" si="4"/>
        <v>0</v>
      </c>
      <c r="BE13" s="7">
        <f t="shared" si="5"/>
        <v>0</v>
      </c>
    </row>
    <row r="14" spans="1:57" ht="15" customHeight="1" x14ac:dyDescent="0.3">
      <c r="A14" s="7">
        <f t="shared" si="0"/>
        <v>359303</v>
      </c>
      <c r="B14" s="7">
        <f t="shared" si="1"/>
        <v>326585</v>
      </c>
      <c r="C14" s="7">
        <f t="shared" si="2"/>
        <v>256585</v>
      </c>
      <c r="D14" s="5"/>
      <c r="E14" s="5" t="str">
        <f t="shared" si="7"/>
        <v>0402-002189</v>
      </c>
      <c r="F14" s="5"/>
      <c r="G14" s="6"/>
      <c r="H14" s="11" t="s">
        <v>920</v>
      </c>
      <c r="I14" s="11"/>
      <c r="J14" s="12">
        <v>0</v>
      </c>
      <c r="K14" s="11" t="s">
        <v>921</v>
      </c>
      <c r="L14" s="12">
        <v>0</v>
      </c>
      <c r="M14" s="12">
        <v>36555</v>
      </c>
      <c r="N14" s="12">
        <v>51329</v>
      </c>
      <c r="O14" s="12">
        <v>51329</v>
      </c>
      <c r="P14" s="12">
        <v>51329</v>
      </c>
      <c r="Q14" s="12">
        <v>51329</v>
      </c>
      <c r="R14" s="12">
        <v>51329</v>
      </c>
      <c r="S14" s="12">
        <v>51329</v>
      </c>
      <c r="T14" s="12">
        <v>51329</v>
      </c>
      <c r="U14" s="12">
        <v>46655</v>
      </c>
      <c r="V14" s="12">
        <v>46655</v>
      </c>
      <c r="W14" s="12">
        <v>46655</v>
      </c>
      <c r="X14" s="12">
        <v>46655</v>
      </c>
      <c r="Y14" s="12">
        <v>46655</v>
      </c>
      <c r="Z14" s="12">
        <v>46655</v>
      </c>
      <c r="AA14" s="12">
        <v>46655</v>
      </c>
      <c r="AB14" s="12">
        <v>36655</v>
      </c>
      <c r="AC14" s="12">
        <v>36655</v>
      </c>
      <c r="AD14" s="12">
        <v>36655</v>
      </c>
      <c r="AE14" s="12">
        <v>36655</v>
      </c>
      <c r="AF14" s="12">
        <v>36655</v>
      </c>
      <c r="AG14" s="12">
        <v>36655</v>
      </c>
      <c r="AH14" s="12">
        <v>36655</v>
      </c>
      <c r="AI14" s="12">
        <v>36655</v>
      </c>
      <c r="AJ14" s="12">
        <v>36655</v>
      </c>
      <c r="AK14" s="12">
        <v>36655</v>
      </c>
      <c r="AL14" s="12">
        <v>36655</v>
      </c>
      <c r="AM14" s="12">
        <v>36555</v>
      </c>
      <c r="AN14" s="12">
        <v>36555</v>
      </c>
      <c r="AO14" s="12">
        <v>36555</v>
      </c>
      <c r="AP14" s="12">
        <v>36555</v>
      </c>
      <c r="AQ14" s="12">
        <v>36555</v>
      </c>
      <c r="AR14" s="12">
        <v>36555</v>
      </c>
      <c r="AS14" s="12">
        <v>36555</v>
      </c>
      <c r="AT14" s="12">
        <v>36555</v>
      </c>
      <c r="AU14" s="12">
        <v>36555</v>
      </c>
      <c r="AV14" s="12">
        <v>36555</v>
      </c>
      <c r="AW14" s="12">
        <v>0</v>
      </c>
      <c r="AX14" s="12">
        <v>0</v>
      </c>
      <c r="AY14" s="12">
        <v>0</v>
      </c>
      <c r="AZ14" s="12">
        <v>0</v>
      </c>
      <c r="BA14" s="12">
        <v>0</v>
      </c>
      <c r="BC14" s="7">
        <f t="shared" si="3"/>
        <v>153987</v>
      </c>
      <c r="BD14" s="7">
        <f t="shared" si="4"/>
        <v>345281</v>
      </c>
      <c r="BE14" s="7">
        <f t="shared" si="5"/>
        <v>296585</v>
      </c>
    </row>
    <row r="15" spans="1:57" ht="15" customHeight="1" x14ac:dyDescent="0.3">
      <c r="A15" s="7">
        <f t="shared" si="0"/>
        <v>0</v>
      </c>
      <c r="B15" s="7">
        <f t="shared" si="1"/>
        <v>0</v>
      </c>
      <c r="C15" s="7">
        <f t="shared" si="2"/>
        <v>0</v>
      </c>
      <c r="D15" s="5"/>
      <c r="E15" s="13" t="s">
        <v>865</v>
      </c>
      <c r="F15" s="5"/>
      <c r="G15" s="13" t="s">
        <v>922</v>
      </c>
      <c r="H15" s="13" t="s">
        <v>49</v>
      </c>
      <c r="I15" s="11" t="s">
        <v>49</v>
      </c>
      <c r="J15" s="12">
        <v>0</v>
      </c>
      <c r="K15" s="11" t="s">
        <v>916</v>
      </c>
      <c r="L15" s="12">
        <v>0</v>
      </c>
      <c r="M15" s="12">
        <v>5259</v>
      </c>
      <c r="N15" s="12">
        <v>0</v>
      </c>
      <c r="O15" s="12">
        <v>0</v>
      </c>
      <c r="P15" s="12">
        <v>0</v>
      </c>
      <c r="Q15" s="12">
        <v>0</v>
      </c>
      <c r="R15" s="12">
        <v>0</v>
      </c>
      <c r="S15" s="12">
        <v>0</v>
      </c>
      <c r="T15" s="12">
        <v>0</v>
      </c>
      <c r="U15" s="12">
        <v>0</v>
      </c>
      <c r="V15" s="12">
        <v>0</v>
      </c>
      <c r="W15" s="12">
        <v>0</v>
      </c>
      <c r="X15" s="12">
        <v>0</v>
      </c>
      <c r="Y15" s="12">
        <v>0</v>
      </c>
      <c r="Z15" s="12">
        <v>0</v>
      </c>
      <c r="AA15" s="12">
        <v>0</v>
      </c>
      <c r="AB15" s="12">
        <v>0</v>
      </c>
      <c r="AC15" s="12">
        <v>0</v>
      </c>
      <c r="AD15" s="12">
        <v>0</v>
      </c>
      <c r="AE15" s="12">
        <v>0</v>
      </c>
      <c r="AF15" s="12">
        <v>0</v>
      </c>
      <c r="AG15" s="12">
        <v>0</v>
      </c>
      <c r="AH15" s="12">
        <v>0</v>
      </c>
      <c r="AI15" s="12">
        <v>2000</v>
      </c>
      <c r="AJ15" s="12">
        <v>0</v>
      </c>
      <c r="AK15" s="12">
        <v>0</v>
      </c>
      <c r="AL15" s="12">
        <v>0</v>
      </c>
      <c r="AM15" s="12">
        <v>0</v>
      </c>
      <c r="AN15" s="12">
        <v>2300</v>
      </c>
      <c r="AO15" s="12">
        <v>0</v>
      </c>
      <c r="AP15" s="12">
        <v>0</v>
      </c>
      <c r="AQ15" s="12">
        <v>0</v>
      </c>
      <c r="AR15" s="12">
        <v>959</v>
      </c>
      <c r="AS15" s="12">
        <v>0</v>
      </c>
      <c r="AT15" s="12">
        <v>0</v>
      </c>
      <c r="AU15" s="12">
        <v>0</v>
      </c>
      <c r="AV15" s="12">
        <v>0</v>
      </c>
      <c r="AW15" s="12">
        <v>0</v>
      </c>
      <c r="AX15" s="12">
        <v>2000</v>
      </c>
      <c r="AY15" s="12">
        <v>2300</v>
      </c>
      <c r="AZ15" s="12">
        <v>959</v>
      </c>
      <c r="BA15" s="12">
        <v>0</v>
      </c>
      <c r="BC15" s="7">
        <f t="shared" si="3"/>
        <v>0</v>
      </c>
      <c r="BD15" s="7">
        <f t="shared" si="4"/>
        <v>0</v>
      </c>
      <c r="BE15" s="7">
        <f t="shared" si="5"/>
        <v>0</v>
      </c>
    </row>
    <row r="16" spans="1:57" ht="15" customHeight="1" x14ac:dyDescent="0.3">
      <c r="A16" s="7">
        <f t="shared" si="0"/>
        <v>19390</v>
      </c>
      <c r="B16" s="7">
        <f t="shared" si="1"/>
        <v>19390</v>
      </c>
      <c r="C16" s="7">
        <f t="shared" si="2"/>
        <v>19390</v>
      </c>
      <c r="D16" s="5"/>
      <c r="E16" s="5" t="str">
        <f t="shared" ref="E16:E19" si="8">E15</f>
        <v>0903-002056</v>
      </c>
      <c r="F16" s="5"/>
      <c r="G16" s="5"/>
      <c r="H16" s="6"/>
      <c r="I16" s="11"/>
      <c r="J16" s="12">
        <v>0</v>
      </c>
      <c r="K16" s="11" t="s">
        <v>917</v>
      </c>
      <c r="L16" s="12">
        <v>2770</v>
      </c>
      <c r="M16" s="12">
        <v>-2489</v>
      </c>
      <c r="N16" s="12">
        <v>2770</v>
      </c>
      <c r="O16" s="12">
        <v>2770</v>
      </c>
      <c r="P16" s="12">
        <v>2770</v>
      </c>
      <c r="Q16" s="12">
        <v>2770</v>
      </c>
      <c r="R16" s="12">
        <v>2770</v>
      </c>
      <c r="S16" s="12">
        <v>2770</v>
      </c>
      <c r="T16" s="12">
        <v>2770</v>
      </c>
      <c r="U16" s="12">
        <v>2770</v>
      </c>
      <c r="V16" s="12">
        <v>2770</v>
      </c>
      <c r="W16" s="12">
        <v>2770</v>
      </c>
      <c r="X16" s="12">
        <v>2770</v>
      </c>
      <c r="Y16" s="12">
        <v>2770</v>
      </c>
      <c r="Z16" s="12">
        <v>2770</v>
      </c>
      <c r="AA16" s="12">
        <v>2770</v>
      </c>
      <c r="AB16" s="12">
        <v>2770</v>
      </c>
      <c r="AC16" s="12">
        <v>2770</v>
      </c>
      <c r="AD16" s="12">
        <v>2770</v>
      </c>
      <c r="AE16" s="12">
        <v>2770</v>
      </c>
      <c r="AF16" s="12">
        <v>2770</v>
      </c>
      <c r="AG16" s="12">
        <v>2770</v>
      </c>
      <c r="AH16" s="12">
        <v>2770</v>
      </c>
      <c r="AI16" s="12">
        <v>770</v>
      </c>
      <c r="AJ16" s="12">
        <v>770</v>
      </c>
      <c r="AK16" s="12">
        <v>770</v>
      </c>
      <c r="AL16" s="12">
        <v>770</v>
      </c>
      <c r="AM16" s="12">
        <v>770</v>
      </c>
      <c r="AN16" s="12">
        <v>-1530</v>
      </c>
      <c r="AO16" s="12">
        <v>-1530</v>
      </c>
      <c r="AP16" s="12">
        <v>-1530</v>
      </c>
      <c r="AQ16" s="12">
        <v>-1530</v>
      </c>
      <c r="AR16" s="12">
        <v>-2489</v>
      </c>
      <c r="AS16" s="12">
        <v>-2489</v>
      </c>
      <c r="AT16" s="12">
        <v>-2489</v>
      </c>
      <c r="AU16" s="12">
        <v>-2489</v>
      </c>
      <c r="AV16" s="12">
        <v>-2489</v>
      </c>
      <c r="AW16" s="12">
        <v>0</v>
      </c>
      <c r="AX16" s="12">
        <v>0</v>
      </c>
      <c r="AY16" s="12">
        <v>0</v>
      </c>
      <c r="AZ16" s="12">
        <v>0</v>
      </c>
      <c r="BA16" s="12">
        <v>0</v>
      </c>
      <c r="BC16" s="7">
        <f t="shared" si="3"/>
        <v>8310</v>
      </c>
      <c r="BD16" s="7">
        <f t="shared" si="4"/>
        <v>19390</v>
      </c>
      <c r="BE16" s="7">
        <f t="shared" si="5"/>
        <v>19390</v>
      </c>
    </row>
    <row r="17" spans="1:57" ht="15" customHeight="1" x14ac:dyDescent="0.3">
      <c r="A17" s="7">
        <f t="shared" si="0"/>
        <v>0</v>
      </c>
      <c r="B17" s="7">
        <f t="shared" si="1"/>
        <v>0</v>
      </c>
      <c r="C17" s="7">
        <f t="shared" si="2"/>
        <v>0</v>
      </c>
      <c r="D17" s="5"/>
      <c r="E17" s="5" t="str">
        <f t="shared" si="8"/>
        <v>0903-002056</v>
      </c>
      <c r="F17" s="5"/>
      <c r="G17" s="5"/>
      <c r="H17" s="11" t="s">
        <v>810</v>
      </c>
      <c r="I17" s="11" t="s">
        <v>811</v>
      </c>
      <c r="J17" s="12">
        <v>3300</v>
      </c>
      <c r="K17" s="11" t="s">
        <v>918</v>
      </c>
      <c r="L17" s="12">
        <v>0</v>
      </c>
      <c r="M17" s="12">
        <v>0</v>
      </c>
      <c r="N17" s="12">
        <v>0</v>
      </c>
      <c r="O17" s="12">
        <v>0</v>
      </c>
      <c r="P17" s="12">
        <v>0</v>
      </c>
      <c r="Q17" s="12">
        <v>0</v>
      </c>
      <c r="R17" s="12">
        <v>0</v>
      </c>
      <c r="S17" s="12">
        <v>0</v>
      </c>
      <c r="T17" s="12">
        <v>0</v>
      </c>
      <c r="U17" s="12">
        <v>0</v>
      </c>
      <c r="V17" s="12">
        <v>0</v>
      </c>
      <c r="W17" s="12">
        <v>0</v>
      </c>
      <c r="X17" s="12">
        <v>0</v>
      </c>
      <c r="Y17" s="12">
        <v>0</v>
      </c>
      <c r="Z17" s="12">
        <v>0</v>
      </c>
      <c r="AA17" s="12">
        <v>0</v>
      </c>
      <c r="AB17" s="12">
        <v>0</v>
      </c>
      <c r="AC17" s="12">
        <v>0</v>
      </c>
      <c r="AD17" s="12">
        <v>0</v>
      </c>
      <c r="AE17" s="12">
        <v>0</v>
      </c>
      <c r="AF17" s="12">
        <v>0</v>
      </c>
      <c r="AG17" s="12">
        <v>0</v>
      </c>
      <c r="AH17" s="12">
        <v>0</v>
      </c>
      <c r="AI17" s="12">
        <v>0</v>
      </c>
      <c r="AJ17" s="12">
        <v>0</v>
      </c>
      <c r="AK17" s="12">
        <v>0</v>
      </c>
      <c r="AL17" s="12">
        <v>0</v>
      </c>
      <c r="AM17" s="12">
        <v>0</v>
      </c>
      <c r="AN17" s="12">
        <v>0</v>
      </c>
      <c r="AO17" s="12">
        <v>0</v>
      </c>
      <c r="AP17" s="12">
        <v>0</v>
      </c>
      <c r="AQ17" s="12">
        <v>0</v>
      </c>
      <c r="AR17" s="12">
        <v>0</v>
      </c>
      <c r="AS17" s="12">
        <v>0</v>
      </c>
      <c r="AT17" s="12">
        <v>0</v>
      </c>
      <c r="AU17" s="12">
        <v>0</v>
      </c>
      <c r="AV17" s="12">
        <v>0</v>
      </c>
      <c r="AW17" s="12">
        <v>0</v>
      </c>
      <c r="AX17" s="12">
        <v>0</v>
      </c>
      <c r="AY17" s="12">
        <v>0</v>
      </c>
      <c r="AZ17" s="12">
        <v>0</v>
      </c>
      <c r="BA17" s="12">
        <v>0</v>
      </c>
      <c r="BC17" s="7">
        <f t="shared" si="3"/>
        <v>0</v>
      </c>
      <c r="BD17" s="7">
        <f t="shared" si="4"/>
        <v>0</v>
      </c>
      <c r="BE17" s="7">
        <f t="shared" si="5"/>
        <v>0</v>
      </c>
    </row>
    <row r="18" spans="1:57" ht="15" customHeight="1" x14ac:dyDescent="0.3">
      <c r="A18" s="7">
        <f t="shared" si="0"/>
        <v>0</v>
      </c>
      <c r="B18" s="7">
        <f t="shared" si="1"/>
        <v>0</v>
      </c>
      <c r="C18" s="7">
        <f t="shared" si="2"/>
        <v>0</v>
      </c>
      <c r="D18" s="5"/>
      <c r="E18" s="5" t="str">
        <f t="shared" si="8"/>
        <v>0903-002056</v>
      </c>
      <c r="F18" s="5"/>
      <c r="G18" s="5"/>
      <c r="H18" s="11" t="s">
        <v>49</v>
      </c>
      <c r="I18" s="11"/>
      <c r="J18" s="12">
        <v>0</v>
      </c>
      <c r="K18" s="11" t="s">
        <v>919</v>
      </c>
      <c r="L18" s="12">
        <v>0</v>
      </c>
      <c r="M18" s="12">
        <v>0</v>
      </c>
      <c r="N18" s="12">
        <v>0</v>
      </c>
      <c r="O18" s="12">
        <v>0</v>
      </c>
      <c r="P18" s="12">
        <v>0</v>
      </c>
      <c r="Q18" s="12">
        <v>0</v>
      </c>
      <c r="R18" s="12">
        <v>0</v>
      </c>
      <c r="S18" s="12">
        <v>0</v>
      </c>
      <c r="T18" s="12">
        <v>0</v>
      </c>
      <c r="U18" s="12">
        <v>0</v>
      </c>
      <c r="V18" s="12">
        <v>0</v>
      </c>
      <c r="W18" s="12">
        <v>0</v>
      </c>
      <c r="X18" s="12">
        <v>0</v>
      </c>
      <c r="Y18" s="12">
        <v>0</v>
      </c>
      <c r="Z18" s="12">
        <v>0</v>
      </c>
      <c r="AA18" s="12">
        <v>0</v>
      </c>
      <c r="AB18" s="12">
        <v>0</v>
      </c>
      <c r="AC18" s="12">
        <v>0</v>
      </c>
      <c r="AD18" s="12">
        <v>0</v>
      </c>
      <c r="AE18" s="12">
        <v>0</v>
      </c>
      <c r="AF18" s="12">
        <v>0</v>
      </c>
      <c r="AG18" s="12">
        <v>0</v>
      </c>
      <c r="AH18" s="12">
        <v>0</v>
      </c>
      <c r="AI18" s="12">
        <v>0</v>
      </c>
      <c r="AJ18" s="12">
        <v>0</v>
      </c>
      <c r="AK18" s="12">
        <v>0</v>
      </c>
      <c r="AL18" s="12">
        <v>0</v>
      </c>
      <c r="AM18" s="12">
        <v>0</v>
      </c>
      <c r="AN18" s="12">
        <v>0</v>
      </c>
      <c r="AO18" s="12">
        <v>0</v>
      </c>
      <c r="AP18" s="12">
        <v>0</v>
      </c>
      <c r="AQ18" s="12">
        <v>0</v>
      </c>
      <c r="AR18" s="12">
        <v>0</v>
      </c>
      <c r="AS18" s="12">
        <v>0</v>
      </c>
      <c r="AT18" s="12">
        <v>0</v>
      </c>
      <c r="AU18" s="12">
        <v>0</v>
      </c>
      <c r="AV18" s="12">
        <v>0</v>
      </c>
      <c r="AW18" s="12">
        <v>0</v>
      </c>
      <c r="AX18" s="12">
        <v>0</v>
      </c>
      <c r="AY18" s="12">
        <v>0</v>
      </c>
      <c r="AZ18" s="12">
        <v>0</v>
      </c>
      <c r="BA18" s="12">
        <v>0</v>
      </c>
      <c r="BC18" s="7">
        <f t="shared" si="3"/>
        <v>0</v>
      </c>
      <c r="BD18" s="7">
        <f t="shared" si="4"/>
        <v>0</v>
      </c>
      <c r="BE18" s="7">
        <f t="shared" si="5"/>
        <v>0</v>
      </c>
    </row>
    <row r="19" spans="1:57" ht="15" customHeight="1" x14ac:dyDescent="0.3">
      <c r="A19" s="7">
        <f t="shared" si="0"/>
        <v>19390</v>
      </c>
      <c r="B19" s="7">
        <f t="shared" si="1"/>
        <v>19390</v>
      </c>
      <c r="C19" s="7">
        <f t="shared" si="2"/>
        <v>19390</v>
      </c>
      <c r="D19" s="5"/>
      <c r="E19" s="5" t="str">
        <f t="shared" si="8"/>
        <v>0903-002056</v>
      </c>
      <c r="F19" s="5"/>
      <c r="G19" s="6"/>
      <c r="H19" s="11" t="s">
        <v>920</v>
      </c>
      <c r="I19" s="11"/>
      <c r="J19" s="12">
        <v>0</v>
      </c>
      <c r="K19" s="11" t="s">
        <v>921</v>
      </c>
      <c r="L19" s="12">
        <v>0</v>
      </c>
      <c r="M19" s="12">
        <v>-2489</v>
      </c>
      <c r="N19" s="12">
        <v>2770</v>
      </c>
      <c r="O19" s="12">
        <v>2770</v>
      </c>
      <c r="P19" s="12">
        <v>2770</v>
      </c>
      <c r="Q19" s="12">
        <v>2770</v>
      </c>
      <c r="R19" s="12">
        <v>2770</v>
      </c>
      <c r="S19" s="12">
        <v>2770</v>
      </c>
      <c r="T19" s="12">
        <v>2770</v>
      </c>
      <c r="U19" s="12">
        <v>2770</v>
      </c>
      <c r="V19" s="12">
        <v>2770</v>
      </c>
      <c r="W19" s="12">
        <v>2770</v>
      </c>
      <c r="X19" s="12">
        <v>2770</v>
      </c>
      <c r="Y19" s="12">
        <v>2770</v>
      </c>
      <c r="Z19" s="12">
        <v>2770</v>
      </c>
      <c r="AA19" s="12">
        <v>2770</v>
      </c>
      <c r="AB19" s="12">
        <v>2770</v>
      </c>
      <c r="AC19" s="12">
        <v>2770</v>
      </c>
      <c r="AD19" s="12">
        <v>2770</v>
      </c>
      <c r="AE19" s="12">
        <v>2770</v>
      </c>
      <c r="AF19" s="12">
        <v>2770</v>
      </c>
      <c r="AG19" s="12">
        <v>2770</v>
      </c>
      <c r="AH19" s="12">
        <v>2770</v>
      </c>
      <c r="AI19" s="12">
        <v>770</v>
      </c>
      <c r="AJ19" s="12">
        <v>770</v>
      </c>
      <c r="AK19" s="12">
        <v>770</v>
      </c>
      <c r="AL19" s="12">
        <v>770</v>
      </c>
      <c r="AM19" s="12">
        <v>770</v>
      </c>
      <c r="AN19" s="12">
        <v>-1530</v>
      </c>
      <c r="AO19" s="12">
        <v>-1530</v>
      </c>
      <c r="AP19" s="12">
        <v>-1530</v>
      </c>
      <c r="AQ19" s="12">
        <v>-1530</v>
      </c>
      <c r="AR19" s="12">
        <v>-2489</v>
      </c>
      <c r="AS19" s="12">
        <v>-2489</v>
      </c>
      <c r="AT19" s="12">
        <v>-2489</v>
      </c>
      <c r="AU19" s="12">
        <v>-2489</v>
      </c>
      <c r="AV19" s="12">
        <v>-2489</v>
      </c>
      <c r="AW19" s="12">
        <v>0</v>
      </c>
      <c r="AX19" s="12">
        <v>0</v>
      </c>
      <c r="AY19" s="12">
        <v>0</v>
      </c>
      <c r="AZ19" s="12">
        <v>0</v>
      </c>
      <c r="BA19" s="12">
        <v>0</v>
      </c>
      <c r="BC19" s="7">
        <f t="shared" si="3"/>
        <v>8310</v>
      </c>
      <c r="BD19" s="7">
        <f t="shared" si="4"/>
        <v>19390</v>
      </c>
      <c r="BE19" s="7">
        <f t="shared" si="5"/>
        <v>19390</v>
      </c>
    </row>
    <row r="20" spans="1:57" ht="15" customHeight="1" x14ac:dyDescent="0.3">
      <c r="A20" s="7">
        <f t="shared" si="0"/>
        <v>0</v>
      </c>
      <c r="B20" s="7">
        <f t="shared" si="1"/>
        <v>0</v>
      </c>
      <c r="C20" s="7">
        <f t="shared" si="2"/>
        <v>0</v>
      </c>
      <c r="D20" s="5"/>
      <c r="E20" s="13" t="s">
        <v>868</v>
      </c>
      <c r="F20" s="5"/>
      <c r="G20" s="13" t="s">
        <v>992</v>
      </c>
      <c r="H20" s="13" t="s">
        <v>49</v>
      </c>
      <c r="I20" s="11" t="s">
        <v>49</v>
      </c>
      <c r="J20" s="12">
        <v>0</v>
      </c>
      <c r="K20" s="11" t="s">
        <v>916</v>
      </c>
      <c r="L20" s="12">
        <v>0</v>
      </c>
      <c r="M20" s="12">
        <v>1500</v>
      </c>
      <c r="N20" s="12">
        <v>0</v>
      </c>
      <c r="O20" s="12">
        <v>0</v>
      </c>
      <c r="P20" s="12">
        <v>0</v>
      </c>
      <c r="Q20" s="12">
        <v>0</v>
      </c>
      <c r="R20" s="12">
        <v>0</v>
      </c>
      <c r="S20" s="12">
        <v>0</v>
      </c>
      <c r="T20" s="12">
        <v>0</v>
      </c>
      <c r="U20" s="12">
        <v>0</v>
      </c>
      <c r="V20" s="12">
        <v>0</v>
      </c>
      <c r="W20" s="12">
        <v>0</v>
      </c>
      <c r="X20" s="12">
        <v>0</v>
      </c>
      <c r="Y20" s="12">
        <v>0</v>
      </c>
      <c r="Z20" s="12">
        <v>0</v>
      </c>
      <c r="AA20" s="12">
        <v>0</v>
      </c>
      <c r="AB20" s="12">
        <v>0</v>
      </c>
      <c r="AC20" s="12">
        <v>0</v>
      </c>
      <c r="AD20" s="12">
        <v>0</v>
      </c>
      <c r="AE20" s="12">
        <v>0</v>
      </c>
      <c r="AF20" s="12">
        <v>0</v>
      </c>
      <c r="AG20" s="12">
        <v>0</v>
      </c>
      <c r="AH20" s="12">
        <v>0</v>
      </c>
      <c r="AI20" s="12">
        <v>0</v>
      </c>
      <c r="AJ20" s="12">
        <v>0</v>
      </c>
      <c r="AK20" s="12">
        <v>0</v>
      </c>
      <c r="AL20" s="12">
        <v>0</v>
      </c>
      <c r="AM20" s="12">
        <v>0</v>
      </c>
      <c r="AN20" s="12">
        <v>1000</v>
      </c>
      <c r="AO20" s="12">
        <v>0</v>
      </c>
      <c r="AP20" s="12">
        <v>0</v>
      </c>
      <c r="AQ20" s="12">
        <v>500</v>
      </c>
      <c r="AR20" s="12">
        <v>0</v>
      </c>
      <c r="AS20" s="12">
        <v>0</v>
      </c>
      <c r="AT20" s="12">
        <v>0</v>
      </c>
      <c r="AU20" s="12">
        <v>0</v>
      </c>
      <c r="AV20" s="12">
        <v>0</v>
      </c>
      <c r="AW20" s="12">
        <v>0</v>
      </c>
      <c r="AX20" s="12">
        <v>0</v>
      </c>
      <c r="AY20" s="12">
        <v>1000</v>
      </c>
      <c r="AZ20" s="12">
        <v>500</v>
      </c>
      <c r="BA20" s="12">
        <v>0</v>
      </c>
      <c r="BC20" s="7">
        <f t="shared" si="3"/>
        <v>0</v>
      </c>
      <c r="BD20" s="7">
        <f t="shared" si="4"/>
        <v>0</v>
      </c>
      <c r="BE20" s="7">
        <f t="shared" si="5"/>
        <v>0</v>
      </c>
    </row>
    <row r="21" spans="1:57" ht="15" customHeight="1" x14ac:dyDescent="0.3">
      <c r="A21" s="7">
        <f t="shared" si="0"/>
        <v>21847</v>
      </c>
      <c r="B21" s="7">
        <f t="shared" si="1"/>
        <v>21847</v>
      </c>
      <c r="C21" s="7">
        <f t="shared" si="2"/>
        <v>21847</v>
      </c>
      <c r="D21" s="5"/>
      <c r="E21" s="5" t="str">
        <f t="shared" ref="E21:E24" si="9">E20</f>
        <v>0903-002138</v>
      </c>
      <c r="F21" s="5"/>
      <c r="G21" s="5"/>
      <c r="H21" s="6"/>
      <c r="I21" s="11"/>
      <c r="J21" s="12">
        <v>0</v>
      </c>
      <c r="K21" s="11" t="s">
        <v>917</v>
      </c>
      <c r="L21" s="12">
        <v>3121</v>
      </c>
      <c r="M21" s="12">
        <v>1621</v>
      </c>
      <c r="N21" s="12">
        <v>3121</v>
      </c>
      <c r="O21" s="12">
        <v>3121</v>
      </c>
      <c r="P21" s="12">
        <v>3121</v>
      </c>
      <c r="Q21" s="12">
        <v>3121</v>
      </c>
      <c r="R21" s="12">
        <v>3121</v>
      </c>
      <c r="S21" s="12">
        <v>3121</v>
      </c>
      <c r="T21" s="12">
        <v>3121</v>
      </c>
      <c r="U21" s="12">
        <v>3121</v>
      </c>
      <c r="V21" s="12">
        <v>3121</v>
      </c>
      <c r="W21" s="12">
        <v>3121</v>
      </c>
      <c r="X21" s="12">
        <v>3121</v>
      </c>
      <c r="Y21" s="12">
        <v>3121</v>
      </c>
      <c r="Z21" s="12">
        <v>3121</v>
      </c>
      <c r="AA21" s="12">
        <v>3121</v>
      </c>
      <c r="AB21" s="12">
        <v>3121</v>
      </c>
      <c r="AC21" s="12">
        <v>3121</v>
      </c>
      <c r="AD21" s="12">
        <v>3121</v>
      </c>
      <c r="AE21" s="12">
        <v>3121</v>
      </c>
      <c r="AF21" s="12">
        <v>3121</v>
      </c>
      <c r="AG21" s="12">
        <v>3121</v>
      </c>
      <c r="AH21" s="12">
        <v>3121</v>
      </c>
      <c r="AI21" s="12">
        <v>3121</v>
      </c>
      <c r="AJ21" s="12">
        <v>3121</v>
      </c>
      <c r="AK21" s="12">
        <v>3121</v>
      </c>
      <c r="AL21" s="12">
        <v>3121</v>
      </c>
      <c r="AM21" s="12">
        <v>3121</v>
      </c>
      <c r="AN21" s="12">
        <v>2121</v>
      </c>
      <c r="AO21" s="12">
        <v>2121</v>
      </c>
      <c r="AP21" s="12">
        <v>2121</v>
      </c>
      <c r="AQ21" s="12">
        <v>1621</v>
      </c>
      <c r="AR21" s="12">
        <v>1621</v>
      </c>
      <c r="AS21" s="12">
        <v>1621</v>
      </c>
      <c r="AT21" s="12">
        <v>1621</v>
      </c>
      <c r="AU21" s="12">
        <v>1621</v>
      </c>
      <c r="AV21" s="12">
        <v>1621</v>
      </c>
      <c r="AW21" s="12">
        <v>0</v>
      </c>
      <c r="AX21" s="12">
        <v>0</v>
      </c>
      <c r="AY21" s="12">
        <v>0</v>
      </c>
      <c r="AZ21" s="12">
        <v>0</v>
      </c>
      <c r="BA21" s="12">
        <v>0</v>
      </c>
      <c r="BC21" s="7">
        <f t="shared" si="3"/>
        <v>9363</v>
      </c>
      <c r="BD21" s="7">
        <f t="shared" si="4"/>
        <v>21847</v>
      </c>
      <c r="BE21" s="7">
        <f t="shared" si="5"/>
        <v>21847</v>
      </c>
    </row>
    <row r="22" spans="1:57" ht="15" customHeight="1" x14ac:dyDescent="0.3">
      <c r="A22" s="7">
        <f t="shared" si="0"/>
        <v>0</v>
      </c>
      <c r="B22" s="7">
        <f t="shared" si="1"/>
        <v>0</v>
      </c>
      <c r="C22" s="7">
        <f t="shared" si="2"/>
        <v>0</v>
      </c>
      <c r="D22" s="5"/>
      <c r="E22" s="5" t="str">
        <f t="shared" si="9"/>
        <v>0903-002138</v>
      </c>
      <c r="F22" s="5"/>
      <c r="G22" s="5"/>
      <c r="H22" s="11" t="s">
        <v>810</v>
      </c>
      <c r="I22" s="11" t="s">
        <v>811</v>
      </c>
      <c r="J22" s="12">
        <v>2500</v>
      </c>
      <c r="K22" s="11" t="s">
        <v>918</v>
      </c>
      <c r="L22" s="12">
        <v>0</v>
      </c>
      <c r="M22" s="12">
        <v>2500</v>
      </c>
      <c r="N22" s="12">
        <v>0</v>
      </c>
      <c r="O22" s="12">
        <v>0</v>
      </c>
      <c r="P22" s="12">
        <v>0</v>
      </c>
      <c r="Q22" s="12">
        <v>0</v>
      </c>
      <c r="R22" s="12">
        <v>0</v>
      </c>
      <c r="S22" s="12">
        <v>0</v>
      </c>
      <c r="T22" s="12">
        <v>0</v>
      </c>
      <c r="U22" s="12">
        <v>0</v>
      </c>
      <c r="V22" s="12">
        <v>0</v>
      </c>
      <c r="W22" s="12">
        <v>0</v>
      </c>
      <c r="X22" s="12">
        <v>0</v>
      </c>
      <c r="Y22" s="12">
        <v>0</v>
      </c>
      <c r="Z22" s="12">
        <v>0</v>
      </c>
      <c r="AA22" s="12">
        <v>0</v>
      </c>
      <c r="AB22" s="12">
        <v>0</v>
      </c>
      <c r="AC22" s="12">
        <v>0</v>
      </c>
      <c r="AD22" s="12">
        <v>0</v>
      </c>
      <c r="AE22" s="12">
        <v>0</v>
      </c>
      <c r="AF22" s="12">
        <v>0</v>
      </c>
      <c r="AG22" s="12">
        <v>0</v>
      </c>
      <c r="AH22" s="12">
        <v>0</v>
      </c>
      <c r="AI22" s="12">
        <v>0</v>
      </c>
      <c r="AJ22" s="12">
        <v>0</v>
      </c>
      <c r="AK22" s="12">
        <v>0</v>
      </c>
      <c r="AL22" s="12">
        <v>0</v>
      </c>
      <c r="AM22" s="12">
        <v>2500</v>
      </c>
      <c r="AN22" s="12">
        <v>0</v>
      </c>
      <c r="AO22" s="12">
        <v>0</v>
      </c>
      <c r="AP22" s="12">
        <v>0</v>
      </c>
      <c r="AQ22" s="12">
        <v>0</v>
      </c>
      <c r="AR22" s="12">
        <v>0</v>
      </c>
      <c r="AS22" s="12">
        <v>0</v>
      </c>
      <c r="AT22" s="12">
        <v>0</v>
      </c>
      <c r="AU22" s="12">
        <v>0</v>
      </c>
      <c r="AV22" s="12">
        <v>0</v>
      </c>
      <c r="AW22" s="12">
        <v>0</v>
      </c>
      <c r="AX22" s="12">
        <v>0</v>
      </c>
      <c r="AY22" s="12">
        <v>2500</v>
      </c>
      <c r="AZ22" s="12">
        <v>0</v>
      </c>
      <c r="BA22" s="12">
        <v>0</v>
      </c>
      <c r="BC22" s="7">
        <f t="shared" si="3"/>
        <v>0</v>
      </c>
      <c r="BD22" s="7">
        <f t="shared" si="4"/>
        <v>0</v>
      </c>
      <c r="BE22" s="7">
        <f t="shared" si="5"/>
        <v>0</v>
      </c>
    </row>
    <row r="23" spans="1:57" ht="15" customHeight="1" x14ac:dyDescent="0.3">
      <c r="A23" s="7">
        <f t="shared" si="0"/>
        <v>0</v>
      </c>
      <c r="B23" s="7">
        <f t="shared" si="1"/>
        <v>0</v>
      </c>
      <c r="C23" s="7">
        <f t="shared" si="2"/>
        <v>0</v>
      </c>
      <c r="D23" s="5"/>
      <c r="E23" s="5" t="str">
        <f t="shared" si="9"/>
        <v>0903-002138</v>
      </c>
      <c r="F23" s="5"/>
      <c r="G23" s="5"/>
      <c r="H23" s="11" t="s">
        <v>49</v>
      </c>
      <c r="I23" s="11"/>
      <c r="J23" s="12">
        <v>0</v>
      </c>
      <c r="K23" s="11" t="s">
        <v>919</v>
      </c>
      <c r="L23" s="12">
        <v>0</v>
      </c>
      <c r="M23" s="12">
        <v>2500</v>
      </c>
      <c r="N23" s="12">
        <v>0</v>
      </c>
      <c r="O23" s="12">
        <v>0</v>
      </c>
      <c r="P23" s="12">
        <v>0</v>
      </c>
      <c r="Q23" s="12">
        <v>0</v>
      </c>
      <c r="R23" s="12">
        <v>0</v>
      </c>
      <c r="S23" s="12">
        <v>0</v>
      </c>
      <c r="T23" s="12">
        <v>0</v>
      </c>
      <c r="U23" s="12">
        <v>0</v>
      </c>
      <c r="V23" s="12">
        <v>0</v>
      </c>
      <c r="W23" s="12">
        <v>0</v>
      </c>
      <c r="X23" s="12">
        <v>0</v>
      </c>
      <c r="Y23" s="12">
        <v>0</v>
      </c>
      <c r="Z23" s="12">
        <v>0</v>
      </c>
      <c r="AA23" s="12">
        <v>0</v>
      </c>
      <c r="AB23" s="12">
        <v>0</v>
      </c>
      <c r="AC23" s="12">
        <v>0</v>
      </c>
      <c r="AD23" s="12">
        <v>0</v>
      </c>
      <c r="AE23" s="12">
        <v>0</v>
      </c>
      <c r="AF23" s="12">
        <v>0</v>
      </c>
      <c r="AG23" s="12">
        <v>0</v>
      </c>
      <c r="AH23" s="12">
        <v>0</v>
      </c>
      <c r="AI23" s="12">
        <v>0</v>
      </c>
      <c r="AJ23" s="12">
        <v>0</v>
      </c>
      <c r="AK23" s="12">
        <v>0</v>
      </c>
      <c r="AL23" s="12">
        <v>0</v>
      </c>
      <c r="AM23" s="12">
        <v>2500</v>
      </c>
      <c r="AN23" s="12">
        <v>0</v>
      </c>
      <c r="AO23" s="12">
        <v>0</v>
      </c>
      <c r="AP23" s="12">
        <v>0</v>
      </c>
      <c r="AQ23" s="12">
        <v>0</v>
      </c>
      <c r="AR23" s="12">
        <v>0</v>
      </c>
      <c r="AS23" s="12">
        <v>0</v>
      </c>
      <c r="AT23" s="12">
        <v>0</v>
      </c>
      <c r="AU23" s="12">
        <v>0</v>
      </c>
      <c r="AV23" s="12">
        <v>0</v>
      </c>
      <c r="AW23" s="12">
        <v>0</v>
      </c>
      <c r="AX23" s="12">
        <v>0</v>
      </c>
      <c r="AY23" s="12">
        <v>2500</v>
      </c>
      <c r="AZ23" s="12">
        <v>0</v>
      </c>
      <c r="BA23" s="12">
        <v>0</v>
      </c>
      <c r="BC23" s="7">
        <f t="shared" si="3"/>
        <v>0</v>
      </c>
      <c r="BD23" s="7">
        <f t="shared" si="4"/>
        <v>0</v>
      </c>
      <c r="BE23" s="7">
        <f t="shared" si="5"/>
        <v>0</v>
      </c>
    </row>
    <row r="24" spans="1:57" ht="15" customHeight="1" x14ac:dyDescent="0.3">
      <c r="A24" s="7">
        <f t="shared" si="0"/>
        <v>21847</v>
      </c>
      <c r="B24" s="7">
        <f t="shared" si="1"/>
        <v>21847</v>
      </c>
      <c r="C24" s="7">
        <f t="shared" si="2"/>
        <v>21847</v>
      </c>
      <c r="D24" s="5"/>
      <c r="E24" s="5" t="str">
        <f t="shared" si="9"/>
        <v>0903-002138</v>
      </c>
      <c r="F24" s="5"/>
      <c r="G24" s="6"/>
      <c r="H24" s="11" t="s">
        <v>920</v>
      </c>
      <c r="I24" s="11"/>
      <c r="J24" s="12">
        <v>0</v>
      </c>
      <c r="K24" s="11" t="s">
        <v>921</v>
      </c>
      <c r="L24" s="12">
        <v>0</v>
      </c>
      <c r="M24" s="12">
        <v>4121</v>
      </c>
      <c r="N24" s="12">
        <v>3121</v>
      </c>
      <c r="O24" s="12">
        <v>3121</v>
      </c>
      <c r="P24" s="12">
        <v>3121</v>
      </c>
      <c r="Q24" s="12">
        <v>3121</v>
      </c>
      <c r="R24" s="12">
        <v>3121</v>
      </c>
      <c r="S24" s="12">
        <v>3121</v>
      </c>
      <c r="T24" s="12">
        <v>3121</v>
      </c>
      <c r="U24" s="12">
        <v>3121</v>
      </c>
      <c r="V24" s="12">
        <v>3121</v>
      </c>
      <c r="W24" s="12">
        <v>3121</v>
      </c>
      <c r="X24" s="12">
        <v>3121</v>
      </c>
      <c r="Y24" s="12">
        <v>3121</v>
      </c>
      <c r="Z24" s="12">
        <v>3121</v>
      </c>
      <c r="AA24" s="12">
        <v>3121</v>
      </c>
      <c r="AB24" s="12">
        <v>3121</v>
      </c>
      <c r="AC24" s="12">
        <v>3121</v>
      </c>
      <c r="AD24" s="12">
        <v>3121</v>
      </c>
      <c r="AE24" s="12">
        <v>3121</v>
      </c>
      <c r="AF24" s="12">
        <v>3121</v>
      </c>
      <c r="AG24" s="12">
        <v>3121</v>
      </c>
      <c r="AH24" s="12">
        <v>3121</v>
      </c>
      <c r="AI24" s="12">
        <v>3121</v>
      </c>
      <c r="AJ24" s="12">
        <v>3121</v>
      </c>
      <c r="AK24" s="12">
        <v>3121</v>
      </c>
      <c r="AL24" s="12">
        <v>3121</v>
      </c>
      <c r="AM24" s="12">
        <v>5621</v>
      </c>
      <c r="AN24" s="12">
        <v>4621</v>
      </c>
      <c r="AO24" s="12">
        <v>4621</v>
      </c>
      <c r="AP24" s="12">
        <v>4621</v>
      </c>
      <c r="AQ24" s="12">
        <v>4121</v>
      </c>
      <c r="AR24" s="12">
        <v>4121</v>
      </c>
      <c r="AS24" s="12">
        <v>4121</v>
      </c>
      <c r="AT24" s="12">
        <v>4121</v>
      </c>
      <c r="AU24" s="12">
        <v>4121</v>
      </c>
      <c r="AV24" s="12">
        <v>4121</v>
      </c>
      <c r="AW24" s="12">
        <v>0</v>
      </c>
      <c r="AX24" s="12">
        <v>0</v>
      </c>
      <c r="AY24" s="12">
        <v>0</v>
      </c>
      <c r="AZ24" s="12">
        <v>0</v>
      </c>
      <c r="BA24" s="12">
        <v>0</v>
      </c>
      <c r="BC24" s="7">
        <f t="shared" si="3"/>
        <v>9363</v>
      </c>
      <c r="BD24" s="7">
        <f t="shared" si="4"/>
        <v>21847</v>
      </c>
      <c r="BE24" s="7">
        <f t="shared" si="5"/>
        <v>21847</v>
      </c>
    </row>
    <row r="25" spans="1:57" ht="15" customHeight="1" x14ac:dyDescent="0.3">
      <c r="A25" s="7">
        <f t="shared" si="0"/>
        <v>0</v>
      </c>
      <c r="B25" s="7">
        <f t="shared" si="1"/>
        <v>6000</v>
      </c>
      <c r="C25" s="7">
        <f t="shared" si="2"/>
        <v>4634</v>
      </c>
      <c r="D25" s="5"/>
      <c r="E25" s="13" t="s">
        <v>809</v>
      </c>
      <c r="F25" s="5"/>
      <c r="G25" s="13" t="s">
        <v>993</v>
      </c>
      <c r="H25" s="13" t="s">
        <v>49</v>
      </c>
      <c r="I25" s="11" t="s">
        <v>49</v>
      </c>
      <c r="J25" s="12">
        <v>0</v>
      </c>
      <c r="K25" s="11" t="s">
        <v>916</v>
      </c>
      <c r="L25" s="12">
        <v>0</v>
      </c>
      <c r="M25" s="12">
        <v>29002</v>
      </c>
      <c r="N25" s="12">
        <v>0</v>
      </c>
      <c r="O25" s="12">
        <v>0</v>
      </c>
      <c r="P25" s="12">
        <v>0</v>
      </c>
      <c r="Q25" s="12">
        <v>0</v>
      </c>
      <c r="R25" s="12">
        <v>0</v>
      </c>
      <c r="S25" s="12">
        <v>0</v>
      </c>
      <c r="T25" s="12">
        <v>0</v>
      </c>
      <c r="U25" s="12">
        <v>6000</v>
      </c>
      <c r="V25" s="12">
        <v>0</v>
      </c>
      <c r="W25" s="12">
        <v>0</v>
      </c>
      <c r="X25" s="12">
        <v>0</v>
      </c>
      <c r="Y25" s="12">
        <v>0</v>
      </c>
      <c r="Z25" s="12">
        <v>0</v>
      </c>
      <c r="AA25" s="12">
        <v>0</v>
      </c>
      <c r="AB25" s="12">
        <v>4634</v>
      </c>
      <c r="AC25" s="12">
        <v>0</v>
      </c>
      <c r="AD25" s="12">
        <v>0</v>
      </c>
      <c r="AE25" s="12">
        <v>0</v>
      </c>
      <c r="AF25" s="12">
        <v>0</v>
      </c>
      <c r="AG25" s="12">
        <v>0</v>
      </c>
      <c r="AH25" s="12">
        <v>0</v>
      </c>
      <c r="AI25" s="12">
        <v>4000</v>
      </c>
      <c r="AJ25" s="12">
        <v>4000</v>
      </c>
      <c r="AK25" s="12">
        <v>2000</v>
      </c>
      <c r="AL25" s="12">
        <v>0</v>
      </c>
      <c r="AM25" s="12">
        <v>6446</v>
      </c>
      <c r="AN25" s="12">
        <v>0</v>
      </c>
      <c r="AO25" s="12">
        <v>0</v>
      </c>
      <c r="AP25" s="12">
        <v>0</v>
      </c>
      <c r="AQ25" s="12">
        <v>1900</v>
      </c>
      <c r="AR25" s="12">
        <v>0</v>
      </c>
      <c r="AS25" s="12">
        <v>0</v>
      </c>
      <c r="AT25" s="12">
        <v>22</v>
      </c>
      <c r="AU25" s="12">
        <v>0</v>
      </c>
      <c r="AV25" s="12">
        <v>0</v>
      </c>
      <c r="AW25" s="12">
        <v>6000</v>
      </c>
      <c r="AX25" s="12">
        <v>14634</v>
      </c>
      <c r="AY25" s="12">
        <v>6446</v>
      </c>
      <c r="AZ25" s="12">
        <v>1922</v>
      </c>
      <c r="BA25" s="12">
        <v>0</v>
      </c>
      <c r="BC25" s="7">
        <f t="shared" si="3"/>
        <v>0</v>
      </c>
      <c r="BD25" s="7">
        <f t="shared" si="4"/>
        <v>6000</v>
      </c>
      <c r="BE25" s="7">
        <f t="shared" si="5"/>
        <v>4634</v>
      </c>
    </row>
    <row r="26" spans="1:57" ht="15" customHeight="1" x14ac:dyDescent="0.3">
      <c r="A26" s="7">
        <f t="shared" si="0"/>
        <v>567630</v>
      </c>
      <c r="B26" s="7">
        <f t="shared" si="1"/>
        <v>525630</v>
      </c>
      <c r="C26" s="7">
        <f t="shared" si="2"/>
        <v>493192</v>
      </c>
      <c r="D26" s="5"/>
      <c r="E26" s="5" t="str">
        <f t="shared" ref="E26:E29" si="10">E25</f>
        <v>0903-002151</v>
      </c>
      <c r="F26" s="5"/>
      <c r="G26" s="5"/>
      <c r="H26" s="6"/>
      <c r="I26" s="11"/>
      <c r="J26" s="12">
        <v>0</v>
      </c>
      <c r="K26" s="11" t="s">
        <v>917</v>
      </c>
      <c r="L26" s="12">
        <v>81090</v>
      </c>
      <c r="M26" s="12">
        <v>52088</v>
      </c>
      <c r="N26" s="12">
        <v>81090</v>
      </c>
      <c r="O26" s="12">
        <v>81090</v>
      </c>
      <c r="P26" s="12">
        <v>81090</v>
      </c>
      <c r="Q26" s="12">
        <v>81090</v>
      </c>
      <c r="R26" s="12">
        <v>81090</v>
      </c>
      <c r="S26" s="12">
        <v>81090</v>
      </c>
      <c r="T26" s="12">
        <v>81090</v>
      </c>
      <c r="U26" s="12">
        <v>75090</v>
      </c>
      <c r="V26" s="12">
        <v>75090</v>
      </c>
      <c r="W26" s="12">
        <v>75090</v>
      </c>
      <c r="X26" s="12">
        <v>75090</v>
      </c>
      <c r="Y26" s="12">
        <v>75090</v>
      </c>
      <c r="Z26" s="12">
        <v>75090</v>
      </c>
      <c r="AA26" s="12">
        <v>75090</v>
      </c>
      <c r="AB26" s="12">
        <v>70456</v>
      </c>
      <c r="AC26" s="12">
        <v>70456</v>
      </c>
      <c r="AD26" s="12">
        <v>70456</v>
      </c>
      <c r="AE26" s="12">
        <v>70456</v>
      </c>
      <c r="AF26" s="12">
        <v>70456</v>
      </c>
      <c r="AG26" s="12">
        <v>70456</v>
      </c>
      <c r="AH26" s="12">
        <v>70456</v>
      </c>
      <c r="AI26" s="12">
        <v>66456</v>
      </c>
      <c r="AJ26" s="12">
        <v>62456</v>
      </c>
      <c r="AK26" s="12">
        <v>60456</v>
      </c>
      <c r="AL26" s="12">
        <v>60456</v>
      </c>
      <c r="AM26" s="12">
        <v>54010</v>
      </c>
      <c r="AN26" s="12">
        <v>54010</v>
      </c>
      <c r="AO26" s="12">
        <v>54010</v>
      </c>
      <c r="AP26" s="12">
        <v>54010</v>
      </c>
      <c r="AQ26" s="12">
        <v>52110</v>
      </c>
      <c r="AR26" s="12">
        <v>52110</v>
      </c>
      <c r="AS26" s="12">
        <v>52110</v>
      </c>
      <c r="AT26" s="12">
        <v>52088</v>
      </c>
      <c r="AU26" s="12">
        <v>52088</v>
      </c>
      <c r="AV26" s="12">
        <v>52088</v>
      </c>
      <c r="AW26" s="12">
        <v>0</v>
      </c>
      <c r="AX26" s="12">
        <v>0</v>
      </c>
      <c r="AY26" s="12">
        <v>0</v>
      </c>
      <c r="AZ26" s="12">
        <v>0</v>
      </c>
      <c r="BA26" s="12">
        <v>0</v>
      </c>
      <c r="BC26" s="7">
        <f t="shared" si="3"/>
        <v>243270</v>
      </c>
      <c r="BD26" s="7">
        <f t="shared" si="4"/>
        <v>549630</v>
      </c>
      <c r="BE26" s="7">
        <f t="shared" si="5"/>
        <v>511728</v>
      </c>
    </row>
    <row r="27" spans="1:57" ht="15" customHeight="1" x14ac:dyDescent="0.3">
      <c r="A27" s="7">
        <f t="shared" si="0"/>
        <v>0</v>
      </c>
      <c r="B27" s="7">
        <f t="shared" si="1"/>
        <v>0</v>
      </c>
      <c r="C27" s="7">
        <f t="shared" si="2"/>
        <v>7800</v>
      </c>
      <c r="D27" s="5"/>
      <c r="E27" s="5" t="str">
        <f t="shared" si="10"/>
        <v>0903-002151</v>
      </c>
      <c r="F27" s="5"/>
      <c r="G27" s="5"/>
      <c r="H27" s="11" t="s">
        <v>810</v>
      </c>
      <c r="I27" s="11" t="s">
        <v>811</v>
      </c>
      <c r="J27" s="12">
        <v>7800</v>
      </c>
      <c r="K27" s="11" t="s">
        <v>918</v>
      </c>
      <c r="L27" s="12">
        <v>0</v>
      </c>
      <c r="M27" s="12">
        <v>7800</v>
      </c>
      <c r="N27" s="12">
        <v>0</v>
      </c>
      <c r="O27" s="12">
        <v>0</v>
      </c>
      <c r="P27" s="12">
        <v>0</v>
      </c>
      <c r="Q27" s="12">
        <v>0</v>
      </c>
      <c r="R27" s="12">
        <v>0</v>
      </c>
      <c r="S27" s="12">
        <v>0</v>
      </c>
      <c r="T27" s="12">
        <v>0</v>
      </c>
      <c r="U27" s="12">
        <v>0</v>
      </c>
      <c r="V27" s="12">
        <v>0</v>
      </c>
      <c r="W27" s="12">
        <v>0</v>
      </c>
      <c r="X27" s="12">
        <v>0</v>
      </c>
      <c r="Y27" s="12">
        <v>0</v>
      </c>
      <c r="Z27" s="12">
        <v>0</v>
      </c>
      <c r="AA27" s="12">
        <v>0</v>
      </c>
      <c r="AB27" s="12">
        <v>0</v>
      </c>
      <c r="AC27" s="12">
        <v>0</v>
      </c>
      <c r="AD27" s="12">
        <v>0</v>
      </c>
      <c r="AE27" s="12">
        <v>0</v>
      </c>
      <c r="AF27" s="12">
        <v>0</v>
      </c>
      <c r="AG27" s="12">
        <v>7800</v>
      </c>
      <c r="AH27" s="12">
        <v>0</v>
      </c>
      <c r="AI27" s="12">
        <v>0</v>
      </c>
      <c r="AJ27" s="12">
        <v>0</v>
      </c>
      <c r="AK27" s="12">
        <v>0</v>
      </c>
      <c r="AL27" s="12">
        <v>0</v>
      </c>
      <c r="AM27" s="12">
        <v>0</v>
      </c>
      <c r="AN27" s="12">
        <v>0</v>
      </c>
      <c r="AO27" s="12">
        <v>0</v>
      </c>
      <c r="AP27" s="12">
        <v>0</v>
      </c>
      <c r="AQ27" s="12">
        <v>0</v>
      </c>
      <c r="AR27" s="12">
        <v>0</v>
      </c>
      <c r="AS27" s="12">
        <v>0</v>
      </c>
      <c r="AT27" s="12">
        <v>0</v>
      </c>
      <c r="AU27" s="12">
        <v>0</v>
      </c>
      <c r="AV27" s="12">
        <v>0</v>
      </c>
      <c r="AW27" s="12">
        <v>0</v>
      </c>
      <c r="AX27" s="12">
        <v>7800</v>
      </c>
      <c r="AY27" s="12">
        <v>0</v>
      </c>
      <c r="AZ27" s="12">
        <v>0</v>
      </c>
      <c r="BA27" s="12">
        <v>0</v>
      </c>
      <c r="BC27" s="7">
        <f t="shared" si="3"/>
        <v>0</v>
      </c>
      <c r="BD27" s="7">
        <f t="shared" si="4"/>
        <v>0</v>
      </c>
      <c r="BE27" s="7">
        <f t="shared" si="5"/>
        <v>0</v>
      </c>
    </row>
    <row r="28" spans="1:57" ht="15" customHeight="1" x14ac:dyDescent="0.3">
      <c r="A28" s="7">
        <f t="shared" si="0"/>
        <v>0</v>
      </c>
      <c r="B28" s="7">
        <f t="shared" si="1"/>
        <v>0</v>
      </c>
      <c r="C28" s="7">
        <f t="shared" si="2"/>
        <v>7800</v>
      </c>
      <c r="D28" s="5"/>
      <c r="E28" s="5" t="str">
        <f t="shared" si="10"/>
        <v>0903-002151</v>
      </c>
      <c r="F28" s="5"/>
      <c r="G28" s="5"/>
      <c r="H28" s="11" t="s">
        <v>49</v>
      </c>
      <c r="I28" s="11"/>
      <c r="J28" s="12">
        <v>0</v>
      </c>
      <c r="K28" s="11" t="s">
        <v>919</v>
      </c>
      <c r="L28" s="12">
        <v>0</v>
      </c>
      <c r="M28" s="12">
        <v>7800</v>
      </c>
      <c r="N28" s="12">
        <v>0</v>
      </c>
      <c r="O28" s="12">
        <v>0</v>
      </c>
      <c r="P28" s="12">
        <v>0</v>
      </c>
      <c r="Q28" s="12">
        <v>0</v>
      </c>
      <c r="R28" s="12">
        <v>0</v>
      </c>
      <c r="S28" s="12">
        <v>0</v>
      </c>
      <c r="T28" s="12">
        <v>0</v>
      </c>
      <c r="U28" s="12">
        <v>0</v>
      </c>
      <c r="V28" s="12">
        <v>0</v>
      </c>
      <c r="W28" s="12">
        <v>0</v>
      </c>
      <c r="X28" s="12">
        <v>0</v>
      </c>
      <c r="Y28" s="12">
        <v>0</v>
      </c>
      <c r="Z28" s="12">
        <v>0</v>
      </c>
      <c r="AA28" s="12">
        <v>0</v>
      </c>
      <c r="AB28" s="12">
        <v>0</v>
      </c>
      <c r="AC28" s="12">
        <v>0</v>
      </c>
      <c r="AD28" s="12">
        <v>0</v>
      </c>
      <c r="AE28" s="12">
        <v>0</v>
      </c>
      <c r="AF28" s="12">
        <v>0</v>
      </c>
      <c r="AG28" s="12">
        <v>7800</v>
      </c>
      <c r="AH28" s="12">
        <v>0</v>
      </c>
      <c r="AI28" s="12">
        <v>0</v>
      </c>
      <c r="AJ28" s="12">
        <v>0</v>
      </c>
      <c r="AK28" s="12">
        <v>0</v>
      </c>
      <c r="AL28" s="12">
        <v>0</v>
      </c>
      <c r="AM28" s="12">
        <v>0</v>
      </c>
      <c r="AN28" s="12">
        <v>0</v>
      </c>
      <c r="AO28" s="12">
        <v>0</v>
      </c>
      <c r="AP28" s="12">
        <v>0</v>
      </c>
      <c r="AQ28" s="12">
        <v>0</v>
      </c>
      <c r="AR28" s="12">
        <v>0</v>
      </c>
      <c r="AS28" s="12">
        <v>0</v>
      </c>
      <c r="AT28" s="12">
        <v>0</v>
      </c>
      <c r="AU28" s="12">
        <v>0</v>
      </c>
      <c r="AV28" s="12">
        <v>0</v>
      </c>
      <c r="AW28" s="12">
        <v>0</v>
      </c>
      <c r="AX28" s="12">
        <v>7800</v>
      </c>
      <c r="AY28" s="12">
        <v>0</v>
      </c>
      <c r="AZ28" s="12">
        <v>0</v>
      </c>
      <c r="BA28" s="12">
        <v>0</v>
      </c>
      <c r="BC28" s="7">
        <f t="shared" si="3"/>
        <v>0</v>
      </c>
      <c r="BD28" s="7">
        <f t="shared" si="4"/>
        <v>0</v>
      </c>
      <c r="BE28" s="7">
        <f t="shared" si="5"/>
        <v>0</v>
      </c>
    </row>
    <row r="29" spans="1:57" ht="15" customHeight="1" x14ac:dyDescent="0.3">
      <c r="A29" s="7">
        <f t="shared" si="0"/>
        <v>567630</v>
      </c>
      <c r="B29" s="7">
        <f t="shared" si="1"/>
        <v>525630</v>
      </c>
      <c r="C29" s="7">
        <f t="shared" si="2"/>
        <v>508792</v>
      </c>
      <c r="D29" s="5"/>
      <c r="E29" s="5" t="str">
        <f t="shared" si="10"/>
        <v>0903-002151</v>
      </c>
      <c r="F29" s="5"/>
      <c r="G29" s="6"/>
      <c r="H29" s="11" t="s">
        <v>920</v>
      </c>
      <c r="I29" s="11"/>
      <c r="J29" s="12">
        <v>0</v>
      </c>
      <c r="K29" s="11" t="s">
        <v>921</v>
      </c>
      <c r="L29" s="12">
        <v>0</v>
      </c>
      <c r="M29" s="12">
        <v>59888</v>
      </c>
      <c r="N29" s="12">
        <v>81090</v>
      </c>
      <c r="O29" s="12">
        <v>81090</v>
      </c>
      <c r="P29" s="12">
        <v>81090</v>
      </c>
      <c r="Q29" s="12">
        <v>81090</v>
      </c>
      <c r="R29" s="12">
        <v>81090</v>
      </c>
      <c r="S29" s="12">
        <v>81090</v>
      </c>
      <c r="T29" s="12">
        <v>81090</v>
      </c>
      <c r="U29" s="12">
        <v>75090</v>
      </c>
      <c r="V29" s="12">
        <v>75090</v>
      </c>
      <c r="W29" s="12">
        <v>75090</v>
      </c>
      <c r="X29" s="12">
        <v>75090</v>
      </c>
      <c r="Y29" s="12">
        <v>75090</v>
      </c>
      <c r="Z29" s="12">
        <v>75090</v>
      </c>
      <c r="AA29" s="12">
        <v>75090</v>
      </c>
      <c r="AB29" s="12">
        <v>70456</v>
      </c>
      <c r="AC29" s="12">
        <v>70456</v>
      </c>
      <c r="AD29" s="12">
        <v>70456</v>
      </c>
      <c r="AE29" s="12">
        <v>70456</v>
      </c>
      <c r="AF29" s="12">
        <v>70456</v>
      </c>
      <c r="AG29" s="12">
        <v>78256</v>
      </c>
      <c r="AH29" s="12">
        <v>78256</v>
      </c>
      <c r="AI29" s="12">
        <v>74256</v>
      </c>
      <c r="AJ29" s="12">
        <v>70256</v>
      </c>
      <c r="AK29" s="12">
        <v>68256</v>
      </c>
      <c r="AL29" s="12">
        <v>68256</v>
      </c>
      <c r="AM29" s="12">
        <v>61810</v>
      </c>
      <c r="AN29" s="12">
        <v>61810</v>
      </c>
      <c r="AO29" s="12">
        <v>61810</v>
      </c>
      <c r="AP29" s="12">
        <v>61810</v>
      </c>
      <c r="AQ29" s="12">
        <v>59910</v>
      </c>
      <c r="AR29" s="12">
        <v>59910</v>
      </c>
      <c r="AS29" s="12">
        <v>59910</v>
      </c>
      <c r="AT29" s="12">
        <v>59888</v>
      </c>
      <c r="AU29" s="12">
        <v>59888</v>
      </c>
      <c r="AV29" s="12">
        <v>59888</v>
      </c>
      <c r="AW29" s="12">
        <v>0</v>
      </c>
      <c r="AX29" s="12">
        <v>0</v>
      </c>
      <c r="AY29" s="12">
        <v>0</v>
      </c>
      <c r="AZ29" s="12">
        <v>0</v>
      </c>
      <c r="BA29" s="12">
        <v>0</v>
      </c>
      <c r="BC29" s="7">
        <f t="shared" si="3"/>
        <v>243270</v>
      </c>
      <c r="BD29" s="7">
        <f t="shared" si="4"/>
        <v>549630</v>
      </c>
      <c r="BE29" s="7">
        <f t="shared" si="5"/>
        <v>511728</v>
      </c>
    </row>
    <row r="30" spans="1:57" ht="15" customHeight="1" x14ac:dyDescent="0.3">
      <c r="A30" s="7">
        <f t="shared" si="0"/>
        <v>28597</v>
      </c>
      <c r="B30" s="7">
        <f t="shared" si="1"/>
        <v>12580</v>
      </c>
      <c r="C30" s="7">
        <f t="shared" si="2"/>
        <v>25000</v>
      </c>
      <c r="D30" s="5"/>
      <c r="E30" s="13" t="s">
        <v>787</v>
      </c>
      <c r="F30" s="5"/>
      <c r="G30" s="13" t="s">
        <v>923</v>
      </c>
      <c r="H30" s="13" t="s">
        <v>49</v>
      </c>
      <c r="I30" s="11" t="s">
        <v>49</v>
      </c>
      <c r="J30" s="12">
        <v>0</v>
      </c>
      <c r="K30" s="11" t="s">
        <v>916</v>
      </c>
      <c r="L30" s="12">
        <v>0</v>
      </c>
      <c r="M30" s="12">
        <v>202885</v>
      </c>
      <c r="N30" s="12">
        <v>4597</v>
      </c>
      <c r="O30" s="12">
        <v>4000</v>
      </c>
      <c r="P30" s="12">
        <v>4000</v>
      </c>
      <c r="Q30" s="12">
        <v>4000</v>
      </c>
      <c r="R30" s="12">
        <v>4000</v>
      </c>
      <c r="S30" s="12">
        <v>4000</v>
      </c>
      <c r="T30" s="12">
        <v>4000</v>
      </c>
      <c r="U30" s="12">
        <v>12580</v>
      </c>
      <c r="V30" s="12">
        <v>0</v>
      </c>
      <c r="W30" s="12">
        <v>0</v>
      </c>
      <c r="X30" s="12">
        <v>0</v>
      </c>
      <c r="Y30" s="12">
        <v>0</v>
      </c>
      <c r="Z30" s="12">
        <v>0</v>
      </c>
      <c r="AA30" s="12">
        <v>0</v>
      </c>
      <c r="AB30" s="12">
        <v>25000</v>
      </c>
      <c r="AC30" s="12">
        <v>0</v>
      </c>
      <c r="AD30" s="12">
        <v>0</v>
      </c>
      <c r="AE30" s="12">
        <v>0</v>
      </c>
      <c r="AF30" s="12">
        <v>0</v>
      </c>
      <c r="AG30" s="12">
        <v>0</v>
      </c>
      <c r="AH30" s="12">
        <v>0</v>
      </c>
      <c r="AI30" s="12">
        <v>27500</v>
      </c>
      <c r="AJ30" s="12">
        <v>27500</v>
      </c>
      <c r="AK30" s="12">
        <v>25000</v>
      </c>
      <c r="AL30" s="12">
        <v>0</v>
      </c>
      <c r="AM30" s="12">
        <v>25000</v>
      </c>
      <c r="AN30" s="12">
        <v>3000</v>
      </c>
      <c r="AO30" s="12">
        <v>1000</v>
      </c>
      <c r="AP30" s="12">
        <v>0</v>
      </c>
      <c r="AQ30" s="12">
        <v>12000</v>
      </c>
      <c r="AR30" s="12">
        <v>4000</v>
      </c>
      <c r="AS30" s="12">
        <v>0</v>
      </c>
      <c r="AT30" s="12">
        <v>11708</v>
      </c>
      <c r="AU30" s="12">
        <v>0</v>
      </c>
      <c r="AV30" s="12">
        <v>0</v>
      </c>
      <c r="AW30" s="12">
        <v>41177</v>
      </c>
      <c r="AX30" s="12">
        <v>105000</v>
      </c>
      <c r="AY30" s="12">
        <v>29000</v>
      </c>
      <c r="AZ30" s="12">
        <v>27708</v>
      </c>
      <c r="BA30" s="12">
        <v>0</v>
      </c>
      <c r="BC30" s="7">
        <f t="shared" si="3"/>
        <v>12597</v>
      </c>
      <c r="BD30" s="7">
        <f t="shared" si="4"/>
        <v>28580</v>
      </c>
      <c r="BE30" s="7">
        <f t="shared" si="5"/>
        <v>25000</v>
      </c>
    </row>
    <row r="31" spans="1:57" ht="15" customHeight="1" x14ac:dyDescent="0.3">
      <c r="A31" s="7">
        <f t="shared" si="0"/>
        <v>490294</v>
      </c>
      <c r="B31" s="7">
        <f t="shared" si="1"/>
        <v>318234</v>
      </c>
      <c r="C31" s="7">
        <f t="shared" si="2"/>
        <v>143234</v>
      </c>
      <c r="D31" s="5"/>
      <c r="E31" s="5" t="str">
        <f t="shared" ref="E31:E34" si="11">E30</f>
        <v>1203-007221</v>
      </c>
      <c r="F31" s="5"/>
      <c r="G31" s="5"/>
      <c r="H31" s="6"/>
      <c r="I31" s="11"/>
      <c r="J31" s="12">
        <v>0</v>
      </c>
      <c r="K31" s="11" t="s">
        <v>917</v>
      </c>
      <c r="L31" s="12">
        <v>86639</v>
      </c>
      <c r="M31" s="12">
        <v>-116246</v>
      </c>
      <c r="N31" s="12">
        <v>82042</v>
      </c>
      <c r="O31" s="12">
        <v>78042</v>
      </c>
      <c r="P31" s="12">
        <v>74042</v>
      </c>
      <c r="Q31" s="12">
        <v>70042</v>
      </c>
      <c r="R31" s="12">
        <v>66042</v>
      </c>
      <c r="S31" s="12">
        <v>62042</v>
      </c>
      <c r="T31" s="12">
        <v>58042</v>
      </c>
      <c r="U31" s="12">
        <v>45462</v>
      </c>
      <c r="V31" s="12">
        <v>45462</v>
      </c>
      <c r="W31" s="12">
        <v>45462</v>
      </c>
      <c r="X31" s="12">
        <v>45462</v>
      </c>
      <c r="Y31" s="12">
        <v>45462</v>
      </c>
      <c r="Z31" s="12">
        <v>45462</v>
      </c>
      <c r="AA31" s="12">
        <v>45462</v>
      </c>
      <c r="AB31" s="12">
        <v>20462</v>
      </c>
      <c r="AC31" s="12">
        <v>20462</v>
      </c>
      <c r="AD31" s="12">
        <v>20462</v>
      </c>
      <c r="AE31" s="12">
        <v>20462</v>
      </c>
      <c r="AF31" s="12">
        <v>20462</v>
      </c>
      <c r="AG31" s="12">
        <v>20462</v>
      </c>
      <c r="AH31" s="12">
        <v>20462</v>
      </c>
      <c r="AI31" s="12">
        <v>-7038</v>
      </c>
      <c r="AJ31" s="12">
        <v>-34538</v>
      </c>
      <c r="AK31" s="12">
        <v>-59538</v>
      </c>
      <c r="AL31" s="12">
        <v>-59538</v>
      </c>
      <c r="AM31" s="12">
        <v>-84538</v>
      </c>
      <c r="AN31" s="12">
        <v>-87538</v>
      </c>
      <c r="AO31" s="12">
        <v>-88538</v>
      </c>
      <c r="AP31" s="12">
        <v>-88538</v>
      </c>
      <c r="AQ31" s="12">
        <v>-100538</v>
      </c>
      <c r="AR31" s="12">
        <v>-104538</v>
      </c>
      <c r="AS31" s="12">
        <v>-104538</v>
      </c>
      <c r="AT31" s="12">
        <v>-116246</v>
      </c>
      <c r="AU31" s="12">
        <v>-116246</v>
      </c>
      <c r="AV31" s="12">
        <v>-116246</v>
      </c>
      <c r="AW31" s="12">
        <v>0</v>
      </c>
      <c r="AX31" s="12">
        <v>0</v>
      </c>
      <c r="AY31" s="12">
        <v>0</v>
      </c>
      <c r="AZ31" s="12">
        <v>0</v>
      </c>
      <c r="BA31" s="12">
        <v>0</v>
      </c>
      <c r="BC31" s="7">
        <f t="shared" si="3"/>
        <v>234126</v>
      </c>
      <c r="BD31" s="7">
        <f t="shared" si="4"/>
        <v>392554</v>
      </c>
      <c r="BE31" s="7">
        <f t="shared" si="5"/>
        <v>243234</v>
      </c>
    </row>
    <row r="32" spans="1:57" ht="15" customHeight="1" x14ac:dyDescent="0.3">
      <c r="A32" s="7">
        <f t="shared" si="0"/>
        <v>0</v>
      </c>
      <c r="B32" s="7">
        <f t="shared" si="1"/>
        <v>0</v>
      </c>
      <c r="C32" s="7">
        <f t="shared" si="2"/>
        <v>25000</v>
      </c>
      <c r="D32" s="5"/>
      <c r="E32" s="5" t="str">
        <f t="shared" si="11"/>
        <v>1203-007221</v>
      </c>
      <c r="F32" s="5"/>
      <c r="G32" s="5"/>
      <c r="H32" s="11" t="s">
        <v>788</v>
      </c>
      <c r="I32" s="11" t="s">
        <v>924</v>
      </c>
      <c r="J32" s="12">
        <v>110000</v>
      </c>
      <c r="K32" s="11" t="s">
        <v>918</v>
      </c>
      <c r="L32" s="12">
        <v>0</v>
      </c>
      <c r="M32" s="12">
        <v>80000</v>
      </c>
      <c r="N32" s="12">
        <v>0</v>
      </c>
      <c r="O32" s="12">
        <v>0</v>
      </c>
      <c r="P32" s="12">
        <v>0</v>
      </c>
      <c r="Q32" s="12">
        <v>0</v>
      </c>
      <c r="R32" s="12">
        <v>0</v>
      </c>
      <c r="S32" s="12">
        <v>0</v>
      </c>
      <c r="T32" s="12">
        <v>0</v>
      </c>
      <c r="U32" s="12">
        <v>0</v>
      </c>
      <c r="V32" s="12">
        <v>0</v>
      </c>
      <c r="W32" s="12">
        <v>0</v>
      </c>
      <c r="X32" s="12">
        <v>0</v>
      </c>
      <c r="Y32" s="12">
        <v>0</v>
      </c>
      <c r="Z32" s="12">
        <v>0</v>
      </c>
      <c r="AA32" s="12">
        <v>0</v>
      </c>
      <c r="AB32" s="12">
        <v>0</v>
      </c>
      <c r="AC32" s="12">
        <v>0</v>
      </c>
      <c r="AD32" s="12">
        <v>0</v>
      </c>
      <c r="AE32" s="12">
        <v>0</v>
      </c>
      <c r="AF32" s="12">
        <v>0</v>
      </c>
      <c r="AG32" s="12">
        <v>25000</v>
      </c>
      <c r="AH32" s="12">
        <v>0</v>
      </c>
      <c r="AI32" s="12">
        <v>15000</v>
      </c>
      <c r="AJ32" s="12">
        <v>2500</v>
      </c>
      <c r="AK32" s="12">
        <v>0</v>
      </c>
      <c r="AL32" s="12">
        <v>25000</v>
      </c>
      <c r="AM32" s="12">
        <v>0</v>
      </c>
      <c r="AN32" s="12">
        <v>0</v>
      </c>
      <c r="AO32" s="12">
        <v>0</v>
      </c>
      <c r="AP32" s="12">
        <v>12500</v>
      </c>
      <c r="AQ32" s="12">
        <v>0</v>
      </c>
      <c r="AR32" s="12">
        <v>0</v>
      </c>
      <c r="AS32" s="12">
        <v>0</v>
      </c>
      <c r="AT32" s="12">
        <v>0</v>
      </c>
      <c r="AU32" s="12">
        <v>0</v>
      </c>
      <c r="AV32" s="12">
        <v>0</v>
      </c>
      <c r="AW32" s="12">
        <v>0</v>
      </c>
      <c r="AX32" s="12">
        <v>42500</v>
      </c>
      <c r="AY32" s="12">
        <v>25000</v>
      </c>
      <c r="AZ32" s="12">
        <v>12500</v>
      </c>
      <c r="BA32" s="12">
        <v>0</v>
      </c>
      <c r="BC32" s="7">
        <f t="shared" si="3"/>
        <v>0</v>
      </c>
      <c r="BD32" s="7">
        <f t="shared" si="4"/>
        <v>0</v>
      </c>
      <c r="BE32" s="7">
        <f t="shared" si="5"/>
        <v>0</v>
      </c>
    </row>
    <row r="33" spans="1:57" ht="15" customHeight="1" x14ac:dyDescent="0.3">
      <c r="A33" s="7">
        <f t="shared" si="0"/>
        <v>0</v>
      </c>
      <c r="B33" s="7">
        <f t="shared" si="1"/>
        <v>0</v>
      </c>
      <c r="C33" s="7">
        <f t="shared" si="2"/>
        <v>25000</v>
      </c>
      <c r="D33" s="5"/>
      <c r="E33" s="5" t="str">
        <f t="shared" si="11"/>
        <v>1203-007221</v>
      </c>
      <c r="F33" s="5"/>
      <c r="G33" s="5"/>
      <c r="H33" s="11" t="s">
        <v>49</v>
      </c>
      <c r="I33" s="11"/>
      <c r="J33" s="12">
        <v>0</v>
      </c>
      <c r="K33" s="11" t="s">
        <v>919</v>
      </c>
      <c r="L33" s="12">
        <v>0</v>
      </c>
      <c r="M33" s="12">
        <v>80000</v>
      </c>
      <c r="N33" s="12">
        <v>0</v>
      </c>
      <c r="O33" s="12">
        <v>0</v>
      </c>
      <c r="P33" s="12">
        <v>0</v>
      </c>
      <c r="Q33" s="12">
        <v>0</v>
      </c>
      <c r="R33" s="12">
        <v>0</v>
      </c>
      <c r="S33" s="12">
        <v>0</v>
      </c>
      <c r="T33" s="12">
        <v>0</v>
      </c>
      <c r="U33" s="12">
        <v>0</v>
      </c>
      <c r="V33" s="12">
        <v>0</v>
      </c>
      <c r="W33" s="12">
        <v>0</v>
      </c>
      <c r="X33" s="12">
        <v>0</v>
      </c>
      <c r="Y33" s="12">
        <v>0</v>
      </c>
      <c r="Z33" s="12">
        <v>0</v>
      </c>
      <c r="AA33" s="12">
        <v>0</v>
      </c>
      <c r="AB33" s="12">
        <v>0</v>
      </c>
      <c r="AC33" s="12">
        <v>0</v>
      </c>
      <c r="AD33" s="12">
        <v>0</v>
      </c>
      <c r="AE33" s="12">
        <v>0</v>
      </c>
      <c r="AF33" s="12">
        <v>0</v>
      </c>
      <c r="AG33" s="12">
        <v>25000</v>
      </c>
      <c r="AH33" s="12">
        <v>0</v>
      </c>
      <c r="AI33" s="12">
        <v>15000</v>
      </c>
      <c r="AJ33" s="12">
        <v>2500</v>
      </c>
      <c r="AK33" s="12">
        <v>0</v>
      </c>
      <c r="AL33" s="12">
        <v>25000</v>
      </c>
      <c r="AM33" s="12">
        <v>0</v>
      </c>
      <c r="AN33" s="12">
        <v>0</v>
      </c>
      <c r="AO33" s="12">
        <v>0</v>
      </c>
      <c r="AP33" s="12">
        <v>12500</v>
      </c>
      <c r="AQ33" s="12">
        <v>0</v>
      </c>
      <c r="AR33" s="12">
        <v>0</v>
      </c>
      <c r="AS33" s="12">
        <v>0</v>
      </c>
      <c r="AT33" s="12">
        <v>0</v>
      </c>
      <c r="AU33" s="12">
        <v>0</v>
      </c>
      <c r="AV33" s="12">
        <v>0</v>
      </c>
      <c r="AW33" s="12">
        <v>0</v>
      </c>
      <c r="AX33" s="12">
        <v>42500</v>
      </c>
      <c r="AY33" s="12">
        <v>25000</v>
      </c>
      <c r="AZ33" s="12">
        <v>12500</v>
      </c>
      <c r="BA33" s="12">
        <v>0</v>
      </c>
      <c r="BC33" s="7">
        <f t="shared" si="3"/>
        <v>0</v>
      </c>
      <c r="BD33" s="7">
        <f t="shared" si="4"/>
        <v>0</v>
      </c>
      <c r="BE33" s="7">
        <f t="shared" si="5"/>
        <v>0</v>
      </c>
    </row>
    <row r="34" spans="1:57" ht="15" customHeight="1" x14ac:dyDescent="0.3">
      <c r="A34" s="7">
        <f t="shared" si="0"/>
        <v>490294</v>
      </c>
      <c r="B34" s="7">
        <f t="shared" si="1"/>
        <v>318234</v>
      </c>
      <c r="C34" s="7">
        <f t="shared" si="2"/>
        <v>193234</v>
      </c>
      <c r="D34" s="5"/>
      <c r="E34" s="5" t="str">
        <f t="shared" si="11"/>
        <v>1203-007221</v>
      </c>
      <c r="F34" s="5"/>
      <c r="G34" s="6"/>
      <c r="H34" s="11" t="s">
        <v>920</v>
      </c>
      <c r="I34" s="11"/>
      <c r="J34" s="12">
        <v>0</v>
      </c>
      <c r="K34" s="11" t="s">
        <v>921</v>
      </c>
      <c r="L34" s="12">
        <v>0</v>
      </c>
      <c r="M34" s="12">
        <v>-36246</v>
      </c>
      <c r="N34" s="12">
        <v>82042</v>
      </c>
      <c r="O34" s="12">
        <v>78042</v>
      </c>
      <c r="P34" s="12">
        <v>74042</v>
      </c>
      <c r="Q34" s="12">
        <v>70042</v>
      </c>
      <c r="R34" s="12">
        <v>66042</v>
      </c>
      <c r="S34" s="12">
        <v>62042</v>
      </c>
      <c r="T34" s="12">
        <v>58042</v>
      </c>
      <c r="U34" s="12">
        <v>45462</v>
      </c>
      <c r="V34" s="12">
        <v>45462</v>
      </c>
      <c r="W34" s="12">
        <v>45462</v>
      </c>
      <c r="X34" s="12">
        <v>45462</v>
      </c>
      <c r="Y34" s="12">
        <v>45462</v>
      </c>
      <c r="Z34" s="12">
        <v>45462</v>
      </c>
      <c r="AA34" s="12">
        <v>45462</v>
      </c>
      <c r="AB34" s="12">
        <v>20462</v>
      </c>
      <c r="AC34" s="12">
        <v>20462</v>
      </c>
      <c r="AD34" s="12">
        <v>20462</v>
      </c>
      <c r="AE34" s="12">
        <v>20462</v>
      </c>
      <c r="AF34" s="12">
        <v>20462</v>
      </c>
      <c r="AG34" s="12">
        <v>45462</v>
      </c>
      <c r="AH34" s="12">
        <v>45462</v>
      </c>
      <c r="AI34" s="12">
        <v>32962</v>
      </c>
      <c r="AJ34" s="12">
        <v>7962</v>
      </c>
      <c r="AK34" s="12">
        <v>-17038</v>
      </c>
      <c r="AL34" s="12">
        <v>7962</v>
      </c>
      <c r="AM34" s="12">
        <v>-17038</v>
      </c>
      <c r="AN34" s="12">
        <v>-20038</v>
      </c>
      <c r="AO34" s="12">
        <v>-21038</v>
      </c>
      <c r="AP34" s="12">
        <v>-8538</v>
      </c>
      <c r="AQ34" s="12">
        <v>-20538</v>
      </c>
      <c r="AR34" s="12">
        <v>-24538</v>
      </c>
      <c r="AS34" s="12">
        <v>-24538</v>
      </c>
      <c r="AT34" s="12">
        <v>-36246</v>
      </c>
      <c r="AU34" s="12">
        <v>-36246</v>
      </c>
      <c r="AV34" s="12">
        <v>-36246</v>
      </c>
      <c r="AW34" s="12">
        <v>0</v>
      </c>
      <c r="AX34" s="12">
        <v>0</v>
      </c>
      <c r="AY34" s="12">
        <v>0</v>
      </c>
      <c r="AZ34" s="12">
        <v>0</v>
      </c>
      <c r="BA34" s="12">
        <v>0</v>
      </c>
      <c r="BC34" s="7">
        <f t="shared" si="3"/>
        <v>234126</v>
      </c>
      <c r="BD34" s="7">
        <f t="shared" si="4"/>
        <v>392554</v>
      </c>
      <c r="BE34" s="7">
        <f t="shared" si="5"/>
        <v>243234</v>
      </c>
    </row>
    <row r="35" spans="1:57" ht="15" customHeight="1" x14ac:dyDescent="0.3">
      <c r="A35" s="7">
        <f t="shared" si="0"/>
        <v>0</v>
      </c>
      <c r="B35" s="7">
        <f t="shared" si="1"/>
        <v>4511</v>
      </c>
      <c r="C35" s="7">
        <f t="shared" si="2"/>
        <v>2720</v>
      </c>
      <c r="D35" s="5"/>
      <c r="E35" s="13" t="s">
        <v>853</v>
      </c>
      <c r="F35" s="5"/>
      <c r="G35" s="13" t="s">
        <v>925</v>
      </c>
      <c r="H35" s="13" t="s">
        <v>49</v>
      </c>
      <c r="I35" s="11" t="s">
        <v>49</v>
      </c>
      <c r="J35" s="12">
        <v>0</v>
      </c>
      <c r="K35" s="11" t="s">
        <v>916</v>
      </c>
      <c r="L35" s="12">
        <v>0</v>
      </c>
      <c r="M35" s="12">
        <v>38799</v>
      </c>
      <c r="N35" s="12">
        <v>0</v>
      </c>
      <c r="O35" s="12">
        <v>0</v>
      </c>
      <c r="P35" s="12">
        <v>0</v>
      </c>
      <c r="Q35" s="12">
        <v>0</v>
      </c>
      <c r="R35" s="12">
        <v>0</v>
      </c>
      <c r="S35" s="12">
        <v>0</v>
      </c>
      <c r="T35" s="12">
        <v>0</v>
      </c>
      <c r="U35" s="12">
        <v>3728</v>
      </c>
      <c r="V35" s="12">
        <v>0</v>
      </c>
      <c r="W35" s="12">
        <v>0</v>
      </c>
      <c r="X35" s="12">
        <v>0</v>
      </c>
      <c r="Y35" s="12">
        <v>0</v>
      </c>
      <c r="Z35" s="12">
        <v>0</v>
      </c>
      <c r="AA35" s="12">
        <v>783</v>
      </c>
      <c r="AB35" s="12">
        <v>2720</v>
      </c>
      <c r="AC35" s="12">
        <v>0</v>
      </c>
      <c r="AD35" s="12">
        <v>0</v>
      </c>
      <c r="AE35" s="12">
        <v>0</v>
      </c>
      <c r="AF35" s="12">
        <v>0</v>
      </c>
      <c r="AG35" s="12">
        <v>0</v>
      </c>
      <c r="AH35" s="12">
        <v>0</v>
      </c>
      <c r="AI35" s="12">
        <v>1500</v>
      </c>
      <c r="AJ35" s="12">
        <v>4500</v>
      </c>
      <c r="AK35" s="12">
        <v>1000</v>
      </c>
      <c r="AL35" s="12">
        <v>0</v>
      </c>
      <c r="AM35" s="12">
        <v>6000</v>
      </c>
      <c r="AN35" s="12">
        <v>3700</v>
      </c>
      <c r="AO35" s="12">
        <v>0</v>
      </c>
      <c r="AP35" s="12">
        <v>0</v>
      </c>
      <c r="AQ35" s="12">
        <v>5478</v>
      </c>
      <c r="AR35" s="12">
        <v>5141</v>
      </c>
      <c r="AS35" s="12">
        <v>0</v>
      </c>
      <c r="AT35" s="12">
        <v>4249</v>
      </c>
      <c r="AU35" s="12">
        <v>0</v>
      </c>
      <c r="AV35" s="12">
        <v>0</v>
      </c>
      <c r="AW35" s="12">
        <v>3728</v>
      </c>
      <c r="AX35" s="12">
        <v>10503</v>
      </c>
      <c r="AY35" s="12">
        <v>9700</v>
      </c>
      <c r="AZ35" s="12">
        <v>14868</v>
      </c>
      <c r="BA35" s="12">
        <v>0</v>
      </c>
      <c r="BC35" s="7">
        <f t="shared" si="3"/>
        <v>0</v>
      </c>
      <c r="BD35" s="7">
        <f t="shared" si="4"/>
        <v>3728</v>
      </c>
      <c r="BE35" s="7">
        <f t="shared" si="5"/>
        <v>3503</v>
      </c>
    </row>
    <row r="36" spans="1:57" ht="15" customHeight="1" x14ac:dyDescent="0.3">
      <c r="A36" s="7">
        <f t="shared" si="0"/>
        <v>260820</v>
      </c>
      <c r="B36" s="7">
        <f t="shared" si="1"/>
        <v>233941</v>
      </c>
      <c r="C36" s="7">
        <f t="shared" si="2"/>
        <v>210203</v>
      </c>
      <c r="D36" s="5"/>
      <c r="E36" s="5" t="str">
        <f t="shared" ref="E36:E39" si="12">E35</f>
        <v>1203-007691</v>
      </c>
      <c r="F36" s="5"/>
      <c r="G36" s="5"/>
      <c r="H36" s="6"/>
      <c r="I36" s="11"/>
      <c r="J36" s="12">
        <v>0</v>
      </c>
      <c r="K36" s="11" t="s">
        <v>917</v>
      </c>
      <c r="L36" s="12">
        <v>37260</v>
      </c>
      <c r="M36" s="12">
        <v>-1539</v>
      </c>
      <c r="N36" s="12">
        <v>37260</v>
      </c>
      <c r="O36" s="12">
        <v>37260</v>
      </c>
      <c r="P36" s="12">
        <v>37260</v>
      </c>
      <c r="Q36" s="12">
        <v>37260</v>
      </c>
      <c r="R36" s="12">
        <v>37260</v>
      </c>
      <c r="S36" s="12">
        <v>37260</v>
      </c>
      <c r="T36" s="12">
        <v>37260</v>
      </c>
      <c r="U36" s="12">
        <v>33532</v>
      </c>
      <c r="V36" s="12">
        <v>33532</v>
      </c>
      <c r="W36" s="12">
        <v>33532</v>
      </c>
      <c r="X36" s="12">
        <v>33532</v>
      </c>
      <c r="Y36" s="12">
        <v>33532</v>
      </c>
      <c r="Z36" s="12">
        <v>33532</v>
      </c>
      <c r="AA36" s="12">
        <v>32749</v>
      </c>
      <c r="AB36" s="12">
        <v>30029</v>
      </c>
      <c r="AC36" s="12">
        <v>30029</v>
      </c>
      <c r="AD36" s="12">
        <v>30029</v>
      </c>
      <c r="AE36" s="12">
        <v>30029</v>
      </c>
      <c r="AF36" s="12">
        <v>30029</v>
      </c>
      <c r="AG36" s="12">
        <v>30029</v>
      </c>
      <c r="AH36" s="12">
        <v>30029</v>
      </c>
      <c r="AI36" s="12">
        <v>28529</v>
      </c>
      <c r="AJ36" s="12">
        <v>24029</v>
      </c>
      <c r="AK36" s="12">
        <v>23029</v>
      </c>
      <c r="AL36" s="12">
        <v>23029</v>
      </c>
      <c r="AM36" s="12">
        <v>17029</v>
      </c>
      <c r="AN36" s="12">
        <v>13329</v>
      </c>
      <c r="AO36" s="12">
        <v>13329</v>
      </c>
      <c r="AP36" s="12">
        <v>13329</v>
      </c>
      <c r="AQ36" s="12">
        <v>7851</v>
      </c>
      <c r="AR36" s="12">
        <v>2710</v>
      </c>
      <c r="AS36" s="12">
        <v>2710</v>
      </c>
      <c r="AT36" s="12">
        <v>-1539</v>
      </c>
      <c r="AU36" s="12">
        <v>-1539</v>
      </c>
      <c r="AV36" s="12">
        <v>-1539</v>
      </c>
      <c r="AW36" s="12">
        <v>0</v>
      </c>
      <c r="AX36" s="12">
        <v>0</v>
      </c>
      <c r="AY36" s="12">
        <v>0</v>
      </c>
      <c r="AZ36" s="12">
        <v>0</v>
      </c>
      <c r="BA36" s="12">
        <v>0</v>
      </c>
      <c r="BC36" s="7">
        <f t="shared" si="3"/>
        <v>111780</v>
      </c>
      <c r="BD36" s="7">
        <f t="shared" si="4"/>
        <v>249636</v>
      </c>
      <c r="BE36" s="7">
        <f t="shared" si="5"/>
        <v>223432</v>
      </c>
    </row>
    <row r="37" spans="1:57" ht="15" customHeight="1" x14ac:dyDescent="0.3">
      <c r="A37" s="7">
        <f t="shared" si="0"/>
        <v>0</v>
      </c>
      <c r="B37" s="7">
        <f t="shared" si="1"/>
        <v>0</v>
      </c>
      <c r="C37" s="7">
        <f t="shared" si="2"/>
        <v>0</v>
      </c>
      <c r="D37" s="5"/>
      <c r="E37" s="5" t="str">
        <f t="shared" si="12"/>
        <v>1203-007691</v>
      </c>
      <c r="F37" s="5"/>
      <c r="G37" s="5"/>
      <c r="H37" s="11" t="s">
        <v>769</v>
      </c>
      <c r="I37" s="11" t="s">
        <v>770</v>
      </c>
      <c r="J37" s="12">
        <v>2040</v>
      </c>
      <c r="K37" s="11" t="s">
        <v>918</v>
      </c>
      <c r="L37" s="12">
        <v>0</v>
      </c>
      <c r="M37" s="12">
        <v>0</v>
      </c>
      <c r="N37" s="12">
        <v>0</v>
      </c>
      <c r="O37" s="12">
        <v>0</v>
      </c>
      <c r="P37" s="12">
        <v>0</v>
      </c>
      <c r="Q37" s="12">
        <v>0</v>
      </c>
      <c r="R37" s="12">
        <v>0</v>
      </c>
      <c r="S37" s="12">
        <v>0</v>
      </c>
      <c r="T37" s="12">
        <v>0</v>
      </c>
      <c r="U37" s="12">
        <v>0</v>
      </c>
      <c r="V37" s="12">
        <v>0</v>
      </c>
      <c r="W37" s="12">
        <v>0</v>
      </c>
      <c r="X37" s="12">
        <v>0</v>
      </c>
      <c r="Y37" s="12">
        <v>0</v>
      </c>
      <c r="Z37" s="12">
        <v>0</v>
      </c>
      <c r="AA37" s="12">
        <v>0</v>
      </c>
      <c r="AB37" s="12">
        <v>0</v>
      </c>
      <c r="AC37" s="12">
        <v>0</v>
      </c>
      <c r="AD37" s="12">
        <v>0</v>
      </c>
      <c r="AE37" s="12">
        <v>0</v>
      </c>
      <c r="AF37" s="12">
        <v>0</v>
      </c>
      <c r="AG37" s="12">
        <v>0</v>
      </c>
      <c r="AH37" s="12">
        <v>0</v>
      </c>
      <c r="AI37" s="12">
        <v>0</v>
      </c>
      <c r="AJ37" s="12">
        <v>0</v>
      </c>
      <c r="AK37" s="12">
        <v>0</v>
      </c>
      <c r="AL37" s="12">
        <v>0</v>
      </c>
      <c r="AM37" s="12">
        <v>0</v>
      </c>
      <c r="AN37" s="12">
        <v>0</v>
      </c>
      <c r="AO37" s="12">
        <v>0</v>
      </c>
      <c r="AP37" s="12">
        <v>0</v>
      </c>
      <c r="AQ37" s="12">
        <v>0</v>
      </c>
      <c r="AR37" s="12">
        <v>0</v>
      </c>
      <c r="AS37" s="12">
        <v>0</v>
      </c>
      <c r="AT37" s="12">
        <v>0</v>
      </c>
      <c r="AU37" s="12">
        <v>0</v>
      </c>
      <c r="AV37" s="12">
        <v>0</v>
      </c>
      <c r="AW37" s="12">
        <v>0</v>
      </c>
      <c r="AX37" s="12">
        <v>0</v>
      </c>
      <c r="AY37" s="12">
        <v>0</v>
      </c>
      <c r="AZ37" s="12">
        <v>0</v>
      </c>
      <c r="BA37" s="12">
        <v>0</v>
      </c>
      <c r="BC37" s="7">
        <f t="shared" si="3"/>
        <v>0</v>
      </c>
      <c r="BD37" s="7">
        <f t="shared" si="4"/>
        <v>0</v>
      </c>
      <c r="BE37" s="7">
        <f t="shared" si="5"/>
        <v>0</v>
      </c>
    </row>
    <row r="38" spans="1:57" ht="15" customHeight="1" x14ac:dyDescent="0.3">
      <c r="A38" s="7">
        <f t="shared" si="0"/>
        <v>0</v>
      </c>
      <c r="B38" s="7">
        <f t="shared" si="1"/>
        <v>0</v>
      </c>
      <c r="C38" s="7">
        <f t="shared" si="2"/>
        <v>0</v>
      </c>
      <c r="D38" s="5"/>
      <c r="E38" s="5" t="str">
        <f t="shared" si="12"/>
        <v>1203-007691</v>
      </c>
      <c r="F38" s="5"/>
      <c r="G38" s="5"/>
      <c r="H38" s="11" t="s">
        <v>49</v>
      </c>
      <c r="I38" s="11"/>
      <c r="J38" s="12">
        <v>0</v>
      </c>
      <c r="K38" s="11" t="s">
        <v>919</v>
      </c>
      <c r="L38" s="12">
        <v>0</v>
      </c>
      <c r="M38" s="12">
        <v>0</v>
      </c>
      <c r="N38" s="12">
        <v>0</v>
      </c>
      <c r="O38" s="12">
        <v>0</v>
      </c>
      <c r="P38" s="12">
        <v>0</v>
      </c>
      <c r="Q38" s="12">
        <v>0</v>
      </c>
      <c r="R38" s="12">
        <v>0</v>
      </c>
      <c r="S38" s="12">
        <v>0</v>
      </c>
      <c r="T38" s="12">
        <v>0</v>
      </c>
      <c r="U38" s="12">
        <v>0</v>
      </c>
      <c r="V38" s="12">
        <v>0</v>
      </c>
      <c r="W38" s="12">
        <v>0</v>
      </c>
      <c r="X38" s="12">
        <v>0</v>
      </c>
      <c r="Y38" s="12">
        <v>0</v>
      </c>
      <c r="Z38" s="12">
        <v>0</v>
      </c>
      <c r="AA38" s="12">
        <v>0</v>
      </c>
      <c r="AB38" s="12">
        <v>0</v>
      </c>
      <c r="AC38" s="12">
        <v>0</v>
      </c>
      <c r="AD38" s="12">
        <v>0</v>
      </c>
      <c r="AE38" s="12">
        <v>0</v>
      </c>
      <c r="AF38" s="12">
        <v>0</v>
      </c>
      <c r="AG38" s="12">
        <v>0</v>
      </c>
      <c r="AH38" s="12">
        <v>0</v>
      </c>
      <c r="AI38" s="12">
        <v>0</v>
      </c>
      <c r="AJ38" s="12">
        <v>0</v>
      </c>
      <c r="AK38" s="12">
        <v>0</v>
      </c>
      <c r="AL38" s="12">
        <v>0</v>
      </c>
      <c r="AM38" s="12">
        <v>0</v>
      </c>
      <c r="AN38" s="12">
        <v>0</v>
      </c>
      <c r="AO38" s="12">
        <v>0</v>
      </c>
      <c r="AP38" s="12">
        <v>0</v>
      </c>
      <c r="AQ38" s="12">
        <v>0</v>
      </c>
      <c r="AR38" s="12">
        <v>0</v>
      </c>
      <c r="AS38" s="12">
        <v>0</v>
      </c>
      <c r="AT38" s="12">
        <v>0</v>
      </c>
      <c r="AU38" s="12">
        <v>0</v>
      </c>
      <c r="AV38" s="12">
        <v>0</v>
      </c>
      <c r="AW38" s="12">
        <v>0</v>
      </c>
      <c r="AX38" s="12">
        <v>0</v>
      </c>
      <c r="AY38" s="12">
        <v>0</v>
      </c>
      <c r="AZ38" s="12">
        <v>0</v>
      </c>
      <c r="BA38" s="12">
        <v>0</v>
      </c>
      <c r="BC38" s="7">
        <f t="shared" si="3"/>
        <v>0</v>
      </c>
      <c r="BD38" s="7">
        <f t="shared" si="4"/>
        <v>0</v>
      </c>
      <c r="BE38" s="7">
        <f t="shared" si="5"/>
        <v>0</v>
      </c>
    </row>
    <row r="39" spans="1:57" ht="15" customHeight="1" x14ac:dyDescent="0.3">
      <c r="A39" s="7">
        <f t="shared" si="0"/>
        <v>260820</v>
      </c>
      <c r="B39" s="7">
        <f t="shared" si="1"/>
        <v>233941</v>
      </c>
      <c r="C39" s="7">
        <f t="shared" si="2"/>
        <v>210203</v>
      </c>
      <c r="D39" s="5"/>
      <c r="E39" s="5" t="str">
        <f t="shared" si="12"/>
        <v>1203-007691</v>
      </c>
      <c r="F39" s="5"/>
      <c r="G39" s="6"/>
      <c r="H39" s="11" t="s">
        <v>920</v>
      </c>
      <c r="I39" s="11"/>
      <c r="J39" s="12">
        <v>0</v>
      </c>
      <c r="K39" s="11" t="s">
        <v>921</v>
      </c>
      <c r="L39" s="12">
        <v>0</v>
      </c>
      <c r="M39" s="12">
        <v>-1539</v>
      </c>
      <c r="N39" s="12">
        <v>37260</v>
      </c>
      <c r="O39" s="12">
        <v>37260</v>
      </c>
      <c r="P39" s="12">
        <v>37260</v>
      </c>
      <c r="Q39" s="12">
        <v>37260</v>
      </c>
      <c r="R39" s="12">
        <v>37260</v>
      </c>
      <c r="S39" s="12">
        <v>37260</v>
      </c>
      <c r="T39" s="12">
        <v>37260</v>
      </c>
      <c r="U39" s="12">
        <v>33532</v>
      </c>
      <c r="V39" s="12">
        <v>33532</v>
      </c>
      <c r="W39" s="12">
        <v>33532</v>
      </c>
      <c r="X39" s="12">
        <v>33532</v>
      </c>
      <c r="Y39" s="12">
        <v>33532</v>
      </c>
      <c r="Z39" s="12">
        <v>33532</v>
      </c>
      <c r="AA39" s="12">
        <v>32749</v>
      </c>
      <c r="AB39" s="12">
        <v>30029</v>
      </c>
      <c r="AC39" s="12">
        <v>30029</v>
      </c>
      <c r="AD39" s="12">
        <v>30029</v>
      </c>
      <c r="AE39" s="12">
        <v>30029</v>
      </c>
      <c r="AF39" s="12">
        <v>30029</v>
      </c>
      <c r="AG39" s="12">
        <v>30029</v>
      </c>
      <c r="AH39" s="12">
        <v>30029</v>
      </c>
      <c r="AI39" s="12">
        <v>28529</v>
      </c>
      <c r="AJ39" s="12">
        <v>24029</v>
      </c>
      <c r="AK39" s="12">
        <v>23029</v>
      </c>
      <c r="AL39" s="12">
        <v>23029</v>
      </c>
      <c r="AM39" s="12">
        <v>17029</v>
      </c>
      <c r="AN39" s="12">
        <v>13329</v>
      </c>
      <c r="AO39" s="12">
        <v>13329</v>
      </c>
      <c r="AP39" s="12">
        <v>13329</v>
      </c>
      <c r="AQ39" s="12">
        <v>7851</v>
      </c>
      <c r="AR39" s="12">
        <v>2710</v>
      </c>
      <c r="AS39" s="12">
        <v>2710</v>
      </c>
      <c r="AT39" s="12">
        <v>-1539</v>
      </c>
      <c r="AU39" s="12">
        <v>-1539</v>
      </c>
      <c r="AV39" s="12">
        <v>-1539</v>
      </c>
      <c r="AW39" s="12">
        <v>0</v>
      </c>
      <c r="AX39" s="12">
        <v>0</v>
      </c>
      <c r="AY39" s="12">
        <v>0</v>
      </c>
      <c r="AZ39" s="12">
        <v>0</v>
      </c>
      <c r="BA39" s="12">
        <v>0</v>
      </c>
      <c r="BC39" s="7">
        <f t="shared" si="3"/>
        <v>111780</v>
      </c>
      <c r="BD39" s="7">
        <f t="shared" si="4"/>
        <v>249636</v>
      </c>
      <c r="BE39" s="7">
        <f t="shared" si="5"/>
        <v>223432</v>
      </c>
    </row>
    <row r="40" spans="1:57" ht="15" customHeight="1" x14ac:dyDescent="0.3">
      <c r="A40" s="7">
        <f t="shared" si="0"/>
        <v>260</v>
      </c>
      <c r="B40" s="7">
        <f t="shared" si="1"/>
        <v>1100</v>
      </c>
      <c r="C40" s="7">
        <f t="shared" si="2"/>
        <v>0</v>
      </c>
      <c r="D40" s="5"/>
      <c r="E40" s="13" t="s">
        <v>862</v>
      </c>
      <c r="F40" s="5"/>
      <c r="G40" s="13" t="s">
        <v>926</v>
      </c>
      <c r="H40" s="13" t="s">
        <v>49</v>
      </c>
      <c r="I40" s="11" t="s">
        <v>49</v>
      </c>
      <c r="J40" s="12">
        <v>0</v>
      </c>
      <c r="K40" s="11" t="s">
        <v>916</v>
      </c>
      <c r="L40" s="12">
        <v>0</v>
      </c>
      <c r="M40" s="12">
        <v>7059</v>
      </c>
      <c r="N40" s="12">
        <v>0</v>
      </c>
      <c r="O40" s="12">
        <v>0</v>
      </c>
      <c r="P40" s="12">
        <v>0</v>
      </c>
      <c r="Q40" s="12">
        <v>0</v>
      </c>
      <c r="R40" s="12">
        <v>0</v>
      </c>
      <c r="S40" s="12">
        <v>0</v>
      </c>
      <c r="T40" s="12">
        <v>260</v>
      </c>
      <c r="U40" s="12">
        <v>0</v>
      </c>
      <c r="V40" s="12">
        <v>0</v>
      </c>
      <c r="W40" s="12">
        <v>0</v>
      </c>
      <c r="X40" s="12">
        <v>0</v>
      </c>
      <c r="Y40" s="12">
        <v>0</v>
      </c>
      <c r="Z40" s="12">
        <v>0</v>
      </c>
      <c r="AA40" s="12">
        <v>1100</v>
      </c>
      <c r="AB40" s="12">
        <v>0</v>
      </c>
      <c r="AC40" s="12">
        <v>0</v>
      </c>
      <c r="AD40" s="12">
        <v>0</v>
      </c>
      <c r="AE40" s="12">
        <v>0</v>
      </c>
      <c r="AF40" s="12">
        <v>0</v>
      </c>
      <c r="AG40" s="12">
        <v>0</v>
      </c>
      <c r="AH40" s="12">
        <v>0</v>
      </c>
      <c r="AI40" s="12">
        <v>2000</v>
      </c>
      <c r="AJ40" s="12">
        <v>0</v>
      </c>
      <c r="AK40" s="12">
        <v>0</v>
      </c>
      <c r="AL40" s="12">
        <v>0</v>
      </c>
      <c r="AM40" s="12">
        <v>440</v>
      </c>
      <c r="AN40" s="12">
        <v>2300</v>
      </c>
      <c r="AO40" s="12">
        <v>0</v>
      </c>
      <c r="AP40" s="12">
        <v>0</v>
      </c>
      <c r="AQ40" s="12">
        <v>0</v>
      </c>
      <c r="AR40" s="12">
        <v>959</v>
      </c>
      <c r="AS40" s="12">
        <v>0</v>
      </c>
      <c r="AT40" s="12">
        <v>0</v>
      </c>
      <c r="AU40" s="12">
        <v>0</v>
      </c>
      <c r="AV40" s="12">
        <v>0</v>
      </c>
      <c r="AW40" s="12">
        <v>260</v>
      </c>
      <c r="AX40" s="12">
        <v>3100</v>
      </c>
      <c r="AY40" s="12">
        <v>2740</v>
      </c>
      <c r="AZ40" s="12">
        <v>959</v>
      </c>
      <c r="BA40" s="12">
        <v>0</v>
      </c>
      <c r="BC40" s="7">
        <f t="shared" si="3"/>
        <v>0</v>
      </c>
      <c r="BD40" s="7">
        <f t="shared" si="4"/>
        <v>260</v>
      </c>
      <c r="BE40" s="7">
        <f t="shared" si="5"/>
        <v>1100</v>
      </c>
    </row>
    <row r="41" spans="1:57" ht="15" customHeight="1" x14ac:dyDescent="0.3">
      <c r="A41" s="7">
        <f t="shared" si="0"/>
        <v>46157</v>
      </c>
      <c r="B41" s="7">
        <f t="shared" si="1"/>
        <v>43497</v>
      </c>
      <c r="C41" s="7">
        <f t="shared" si="2"/>
        <v>36897</v>
      </c>
      <c r="D41" s="5"/>
      <c r="E41" s="5" t="str">
        <f t="shared" ref="E41:E44" si="13">E40</f>
        <v>1203-007692</v>
      </c>
      <c r="F41" s="5"/>
      <c r="G41" s="5"/>
      <c r="H41" s="6"/>
      <c r="I41" s="11"/>
      <c r="J41" s="12">
        <v>0</v>
      </c>
      <c r="K41" s="11" t="s">
        <v>917</v>
      </c>
      <c r="L41" s="12">
        <v>6631</v>
      </c>
      <c r="M41" s="12">
        <v>-428</v>
      </c>
      <c r="N41" s="12">
        <v>6631</v>
      </c>
      <c r="O41" s="12">
        <v>6631</v>
      </c>
      <c r="P41" s="12">
        <v>6631</v>
      </c>
      <c r="Q41" s="12">
        <v>6631</v>
      </c>
      <c r="R41" s="12">
        <v>6631</v>
      </c>
      <c r="S41" s="12">
        <v>6631</v>
      </c>
      <c r="T41" s="12">
        <v>6371</v>
      </c>
      <c r="U41" s="12">
        <v>6371</v>
      </c>
      <c r="V41" s="12">
        <v>6371</v>
      </c>
      <c r="W41" s="12">
        <v>6371</v>
      </c>
      <c r="X41" s="12">
        <v>6371</v>
      </c>
      <c r="Y41" s="12">
        <v>6371</v>
      </c>
      <c r="Z41" s="12">
        <v>6371</v>
      </c>
      <c r="AA41" s="12">
        <v>5271</v>
      </c>
      <c r="AB41" s="12">
        <v>5271</v>
      </c>
      <c r="AC41" s="12">
        <v>5271</v>
      </c>
      <c r="AD41" s="12">
        <v>5271</v>
      </c>
      <c r="AE41" s="12">
        <v>5271</v>
      </c>
      <c r="AF41" s="12">
        <v>5271</v>
      </c>
      <c r="AG41" s="12">
        <v>5271</v>
      </c>
      <c r="AH41" s="12">
        <v>5271</v>
      </c>
      <c r="AI41" s="12">
        <v>3271</v>
      </c>
      <c r="AJ41" s="12">
        <v>3271</v>
      </c>
      <c r="AK41" s="12">
        <v>3271</v>
      </c>
      <c r="AL41" s="12">
        <v>3271</v>
      </c>
      <c r="AM41" s="12">
        <v>2831</v>
      </c>
      <c r="AN41" s="12">
        <v>531</v>
      </c>
      <c r="AO41" s="12">
        <v>531</v>
      </c>
      <c r="AP41" s="12">
        <v>531</v>
      </c>
      <c r="AQ41" s="12">
        <v>531</v>
      </c>
      <c r="AR41" s="12">
        <v>-428</v>
      </c>
      <c r="AS41" s="12">
        <v>-428</v>
      </c>
      <c r="AT41" s="12">
        <v>-428</v>
      </c>
      <c r="AU41" s="12">
        <v>-428</v>
      </c>
      <c r="AV41" s="12">
        <v>-428</v>
      </c>
      <c r="AW41" s="12">
        <v>0</v>
      </c>
      <c r="AX41" s="12">
        <v>0</v>
      </c>
      <c r="AY41" s="12">
        <v>0</v>
      </c>
      <c r="AZ41" s="12">
        <v>0</v>
      </c>
      <c r="BA41" s="12">
        <v>0</v>
      </c>
      <c r="BC41" s="7">
        <f t="shared" si="3"/>
        <v>19893</v>
      </c>
      <c r="BD41" s="7">
        <f t="shared" si="4"/>
        <v>45377</v>
      </c>
      <c r="BE41" s="7">
        <f t="shared" si="5"/>
        <v>40197</v>
      </c>
    </row>
    <row r="42" spans="1:57" ht="15" customHeight="1" x14ac:dyDescent="0.3">
      <c r="A42" s="7">
        <f t="shared" si="0"/>
        <v>0</v>
      </c>
      <c r="B42" s="7">
        <f t="shared" si="1"/>
        <v>0</v>
      </c>
      <c r="C42" s="7">
        <f t="shared" si="2"/>
        <v>0</v>
      </c>
      <c r="D42" s="5"/>
      <c r="E42" s="5" t="str">
        <f t="shared" si="13"/>
        <v>1203-007692</v>
      </c>
      <c r="F42" s="5"/>
      <c r="G42" s="5"/>
      <c r="H42" s="11" t="s">
        <v>769</v>
      </c>
      <c r="I42" s="11" t="s">
        <v>770</v>
      </c>
      <c r="J42" s="12"/>
      <c r="K42" s="11" t="s">
        <v>918</v>
      </c>
      <c r="L42" s="12">
        <v>0</v>
      </c>
      <c r="M42" s="12">
        <v>0</v>
      </c>
      <c r="N42" s="12">
        <v>0</v>
      </c>
      <c r="O42" s="12">
        <v>0</v>
      </c>
      <c r="P42" s="12">
        <v>0</v>
      </c>
      <c r="Q42" s="12">
        <v>0</v>
      </c>
      <c r="R42" s="12">
        <v>0</v>
      </c>
      <c r="S42" s="12">
        <v>0</v>
      </c>
      <c r="T42" s="12">
        <v>0</v>
      </c>
      <c r="U42" s="12">
        <v>0</v>
      </c>
      <c r="V42" s="12">
        <v>0</v>
      </c>
      <c r="W42" s="12">
        <v>0</v>
      </c>
      <c r="X42" s="12">
        <v>0</v>
      </c>
      <c r="Y42" s="12">
        <v>0</v>
      </c>
      <c r="Z42" s="12">
        <v>0</v>
      </c>
      <c r="AA42" s="12">
        <v>0</v>
      </c>
      <c r="AB42" s="12">
        <v>0</v>
      </c>
      <c r="AC42" s="12">
        <v>0</v>
      </c>
      <c r="AD42" s="12">
        <v>0</v>
      </c>
      <c r="AE42" s="12">
        <v>0</v>
      </c>
      <c r="AF42" s="12">
        <v>0</v>
      </c>
      <c r="AG42" s="12">
        <v>0</v>
      </c>
      <c r="AH42" s="12">
        <v>0</v>
      </c>
      <c r="AI42" s="12">
        <v>0</v>
      </c>
      <c r="AJ42" s="12">
        <v>0</v>
      </c>
      <c r="AK42" s="12">
        <v>0</v>
      </c>
      <c r="AL42" s="12">
        <v>0</v>
      </c>
      <c r="AM42" s="12">
        <v>0</v>
      </c>
      <c r="AN42" s="12">
        <v>0</v>
      </c>
      <c r="AO42" s="12">
        <v>0</v>
      </c>
      <c r="AP42" s="12">
        <v>0</v>
      </c>
      <c r="AQ42" s="12">
        <v>0</v>
      </c>
      <c r="AR42" s="12">
        <v>0</v>
      </c>
      <c r="AS42" s="12">
        <v>0</v>
      </c>
      <c r="AT42" s="12">
        <v>0</v>
      </c>
      <c r="AU42" s="12">
        <v>0</v>
      </c>
      <c r="AV42" s="12">
        <v>0</v>
      </c>
      <c r="AW42" s="12">
        <v>0</v>
      </c>
      <c r="AX42" s="12">
        <v>0</v>
      </c>
      <c r="AY42" s="12">
        <v>0</v>
      </c>
      <c r="AZ42" s="12">
        <v>0</v>
      </c>
      <c r="BA42" s="12">
        <v>0</v>
      </c>
      <c r="BC42" s="7">
        <f t="shared" si="3"/>
        <v>0</v>
      </c>
      <c r="BD42" s="7">
        <f t="shared" si="4"/>
        <v>0</v>
      </c>
      <c r="BE42" s="7">
        <f t="shared" si="5"/>
        <v>0</v>
      </c>
    </row>
    <row r="43" spans="1:57" ht="15" customHeight="1" x14ac:dyDescent="0.3">
      <c r="A43" s="7">
        <f t="shared" si="0"/>
        <v>0</v>
      </c>
      <c r="B43" s="7">
        <f t="shared" si="1"/>
        <v>0</v>
      </c>
      <c r="C43" s="7">
        <f t="shared" si="2"/>
        <v>0</v>
      </c>
      <c r="D43" s="5"/>
      <c r="E43" s="5" t="str">
        <f t="shared" si="13"/>
        <v>1203-007692</v>
      </c>
      <c r="F43" s="5"/>
      <c r="G43" s="5"/>
      <c r="H43" s="11" t="s">
        <v>49</v>
      </c>
      <c r="I43" s="11"/>
      <c r="J43" s="12">
        <v>0</v>
      </c>
      <c r="K43" s="11" t="s">
        <v>919</v>
      </c>
      <c r="L43" s="12">
        <v>0</v>
      </c>
      <c r="M43" s="12">
        <v>0</v>
      </c>
      <c r="N43" s="12">
        <v>0</v>
      </c>
      <c r="O43" s="12">
        <v>0</v>
      </c>
      <c r="P43" s="12">
        <v>0</v>
      </c>
      <c r="Q43" s="12">
        <v>0</v>
      </c>
      <c r="R43" s="12">
        <v>0</v>
      </c>
      <c r="S43" s="12">
        <v>0</v>
      </c>
      <c r="T43" s="12">
        <v>0</v>
      </c>
      <c r="U43" s="12">
        <v>0</v>
      </c>
      <c r="V43" s="12">
        <v>0</v>
      </c>
      <c r="W43" s="12">
        <v>0</v>
      </c>
      <c r="X43" s="12">
        <v>0</v>
      </c>
      <c r="Y43" s="12">
        <v>0</v>
      </c>
      <c r="Z43" s="12">
        <v>0</v>
      </c>
      <c r="AA43" s="12">
        <v>0</v>
      </c>
      <c r="AB43" s="12">
        <v>0</v>
      </c>
      <c r="AC43" s="12">
        <v>0</v>
      </c>
      <c r="AD43" s="12">
        <v>0</v>
      </c>
      <c r="AE43" s="12">
        <v>0</v>
      </c>
      <c r="AF43" s="12">
        <v>0</v>
      </c>
      <c r="AG43" s="12">
        <v>0</v>
      </c>
      <c r="AH43" s="12">
        <v>0</v>
      </c>
      <c r="AI43" s="12">
        <v>0</v>
      </c>
      <c r="AJ43" s="12">
        <v>0</v>
      </c>
      <c r="AK43" s="12">
        <v>0</v>
      </c>
      <c r="AL43" s="12">
        <v>0</v>
      </c>
      <c r="AM43" s="12">
        <v>0</v>
      </c>
      <c r="AN43" s="12">
        <v>0</v>
      </c>
      <c r="AO43" s="12">
        <v>0</v>
      </c>
      <c r="AP43" s="12">
        <v>0</v>
      </c>
      <c r="AQ43" s="12">
        <v>0</v>
      </c>
      <c r="AR43" s="12">
        <v>0</v>
      </c>
      <c r="AS43" s="12">
        <v>0</v>
      </c>
      <c r="AT43" s="12">
        <v>0</v>
      </c>
      <c r="AU43" s="12">
        <v>0</v>
      </c>
      <c r="AV43" s="12">
        <v>0</v>
      </c>
      <c r="AW43" s="12">
        <v>0</v>
      </c>
      <c r="AX43" s="12">
        <v>0</v>
      </c>
      <c r="AY43" s="12">
        <v>0</v>
      </c>
      <c r="AZ43" s="12">
        <v>0</v>
      </c>
      <c r="BA43" s="12">
        <v>0</v>
      </c>
      <c r="BC43" s="7">
        <f t="shared" si="3"/>
        <v>0</v>
      </c>
      <c r="BD43" s="7">
        <f t="shared" si="4"/>
        <v>0</v>
      </c>
      <c r="BE43" s="7">
        <f t="shared" si="5"/>
        <v>0</v>
      </c>
    </row>
    <row r="44" spans="1:57" ht="15" customHeight="1" x14ac:dyDescent="0.3">
      <c r="A44" s="7">
        <f t="shared" si="0"/>
        <v>46157</v>
      </c>
      <c r="B44" s="7">
        <f t="shared" si="1"/>
        <v>43497</v>
      </c>
      <c r="C44" s="7">
        <f t="shared" si="2"/>
        <v>36897</v>
      </c>
      <c r="D44" s="5"/>
      <c r="E44" s="5" t="str">
        <f t="shared" si="13"/>
        <v>1203-007692</v>
      </c>
      <c r="F44" s="5"/>
      <c r="G44" s="6"/>
      <c r="H44" s="11" t="s">
        <v>920</v>
      </c>
      <c r="I44" s="11"/>
      <c r="J44" s="12">
        <v>0</v>
      </c>
      <c r="K44" s="11" t="s">
        <v>921</v>
      </c>
      <c r="L44" s="12">
        <v>0</v>
      </c>
      <c r="M44" s="12">
        <v>-428</v>
      </c>
      <c r="N44" s="12">
        <v>6631</v>
      </c>
      <c r="O44" s="12">
        <v>6631</v>
      </c>
      <c r="P44" s="12">
        <v>6631</v>
      </c>
      <c r="Q44" s="12">
        <v>6631</v>
      </c>
      <c r="R44" s="12">
        <v>6631</v>
      </c>
      <c r="S44" s="12">
        <v>6631</v>
      </c>
      <c r="T44" s="12">
        <v>6371</v>
      </c>
      <c r="U44" s="12">
        <v>6371</v>
      </c>
      <c r="V44" s="12">
        <v>6371</v>
      </c>
      <c r="W44" s="12">
        <v>6371</v>
      </c>
      <c r="X44" s="12">
        <v>6371</v>
      </c>
      <c r="Y44" s="12">
        <v>6371</v>
      </c>
      <c r="Z44" s="12">
        <v>6371</v>
      </c>
      <c r="AA44" s="12">
        <v>5271</v>
      </c>
      <c r="AB44" s="12">
        <v>5271</v>
      </c>
      <c r="AC44" s="12">
        <v>5271</v>
      </c>
      <c r="AD44" s="12">
        <v>5271</v>
      </c>
      <c r="AE44" s="12">
        <v>5271</v>
      </c>
      <c r="AF44" s="12">
        <v>5271</v>
      </c>
      <c r="AG44" s="12">
        <v>5271</v>
      </c>
      <c r="AH44" s="12">
        <v>5271</v>
      </c>
      <c r="AI44" s="12">
        <v>3271</v>
      </c>
      <c r="AJ44" s="12">
        <v>3271</v>
      </c>
      <c r="AK44" s="12">
        <v>3271</v>
      </c>
      <c r="AL44" s="12">
        <v>3271</v>
      </c>
      <c r="AM44" s="12">
        <v>2831</v>
      </c>
      <c r="AN44" s="12">
        <v>531</v>
      </c>
      <c r="AO44" s="12">
        <v>531</v>
      </c>
      <c r="AP44" s="12">
        <v>531</v>
      </c>
      <c r="AQ44" s="12">
        <v>531</v>
      </c>
      <c r="AR44" s="12">
        <v>-428</v>
      </c>
      <c r="AS44" s="12">
        <v>-428</v>
      </c>
      <c r="AT44" s="12">
        <v>-428</v>
      </c>
      <c r="AU44" s="12">
        <v>-428</v>
      </c>
      <c r="AV44" s="12">
        <v>-428</v>
      </c>
      <c r="AW44" s="12">
        <v>0</v>
      </c>
      <c r="AX44" s="12">
        <v>0</v>
      </c>
      <c r="AY44" s="12">
        <v>0</v>
      </c>
      <c r="AZ44" s="12">
        <v>0</v>
      </c>
      <c r="BA44" s="12">
        <v>0</v>
      </c>
      <c r="BC44" s="7">
        <f t="shared" si="3"/>
        <v>19893</v>
      </c>
      <c r="BD44" s="7">
        <f t="shared" si="4"/>
        <v>45377</v>
      </c>
      <c r="BE44" s="7">
        <f t="shared" si="5"/>
        <v>40197</v>
      </c>
    </row>
    <row r="45" spans="1:57" ht="15" customHeight="1" x14ac:dyDescent="0.3">
      <c r="A45" s="7">
        <f t="shared" si="0"/>
        <v>12360</v>
      </c>
      <c r="B45" s="7">
        <f t="shared" si="1"/>
        <v>9813</v>
      </c>
      <c r="C45" s="7">
        <f t="shared" si="2"/>
        <v>10684</v>
      </c>
      <c r="D45" s="5"/>
      <c r="E45" s="13" t="s">
        <v>839</v>
      </c>
      <c r="F45" s="5"/>
      <c r="G45" s="13" t="s">
        <v>927</v>
      </c>
      <c r="H45" s="13" t="s">
        <v>49</v>
      </c>
      <c r="I45" s="11" t="s">
        <v>49</v>
      </c>
      <c r="J45" s="12">
        <v>0</v>
      </c>
      <c r="K45" s="11" t="s">
        <v>916</v>
      </c>
      <c r="L45" s="12">
        <v>0</v>
      </c>
      <c r="M45" s="12">
        <v>111206</v>
      </c>
      <c r="N45" s="12">
        <v>5000</v>
      </c>
      <c r="O45" s="12">
        <v>0</v>
      </c>
      <c r="P45" s="12">
        <v>0</v>
      </c>
      <c r="Q45" s="12">
        <v>0</v>
      </c>
      <c r="R45" s="12">
        <v>0</v>
      </c>
      <c r="S45" s="12">
        <v>0</v>
      </c>
      <c r="T45" s="12">
        <v>7360</v>
      </c>
      <c r="U45" s="12">
        <v>0</v>
      </c>
      <c r="V45" s="12">
        <v>0</v>
      </c>
      <c r="W45" s="12">
        <v>0</v>
      </c>
      <c r="X45" s="12">
        <v>0</v>
      </c>
      <c r="Y45" s="12">
        <v>0</v>
      </c>
      <c r="Z45" s="12">
        <v>0</v>
      </c>
      <c r="AA45" s="12">
        <v>9813</v>
      </c>
      <c r="AB45" s="12">
        <v>10684</v>
      </c>
      <c r="AC45" s="12">
        <v>0</v>
      </c>
      <c r="AD45" s="12">
        <v>0</v>
      </c>
      <c r="AE45" s="12">
        <v>0</v>
      </c>
      <c r="AF45" s="12">
        <v>0</v>
      </c>
      <c r="AG45" s="12">
        <v>0</v>
      </c>
      <c r="AH45" s="12">
        <v>0</v>
      </c>
      <c r="AI45" s="12">
        <v>15303</v>
      </c>
      <c r="AJ45" s="12">
        <v>5000</v>
      </c>
      <c r="AK45" s="12">
        <v>2000</v>
      </c>
      <c r="AL45" s="12">
        <v>0</v>
      </c>
      <c r="AM45" s="12">
        <v>14800</v>
      </c>
      <c r="AN45" s="12">
        <v>3200</v>
      </c>
      <c r="AO45" s="12">
        <v>1000</v>
      </c>
      <c r="AP45" s="12">
        <v>5000</v>
      </c>
      <c r="AQ45" s="12">
        <v>16000</v>
      </c>
      <c r="AR45" s="12">
        <v>7000</v>
      </c>
      <c r="AS45" s="12">
        <v>0</v>
      </c>
      <c r="AT45" s="12">
        <v>9046</v>
      </c>
      <c r="AU45" s="12">
        <v>0</v>
      </c>
      <c r="AV45" s="12">
        <v>0</v>
      </c>
      <c r="AW45" s="12">
        <v>12360</v>
      </c>
      <c r="AX45" s="12">
        <v>42800</v>
      </c>
      <c r="AY45" s="12">
        <v>24000</v>
      </c>
      <c r="AZ45" s="12">
        <v>32046</v>
      </c>
      <c r="BA45" s="12">
        <v>0</v>
      </c>
      <c r="BC45" s="7">
        <f t="shared" si="3"/>
        <v>5000</v>
      </c>
      <c r="BD45" s="7">
        <f t="shared" si="4"/>
        <v>7360</v>
      </c>
      <c r="BE45" s="7">
        <f t="shared" si="5"/>
        <v>20497</v>
      </c>
    </row>
    <row r="46" spans="1:57" ht="15" customHeight="1" x14ac:dyDescent="0.3">
      <c r="A46" s="7">
        <f t="shared" si="0"/>
        <v>482255</v>
      </c>
      <c r="B46" s="7">
        <f t="shared" si="1"/>
        <v>428282</v>
      </c>
      <c r="C46" s="7">
        <f t="shared" si="2"/>
        <v>294616</v>
      </c>
      <c r="D46" s="5"/>
      <c r="E46" s="5" t="str">
        <f t="shared" ref="E46:E49" si="14">E45</f>
        <v>1203-008176</v>
      </c>
      <c r="F46" s="5"/>
      <c r="G46" s="5"/>
      <c r="H46" s="6"/>
      <c r="I46" s="11"/>
      <c r="J46" s="12">
        <v>0</v>
      </c>
      <c r="K46" s="11" t="s">
        <v>917</v>
      </c>
      <c r="L46" s="12">
        <v>74945</v>
      </c>
      <c r="M46" s="12">
        <v>-36261</v>
      </c>
      <c r="N46" s="12">
        <v>69945</v>
      </c>
      <c r="O46" s="12">
        <v>69945</v>
      </c>
      <c r="P46" s="12">
        <v>69945</v>
      </c>
      <c r="Q46" s="12">
        <v>69945</v>
      </c>
      <c r="R46" s="12">
        <v>69945</v>
      </c>
      <c r="S46" s="12">
        <v>69945</v>
      </c>
      <c r="T46" s="12">
        <v>62585</v>
      </c>
      <c r="U46" s="12">
        <v>62585</v>
      </c>
      <c r="V46" s="12">
        <v>62585</v>
      </c>
      <c r="W46" s="12">
        <v>62585</v>
      </c>
      <c r="X46" s="12">
        <v>62585</v>
      </c>
      <c r="Y46" s="12">
        <v>62585</v>
      </c>
      <c r="Z46" s="12">
        <v>62585</v>
      </c>
      <c r="AA46" s="12">
        <v>52772</v>
      </c>
      <c r="AB46" s="12">
        <v>42088</v>
      </c>
      <c r="AC46" s="12">
        <v>42088</v>
      </c>
      <c r="AD46" s="12">
        <v>42088</v>
      </c>
      <c r="AE46" s="12">
        <v>42088</v>
      </c>
      <c r="AF46" s="12">
        <v>42088</v>
      </c>
      <c r="AG46" s="12">
        <v>42088</v>
      </c>
      <c r="AH46" s="12">
        <v>42088</v>
      </c>
      <c r="AI46" s="12">
        <v>26785</v>
      </c>
      <c r="AJ46" s="12">
        <v>21785</v>
      </c>
      <c r="AK46" s="12">
        <v>19785</v>
      </c>
      <c r="AL46" s="12">
        <v>19785</v>
      </c>
      <c r="AM46" s="12">
        <v>4985</v>
      </c>
      <c r="AN46" s="12">
        <v>1785</v>
      </c>
      <c r="AO46" s="12">
        <v>785</v>
      </c>
      <c r="AP46" s="12">
        <v>-4215</v>
      </c>
      <c r="AQ46" s="12">
        <v>-20215</v>
      </c>
      <c r="AR46" s="12">
        <v>-27215</v>
      </c>
      <c r="AS46" s="12">
        <v>-27215</v>
      </c>
      <c r="AT46" s="12">
        <v>-36261</v>
      </c>
      <c r="AU46" s="12">
        <v>-36261</v>
      </c>
      <c r="AV46" s="12">
        <v>-36261</v>
      </c>
      <c r="AW46" s="12">
        <v>0</v>
      </c>
      <c r="AX46" s="12">
        <v>0</v>
      </c>
      <c r="AY46" s="12">
        <v>0</v>
      </c>
      <c r="AZ46" s="12">
        <v>0</v>
      </c>
      <c r="BA46" s="12">
        <v>0</v>
      </c>
      <c r="BC46" s="7">
        <f t="shared" si="3"/>
        <v>209835</v>
      </c>
      <c r="BD46" s="7">
        <f t="shared" si="4"/>
        <v>460175</v>
      </c>
      <c r="BE46" s="7">
        <f t="shared" si="5"/>
        <v>366791</v>
      </c>
    </row>
    <row r="47" spans="1:57" ht="15" customHeight="1" x14ac:dyDescent="0.3">
      <c r="A47" s="7">
        <f t="shared" si="0"/>
        <v>0</v>
      </c>
      <c r="B47" s="7">
        <f t="shared" si="1"/>
        <v>0</v>
      </c>
      <c r="C47" s="7">
        <f t="shared" si="2"/>
        <v>0</v>
      </c>
      <c r="D47" s="5"/>
      <c r="E47" s="5" t="str">
        <f t="shared" si="14"/>
        <v>1203-008176</v>
      </c>
      <c r="F47" s="5"/>
      <c r="G47" s="5"/>
      <c r="H47" s="11" t="s">
        <v>828</v>
      </c>
      <c r="I47" s="11" t="s">
        <v>829</v>
      </c>
      <c r="J47" s="12">
        <v>37500</v>
      </c>
      <c r="K47" s="11" t="s">
        <v>918</v>
      </c>
      <c r="L47" s="12">
        <v>0</v>
      </c>
      <c r="M47" s="12">
        <v>0</v>
      </c>
      <c r="N47" s="12">
        <v>0</v>
      </c>
      <c r="O47" s="12">
        <v>0</v>
      </c>
      <c r="P47" s="12">
        <v>0</v>
      </c>
      <c r="Q47" s="12">
        <v>0</v>
      </c>
      <c r="R47" s="12">
        <v>0</v>
      </c>
      <c r="S47" s="12">
        <v>0</v>
      </c>
      <c r="T47" s="12">
        <v>0</v>
      </c>
      <c r="U47" s="12">
        <v>0</v>
      </c>
      <c r="V47" s="12">
        <v>0</v>
      </c>
      <c r="W47" s="12">
        <v>0</v>
      </c>
      <c r="X47" s="12">
        <v>0</v>
      </c>
      <c r="Y47" s="12">
        <v>0</v>
      </c>
      <c r="Z47" s="12">
        <v>0</v>
      </c>
      <c r="AA47" s="12">
        <v>0</v>
      </c>
      <c r="AB47" s="12">
        <v>0</v>
      </c>
      <c r="AC47" s="12">
        <v>0</v>
      </c>
      <c r="AD47" s="12">
        <v>0</v>
      </c>
      <c r="AE47" s="12">
        <v>0</v>
      </c>
      <c r="AF47" s="12">
        <v>0</v>
      </c>
      <c r="AG47" s="12">
        <v>0</v>
      </c>
      <c r="AH47" s="12">
        <v>0</v>
      </c>
      <c r="AI47" s="12">
        <v>0</v>
      </c>
      <c r="AJ47" s="12">
        <v>0</v>
      </c>
      <c r="AK47" s="12">
        <v>0</v>
      </c>
      <c r="AL47" s="12">
        <v>0</v>
      </c>
      <c r="AM47" s="12">
        <v>0</v>
      </c>
      <c r="AN47" s="12">
        <v>0</v>
      </c>
      <c r="AO47" s="12">
        <v>0</v>
      </c>
      <c r="AP47" s="12">
        <v>0</v>
      </c>
      <c r="AQ47" s="12">
        <v>0</v>
      </c>
      <c r="AR47" s="12">
        <v>0</v>
      </c>
      <c r="AS47" s="12">
        <v>0</v>
      </c>
      <c r="AT47" s="12">
        <v>0</v>
      </c>
      <c r="AU47" s="12">
        <v>0</v>
      </c>
      <c r="AV47" s="12">
        <v>0</v>
      </c>
      <c r="AW47" s="12">
        <v>0</v>
      </c>
      <c r="AX47" s="12">
        <v>0</v>
      </c>
      <c r="AY47" s="12">
        <v>0</v>
      </c>
      <c r="AZ47" s="12">
        <v>0</v>
      </c>
      <c r="BA47" s="12">
        <v>0</v>
      </c>
      <c r="BC47" s="7">
        <f t="shared" si="3"/>
        <v>0</v>
      </c>
      <c r="BD47" s="7">
        <f t="shared" si="4"/>
        <v>0</v>
      </c>
      <c r="BE47" s="7">
        <f t="shared" si="5"/>
        <v>0</v>
      </c>
    </row>
    <row r="48" spans="1:57" ht="15" customHeight="1" x14ac:dyDescent="0.3">
      <c r="A48" s="7">
        <f t="shared" si="0"/>
        <v>0</v>
      </c>
      <c r="B48" s="7">
        <f t="shared" si="1"/>
        <v>0</v>
      </c>
      <c r="C48" s="7">
        <f t="shared" si="2"/>
        <v>0</v>
      </c>
      <c r="D48" s="5"/>
      <c r="E48" s="5" t="str">
        <f t="shared" si="14"/>
        <v>1203-008176</v>
      </c>
      <c r="F48" s="5"/>
      <c r="G48" s="5"/>
      <c r="H48" s="11" t="s">
        <v>49</v>
      </c>
      <c r="I48" s="11"/>
      <c r="J48" s="12">
        <v>0</v>
      </c>
      <c r="K48" s="11" t="s">
        <v>919</v>
      </c>
      <c r="L48" s="12">
        <v>0</v>
      </c>
      <c r="M48" s="12">
        <v>0</v>
      </c>
      <c r="N48" s="12">
        <v>0</v>
      </c>
      <c r="O48" s="12">
        <v>0</v>
      </c>
      <c r="P48" s="12">
        <v>0</v>
      </c>
      <c r="Q48" s="12">
        <v>0</v>
      </c>
      <c r="R48" s="12">
        <v>0</v>
      </c>
      <c r="S48" s="12">
        <v>0</v>
      </c>
      <c r="T48" s="12">
        <v>0</v>
      </c>
      <c r="U48" s="12">
        <v>0</v>
      </c>
      <c r="V48" s="12">
        <v>0</v>
      </c>
      <c r="W48" s="12">
        <v>0</v>
      </c>
      <c r="X48" s="12">
        <v>0</v>
      </c>
      <c r="Y48" s="12">
        <v>0</v>
      </c>
      <c r="Z48" s="12">
        <v>0</v>
      </c>
      <c r="AA48" s="12">
        <v>0</v>
      </c>
      <c r="AB48" s="12">
        <v>0</v>
      </c>
      <c r="AC48" s="12">
        <v>0</v>
      </c>
      <c r="AD48" s="12">
        <v>0</v>
      </c>
      <c r="AE48" s="12">
        <v>0</v>
      </c>
      <c r="AF48" s="12">
        <v>0</v>
      </c>
      <c r="AG48" s="12">
        <v>0</v>
      </c>
      <c r="AH48" s="12">
        <v>0</v>
      </c>
      <c r="AI48" s="12">
        <v>0</v>
      </c>
      <c r="AJ48" s="12">
        <v>0</v>
      </c>
      <c r="AK48" s="12">
        <v>0</v>
      </c>
      <c r="AL48" s="12">
        <v>0</v>
      </c>
      <c r="AM48" s="12">
        <v>0</v>
      </c>
      <c r="AN48" s="12">
        <v>0</v>
      </c>
      <c r="AO48" s="12">
        <v>0</v>
      </c>
      <c r="AP48" s="12">
        <v>0</v>
      </c>
      <c r="AQ48" s="12">
        <v>0</v>
      </c>
      <c r="AR48" s="12">
        <v>0</v>
      </c>
      <c r="AS48" s="12">
        <v>0</v>
      </c>
      <c r="AT48" s="12">
        <v>0</v>
      </c>
      <c r="AU48" s="12">
        <v>0</v>
      </c>
      <c r="AV48" s="12">
        <v>0</v>
      </c>
      <c r="AW48" s="12">
        <v>0</v>
      </c>
      <c r="AX48" s="12">
        <v>0</v>
      </c>
      <c r="AY48" s="12">
        <v>0</v>
      </c>
      <c r="AZ48" s="12">
        <v>0</v>
      </c>
      <c r="BA48" s="12">
        <v>0</v>
      </c>
      <c r="BC48" s="7">
        <f t="shared" si="3"/>
        <v>0</v>
      </c>
      <c r="BD48" s="7">
        <f t="shared" si="4"/>
        <v>0</v>
      </c>
      <c r="BE48" s="7">
        <f t="shared" si="5"/>
        <v>0</v>
      </c>
    </row>
    <row r="49" spans="1:57" ht="15" customHeight="1" x14ac:dyDescent="0.3">
      <c r="A49" s="7">
        <f t="shared" si="0"/>
        <v>482255</v>
      </c>
      <c r="B49" s="7">
        <f t="shared" si="1"/>
        <v>428282</v>
      </c>
      <c r="C49" s="7">
        <f t="shared" si="2"/>
        <v>294616</v>
      </c>
      <c r="D49" s="5"/>
      <c r="E49" s="5" t="str">
        <f t="shared" si="14"/>
        <v>1203-008176</v>
      </c>
      <c r="F49" s="5"/>
      <c r="G49" s="6"/>
      <c r="H49" s="11" t="s">
        <v>920</v>
      </c>
      <c r="I49" s="11"/>
      <c r="J49" s="12">
        <v>0</v>
      </c>
      <c r="K49" s="11" t="s">
        <v>921</v>
      </c>
      <c r="L49" s="12">
        <v>0</v>
      </c>
      <c r="M49" s="12">
        <v>-36261</v>
      </c>
      <c r="N49" s="12">
        <v>69945</v>
      </c>
      <c r="O49" s="12">
        <v>69945</v>
      </c>
      <c r="P49" s="12">
        <v>69945</v>
      </c>
      <c r="Q49" s="12">
        <v>69945</v>
      </c>
      <c r="R49" s="12">
        <v>69945</v>
      </c>
      <c r="S49" s="12">
        <v>69945</v>
      </c>
      <c r="T49" s="12">
        <v>62585</v>
      </c>
      <c r="U49" s="12">
        <v>62585</v>
      </c>
      <c r="V49" s="12">
        <v>62585</v>
      </c>
      <c r="W49" s="12">
        <v>62585</v>
      </c>
      <c r="X49" s="12">
        <v>62585</v>
      </c>
      <c r="Y49" s="12">
        <v>62585</v>
      </c>
      <c r="Z49" s="12">
        <v>62585</v>
      </c>
      <c r="AA49" s="12">
        <v>52772</v>
      </c>
      <c r="AB49" s="12">
        <v>42088</v>
      </c>
      <c r="AC49" s="12">
        <v>42088</v>
      </c>
      <c r="AD49" s="12">
        <v>42088</v>
      </c>
      <c r="AE49" s="12">
        <v>42088</v>
      </c>
      <c r="AF49" s="12">
        <v>42088</v>
      </c>
      <c r="AG49" s="12">
        <v>42088</v>
      </c>
      <c r="AH49" s="12">
        <v>42088</v>
      </c>
      <c r="AI49" s="12">
        <v>26785</v>
      </c>
      <c r="AJ49" s="12">
        <v>21785</v>
      </c>
      <c r="AK49" s="12">
        <v>19785</v>
      </c>
      <c r="AL49" s="12">
        <v>19785</v>
      </c>
      <c r="AM49" s="12">
        <v>4985</v>
      </c>
      <c r="AN49" s="12">
        <v>1785</v>
      </c>
      <c r="AO49" s="12">
        <v>785</v>
      </c>
      <c r="AP49" s="12">
        <v>-4215</v>
      </c>
      <c r="AQ49" s="12">
        <v>-20215</v>
      </c>
      <c r="AR49" s="12">
        <v>-27215</v>
      </c>
      <c r="AS49" s="12">
        <v>-27215</v>
      </c>
      <c r="AT49" s="12">
        <v>-36261</v>
      </c>
      <c r="AU49" s="12">
        <v>-36261</v>
      </c>
      <c r="AV49" s="12">
        <v>-36261</v>
      </c>
      <c r="AW49" s="12">
        <v>0</v>
      </c>
      <c r="AX49" s="12">
        <v>0</v>
      </c>
      <c r="AY49" s="12">
        <v>0</v>
      </c>
      <c r="AZ49" s="12">
        <v>0</v>
      </c>
      <c r="BA49" s="12">
        <v>0</v>
      </c>
      <c r="BC49" s="7">
        <f t="shared" si="3"/>
        <v>209835</v>
      </c>
      <c r="BD49" s="7">
        <f t="shared" si="4"/>
        <v>460175</v>
      </c>
      <c r="BE49" s="7">
        <f t="shared" si="5"/>
        <v>366791</v>
      </c>
    </row>
    <row r="50" spans="1:57" ht="15" customHeight="1" x14ac:dyDescent="0.3">
      <c r="A50" s="7">
        <f t="shared" si="0"/>
        <v>500</v>
      </c>
      <c r="B50" s="7">
        <f t="shared" si="1"/>
        <v>36</v>
      </c>
      <c r="C50" s="7">
        <f t="shared" si="2"/>
        <v>3500</v>
      </c>
      <c r="D50" s="5"/>
      <c r="E50" s="13" t="s">
        <v>869</v>
      </c>
      <c r="F50" s="5"/>
      <c r="G50" s="13" t="s">
        <v>994</v>
      </c>
      <c r="H50" s="13" t="s">
        <v>49</v>
      </c>
      <c r="I50" s="11" t="s">
        <v>49</v>
      </c>
      <c r="J50" s="12">
        <v>0</v>
      </c>
      <c r="K50" s="11" t="s">
        <v>916</v>
      </c>
      <c r="L50" s="12">
        <v>0</v>
      </c>
      <c r="M50" s="12">
        <v>11679</v>
      </c>
      <c r="N50" s="12">
        <v>0</v>
      </c>
      <c r="O50" s="12">
        <v>0</v>
      </c>
      <c r="P50" s="12">
        <v>0</v>
      </c>
      <c r="Q50" s="12">
        <v>0</v>
      </c>
      <c r="R50" s="12">
        <v>0</v>
      </c>
      <c r="S50" s="12">
        <v>0</v>
      </c>
      <c r="T50" s="12">
        <v>500</v>
      </c>
      <c r="U50" s="12">
        <v>0</v>
      </c>
      <c r="V50" s="12">
        <v>0</v>
      </c>
      <c r="W50" s="12">
        <v>0</v>
      </c>
      <c r="X50" s="12">
        <v>0</v>
      </c>
      <c r="Y50" s="12">
        <v>0</v>
      </c>
      <c r="Z50" s="12">
        <v>0</v>
      </c>
      <c r="AA50" s="12">
        <v>36</v>
      </c>
      <c r="AB50" s="12">
        <v>3500</v>
      </c>
      <c r="AC50" s="12">
        <v>0</v>
      </c>
      <c r="AD50" s="12">
        <v>0</v>
      </c>
      <c r="AE50" s="12">
        <v>0</v>
      </c>
      <c r="AF50" s="12">
        <v>0</v>
      </c>
      <c r="AG50" s="12">
        <v>0</v>
      </c>
      <c r="AH50" s="12">
        <v>0</v>
      </c>
      <c r="AI50" s="12">
        <v>0</v>
      </c>
      <c r="AJ50" s="12">
        <v>2600</v>
      </c>
      <c r="AK50" s="12">
        <v>0</v>
      </c>
      <c r="AL50" s="12">
        <v>0</v>
      </c>
      <c r="AM50" s="12">
        <v>2543</v>
      </c>
      <c r="AN50" s="12">
        <v>1000</v>
      </c>
      <c r="AO50" s="12">
        <v>0</v>
      </c>
      <c r="AP50" s="12">
        <v>0</v>
      </c>
      <c r="AQ50" s="12">
        <v>500</v>
      </c>
      <c r="AR50" s="12">
        <v>1000</v>
      </c>
      <c r="AS50" s="12">
        <v>0</v>
      </c>
      <c r="AT50" s="12">
        <v>0</v>
      </c>
      <c r="AU50" s="12">
        <v>0</v>
      </c>
      <c r="AV50" s="12">
        <v>0</v>
      </c>
      <c r="AW50" s="12">
        <v>500</v>
      </c>
      <c r="AX50" s="12">
        <v>6136</v>
      </c>
      <c r="AY50" s="12">
        <v>3543</v>
      </c>
      <c r="AZ50" s="12">
        <v>1500</v>
      </c>
      <c r="BA50" s="12">
        <v>0</v>
      </c>
      <c r="BC50" s="7">
        <f t="shared" si="3"/>
        <v>0</v>
      </c>
      <c r="BD50" s="7">
        <f t="shared" si="4"/>
        <v>500</v>
      </c>
      <c r="BE50" s="7">
        <f t="shared" si="5"/>
        <v>3536</v>
      </c>
    </row>
    <row r="51" spans="1:57" ht="15" customHeight="1" x14ac:dyDescent="0.3">
      <c r="A51" s="7">
        <f t="shared" si="0"/>
        <v>120019</v>
      </c>
      <c r="B51" s="7">
        <f t="shared" si="1"/>
        <v>116983</v>
      </c>
      <c r="C51" s="7">
        <f t="shared" si="2"/>
        <v>92267</v>
      </c>
      <c r="D51" s="5"/>
      <c r="E51" s="5" t="str">
        <f t="shared" ref="E51:E54" si="15">E50</f>
        <v>1203-008435</v>
      </c>
      <c r="F51" s="5"/>
      <c r="G51" s="5"/>
      <c r="H51" s="6"/>
      <c r="I51" s="11"/>
      <c r="J51" s="12">
        <v>0</v>
      </c>
      <c r="K51" s="11" t="s">
        <v>917</v>
      </c>
      <c r="L51" s="12">
        <v>17217</v>
      </c>
      <c r="M51" s="12">
        <v>5538</v>
      </c>
      <c r="N51" s="12">
        <v>17217</v>
      </c>
      <c r="O51" s="12">
        <v>17217</v>
      </c>
      <c r="P51" s="12">
        <v>17217</v>
      </c>
      <c r="Q51" s="12">
        <v>17217</v>
      </c>
      <c r="R51" s="12">
        <v>17217</v>
      </c>
      <c r="S51" s="12">
        <v>17217</v>
      </c>
      <c r="T51" s="12">
        <v>16717</v>
      </c>
      <c r="U51" s="12">
        <v>16717</v>
      </c>
      <c r="V51" s="12">
        <v>16717</v>
      </c>
      <c r="W51" s="12">
        <v>16717</v>
      </c>
      <c r="X51" s="12">
        <v>16717</v>
      </c>
      <c r="Y51" s="12">
        <v>16717</v>
      </c>
      <c r="Z51" s="12">
        <v>16717</v>
      </c>
      <c r="AA51" s="12">
        <v>16681</v>
      </c>
      <c r="AB51" s="12">
        <v>13181</v>
      </c>
      <c r="AC51" s="12">
        <v>13181</v>
      </c>
      <c r="AD51" s="12">
        <v>13181</v>
      </c>
      <c r="AE51" s="12">
        <v>13181</v>
      </c>
      <c r="AF51" s="12">
        <v>13181</v>
      </c>
      <c r="AG51" s="12">
        <v>13181</v>
      </c>
      <c r="AH51" s="12">
        <v>13181</v>
      </c>
      <c r="AI51" s="12">
        <v>13181</v>
      </c>
      <c r="AJ51" s="12">
        <v>10581</v>
      </c>
      <c r="AK51" s="12">
        <v>10581</v>
      </c>
      <c r="AL51" s="12">
        <v>10581</v>
      </c>
      <c r="AM51" s="12">
        <v>8038</v>
      </c>
      <c r="AN51" s="12">
        <v>7038</v>
      </c>
      <c r="AO51" s="12">
        <v>7038</v>
      </c>
      <c r="AP51" s="12">
        <v>7038</v>
      </c>
      <c r="AQ51" s="12">
        <v>6538</v>
      </c>
      <c r="AR51" s="12">
        <v>5538</v>
      </c>
      <c r="AS51" s="12">
        <v>5538</v>
      </c>
      <c r="AT51" s="12">
        <v>5538</v>
      </c>
      <c r="AU51" s="12">
        <v>5538</v>
      </c>
      <c r="AV51" s="12">
        <v>5538</v>
      </c>
      <c r="AW51" s="12">
        <v>0</v>
      </c>
      <c r="AX51" s="12">
        <v>0</v>
      </c>
      <c r="AY51" s="12">
        <v>0</v>
      </c>
      <c r="AZ51" s="12">
        <v>0</v>
      </c>
      <c r="BA51" s="12">
        <v>0</v>
      </c>
      <c r="BC51" s="7">
        <f t="shared" si="3"/>
        <v>51651</v>
      </c>
      <c r="BD51" s="7">
        <f t="shared" si="4"/>
        <v>118519</v>
      </c>
      <c r="BE51" s="7">
        <f t="shared" si="5"/>
        <v>106375</v>
      </c>
    </row>
    <row r="52" spans="1:57" ht="15" customHeight="1" x14ac:dyDescent="0.3">
      <c r="A52" s="7">
        <f t="shared" si="0"/>
        <v>0</v>
      </c>
      <c r="B52" s="7">
        <f t="shared" si="1"/>
        <v>0</v>
      </c>
      <c r="C52" s="7">
        <f t="shared" si="2"/>
        <v>0</v>
      </c>
      <c r="D52" s="5"/>
      <c r="E52" s="5" t="str">
        <f t="shared" si="15"/>
        <v>1203-008435</v>
      </c>
      <c r="F52" s="5"/>
      <c r="G52" s="5"/>
      <c r="H52" s="11" t="s">
        <v>769</v>
      </c>
      <c r="I52" s="11" t="s">
        <v>770</v>
      </c>
      <c r="J52" s="12"/>
      <c r="K52" s="11" t="s">
        <v>918</v>
      </c>
      <c r="L52" s="12">
        <v>0</v>
      </c>
      <c r="M52" s="12">
        <v>0</v>
      </c>
      <c r="N52" s="12">
        <v>0</v>
      </c>
      <c r="O52" s="12">
        <v>0</v>
      </c>
      <c r="P52" s="12">
        <v>0</v>
      </c>
      <c r="Q52" s="12">
        <v>0</v>
      </c>
      <c r="R52" s="12">
        <v>0</v>
      </c>
      <c r="S52" s="12">
        <v>0</v>
      </c>
      <c r="T52" s="12">
        <v>0</v>
      </c>
      <c r="U52" s="12">
        <v>0</v>
      </c>
      <c r="V52" s="12">
        <v>0</v>
      </c>
      <c r="W52" s="12">
        <v>0</v>
      </c>
      <c r="X52" s="12">
        <v>0</v>
      </c>
      <c r="Y52" s="12">
        <v>0</v>
      </c>
      <c r="Z52" s="12">
        <v>0</v>
      </c>
      <c r="AA52" s="12">
        <v>0</v>
      </c>
      <c r="AB52" s="12">
        <v>0</v>
      </c>
      <c r="AC52" s="12">
        <v>0</v>
      </c>
      <c r="AD52" s="12">
        <v>0</v>
      </c>
      <c r="AE52" s="12">
        <v>0</v>
      </c>
      <c r="AF52" s="12">
        <v>0</v>
      </c>
      <c r="AG52" s="12">
        <v>0</v>
      </c>
      <c r="AH52" s="12">
        <v>0</v>
      </c>
      <c r="AI52" s="12">
        <v>0</v>
      </c>
      <c r="AJ52" s="12">
        <v>0</v>
      </c>
      <c r="AK52" s="12">
        <v>0</v>
      </c>
      <c r="AL52" s="12">
        <v>0</v>
      </c>
      <c r="AM52" s="12">
        <v>0</v>
      </c>
      <c r="AN52" s="12">
        <v>0</v>
      </c>
      <c r="AO52" s="12">
        <v>0</v>
      </c>
      <c r="AP52" s="12">
        <v>0</v>
      </c>
      <c r="AQ52" s="12">
        <v>0</v>
      </c>
      <c r="AR52" s="12">
        <v>0</v>
      </c>
      <c r="AS52" s="12">
        <v>0</v>
      </c>
      <c r="AT52" s="12">
        <v>0</v>
      </c>
      <c r="AU52" s="12">
        <v>0</v>
      </c>
      <c r="AV52" s="12">
        <v>0</v>
      </c>
      <c r="AW52" s="12">
        <v>0</v>
      </c>
      <c r="AX52" s="12">
        <v>0</v>
      </c>
      <c r="AY52" s="12">
        <v>0</v>
      </c>
      <c r="AZ52" s="12">
        <v>0</v>
      </c>
      <c r="BA52" s="12">
        <v>0</v>
      </c>
      <c r="BC52" s="7">
        <f t="shared" si="3"/>
        <v>0</v>
      </c>
      <c r="BD52" s="7">
        <f t="shared" si="4"/>
        <v>0</v>
      </c>
      <c r="BE52" s="7">
        <f t="shared" si="5"/>
        <v>0</v>
      </c>
    </row>
    <row r="53" spans="1:57" ht="15" customHeight="1" x14ac:dyDescent="0.3">
      <c r="A53" s="7">
        <f t="shared" si="0"/>
        <v>0</v>
      </c>
      <c r="B53" s="7">
        <f t="shared" si="1"/>
        <v>0</v>
      </c>
      <c r="C53" s="7">
        <f t="shared" si="2"/>
        <v>0</v>
      </c>
      <c r="D53" s="5"/>
      <c r="E53" s="5" t="str">
        <f t="shared" si="15"/>
        <v>1203-008435</v>
      </c>
      <c r="F53" s="5"/>
      <c r="G53" s="5"/>
      <c r="H53" s="11" t="s">
        <v>49</v>
      </c>
      <c r="I53" s="11"/>
      <c r="J53" s="12">
        <v>0</v>
      </c>
      <c r="K53" s="11" t="s">
        <v>919</v>
      </c>
      <c r="L53" s="12">
        <v>0</v>
      </c>
      <c r="M53" s="12">
        <v>0</v>
      </c>
      <c r="N53" s="12">
        <v>0</v>
      </c>
      <c r="O53" s="12">
        <v>0</v>
      </c>
      <c r="P53" s="12">
        <v>0</v>
      </c>
      <c r="Q53" s="12">
        <v>0</v>
      </c>
      <c r="R53" s="12">
        <v>0</v>
      </c>
      <c r="S53" s="12">
        <v>0</v>
      </c>
      <c r="T53" s="12">
        <v>0</v>
      </c>
      <c r="U53" s="12">
        <v>0</v>
      </c>
      <c r="V53" s="12">
        <v>0</v>
      </c>
      <c r="W53" s="12">
        <v>0</v>
      </c>
      <c r="X53" s="12">
        <v>0</v>
      </c>
      <c r="Y53" s="12">
        <v>0</v>
      </c>
      <c r="Z53" s="12">
        <v>0</v>
      </c>
      <c r="AA53" s="12">
        <v>0</v>
      </c>
      <c r="AB53" s="12">
        <v>0</v>
      </c>
      <c r="AC53" s="12">
        <v>0</v>
      </c>
      <c r="AD53" s="12">
        <v>0</v>
      </c>
      <c r="AE53" s="12">
        <v>0</v>
      </c>
      <c r="AF53" s="12">
        <v>0</v>
      </c>
      <c r="AG53" s="12">
        <v>0</v>
      </c>
      <c r="AH53" s="12">
        <v>0</v>
      </c>
      <c r="AI53" s="12">
        <v>0</v>
      </c>
      <c r="AJ53" s="12">
        <v>0</v>
      </c>
      <c r="AK53" s="12">
        <v>0</v>
      </c>
      <c r="AL53" s="12">
        <v>0</v>
      </c>
      <c r="AM53" s="12">
        <v>0</v>
      </c>
      <c r="AN53" s="12">
        <v>0</v>
      </c>
      <c r="AO53" s="12">
        <v>0</v>
      </c>
      <c r="AP53" s="12">
        <v>0</v>
      </c>
      <c r="AQ53" s="12">
        <v>0</v>
      </c>
      <c r="AR53" s="12">
        <v>0</v>
      </c>
      <c r="AS53" s="12">
        <v>0</v>
      </c>
      <c r="AT53" s="12">
        <v>0</v>
      </c>
      <c r="AU53" s="12">
        <v>0</v>
      </c>
      <c r="AV53" s="12">
        <v>0</v>
      </c>
      <c r="AW53" s="12">
        <v>0</v>
      </c>
      <c r="AX53" s="12">
        <v>0</v>
      </c>
      <c r="AY53" s="12">
        <v>0</v>
      </c>
      <c r="AZ53" s="12">
        <v>0</v>
      </c>
      <c r="BA53" s="12">
        <v>0</v>
      </c>
      <c r="BC53" s="7">
        <f t="shared" si="3"/>
        <v>0</v>
      </c>
      <c r="BD53" s="7">
        <f t="shared" si="4"/>
        <v>0</v>
      </c>
      <c r="BE53" s="7">
        <f t="shared" si="5"/>
        <v>0</v>
      </c>
    </row>
    <row r="54" spans="1:57" ht="15" customHeight="1" x14ac:dyDescent="0.3">
      <c r="A54" s="7">
        <f t="shared" si="0"/>
        <v>120019</v>
      </c>
      <c r="B54" s="7">
        <f t="shared" si="1"/>
        <v>116983</v>
      </c>
      <c r="C54" s="7">
        <f t="shared" si="2"/>
        <v>92267</v>
      </c>
      <c r="D54" s="5"/>
      <c r="E54" s="5" t="str">
        <f t="shared" si="15"/>
        <v>1203-008435</v>
      </c>
      <c r="F54" s="5"/>
      <c r="G54" s="6"/>
      <c r="H54" s="11" t="s">
        <v>920</v>
      </c>
      <c r="I54" s="11"/>
      <c r="J54" s="12">
        <v>0</v>
      </c>
      <c r="K54" s="11" t="s">
        <v>921</v>
      </c>
      <c r="L54" s="12">
        <v>0</v>
      </c>
      <c r="M54" s="12">
        <v>5538</v>
      </c>
      <c r="N54" s="12">
        <v>17217</v>
      </c>
      <c r="O54" s="12">
        <v>17217</v>
      </c>
      <c r="P54" s="12">
        <v>17217</v>
      </c>
      <c r="Q54" s="12">
        <v>17217</v>
      </c>
      <c r="R54" s="12">
        <v>17217</v>
      </c>
      <c r="S54" s="12">
        <v>17217</v>
      </c>
      <c r="T54" s="12">
        <v>16717</v>
      </c>
      <c r="U54" s="12">
        <v>16717</v>
      </c>
      <c r="V54" s="12">
        <v>16717</v>
      </c>
      <c r="W54" s="12">
        <v>16717</v>
      </c>
      <c r="X54" s="12">
        <v>16717</v>
      </c>
      <c r="Y54" s="12">
        <v>16717</v>
      </c>
      <c r="Z54" s="12">
        <v>16717</v>
      </c>
      <c r="AA54" s="12">
        <v>16681</v>
      </c>
      <c r="AB54" s="12">
        <v>13181</v>
      </c>
      <c r="AC54" s="12">
        <v>13181</v>
      </c>
      <c r="AD54" s="12">
        <v>13181</v>
      </c>
      <c r="AE54" s="12">
        <v>13181</v>
      </c>
      <c r="AF54" s="12">
        <v>13181</v>
      </c>
      <c r="AG54" s="12">
        <v>13181</v>
      </c>
      <c r="AH54" s="12">
        <v>13181</v>
      </c>
      <c r="AI54" s="12">
        <v>13181</v>
      </c>
      <c r="AJ54" s="12">
        <v>10581</v>
      </c>
      <c r="AK54" s="12">
        <v>10581</v>
      </c>
      <c r="AL54" s="12">
        <v>10581</v>
      </c>
      <c r="AM54" s="12">
        <v>8038</v>
      </c>
      <c r="AN54" s="12">
        <v>7038</v>
      </c>
      <c r="AO54" s="12">
        <v>7038</v>
      </c>
      <c r="AP54" s="12">
        <v>7038</v>
      </c>
      <c r="AQ54" s="12">
        <v>6538</v>
      </c>
      <c r="AR54" s="12">
        <v>5538</v>
      </c>
      <c r="AS54" s="12">
        <v>5538</v>
      </c>
      <c r="AT54" s="12">
        <v>5538</v>
      </c>
      <c r="AU54" s="12">
        <v>5538</v>
      </c>
      <c r="AV54" s="12">
        <v>5538</v>
      </c>
      <c r="AW54" s="12">
        <v>0</v>
      </c>
      <c r="AX54" s="12">
        <v>0</v>
      </c>
      <c r="AY54" s="12">
        <v>0</v>
      </c>
      <c r="AZ54" s="12">
        <v>0</v>
      </c>
      <c r="BA54" s="12">
        <v>0</v>
      </c>
      <c r="BC54" s="7">
        <f t="shared" si="3"/>
        <v>51651</v>
      </c>
      <c r="BD54" s="7">
        <f t="shared" si="4"/>
        <v>118519</v>
      </c>
      <c r="BE54" s="7">
        <f t="shared" si="5"/>
        <v>106375</v>
      </c>
    </row>
    <row r="55" spans="1:57" ht="15" customHeight="1" x14ac:dyDescent="0.3">
      <c r="A55" s="7">
        <f t="shared" si="0"/>
        <v>0</v>
      </c>
      <c r="B55" s="7">
        <f t="shared" si="1"/>
        <v>15000</v>
      </c>
      <c r="C55" s="7">
        <f t="shared" si="2"/>
        <v>69173</v>
      </c>
      <c r="D55" s="5"/>
      <c r="E55" s="13" t="s">
        <v>827</v>
      </c>
      <c r="F55" s="5"/>
      <c r="G55" s="13" t="s">
        <v>928</v>
      </c>
      <c r="H55" s="13" t="s">
        <v>49</v>
      </c>
      <c r="I55" s="11" t="s">
        <v>49</v>
      </c>
      <c r="J55" s="12">
        <v>0</v>
      </c>
      <c r="K55" s="11" t="s">
        <v>916</v>
      </c>
      <c r="L55" s="12">
        <v>0</v>
      </c>
      <c r="M55" s="12">
        <v>1036810</v>
      </c>
      <c r="N55" s="12">
        <v>0</v>
      </c>
      <c r="O55" s="12">
        <v>0</v>
      </c>
      <c r="P55" s="12">
        <v>0</v>
      </c>
      <c r="Q55" s="12">
        <v>0</v>
      </c>
      <c r="R55" s="12">
        <v>0</v>
      </c>
      <c r="S55" s="12">
        <v>0</v>
      </c>
      <c r="T55" s="12">
        <v>0</v>
      </c>
      <c r="U55" s="12">
        <v>15000</v>
      </c>
      <c r="V55" s="12">
        <v>0</v>
      </c>
      <c r="W55" s="12">
        <v>0</v>
      </c>
      <c r="X55" s="12">
        <v>0</v>
      </c>
      <c r="Y55" s="12">
        <v>0</v>
      </c>
      <c r="Z55" s="12">
        <v>0</v>
      </c>
      <c r="AA55" s="12">
        <v>0</v>
      </c>
      <c r="AB55" s="12">
        <v>69173</v>
      </c>
      <c r="AC55" s="12">
        <v>0</v>
      </c>
      <c r="AD55" s="12">
        <v>0</v>
      </c>
      <c r="AE55" s="12">
        <v>0</v>
      </c>
      <c r="AF55" s="12">
        <v>0</v>
      </c>
      <c r="AG55" s="12">
        <v>0</v>
      </c>
      <c r="AH55" s="12">
        <v>0</v>
      </c>
      <c r="AI55" s="12">
        <v>50000</v>
      </c>
      <c r="AJ55" s="12">
        <v>64000</v>
      </c>
      <c r="AK55" s="12">
        <v>51000</v>
      </c>
      <c r="AL55" s="12">
        <v>0</v>
      </c>
      <c r="AM55" s="12">
        <v>70000</v>
      </c>
      <c r="AN55" s="12">
        <v>209000</v>
      </c>
      <c r="AO55" s="12">
        <v>31500</v>
      </c>
      <c r="AP55" s="12">
        <v>0</v>
      </c>
      <c r="AQ55" s="12">
        <v>123637</v>
      </c>
      <c r="AR55" s="12">
        <v>117000</v>
      </c>
      <c r="AS55" s="12">
        <v>0</v>
      </c>
      <c r="AT55" s="12">
        <v>236500</v>
      </c>
      <c r="AU55" s="12">
        <v>0</v>
      </c>
      <c r="AV55" s="12">
        <v>0</v>
      </c>
      <c r="AW55" s="12">
        <v>15000</v>
      </c>
      <c r="AX55" s="12">
        <v>234173</v>
      </c>
      <c r="AY55" s="12">
        <v>310500</v>
      </c>
      <c r="AZ55" s="12">
        <v>477137</v>
      </c>
      <c r="BA55" s="12">
        <v>0</v>
      </c>
      <c r="BC55" s="7">
        <f t="shared" si="3"/>
        <v>0</v>
      </c>
      <c r="BD55" s="7">
        <f t="shared" si="4"/>
        <v>15000</v>
      </c>
      <c r="BE55" s="7">
        <f t="shared" si="5"/>
        <v>69173</v>
      </c>
    </row>
    <row r="56" spans="1:57" ht="15" customHeight="1" x14ac:dyDescent="0.3">
      <c r="A56" s="7">
        <f t="shared" si="0"/>
        <v>3697288</v>
      </c>
      <c r="B56" s="7">
        <f t="shared" si="1"/>
        <v>3592288</v>
      </c>
      <c r="C56" s="7">
        <f t="shared" si="2"/>
        <v>3108077</v>
      </c>
      <c r="D56" s="5"/>
      <c r="E56" s="5" t="str">
        <f t="shared" ref="E56:E59" si="16">E55</f>
        <v>1203-008530</v>
      </c>
      <c r="F56" s="5"/>
      <c r="G56" s="5"/>
      <c r="H56" s="6"/>
      <c r="I56" s="11"/>
      <c r="J56" s="12">
        <v>0</v>
      </c>
      <c r="K56" s="11" t="s">
        <v>917</v>
      </c>
      <c r="L56" s="12">
        <v>528184</v>
      </c>
      <c r="M56" s="12">
        <v>-508626</v>
      </c>
      <c r="N56" s="12">
        <v>528184</v>
      </c>
      <c r="O56" s="12">
        <v>528184</v>
      </c>
      <c r="P56" s="12">
        <v>528184</v>
      </c>
      <c r="Q56" s="12">
        <v>528184</v>
      </c>
      <c r="R56" s="12">
        <v>528184</v>
      </c>
      <c r="S56" s="12">
        <v>528184</v>
      </c>
      <c r="T56" s="12">
        <v>528184</v>
      </c>
      <c r="U56" s="12">
        <v>513184</v>
      </c>
      <c r="V56" s="12">
        <v>513184</v>
      </c>
      <c r="W56" s="12">
        <v>513184</v>
      </c>
      <c r="X56" s="12">
        <v>513184</v>
      </c>
      <c r="Y56" s="12">
        <v>513184</v>
      </c>
      <c r="Z56" s="12">
        <v>513184</v>
      </c>
      <c r="AA56" s="12">
        <v>513184</v>
      </c>
      <c r="AB56" s="12">
        <v>444011</v>
      </c>
      <c r="AC56" s="12">
        <v>444011</v>
      </c>
      <c r="AD56" s="12">
        <v>444011</v>
      </c>
      <c r="AE56" s="12">
        <v>444011</v>
      </c>
      <c r="AF56" s="12">
        <v>444011</v>
      </c>
      <c r="AG56" s="12">
        <v>444011</v>
      </c>
      <c r="AH56" s="12">
        <v>444011</v>
      </c>
      <c r="AI56" s="12">
        <v>394011</v>
      </c>
      <c r="AJ56" s="12">
        <v>330011</v>
      </c>
      <c r="AK56" s="12">
        <v>279011</v>
      </c>
      <c r="AL56" s="12">
        <v>279011</v>
      </c>
      <c r="AM56" s="12">
        <v>209011</v>
      </c>
      <c r="AN56" s="12">
        <v>11</v>
      </c>
      <c r="AO56" s="12">
        <v>-31489</v>
      </c>
      <c r="AP56" s="12">
        <v>-31489</v>
      </c>
      <c r="AQ56" s="12">
        <v>-155126</v>
      </c>
      <c r="AR56" s="12">
        <v>-272126</v>
      </c>
      <c r="AS56" s="12">
        <v>-272126</v>
      </c>
      <c r="AT56" s="12">
        <v>-508626</v>
      </c>
      <c r="AU56" s="12">
        <v>-508626</v>
      </c>
      <c r="AV56" s="12">
        <v>-508626</v>
      </c>
      <c r="AW56" s="12">
        <v>0</v>
      </c>
      <c r="AX56" s="12">
        <v>0</v>
      </c>
      <c r="AY56" s="12">
        <v>0</v>
      </c>
      <c r="AZ56" s="12">
        <v>0</v>
      </c>
      <c r="BA56" s="12">
        <v>0</v>
      </c>
      <c r="BC56" s="7">
        <f t="shared" si="3"/>
        <v>1584552</v>
      </c>
      <c r="BD56" s="7">
        <f t="shared" si="4"/>
        <v>3652288</v>
      </c>
      <c r="BE56" s="7">
        <f t="shared" si="5"/>
        <v>3384769</v>
      </c>
    </row>
    <row r="57" spans="1:57" ht="15" customHeight="1" x14ac:dyDescent="0.3">
      <c r="A57" s="7">
        <f t="shared" si="0"/>
        <v>0</v>
      </c>
      <c r="B57" s="7">
        <f t="shared" si="1"/>
        <v>0</v>
      </c>
      <c r="C57" s="7">
        <f t="shared" si="2"/>
        <v>0</v>
      </c>
      <c r="D57" s="5"/>
      <c r="E57" s="5" t="str">
        <f t="shared" si="16"/>
        <v>1203-008530</v>
      </c>
      <c r="F57" s="5"/>
      <c r="G57" s="5"/>
      <c r="H57" s="11" t="s">
        <v>828</v>
      </c>
      <c r="I57" s="11" t="s">
        <v>829</v>
      </c>
      <c r="J57" s="12">
        <v>477500</v>
      </c>
      <c r="K57" s="11" t="s">
        <v>918</v>
      </c>
      <c r="L57" s="12">
        <v>0</v>
      </c>
      <c r="M57" s="12">
        <v>0</v>
      </c>
      <c r="N57" s="12">
        <v>0</v>
      </c>
      <c r="O57" s="12">
        <v>0</v>
      </c>
      <c r="P57" s="12">
        <v>0</v>
      </c>
      <c r="Q57" s="12">
        <v>0</v>
      </c>
      <c r="R57" s="12">
        <v>0</v>
      </c>
      <c r="S57" s="12">
        <v>0</v>
      </c>
      <c r="T57" s="12">
        <v>0</v>
      </c>
      <c r="U57" s="12">
        <v>0</v>
      </c>
      <c r="V57" s="12">
        <v>0</v>
      </c>
      <c r="W57" s="12">
        <v>0</v>
      </c>
      <c r="X57" s="12">
        <v>0</v>
      </c>
      <c r="Y57" s="12">
        <v>0</v>
      </c>
      <c r="Z57" s="12">
        <v>0</v>
      </c>
      <c r="AA57" s="12">
        <v>0</v>
      </c>
      <c r="AB57" s="12">
        <v>0</v>
      </c>
      <c r="AC57" s="12">
        <v>0</v>
      </c>
      <c r="AD57" s="12">
        <v>0</v>
      </c>
      <c r="AE57" s="12">
        <v>0</v>
      </c>
      <c r="AF57" s="12">
        <v>0</v>
      </c>
      <c r="AG57" s="12">
        <v>0</v>
      </c>
      <c r="AH57" s="12">
        <v>0</v>
      </c>
      <c r="AI57" s="12">
        <v>0</v>
      </c>
      <c r="AJ57" s="12">
        <v>0</v>
      </c>
      <c r="AK57" s="12">
        <v>0</v>
      </c>
      <c r="AL57" s="12">
        <v>0</v>
      </c>
      <c r="AM57" s="12">
        <v>0</v>
      </c>
      <c r="AN57" s="12">
        <v>0</v>
      </c>
      <c r="AO57" s="12">
        <v>0</v>
      </c>
      <c r="AP57" s="12">
        <v>0</v>
      </c>
      <c r="AQ57" s="12">
        <v>0</v>
      </c>
      <c r="AR57" s="12">
        <v>0</v>
      </c>
      <c r="AS57" s="12">
        <v>0</v>
      </c>
      <c r="AT57" s="12">
        <v>0</v>
      </c>
      <c r="AU57" s="12">
        <v>0</v>
      </c>
      <c r="AV57" s="12">
        <v>0</v>
      </c>
      <c r="AW57" s="12">
        <v>0</v>
      </c>
      <c r="AX57" s="12">
        <v>0</v>
      </c>
      <c r="AY57" s="12">
        <v>0</v>
      </c>
      <c r="AZ57" s="12">
        <v>0</v>
      </c>
      <c r="BA57" s="12">
        <v>0</v>
      </c>
      <c r="BC57" s="7">
        <f t="shared" si="3"/>
        <v>0</v>
      </c>
      <c r="BD57" s="7">
        <f t="shared" si="4"/>
        <v>0</v>
      </c>
      <c r="BE57" s="7">
        <f t="shared" si="5"/>
        <v>0</v>
      </c>
    </row>
    <row r="58" spans="1:57" ht="15" customHeight="1" x14ac:dyDescent="0.3">
      <c r="A58" s="7">
        <f t="shared" si="0"/>
        <v>0</v>
      </c>
      <c r="B58" s="7">
        <f t="shared" si="1"/>
        <v>0</v>
      </c>
      <c r="C58" s="7">
        <f t="shared" si="2"/>
        <v>0</v>
      </c>
      <c r="D58" s="5"/>
      <c r="E58" s="5" t="str">
        <f t="shared" si="16"/>
        <v>1203-008530</v>
      </c>
      <c r="F58" s="5"/>
      <c r="G58" s="5"/>
      <c r="H58" s="11" t="s">
        <v>49</v>
      </c>
      <c r="I58" s="11"/>
      <c r="J58" s="12">
        <v>0</v>
      </c>
      <c r="K58" s="11" t="s">
        <v>919</v>
      </c>
      <c r="L58" s="12">
        <v>0</v>
      </c>
      <c r="M58" s="12">
        <v>0</v>
      </c>
      <c r="N58" s="12">
        <v>0</v>
      </c>
      <c r="O58" s="12">
        <v>0</v>
      </c>
      <c r="P58" s="12">
        <v>0</v>
      </c>
      <c r="Q58" s="12">
        <v>0</v>
      </c>
      <c r="R58" s="12">
        <v>0</v>
      </c>
      <c r="S58" s="12">
        <v>0</v>
      </c>
      <c r="T58" s="12">
        <v>0</v>
      </c>
      <c r="U58" s="12">
        <v>0</v>
      </c>
      <c r="V58" s="12">
        <v>0</v>
      </c>
      <c r="W58" s="12">
        <v>0</v>
      </c>
      <c r="X58" s="12">
        <v>0</v>
      </c>
      <c r="Y58" s="12">
        <v>0</v>
      </c>
      <c r="Z58" s="12">
        <v>0</v>
      </c>
      <c r="AA58" s="12">
        <v>0</v>
      </c>
      <c r="AB58" s="12">
        <v>0</v>
      </c>
      <c r="AC58" s="12">
        <v>0</v>
      </c>
      <c r="AD58" s="12">
        <v>0</v>
      </c>
      <c r="AE58" s="12">
        <v>0</v>
      </c>
      <c r="AF58" s="12">
        <v>0</v>
      </c>
      <c r="AG58" s="12">
        <v>0</v>
      </c>
      <c r="AH58" s="12">
        <v>0</v>
      </c>
      <c r="AI58" s="12">
        <v>0</v>
      </c>
      <c r="AJ58" s="12">
        <v>0</v>
      </c>
      <c r="AK58" s="12">
        <v>0</v>
      </c>
      <c r="AL58" s="12">
        <v>0</v>
      </c>
      <c r="AM58" s="12">
        <v>0</v>
      </c>
      <c r="AN58" s="12">
        <v>0</v>
      </c>
      <c r="AO58" s="12">
        <v>0</v>
      </c>
      <c r="AP58" s="12">
        <v>0</v>
      </c>
      <c r="AQ58" s="12">
        <v>0</v>
      </c>
      <c r="AR58" s="12">
        <v>0</v>
      </c>
      <c r="AS58" s="12">
        <v>0</v>
      </c>
      <c r="AT58" s="12">
        <v>0</v>
      </c>
      <c r="AU58" s="12">
        <v>0</v>
      </c>
      <c r="AV58" s="12">
        <v>0</v>
      </c>
      <c r="AW58" s="12">
        <v>0</v>
      </c>
      <c r="AX58" s="12">
        <v>0</v>
      </c>
      <c r="AY58" s="12">
        <v>0</v>
      </c>
      <c r="AZ58" s="12">
        <v>0</v>
      </c>
      <c r="BA58" s="12">
        <v>0</v>
      </c>
      <c r="BC58" s="7">
        <f t="shared" si="3"/>
        <v>0</v>
      </c>
      <c r="BD58" s="7">
        <f t="shared" si="4"/>
        <v>0</v>
      </c>
      <c r="BE58" s="7">
        <f t="shared" si="5"/>
        <v>0</v>
      </c>
    </row>
    <row r="59" spans="1:57" ht="15" customHeight="1" x14ac:dyDescent="0.3">
      <c r="A59" s="7">
        <f t="shared" si="0"/>
        <v>3697288</v>
      </c>
      <c r="B59" s="7">
        <f t="shared" si="1"/>
        <v>3592288</v>
      </c>
      <c r="C59" s="7">
        <f t="shared" si="2"/>
        <v>3108077</v>
      </c>
      <c r="D59" s="5"/>
      <c r="E59" s="5" t="str">
        <f t="shared" si="16"/>
        <v>1203-008530</v>
      </c>
      <c r="F59" s="5"/>
      <c r="G59" s="6"/>
      <c r="H59" s="11" t="s">
        <v>920</v>
      </c>
      <c r="I59" s="11"/>
      <c r="J59" s="12">
        <v>0</v>
      </c>
      <c r="K59" s="11" t="s">
        <v>921</v>
      </c>
      <c r="L59" s="12">
        <v>0</v>
      </c>
      <c r="M59" s="12">
        <v>-508626</v>
      </c>
      <c r="N59" s="12">
        <v>528184</v>
      </c>
      <c r="O59" s="12">
        <v>528184</v>
      </c>
      <c r="P59" s="12">
        <v>528184</v>
      </c>
      <c r="Q59" s="12">
        <v>528184</v>
      </c>
      <c r="R59" s="12">
        <v>528184</v>
      </c>
      <c r="S59" s="12">
        <v>528184</v>
      </c>
      <c r="T59" s="12">
        <v>528184</v>
      </c>
      <c r="U59" s="12">
        <v>513184</v>
      </c>
      <c r="V59" s="12">
        <v>513184</v>
      </c>
      <c r="W59" s="12">
        <v>513184</v>
      </c>
      <c r="X59" s="12">
        <v>513184</v>
      </c>
      <c r="Y59" s="12">
        <v>513184</v>
      </c>
      <c r="Z59" s="12">
        <v>513184</v>
      </c>
      <c r="AA59" s="12">
        <v>513184</v>
      </c>
      <c r="AB59" s="12">
        <v>444011</v>
      </c>
      <c r="AC59" s="12">
        <v>444011</v>
      </c>
      <c r="AD59" s="12">
        <v>444011</v>
      </c>
      <c r="AE59" s="12">
        <v>444011</v>
      </c>
      <c r="AF59" s="12">
        <v>444011</v>
      </c>
      <c r="AG59" s="12">
        <v>444011</v>
      </c>
      <c r="AH59" s="12">
        <v>444011</v>
      </c>
      <c r="AI59" s="12">
        <v>394011</v>
      </c>
      <c r="AJ59" s="12">
        <v>330011</v>
      </c>
      <c r="AK59" s="12">
        <v>279011</v>
      </c>
      <c r="AL59" s="12">
        <v>279011</v>
      </c>
      <c r="AM59" s="12">
        <v>209011</v>
      </c>
      <c r="AN59" s="12">
        <v>11</v>
      </c>
      <c r="AO59" s="12">
        <v>-31489</v>
      </c>
      <c r="AP59" s="12">
        <v>-31489</v>
      </c>
      <c r="AQ59" s="12">
        <v>-155126</v>
      </c>
      <c r="AR59" s="12">
        <v>-272126</v>
      </c>
      <c r="AS59" s="12">
        <v>-272126</v>
      </c>
      <c r="AT59" s="12">
        <v>-508626</v>
      </c>
      <c r="AU59" s="12">
        <v>-508626</v>
      </c>
      <c r="AV59" s="12">
        <v>-508626</v>
      </c>
      <c r="AW59" s="12">
        <v>0</v>
      </c>
      <c r="AX59" s="12">
        <v>0</v>
      </c>
      <c r="AY59" s="12">
        <v>0</v>
      </c>
      <c r="AZ59" s="12">
        <v>0</v>
      </c>
      <c r="BA59" s="12">
        <v>0</v>
      </c>
      <c r="BC59" s="7">
        <f t="shared" si="3"/>
        <v>1584552</v>
      </c>
      <c r="BD59" s="7">
        <f t="shared" si="4"/>
        <v>3652288</v>
      </c>
      <c r="BE59" s="7">
        <f t="shared" si="5"/>
        <v>3384769</v>
      </c>
    </row>
    <row r="60" spans="1:57" ht="15" customHeight="1" x14ac:dyDescent="0.3">
      <c r="A60" s="7">
        <f t="shared" si="0"/>
        <v>0</v>
      </c>
      <c r="B60" s="7">
        <f t="shared" si="1"/>
        <v>0</v>
      </c>
      <c r="C60" s="7">
        <f t="shared" si="2"/>
        <v>4812</v>
      </c>
      <c r="D60" s="5"/>
      <c r="E60" s="13" t="s">
        <v>872</v>
      </c>
      <c r="F60" s="5"/>
      <c r="G60" s="13" t="s">
        <v>929</v>
      </c>
      <c r="H60" s="13" t="s">
        <v>49</v>
      </c>
      <c r="I60" s="11" t="s">
        <v>49</v>
      </c>
      <c r="J60" s="12">
        <v>0</v>
      </c>
      <c r="K60" s="11" t="s">
        <v>916</v>
      </c>
      <c r="L60" s="12">
        <v>0</v>
      </c>
      <c r="M60" s="12">
        <v>32812</v>
      </c>
      <c r="N60" s="12">
        <v>0</v>
      </c>
      <c r="O60" s="12">
        <v>0</v>
      </c>
      <c r="P60" s="12">
        <v>0</v>
      </c>
      <c r="Q60" s="12">
        <v>0</v>
      </c>
      <c r="R60" s="12">
        <v>0</v>
      </c>
      <c r="S60" s="12">
        <v>0</v>
      </c>
      <c r="T60" s="12">
        <v>0</v>
      </c>
      <c r="U60" s="12">
        <v>0</v>
      </c>
      <c r="V60" s="12">
        <v>0</v>
      </c>
      <c r="W60" s="12">
        <v>0</v>
      </c>
      <c r="X60" s="12">
        <v>0</v>
      </c>
      <c r="Y60" s="12">
        <v>0</v>
      </c>
      <c r="Z60" s="12">
        <v>0</v>
      </c>
      <c r="AA60" s="12">
        <v>0</v>
      </c>
      <c r="AB60" s="12">
        <v>4812</v>
      </c>
      <c r="AC60" s="12">
        <v>0</v>
      </c>
      <c r="AD60" s="12">
        <v>0</v>
      </c>
      <c r="AE60" s="12">
        <v>0</v>
      </c>
      <c r="AF60" s="12">
        <v>0</v>
      </c>
      <c r="AG60" s="12">
        <v>0</v>
      </c>
      <c r="AH60" s="12">
        <v>0</v>
      </c>
      <c r="AI60" s="12">
        <v>5000</v>
      </c>
      <c r="AJ60" s="12">
        <v>5000</v>
      </c>
      <c r="AK60" s="12">
        <v>3000</v>
      </c>
      <c r="AL60" s="12">
        <v>0</v>
      </c>
      <c r="AM60" s="12">
        <v>0</v>
      </c>
      <c r="AN60" s="12">
        <v>7000</v>
      </c>
      <c r="AO60" s="12">
        <v>0</v>
      </c>
      <c r="AP60" s="12">
        <v>0</v>
      </c>
      <c r="AQ60" s="12">
        <v>5000</v>
      </c>
      <c r="AR60" s="12">
        <v>0</v>
      </c>
      <c r="AS60" s="12">
        <v>0</v>
      </c>
      <c r="AT60" s="12">
        <v>3000</v>
      </c>
      <c r="AU60" s="12">
        <v>0</v>
      </c>
      <c r="AV60" s="12">
        <v>0</v>
      </c>
      <c r="AW60" s="12">
        <v>0</v>
      </c>
      <c r="AX60" s="12">
        <v>17812</v>
      </c>
      <c r="AY60" s="12">
        <v>7000</v>
      </c>
      <c r="AZ60" s="12">
        <v>8000</v>
      </c>
      <c r="BA60" s="12">
        <v>0</v>
      </c>
      <c r="BC60" s="7">
        <f t="shared" si="3"/>
        <v>0</v>
      </c>
      <c r="BD60" s="7">
        <f t="shared" si="4"/>
        <v>0</v>
      </c>
      <c r="BE60" s="7">
        <f t="shared" si="5"/>
        <v>4812</v>
      </c>
    </row>
    <row r="61" spans="1:57" ht="15" customHeight="1" x14ac:dyDescent="0.3">
      <c r="A61" s="7">
        <f t="shared" si="0"/>
        <v>107891</v>
      </c>
      <c r="B61" s="7">
        <f t="shared" si="1"/>
        <v>107891</v>
      </c>
      <c r="C61" s="7">
        <f t="shared" si="2"/>
        <v>74207</v>
      </c>
      <c r="D61" s="5"/>
      <c r="E61" s="5" t="str">
        <f t="shared" ref="E61:E64" si="17">E60</f>
        <v>1203-008580</v>
      </c>
      <c r="F61" s="5"/>
      <c r="G61" s="5"/>
      <c r="H61" s="6"/>
      <c r="I61" s="11"/>
      <c r="J61" s="12">
        <v>0</v>
      </c>
      <c r="K61" s="11" t="s">
        <v>917</v>
      </c>
      <c r="L61" s="12">
        <v>15413</v>
      </c>
      <c r="M61" s="12">
        <v>-17399</v>
      </c>
      <c r="N61" s="12">
        <v>15413</v>
      </c>
      <c r="O61" s="12">
        <v>15413</v>
      </c>
      <c r="P61" s="12">
        <v>15413</v>
      </c>
      <c r="Q61" s="12">
        <v>15413</v>
      </c>
      <c r="R61" s="12">
        <v>15413</v>
      </c>
      <c r="S61" s="12">
        <v>15413</v>
      </c>
      <c r="T61" s="12">
        <v>15413</v>
      </c>
      <c r="U61" s="12">
        <v>15413</v>
      </c>
      <c r="V61" s="12">
        <v>15413</v>
      </c>
      <c r="W61" s="12">
        <v>15413</v>
      </c>
      <c r="X61" s="12">
        <v>15413</v>
      </c>
      <c r="Y61" s="12">
        <v>15413</v>
      </c>
      <c r="Z61" s="12">
        <v>15413</v>
      </c>
      <c r="AA61" s="12">
        <v>15413</v>
      </c>
      <c r="AB61" s="12">
        <v>10601</v>
      </c>
      <c r="AC61" s="12">
        <v>10601</v>
      </c>
      <c r="AD61" s="12">
        <v>10601</v>
      </c>
      <c r="AE61" s="12">
        <v>10601</v>
      </c>
      <c r="AF61" s="12">
        <v>10601</v>
      </c>
      <c r="AG61" s="12">
        <v>10601</v>
      </c>
      <c r="AH61" s="12">
        <v>10601</v>
      </c>
      <c r="AI61" s="12">
        <v>5601</v>
      </c>
      <c r="AJ61" s="12">
        <v>601</v>
      </c>
      <c r="AK61" s="12">
        <v>-2399</v>
      </c>
      <c r="AL61" s="12">
        <v>-2399</v>
      </c>
      <c r="AM61" s="12">
        <v>-2399</v>
      </c>
      <c r="AN61" s="12">
        <v>-9399</v>
      </c>
      <c r="AO61" s="12">
        <v>-9399</v>
      </c>
      <c r="AP61" s="12">
        <v>-9399</v>
      </c>
      <c r="AQ61" s="12">
        <v>-14399</v>
      </c>
      <c r="AR61" s="12">
        <v>-14399</v>
      </c>
      <c r="AS61" s="12">
        <v>-14399</v>
      </c>
      <c r="AT61" s="12">
        <v>-17399</v>
      </c>
      <c r="AU61" s="12">
        <v>-17399</v>
      </c>
      <c r="AV61" s="12">
        <v>-17399</v>
      </c>
      <c r="AW61" s="12">
        <v>0</v>
      </c>
      <c r="AX61" s="12">
        <v>0</v>
      </c>
      <c r="AY61" s="12">
        <v>0</v>
      </c>
      <c r="AZ61" s="12">
        <v>0</v>
      </c>
      <c r="BA61" s="12">
        <v>0</v>
      </c>
      <c r="BC61" s="7">
        <f t="shared" si="3"/>
        <v>46239</v>
      </c>
      <c r="BD61" s="7">
        <f t="shared" si="4"/>
        <v>107891</v>
      </c>
      <c r="BE61" s="7">
        <f t="shared" si="5"/>
        <v>93455</v>
      </c>
    </row>
    <row r="62" spans="1:57" ht="15" customHeight="1" x14ac:dyDescent="0.3">
      <c r="A62" s="7">
        <f t="shared" si="0"/>
        <v>0</v>
      </c>
      <c r="B62" s="7">
        <f t="shared" si="1"/>
        <v>0</v>
      </c>
      <c r="C62" s="7">
        <f t="shared" si="2"/>
        <v>0</v>
      </c>
      <c r="D62" s="5"/>
      <c r="E62" s="5" t="str">
        <f t="shared" si="17"/>
        <v>1203-008580</v>
      </c>
      <c r="F62" s="5"/>
      <c r="G62" s="5"/>
      <c r="H62" s="11" t="s">
        <v>930</v>
      </c>
      <c r="I62" s="11" t="s">
        <v>931</v>
      </c>
      <c r="J62" s="12">
        <v>25000</v>
      </c>
      <c r="K62" s="11" t="s">
        <v>918</v>
      </c>
      <c r="L62" s="12">
        <v>0</v>
      </c>
      <c r="M62" s="12">
        <v>0</v>
      </c>
      <c r="N62" s="12">
        <v>0</v>
      </c>
      <c r="O62" s="12">
        <v>0</v>
      </c>
      <c r="P62" s="12">
        <v>0</v>
      </c>
      <c r="Q62" s="12">
        <v>0</v>
      </c>
      <c r="R62" s="12">
        <v>0</v>
      </c>
      <c r="S62" s="12">
        <v>0</v>
      </c>
      <c r="T62" s="12">
        <v>0</v>
      </c>
      <c r="U62" s="12">
        <v>0</v>
      </c>
      <c r="V62" s="12">
        <v>0</v>
      </c>
      <c r="W62" s="12">
        <v>0</v>
      </c>
      <c r="X62" s="12">
        <v>0</v>
      </c>
      <c r="Y62" s="12">
        <v>0</v>
      </c>
      <c r="Z62" s="12">
        <v>0</v>
      </c>
      <c r="AA62" s="12">
        <v>0</v>
      </c>
      <c r="AB62" s="12">
        <v>0</v>
      </c>
      <c r="AC62" s="12">
        <v>0</v>
      </c>
      <c r="AD62" s="12">
        <v>0</v>
      </c>
      <c r="AE62" s="12">
        <v>0</v>
      </c>
      <c r="AF62" s="12">
        <v>0</v>
      </c>
      <c r="AG62" s="12">
        <v>0</v>
      </c>
      <c r="AH62" s="12">
        <v>0</v>
      </c>
      <c r="AI62" s="12">
        <v>0</v>
      </c>
      <c r="AJ62" s="12">
        <v>0</v>
      </c>
      <c r="AK62" s="12">
        <v>0</v>
      </c>
      <c r="AL62" s="12">
        <v>0</v>
      </c>
      <c r="AM62" s="12">
        <v>0</v>
      </c>
      <c r="AN62" s="12">
        <v>0</v>
      </c>
      <c r="AO62" s="12">
        <v>0</v>
      </c>
      <c r="AP62" s="12">
        <v>0</v>
      </c>
      <c r="AQ62" s="12">
        <v>0</v>
      </c>
      <c r="AR62" s="12">
        <v>0</v>
      </c>
      <c r="AS62" s="12">
        <v>0</v>
      </c>
      <c r="AT62" s="12">
        <v>0</v>
      </c>
      <c r="AU62" s="12">
        <v>0</v>
      </c>
      <c r="AV62" s="12">
        <v>0</v>
      </c>
      <c r="AW62" s="12">
        <v>0</v>
      </c>
      <c r="AX62" s="12">
        <v>0</v>
      </c>
      <c r="AY62" s="12">
        <v>0</v>
      </c>
      <c r="AZ62" s="12">
        <v>0</v>
      </c>
      <c r="BA62" s="12">
        <v>0</v>
      </c>
      <c r="BC62" s="7">
        <f t="shared" si="3"/>
        <v>0</v>
      </c>
      <c r="BD62" s="7">
        <f t="shared" si="4"/>
        <v>0</v>
      </c>
      <c r="BE62" s="7">
        <f t="shared" si="5"/>
        <v>0</v>
      </c>
    </row>
    <row r="63" spans="1:57" ht="15" customHeight="1" x14ac:dyDescent="0.3">
      <c r="A63" s="7">
        <f t="shared" si="0"/>
        <v>0</v>
      </c>
      <c r="B63" s="7">
        <f t="shared" si="1"/>
        <v>0</v>
      </c>
      <c r="C63" s="7">
        <f t="shared" si="2"/>
        <v>0</v>
      </c>
      <c r="D63" s="5"/>
      <c r="E63" s="5" t="str">
        <f t="shared" si="17"/>
        <v>1203-008580</v>
      </c>
      <c r="F63" s="5"/>
      <c r="G63" s="5"/>
      <c r="H63" s="11" t="s">
        <v>49</v>
      </c>
      <c r="I63" s="11"/>
      <c r="J63" s="12">
        <v>0</v>
      </c>
      <c r="K63" s="11" t="s">
        <v>919</v>
      </c>
      <c r="L63" s="12">
        <v>0</v>
      </c>
      <c r="M63" s="12">
        <v>0</v>
      </c>
      <c r="N63" s="12">
        <v>0</v>
      </c>
      <c r="O63" s="12">
        <v>0</v>
      </c>
      <c r="P63" s="12">
        <v>0</v>
      </c>
      <c r="Q63" s="12">
        <v>0</v>
      </c>
      <c r="R63" s="12">
        <v>0</v>
      </c>
      <c r="S63" s="12">
        <v>0</v>
      </c>
      <c r="T63" s="12">
        <v>0</v>
      </c>
      <c r="U63" s="12">
        <v>0</v>
      </c>
      <c r="V63" s="12">
        <v>0</v>
      </c>
      <c r="W63" s="12">
        <v>0</v>
      </c>
      <c r="X63" s="12">
        <v>0</v>
      </c>
      <c r="Y63" s="12">
        <v>0</v>
      </c>
      <c r="Z63" s="12">
        <v>0</v>
      </c>
      <c r="AA63" s="12">
        <v>0</v>
      </c>
      <c r="AB63" s="12">
        <v>0</v>
      </c>
      <c r="AC63" s="12">
        <v>0</v>
      </c>
      <c r="AD63" s="12">
        <v>0</v>
      </c>
      <c r="AE63" s="12">
        <v>0</v>
      </c>
      <c r="AF63" s="12">
        <v>0</v>
      </c>
      <c r="AG63" s="12">
        <v>0</v>
      </c>
      <c r="AH63" s="12">
        <v>0</v>
      </c>
      <c r="AI63" s="12">
        <v>0</v>
      </c>
      <c r="AJ63" s="12">
        <v>0</v>
      </c>
      <c r="AK63" s="12">
        <v>0</v>
      </c>
      <c r="AL63" s="12">
        <v>0</v>
      </c>
      <c r="AM63" s="12">
        <v>0</v>
      </c>
      <c r="AN63" s="12">
        <v>0</v>
      </c>
      <c r="AO63" s="12">
        <v>0</v>
      </c>
      <c r="AP63" s="12">
        <v>0</v>
      </c>
      <c r="AQ63" s="12">
        <v>0</v>
      </c>
      <c r="AR63" s="12">
        <v>0</v>
      </c>
      <c r="AS63" s="12">
        <v>0</v>
      </c>
      <c r="AT63" s="12">
        <v>0</v>
      </c>
      <c r="AU63" s="12">
        <v>0</v>
      </c>
      <c r="AV63" s="12">
        <v>0</v>
      </c>
      <c r="AW63" s="12">
        <v>0</v>
      </c>
      <c r="AX63" s="12">
        <v>0</v>
      </c>
      <c r="AY63" s="12">
        <v>0</v>
      </c>
      <c r="AZ63" s="12">
        <v>0</v>
      </c>
      <c r="BA63" s="12">
        <v>0</v>
      </c>
      <c r="BC63" s="7">
        <f t="shared" si="3"/>
        <v>0</v>
      </c>
      <c r="BD63" s="7">
        <f t="shared" si="4"/>
        <v>0</v>
      </c>
      <c r="BE63" s="7">
        <f t="shared" si="5"/>
        <v>0</v>
      </c>
    </row>
    <row r="64" spans="1:57" ht="15" customHeight="1" x14ac:dyDescent="0.3">
      <c r="A64" s="7">
        <f t="shared" si="0"/>
        <v>107891</v>
      </c>
      <c r="B64" s="7">
        <f t="shared" si="1"/>
        <v>107891</v>
      </c>
      <c r="C64" s="7">
        <f t="shared" si="2"/>
        <v>74207</v>
      </c>
      <c r="D64" s="5"/>
      <c r="E64" s="5" t="str">
        <f t="shared" si="17"/>
        <v>1203-008580</v>
      </c>
      <c r="F64" s="5"/>
      <c r="G64" s="6"/>
      <c r="H64" s="11" t="s">
        <v>920</v>
      </c>
      <c r="I64" s="11"/>
      <c r="J64" s="12">
        <v>0</v>
      </c>
      <c r="K64" s="11" t="s">
        <v>921</v>
      </c>
      <c r="L64" s="12">
        <v>0</v>
      </c>
      <c r="M64" s="12">
        <v>-17399</v>
      </c>
      <c r="N64" s="12">
        <v>15413</v>
      </c>
      <c r="O64" s="12">
        <v>15413</v>
      </c>
      <c r="P64" s="12">
        <v>15413</v>
      </c>
      <c r="Q64" s="12">
        <v>15413</v>
      </c>
      <c r="R64" s="12">
        <v>15413</v>
      </c>
      <c r="S64" s="12">
        <v>15413</v>
      </c>
      <c r="T64" s="12">
        <v>15413</v>
      </c>
      <c r="U64" s="12">
        <v>15413</v>
      </c>
      <c r="V64" s="12">
        <v>15413</v>
      </c>
      <c r="W64" s="12">
        <v>15413</v>
      </c>
      <c r="X64" s="12">
        <v>15413</v>
      </c>
      <c r="Y64" s="12">
        <v>15413</v>
      </c>
      <c r="Z64" s="12">
        <v>15413</v>
      </c>
      <c r="AA64" s="12">
        <v>15413</v>
      </c>
      <c r="AB64" s="12">
        <v>10601</v>
      </c>
      <c r="AC64" s="12">
        <v>10601</v>
      </c>
      <c r="AD64" s="12">
        <v>10601</v>
      </c>
      <c r="AE64" s="12">
        <v>10601</v>
      </c>
      <c r="AF64" s="12">
        <v>10601</v>
      </c>
      <c r="AG64" s="12">
        <v>10601</v>
      </c>
      <c r="AH64" s="12">
        <v>10601</v>
      </c>
      <c r="AI64" s="12">
        <v>5601</v>
      </c>
      <c r="AJ64" s="12">
        <v>601</v>
      </c>
      <c r="AK64" s="12">
        <v>-2399</v>
      </c>
      <c r="AL64" s="12">
        <v>-2399</v>
      </c>
      <c r="AM64" s="12">
        <v>-2399</v>
      </c>
      <c r="AN64" s="12">
        <v>-9399</v>
      </c>
      <c r="AO64" s="12">
        <v>-9399</v>
      </c>
      <c r="AP64" s="12">
        <v>-9399</v>
      </c>
      <c r="AQ64" s="12">
        <v>-14399</v>
      </c>
      <c r="AR64" s="12">
        <v>-14399</v>
      </c>
      <c r="AS64" s="12">
        <v>-14399</v>
      </c>
      <c r="AT64" s="12">
        <v>-17399</v>
      </c>
      <c r="AU64" s="12">
        <v>-17399</v>
      </c>
      <c r="AV64" s="12">
        <v>-17399</v>
      </c>
      <c r="AW64" s="12">
        <v>0</v>
      </c>
      <c r="AX64" s="12">
        <v>0</v>
      </c>
      <c r="AY64" s="12">
        <v>0</v>
      </c>
      <c r="AZ64" s="12">
        <v>0</v>
      </c>
      <c r="BA64" s="12">
        <v>0</v>
      </c>
      <c r="BC64" s="7">
        <f t="shared" si="3"/>
        <v>46239</v>
      </c>
      <c r="BD64" s="7">
        <f t="shared" si="4"/>
        <v>107891</v>
      </c>
      <c r="BE64" s="7">
        <f t="shared" si="5"/>
        <v>93455</v>
      </c>
    </row>
    <row r="65" spans="1:57" ht="15" customHeight="1" x14ac:dyDescent="0.3">
      <c r="A65" s="7">
        <f t="shared" si="0"/>
        <v>37165</v>
      </c>
      <c r="B65" s="7">
        <f t="shared" si="1"/>
        <v>15799</v>
      </c>
      <c r="C65" s="7">
        <f t="shared" si="2"/>
        <v>30782</v>
      </c>
      <c r="D65" s="5"/>
      <c r="E65" s="13" t="s">
        <v>789</v>
      </c>
      <c r="F65" s="5"/>
      <c r="G65" s="13" t="s">
        <v>995</v>
      </c>
      <c r="H65" s="13" t="s">
        <v>49</v>
      </c>
      <c r="I65" s="11" t="s">
        <v>49</v>
      </c>
      <c r="J65" s="12">
        <v>0</v>
      </c>
      <c r="K65" s="11" t="s">
        <v>916</v>
      </c>
      <c r="L65" s="12">
        <v>0</v>
      </c>
      <c r="M65" s="12">
        <v>195850</v>
      </c>
      <c r="N65" s="12">
        <v>8091</v>
      </c>
      <c r="O65" s="12">
        <v>7000</v>
      </c>
      <c r="P65" s="12">
        <v>6074</v>
      </c>
      <c r="Q65" s="12">
        <v>4000</v>
      </c>
      <c r="R65" s="12">
        <v>4000</v>
      </c>
      <c r="S65" s="12">
        <v>4000</v>
      </c>
      <c r="T65" s="12">
        <v>4000</v>
      </c>
      <c r="U65" s="12">
        <v>15799</v>
      </c>
      <c r="V65" s="12">
        <v>0</v>
      </c>
      <c r="W65" s="12">
        <v>0</v>
      </c>
      <c r="X65" s="12">
        <v>0</v>
      </c>
      <c r="Y65" s="12">
        <v>0</v>
      </c>
      <c r="Z65" s="12">
        <v>0</v>
      </c>
      <c r="AA65" s="12">
        <v>0</v>
      </c>
      <c r="AB65" s="12">
        <v>30782</v>
      </c>
      <c r="AC65" s="12">
        <v>0</v>
      </c>
      <c r="AD65" s="12">
        <v>0</v>
      </c>
      <c r="AE65" s="12">
        <v>0</v>
      </c>
      <c r="AF65" s="12">
        <v>0</v>
      </c>
      <c r="AG65" s="12">
        <v>0</v>
      </c>
      <c r="AH65" s="12">
        <v>0</v>
      </c>
      <c r="AI65" s="12">
        <v>30000</v>
      </c>
      <c r="AJ65" s="12">
        <v>25000</v>
      </c>
      <c r="AK65" s="12">
        <v>25000</v>
      </c>
      <c r="AL65" s="12">
        <v>0</v>
      </c>
      <c r="AM65" s="12">
        <v>22000</v>
      </c>
      <c r="AN65" s="12">
        <v>0</v>
      </c>
      <c r="AO65" s="12">
        <v>0</v>
      </c>
      <c r="AP65" s="12">
        <v>0</v>
      </c>
      <c r="AQ65" s="12">
        <v>6104</v>
      </c>
      <c r="AR65" s="12">
        <v>0</v>
      </c>
      <c r="AS65" s="12">
        <v>0</v>
      </c>
      <c r="AT65" s="12">
        <v>4000</v>
      </c>
      <c r="AU65" s="12">
        <v>0</v>
      </c>
      <c r="AV65" s="12">
        <v>0</v>
      </c>
      <c r="AW65" s="12">
        <v>52964</v>
      </c>
      <c r="AX65" s="12">
        <v>110782</v>
      </c>
      <c r="AY65" s="12">
        <v>22000</v>
      </c>
      <c r="AZ65" s="12">
        <v>10104</v>
      </c>
      <c r="BA65" s="12">
        <v>0</v>
      </c>
      <c r="BC65" s="7">
        <f t="shared" si="3"/>
        <v>21165</v>
      </c>
      <c r="BD65" s="7">
        <f t="shared" si="4"/>
        <v>31799</v>
      </c>
      <c r="BE65" s="7">
        <f t="shared" si="5"/>
        <v>30782</v>
      </c>
    </row>
    <row r="66" spans="1:57" ht="15" customHeight="1" x14ac:dyDescent="0.3">
      <c r="A66" s="7">
        <f t="shared" si="0"/>
        <v>968892</v>
      </c>
      <c r="B66" s="7">
        <f t="shared" si="1"/>
        <v>767151</v>
      </c>
      <c r="C66" s="7">
        <f t="shared" si="2"/>
        <v>551677</v>
      </c>
      <c r="D66" s="5"/>
      <c r="E66" s="5" t="str">
        <f t="shared" ref="E66:E69" si="18">E65</f>
        <v>1203-008726</v>
      </c>
      <c r="F66" s="5"/>
      <c r="G66" s="5"/>
      <c r="H66" s="6"/>
      <c r="I66" s="11"/>
      <c r="J66" s="12">
        <v>0</v>
      </c>
      <c r="K66" s="11" t="s">
        <v>917</v>
      </c>
      <c r="L66" s="12">
        <v>162557</v>
      </c>
      <c r="M66" s="12">
        <v>-33293</v>
      </c>
      <c r="N66" s="12">
        <v>154466</v>
      </c>
      <c r="O66" s="12">
        <v>147466</v>
      </c>
      <c r="P66" s="12">
        <v>141392</v>
      </c>
      <c r="Q66" s="12">
        <v>137392</v>
      </c>
      <c r="R66" s="12">
        <v>133392</v>
      </c>
      <c r="S66" s="12">
        <v>129392</v>
      </c>
      <c r="T66" s="12">
        <v>125392</v>
      </c>
      <c r="U66" s="12">
        <v>109593</v>
      </c>
      <c r="V66" s="12">
        <v>109593</v>
      </c>
      <c r="W66" s="12">
        <v>109593</v>
      </c>
      <c r="X66" s="12">
        <v>109593</v>
      </c>
      <c r="Y66" s="12">
        <v>109593</v>
      </c>
      <c r="Z66" s="12">
        <v>109593</v>
      </c>
      <c r="AA66" s="12">
        <v>109593</v>
      </c>
      <c r="AB66" s="12">
        <v>78811</v>
      </c>
      <c r="AC66" s="12">
        <v>78811</v>
      </c>
      <c r="AD66" s="12">
        <v>78811</v>
      </c>
      <c r="AE66" s="12">
        <v>78811</v>
      </c>
      <c r="AF66" s="12">
        <v>78811</v>
      </c>
      <c r="AG66" s="12">
        <v>78811</v>
      </c>
      <c r="AH66" s="12">
        <v>78811</v>
      </c>
      <c r="AI66" s="12">
        <v>48811</v>
      </c>
      <c r="AJ66" s="12">
        <v>23811</v>
      </c>
      <c r="AK66" s="12">
        <v>-1189</v>
      </c>
      <c r="AL66" s="12">
        <v>-1189</v>
      </c>
      <c r="AM66" s="12">
        <v>-23189</v>
      </c>
      <c r="AN66" s="12">
        <v>-23189</v>
      </c>
      <c r="AO66" s="12">
        <v>-23189</v>
      </c>
      <c r="AP66" s="12">
        <v>-23189</v>
      </c>
      <c r="AQ66" s="12">
        <v>-29293</v>
      </c>
      <c r="AR66" s="12">
        <v>-29293</v>
      </c>
      <c r="AS66" s="12">
        <v>-29293</v>
      </c>
      <c r="AT66" s="12">
        <v>-33293</v>
      </c>
      <c r="AU66" s="12">
        <v>-33293</v>
      </c>
      <c r="AV66" s="12">
        <v>-33293</v>
      </c>
      <c r="AW66" s="12">
        <v>0</v>
      </c>
      <c r="AX66" s="12">
        <v>0</v>
      </c>
      <c r="AY66" s="12">
        <v>0</v>
      </c>
      <c r="AZ66" s="12">
        <v>0</v>
      </c>
      <c r="BA66" s="12">
        <v>0</v>
      </c>
      <c r="BC66" s="7">
        <f t="shared" si="3"/>
        <v>443324</v>
      </c>
      <c r="BD66" s="7">
        <f t="shared" si="4"/>
        <v>854347</v>
      </c>
      <c r="BE66" s="7">
        <f t="shared" si="5"/>
        <v>674805</v>
      </c>
    </row>
    <row r="67" spans="1:57" ht="15" customHeight="1" x14ac:dyDescent="0.3">
      <c r="A67" s="7">
        <f t="shared" si="0"/>
        <v>0</v>
      </c>
      <c r="B67" s="7">
        <f t="shared" si="1"/>
        <v>0</v>
      </c>
      <c r="C67" s="7">
        <f t="shared" si="2"/>
        <v>0</v>
      </c>
      <c r="D67" s="5"/>
      <c r="E67" s="5" t="str">
        <f t="shared" si="18"/>
        <v>1203-008726</v>
      </c>
      <c r="F67" s="5"/>
      <c r="G67" s="5"/>
      <c r="H67" s="11" t="s">
        <v>769</v>
      </c>
      <c r="I67" s="11" t="s">
        <v>770</v>
      </c>
      <c r="J67" s="12">
        <v>60000</v>
      </c>
      <c r="K67" s="11" t="s">
        <v>918</v>
      </c>
      <c r="L67" s="12">
        <v>0</v>
      </c>
      <c r="M67" s="12">
        <v>60000</v>
      </c>
      <c r="N67" s="12">
        <v>0</v>
      </c>
      <c r="O67" s="12">
        <v>0</v>
      </c>
      <c r="P67" s="12">
        <v>0</v>
      </c>
      <c r="Q67" s="12">
        <v>0</v>
      </c>
      <c r="R67" s="12">
        <v>0</v>
      </c>
      <c r="S67" s="12">
        <v>0</v>
      </c>
      <c r="T67" s="12">
        <v>0</v>
      </c>
      <c r="U67" s="12">
        <v>0</v>
      </c>
      <c r="V67" s="12">
        <v>0</v>
      </c>
      <c r="W67" s="12">
        <v>0</v>
      </c>
      <c r="X67" s="12">
        <v>0</v>
      </c>
      <c r="Y67" s="12">
        <v>0</v>
      </c>
      <c r="Z67" s="12">
        <v>0</v>
      </c>
      <c r="AA67" s="12">
        <v>0</v>
      </c>
      <c r="AB67" s="12">
        <v>0</v>
      </c>
      <c r="AC67" s="12">
        <v>0</v>
      </c>
      <c r="AD67" s="12">
        <v>0</v>
      </c>
      <c r="AE67" s="12">
        <v>0</v>
      </c>
      <c r="AF67" s="12">
        <v>0</v>
      </c>
      <c r="AG67" s="12">
        <v>0</v>
      </c>
      <c r="AH67" s="12">
        <v>0</v>
      </c>
      <c r="AI67" s="12">
        <v>60000</v>
      </c>
      <c r="AJ67" s="12">
        <v>0</v>
      </c>
      <c r="AK67" s="12">
        <v>0</v>
      </c>
      <c r="AL67" s="12">
        <v>0</v>
      </c>
      <c r="AM67" s="12">
        <v>0</v>
      </c>
      <c r="AN67" s="12">
        <v>0</v>
      </c>
      <c r="AO67" s="12">
        <v>0</v>
      </c>
      <c r="AP67" s="12">
        <v>0</v>
      </c>
      <c r="AQ67" s="12">
        <v>0</v>
      </c>
      <c r="AR67" s="12">
        <v>0</v>
      </c>
      <c r="AS67" s="12">
        <v>0</v>
      </c>
      <c r="AT67" s="12">
        <v>0</v>
      </c>
      <c r="AU67" s="12">
        <v>0</v>
      </c>
      <c r="AV67" s="12">
        <v>0</v>
      </c>
      <c r="AW67" s="12">
        <v>0</v>
      </c>
      <c r="AX67" s="12">
        <v>60000</v>
      </c>
      <c r="AY67" s="12">
        <v>0</v>
      </c>
      <c r="AZ67" s="12">
        <v>0</v>
      </c>
      <c r="BA67" s="12">
        <v>0</v>
      </c>
      <c r="BC67" s="7">
        <f t="shared" si="3"/>
        <v>0</v>
      </c>
      <c r="BD67" s="7">
        <f t="shared" si="4"/>
        <v>0</v>
      </c>
      <c r="BE67" s="7">
        <f t="shared" si="5"/>
        <v>0</v>
      </c>
    </row>
    <row r="68" spans="1:57" ht="15" customHeight="1" x14ac:dyDescent="0.3">
      <c r="A68" s="7">
        <f t="shared" si="0"/>
        <v>0</v>
      </c>
      <c r="B68" s="7">
        <f t="shared" si="1"/>
        <v>0</v>
      </c>
      <c r="C68" s="7">
        <f t="shared" si="2"/>
        <v>0</v>
      </c>
      <c r="D68" s="5"/>
      <c r="E68" s="5" t="str">
        <f t="shared" si="18"/>
        <v>1203-008726</v>
      </c>
      <c r="F68" s="5"/>
      <c r="G68" s="5"/>
      <c r="H68" s="11" t="s">
        <v>49</v>
      </c>
      <c r="I68" s="11"/>
      <c r="J68" s="12">
        <v>0</v>
      </c>
      <c r="K68" s="11" t="s">
        <v>919</v>
      </c>
      <c r="L68" s="12">
        <v>0</v>
      </c>
      <c r="M68" s="12">
        <v>60000</v>
      </c>
      <c r="N68" s="12">
        <v>0</v>
      </c>
      <c r="O68" s="12">
        <v>0</v>
      </c>
      <c r="P68" s="12">
        <v>0</v>
      </c>
      <c r="Q68" s="12">
        <v>0</v>
      </c>
      <c r="R68" s="12">
        <v>0</v>
      </c>
      <c r="S68" s="12">
        <v>0</v>
      </c>
      <c r="T68" s="12">
        <v>0</v>
      </c>
      <c r="U68" s="12">
        <v>0</v>
      </c>
      <c r="V68" s="12">
        <v>0</v>
      </c>
      <c r="W68" s="12">
        <v>0</v>
      </c>
      <c r="X68" s="12">
        <v>0</v>
      </c>
      <c r="Y68" s="12">
        <v>0</v>
      </c>
      <c r="Z68" s="12">
        <v>0</v>
      </c>
      <c r="AA68" s="12">
        <v>0</v>
      </c>
      <c r="AB68" s="12">
        <v>0</v>
      </c>
      <c r="AC68" s="12">
        <v>0</v>
      </c>
      <c r="AD68" s="12">
        <v>0</v>
      </c>
      <c r="AE68" s="12">
        <v>0</v>
      </c>
      <c r="AF68" s="12">
        <v>0</v>
      </c>
      <c r="AG68" s="12">
        <v>0</v>
      </c>
      <c r="AH68" s="12">
        <v>0</v>
      </c>
      <c r="AI68" s="12">
        <v>60000</v>
      </c>
      <c r="AJ68" s="12">
        <v>0</v>
      </c>
      <c r="AK68" s="12">
        <v>0</v>
      </c>
      <c r="AL68" s="12">
        <v>0</v>
      </c>
      <c r="AM68" s="12">
        <v>0</v>
      </c>
      <c r="AN68" s="12">
        <v>0</v>
      </c>
      <c r="AO68" s="12">
        <v>0</v>
      </c>
      <c r="AP68" s="12">
        <v>0</v>
      </c>
      <c r="AQ68" s="12">
        <v>0</v>
      </c>
      <c r="AR68" s="12">
        <v>0</v>
      </c>
      <c r="AS68" s="12">
        <v>0</v>
      </c>
      <c r="AT68" s="12">
        <v>0</v>
      </c>
      <c r="AU68" s="12">
        <v>0</v>
      </c>
      <c r="AV68" s="12">
        <v>0</v>
      </c>
      <c r="AW68" s="12">
        <v>0</v>
      </c>
      <c r="AX68" s="12">
        <v>60000</v>
      </c>
      <c r="AY68" s="12">
        <v>0</v>
      </c>
      <c r="AZ68" s="12">
        <v>0</v>
      </c>
      <c r="BA68" s="12">
        <v>0</v>
      </c>
      <c r="BC68" s="7">
        <f t="shared" si="3"/>
        <v>0</v>
      </c>
      <c r="BD68" s="7">
        <f t="shared" si="4"/>
        <v>0</v>
      </c>
      <c r="BE68" s="7">
        <f t="shared" si="5"/>
        <v>0</v>
      </c>
    </row>
    <row r="69" spans="1:57" ht="15" customHeight="1" x14ac:dyDescent="0.3">
      <c r="A69" s="7">
        <f t="shared" si="0"/>
        <v>968892</v>
      </c>
      <c r="B69" s="7">
        <f t="shared" si="1"/>
        <v>767151</v>
      </c>
      <c r="C69" s="7">
        <f t="shared" si="2"/>
        <v>551677</v>
      </c>
      <c r="D69" s="5"/>
      <c r="E69" s="5" t="str">
        <f t="shared" si="18"/>
        <v>1203-008726</v>
      </c>
      <c r="F69" s="5"/>
      <c r="G69" s="6"/>
      <c r="H69" s="11" t="s">
        <v>920</v>
      </c>
      <c r="I69" s="11"/>
      <c r="J69" s="12">
        <v>0</v>
      </c>
      <c r="K69" s="11" t="s">
        <v>921</v>
      </c>
      <c r="L69" s="12">
        <v>0</v>
      </c>
      <c r="M69" s="12">
        <v>26707</v>
      </c>
      <c r="N69" s="12">
        <v>154466</v>
      </c>
      <c r="O69" s="12">
        <v>147466</v>
      </c>
      <c r="P69" s="12">
        <v>141392</v>
      </c>
      <c r="Q69" s="12">
        <v>137392</v>
      </c>
      <c r="R69" s="12">
        <v>133392</v>
      </c>
      <c r="S69" s="12">
        <v>129392</v>
      </c>
      <c r="T69" s="12">
        <v>125392</v>
      </c>
      <c r="U69" s="12">
        <v>109593</v>
      </c>
      <c r="V69" s="12">
        <v>109593</v>
      </c>
      <c r="W69" s="12">
        <v>109593</v>
      </c>
      <c r="X69" s="12">
        <v>109593</v>
      </c>
      <c r="Y69" s="12">
        <v>109593</v>
      </c>
      <c r="Z69" s="12">
        <v>109593</v>
      </c>
      <c r="AA69" s="12">
        <v>109593</v>
      </c>
      <c r="AB69" s="12">
        <v>78811</v>
      </c>
      <c r="AC69" s="12">
        <v>78811</v>
      </c>
      <c r="AD69" s="12">
        <v>78811</v>
      </c>
      <c r="AE69" s="12">
        <v>78811</v>
      </c>
      <c r="AF69" s="12">
        <v>78811</v>
      </c>
      <c r="AG69" s="12">
        <v>78811</v>
      </c>
      <c r="AH69" s="12">
        <v>78811</v>
      </c>
      <c r="AI69" s="12">
        <v>108811</v>
      </c>
      <c r="AJ69" s="12">
        <v>83811</v>
      </c>
      <c r="AK69" s="12">
        <v>58811</v>
      </c>
      <c r="AL69" s="12">
        <v>58811</v>
      </c>
      <c r="AM69" s="12">
        <v>36811</v>
      </c>
      <c r="AN69" s="12">
        <v>36811</v>
      </c>
      <c r="AO69" s="12">
        <v>36811</v>
      </c>
      <c r="AP69" s="12">
        <v>36811</v>
      </c>
      <c r="AQ69" s="12">
        <v>30707</v>
      </c>
      <c r="AR69" s="12">
        <v>30707</v>
      </c>
      <c r="AS69" s="12">
        <v>30707</v>
      </c>
      <c r="AT69" s="12">
        <v>26707</v>
      </c>
      <c r="AU69" s="12">
        <v>26707</v>
      </c>
      <c r="AV69" s="12">
        <v>26707</v>
      </c>
      <c r="AW69" s="12">
        <v>0</v>
      </c>
      <c r="AX69" s="12">
        <v>0</v>
      </c>
      <c r="AY69" s="12">
        <v>0</v>
      </c>
      <c r="AZ69" s="12">
        <v>0</v>
      </c>
      <c r="BA69" s="12">
        <v>0</v>
      </c>
      <c r="BC69" s="7">
        <f t="shared" si="3"/>
        <v>443324</v>
      </c>
      <c r="BD69" s="7">
        <f t="shared" si="4"/>
        <v>854347</v>
      </c>
      <c r="BE69" s="7">
        <f t="shared" si="5"/>
        <v>674805</v>
      </c>
    </row>
    <row r="70" spans="1:57" ht="15" customHeight="1" x14ac:dyDescent="0.3">
      <c r="A70" s="7">
        <f t="shared" ref="A70:A133" si="19">SUM(N70:T70)</f>
        <v>8568</v>
      </c>
      <c r="B70" s="7">
        <f t="shared" ref="B70:B133" si="20">SUM(U70:AA70)</f>
        <v>4719</v>
      </c>
      <c r="C70" s="7">
        <f t="shared" ref="C70:C133" si="21">SUM(AB70:AH70)</f>
        <v>5782</v>
      </c>
      <c r="D70" s="5"/>
      <c r="E70" s="13" t="s">
        <v>800</v>
      </c>
      <c r="F70" s="5"/>
      <c r="G70" s="13" t="s">
        <v>996</v>
      </c>
      <c r="H70" s="13" t="s">
        <v>49</v>
      </c>
      <c r="I70" s="11" t="s">
        <v>49</v>
      </c>
      <c r="J70" s="12">
        <v>0</v>
      </c>
      <c r="K70" s="11" t="s">
        <v>916</v>
      </c>
      <c r="L70" s="12">
        <v>0</v>
      </c>
      <c r="M70" s="12">
        <v>26173</v>
      </c>
      <c r="N70" s="12">
        <v>3494</v>
      </c>
      <c r="O70" s="12">
        <v>3000</v>
      </c>
      <c r="P70" s="12">
        <v>2074</v>
      </c>
      <c r="Q70" s="12">
        <v>0</v>
      </c>
      <c r="R70" s="12">
        <v>0</v>
      </c>
      <c r="S70" s="12">
        <v>0</v>
      </c>
      <c r="T70" s="12">
        <v>0</v>
      </c>
      <c r="U70" s="12">
        <v>4719</v>
      </c>
      <c r="V70" s="12">
        <v>0</v>
      </c>
      <c r="W70" s="12">
        <v>0</v>
      </c>
      <c r="X70" s="12">
        <v>0</v>
      </c>
      <c r="Y70" s="12">
        <v>0</v>
      </c>
      <c r="Z70" s="12">
        <v>0</v>
      </c>
      <c r="AA70" s="12">
        <v>0</v>
      </c>
      <c r="AB70" s="12">
        <v>5782</v>
      </c>
      <c r="AC70" s="12">
        <v>0</v>
      </c>
      <c r="AD70" s="12">
        <v>0</v>
      </c>
      <c r="AE70" s="12">
        <v>0</v>
      </c>
      <c r="AF70" s="12">
        <v>0</v>
      </c>
      <c r="AG70" s="12">
        <v>0</v>
      </c>
      <c r="AH70" s="12">
        <v>0</v>
      </c>
      <c r="AI70" s="12">
        <v>5000</v>
      </c>
      <c r="AJ70" s="12">
        <v>0</v>
      </c>
      <c r="AK70" s="12">
        <v>0</v>
      </c>
      <c r="AL70" s="12">
        <v>0</v>
      </c>
      <c r="AM70" s="12">
        <v>2000</v>
      </c>
      <c r="AN70" s="12">
        <v>0</v>
      </c>
      <c r="AO70" s="12">
        <v>0</v>
      </c>
      <c r="AP70" s="12">
        <v>0</v>
      </c>
      <c r="AQ70" s="12">
        <v>104</v>
      </c>
      <c r="AR70" s="12">
        <v>0</v>
      </c>
      <c r="AS70" s="12">
        <v>0</v>
      </c>
      <c r="AT70" s="12">
        <v>0</v>
      </c>
      <c r="AU70" s="12">
        <v>0</v>
      </c>
      <c r="AV70" s="12">
        <v>0</v>
      </c>
      <c r="AW70" s="12">
        <v>13287</v>
      </c>
      <c r="AX70" s="12">
        <v>10782</v>
      </c>
      <c r="AY70" s="12">
        <v>2000</v>
      </c>
      <c r="AZ70" s="12">
        <v>104</v>
      </c>
      <c r="BA70" s="12">
        <v>0</v>
      </c>
      <c r="BC70" s="7">
        <f t="shared" ref="BC70:BC133" si="22">SUM(N70:P70)</f>
        <v>8568</v>
      </c>
      <c r="BD70" s="7">
        <f t="shared" ref="BD70:BD133" si="23">SUM(Q70:W70)</f>
        <v>4719</v>
      </c>
      <c r="BE70" s="7">
        <f t="shared" ref="BE70:BE133" si="24">SUM(X70:AD70)</f>
        <v>5782</v>
      </c>
    </row>
    <row r="71" spans="1:57" ht="15" customHeight="1" x14ac:dyDescent="0.3">
      <c r="A71" s="7">
        <f t="shared" si="19"/>
        <v>404216</v>
      </c>
      <c r="B71" s="7">
        <f t="shared" si="20"/>
        <v>364035</v>
      </c>
      <c r="C71" s="7">
        <f t="shared" si="21"/>
        <v>323561</v>
      </c>
      <c r="D71" s="5"/>
      <c r="E71" s="5" t="str">
        <f t="shared" ref="E71:E74" si="25">E70</f>
        <v>1203-008727</v>
      </c>
      <c r="F71" s="5"/>
      <c r="G71" s="5"/>
      <c r="H71" s="6"/>
      <c r="I71" s="11"/>
      <c r="J71" s="12">
        <v>0</v>
      </c>
      <c r="K71" s="11" t="s">
        <v>917</v>
      </c>
      <c r="L71" s="12">
        <v>65292</v>
      </c>
      <c r="M71" s="12">
        <v>39119</v>
      </c>
      <c r="N71" s="12">
        <v>61798</v>
      </c>
      <c r="O71" s="12">
        <v>58798</v>
      </c>
      <c r="P71" s="12">
        <v>56724</v>
      </c>
      <c r="Q71" s="12">
        <v>56724</v>
      </c>
      <c r="R71" s="12">
        <v>56724</v>
      </c>
      <c r="S71" s="12">
        <v>56724</v>
      </c>
      <c r="T71" s="12">
        <v>56724</v>
      </c>
      <c r="U71" s="12">
        <v>52005</v>
      </c>
      <c r="V71" s="12">
        <v>52005</v>
      </c>
      <c r="W71" s="12">
        <v>52005</v>
      </c>
      <c r="X71" s="12">
        <v>52005</v>
      </c>
      <c r="Y71" s="12">
        <v>52005</v>
      </c>
      <c r="Z71" s="12">
        <v>52005</v>
      </c>
      <c r="AA71" s="12">
        <v>52005</v>
      </c>
      <c r="AB71" s="12">
        <v>46223</v>
      </c>
      <c r="AC71" s="12">
        <v>46223</v>
      </c>
      <c r="AD71" s="12">
        <v>46223</v>
      </c>
      <c r="AE71" s="12">
        <v>46223</v>
      </c>
      <c r="AF71" s="12">
        <v>46223</v>
      </c>
      <c r="AG71" s="12">
        <v>46223</v>
      </c>
      <c r="AH71" s="12">
        <v>46223</v>
      </c>
      <c r="AI71" s="12">
        <v>41223</v>
      </c>
      <c r="AJ71" s="12">
        <v>41223</v>
      </c>
      <c r="AK71" s="12">
        <v>41223</v>
      </c>
      <c r="AL71" s="12">
        <v>41223</v>
      </c>
      <c r="AM71" s="12">
        <v>39223</v>
      </c>
      <c r="AN71" s="12">
        <v>39223</v>
      </c>
      <c r="AO71" s="12">
        <v>39223</v>
      </c>
      <c r="AP71" s="12">
        <v>39223</v>
      </c>
      <c r="AQ71" s="12">
        <v>39119</v>
      </c>
      <c r="AR71" s="12">
        <v>39119</v>
      </c>
      <c r="AS71" s="12">
        <v>39119</v>
      </c>
      <c r="AT71" s="12">
        <v>39119</v>
      </c>
      <c r="AU71" s="12">
        <v>39119</v>
      </c>
      <c r="AV71" s="12">
        <v>39119</v>
      </c>
      <c r="AW71" s="12">
        <v>0</v>
      </c>
      <c r="AX71" s="12">
        <v>0</v>
      </c>
      <c r="AY71" s="12">
        <v>0</v>
      </c>
      <c r="AZ71" s="12">
        <v>0</v>
      </c>
      <c r="BA71" s="12">
        <v>0</v>
      </c>
      <c r="BC71" s="7">
        <f t="shared" si="22"/>
        <v>177320</v>
      </c>
      <c r="BD71" s="7">
        <f t="shared" si="23"/>
        <v>382911</v>
      </c>
      <c r="BE71" s="7">
        <f t="shared" si="24"/>
        <v>346689</v>
      </c>
    </row>
    <row r="72" spans="1:57" ht="15" customHeight="1" x14ac:dyDescent="0.3">
      <c r="A72" s="7">
        <f t="shared" si="19"/>
        <v>0</v>
      </c>
      <c r="B72" s="7">
        <f t="shared" si="20"/>
        <v>0</v>
      </c>
      <c r="C72" s="7">
        <f t="shared" si="21"/>
        <v>0</v>
      </c>
      <c r="D72" s="5"/>
      <c r="E72" s="5" t="str">
        <f t="shared" si="25"/>
        <v>1203-008727</v>
      </c>
      <c r="F72" s="5"/>
      <c r="G72" s="5"/>
      <c r="H72" s="11" t="s">
        <v>769</v>
      </c>
      <c r="I72" s="11" t="s">
        <v>770</v>
      </c>
      <c r="J72" s="12"/>
      <c r="K72" s="11" t="s">
        <v>918</v>
      </c>
      <c r="L72" s="12">
        <v>0</v>
      </c>
      <c r="M72" s="12">
        <v>0</v>
      </c>
      <c r="N72" s="12">
        <v>0</v>
      </c>
      <c r="O72" s="12">
        <v>0</v>
      </c>
      <c r="P72" s="12">
        <v>0</v>
      </c>
      <c r="Q72" s="12">
        <v>0</v>
      </c>
      <c r="R72" s="12">
        <v>0</v>
      </c>
      <c r="S72" s="12">
        <v>0</v>
      </c>
      <c r="T72" s="12">
        <v>0</v>
      </c>
      <c r="U72" s="12">
        <v>0</v>
      </c>
      <c r="V72" s="12">
        <v>0</v>
      </c>
      <c r="W72" s="12">
        <v>0</v>
      </c>
      <c r="X72" s="12">
        <v>0</v>
      </c>
      <c r="Y72" s="12">
        <v>0</v>
      </c>
      <c r="Z72" s="12">
        <v>0</v>
      </c>
      <c r="AA72" s="12">
        <v>0</v>
      </c>
      <c r="AB72" s="12">
        <v>0</v>
      </c>
      <c r="AC72" s="12">
        <v>0</v>
      </c>
      <c r="AD72" s="12">
        <v>0</v>
      </c>
      <c r="AE72" s="12">
        <v>0</v>
      </c>
      <c r="AF72" s="12">
        <v>0</v>
      </c>
      <c r="AG72" s="12">
        <v>0</v>
      </c>
      <c r="AH72" s="12">
        <v>0</v>
      </c>
      <c r="AI72" s="12">
        <v>0</v>
      </c>
      <c r="AJ72" s="12">
        <v>0</v>
      </c>
      <c r="AK72" s="12">
        <v>0</v>
      </c>
      <c r="AL72" s="12">
        <v>0</v>
      </c>
      <c r="AM72" s="12">
        <v>0</v>
      </c>
      <c r="AN72" s="12">
        <v>0</v>
      </c>
      <c r="AO72" s="12">
        <v>0</v>
      </c>
      <c r="AP72" s="12">
        <v>0</v>
      </c>
      <c r="AQ72" s="12">
        <v>0</v>
      </c>
      <c r="AR72" s="12">
        <v>0</v>
      </c>
      <c r="AS72" s="12">
        <v>0</v>
      </c>
      <c r="AT72" s="12">
        <v>0</v>
      </c>
      <c r="AU72" s="12">
        <v>0</v>
      </c>
      <c r="AV72" s="12">
        <v>0</v>
      </c>
      <c r="AW72" s="12">
        <v>0</v>
      </c>
      <c r="AX72" s="12">
        <v>0</v>
      </c>
      <c r="AY72" s="12">
        <v>0</v>
      </c>
      <c r="AZ72" s="12">
        <v>0</v>
      </c>
      <c r="BA72" s="12">
        <v>0</v>
      </c>
      <c r="BC72" s="7">
        <f t="shared" si="22"/>
        <v>0</v>
      </c>
      <c r="BD72" s="7">
        <f t="shared" si="23"/>
        <v>0</v>
      </c>
      <c r="BE72" s="7">
        <f t="shared" si="24"/>
        <v>0</v>
      </c>
    </row>
    <row r="73" spans="1:57" ht="15" customHeight="1" x14ac:dyDescent="0.3">
      <c r="A73" s="7">
        <f t="shared" si="19"/>
        <v>0</v>
      </c>
      <c r="B73" s="7">
        <f t="shared" si="20"/>
        <v>0</v>
      </c>
      <c r="C73" s="7">
        <f t="shared" si="21"/>
        <v>0</v>
      </c>
      <c r="D73" s="5"/>
      <c r="E73" s="5" t="str">
        <f t="shared" si="25"/>
        <v>1203-008727</v>
      </c>
      <c r="F73" s="5"/>
      <c r="G73" s="5"/>
      <c r="H73" s="11" t="s">
        <v>49</v>
      </c>
      <c r="I73" s="11"/>
      <c r="J73" s="12">
        <v>0</v>
      </c>
      <c r="K73" s="11" t="s">
        <v>919</v>
      </c>
      <c r="L73" s="12">
        <v>0</v>
      </c>
      <c r="M73" s="12">
        <v>0</v>
      </c>
      <c r="N73" s="12">
        <v>0</v>
      </c>
      <c r="O73" s="12">
        <v>0</v>
      </c>
      <c r="P73" s="12">
        <v>0</v>
      </c>
      <c r="Q73" s="12">
        <v>0</v>
      </c>
      <c r="R73" s="12">
        <v>0</v>
      </c>
      <c r="S73" s="12">
        <v>0</v>
      </c>
      <c r="T73" s="12">
        <v>0</v>
      </c>
      <c r="U73" s="12">
        <v>0</v>
      </c>
      <c r="V73" s="12">
        <v>0</v>
      </c>
      <c r="W73" s="12">
        <v>0</v>
      </c>
      <c r="X73" s="12">
        <v>0</v>
      </c>
      <c r="Y73" s="12">
        <v>0</v>
      </c>
      <c r="Z73" s="12">
        <v>0</v>
      </c>
      <c r="AA73" s="12">
        <v>0</v>
      </c>
      <c r="AB73" s="12">
        <v>0</v>
      </c>
      <c r="AC73" s="12">
        <v>0</v>
      </c>
      <c r="AD73" s="12">
        <v>0</v>
      </c>
      <c r="AE73" s="12">
        <v>0</v>
      </c>
      <c r="AF73" s="12">
        <v>0</v>
      </c>
      <c r="AG73" s="12">
        <v>0</v>
      </c>
      <c r="AH73" s="12">
        <v>0</v>
      </c>
      <c r="AI73" s="12">
        <v>0</v>
      </c>
      <c r="AJ73" s="12">
        <v>0</v>
      </c>
      <c r="AK73" s="12">
        <v>0</v>
      </c>
      <c r="AL73" s="12">
        <v>0</v>
      </c>
      <c r="AM73" s="12">
        <v>0</v>
      </c>
      <c r="AN73" s="12">
        <v>0</v>
      </c>
      <c r="AO73" s="12">
        <v>0</v>
      </c>
      <c r="AP73" s="12">
        <v>0</v>
      </c>
      <c r="AQ73" s="12">
        <v>0</v>
      </c>
      <c r="AR73" s="12">
        <v>0</v>
      </c>
      <c r="AS73" s="12">
        <v>0</v>
      </c>
      <c r="AT73" s="12">
        <v>0</v>
      </c>
      <c r="AU73" s="12">
        <v>0</v>
      </c>
      <c r="AV73" s="12">
        <v>0</v>
      </c>
      <c r="AW73" s="12">
        <v>0</v>
      </c>
      <c r="AX73" s="12">
        <v>0</v>
      </c>
      <c r="AY73" s="12">
        <v>0</v>
      </c>
      <c r="AZ73" s="12">
        <v>0</v>
      </c>
      <c r="BA73" s="12">
        <v>0</v>
      </c>
      <c r="BC73" s="7">
        <f t="shared" si="22"/>
        <v>0</v>
      </c>
      <c r="BD73" s="7">
        <f t="shared" si="23"/>
        <v>0</v>
      </c>
      <c r="BE73" s="7">
        <f t="shared" si="24"/>
        <v>0</v>
      </c>
    </row>
    <row r="74" spans="1:57" ht="15" customHeight="1" x14ac:dyDescent="0.3">
      <c r="A74" s="7">
        <f t="shared" si="19"/>
        <v>404216</v>
      </c>
      <c r="B74" s="7">
        <f t="shared" si="20"/>
        <v>364035</v>
      </c>
      <c r="C74" s="7">
        <f t="shared" si="21"/>
        <v>323561</v>
      </c>
      <c r="D74" s="5"/>
      <c r="E74" s="5" t="str">
        <f t="shared" si="25"/>
        <v>1203-008727</v>
      </c>
      <c r="F74" s="5"/>
      <c r="G74" s="6"/>
      <c r="H74" s="11" t="s">
        <v>920</v>
      </c>
      <c r="I74" s="11"/>
      <c r="J74" s="12">
        <v>0</v>
      </c>
      <c r="K74" s="11" t="s">
        <v>921</v>
      </c>
      <c r="L74" s="12">
        <v>0</v>
      </c>
      <c r="M74" s="12">
        <v>39119</v>
      </c>
      <c r="N74" s="12">
        <v>61798</v>
      </c>
      <c r="O74" s="12">
        <v>58798</v>
      </c>
      <c r="P74" s="12">
        <v>56724</v>
      </c>
      <c r="Q74" s="12">
        <v>56724</v>
      </c>
      <c r="R74" s="12">
        <v>56724</v>
      </c>
      <c r="S74" s="12">
        <v>56724</v>
      </c>
      <c r="T74" s="12">
        <v>56724</v>
      </c>
      <c r="U74" s="12">
        <v>52005</v>
      </c>
      <c r="V74" s="12">
        <v>52005</v>
      </c>
      <c r="W74" s="12">
        <v>52005</v>
      </c>
      <c r="X74" s="12">
        <v>52005</v>
      </c>
      <c r="Y74" s="12">
        <v>52005</v>
      </c>
      <c r="Z74" s="12">
        <v>52005</v>
      </c>
      <c r="AA74" s="12">
        <v>52005</v>
      </c>
      <c r="AB74" s="12">
        <v>46223</v>
      </c>
      <c r="AC74" s="12">
        <v>46223</v>
      </c>
      <c r="AD74" s="12">
        <v>46223</v>
      </c>
      <c r="AE74" s="12">
        <v>46223</v>
      </c>
      <c r="AF74" s="12">
        <v>46223</v>
      </c>
      <c r="AG74" s="12">
        <v>46223</v>
      </c>
      <c r="AH74" s="12">
        <v>46223</v>
      </c>
      <c r="AI74" s="12">
        <v>41223</v>
      </c>
      <c r="AJ74" s="12">
        <v>41223</v>
      </c>
      <c r="AK74" s="12">
        <v>41223</v>
      </c>
      <c r="AL74" s="12">
        <v>41223</v>
      </c>
      <c r="AM74" s="12">
        <v>39223</v>
      </c>
      <c r="AN74" s="12">
        <v>39223</v>
      </c>
      <c r="AO74" s="12">
        <v>39223</v>
      </c>
      <c r="AP74" s="12">
        <v>39223</v>
      </c>
      <c r="AQ74" s="12">
        <v>39119</v>
      </c>
      <c r="AR74" s="12">
        <v>39119</v>
      </c>
      <c r="AS74" s="12">
        <v>39119</v>
      </c>
      <c r="AT74" s="12">
        <v>39119</v>
      </c>
      <c r="AU74" s="12">
        <v>39119</v>
      </c>
      <c r="AV74" s="12">
        <v>39119</v>
      </c>
      <c r="AW74" s="12">
        <v>0</v>
      </c>
      <c r="AX74" s="12">
        <v>0</v>
      </c>
      <c r="AY74" s="12">
        <v>0</v>
      </c>
      <c r="AZ74" s="12">
        <v>0</v>
      </c>
      <c r="BA74" s="12">
        <v>0</v>
      </c>
      <c r="BC74" s="7">
        <f t="shared" si="22"/>
        <v>177320</v>
      </c>
      <c r="BD74" s="7">
        <f t="shared" si="23"/>
        <v>382911</v>
      </c>
      <c r="BE74" s="7">
        <f t="shared" si="24"/>
        <v>346689</v>
      </c>
    </row>
    <row r="75" spans="1:57" ht="15" customHeight="1" x14ac:dyDescent="0.3">
      <c r="A75" s="7">
        <f t="shared" si="19"/>
        <v>1960</v>
      </c>
      <c r="B75" s="7">
        <f t="shared" si="20"/>
        <v>0</v>
      </c>
      <c r="C75" s="7">
        <f t="shared" si="21"/>
        <v>3700</v>
      </c>
      <c r="D75" s="5"/>
      <c r="E75" s="13" t="s">
        <v>845</v>
      </c>
      <c r="F75" s="5"/>
      <c r="G75" s="13" t="s">
        <v>997</v>
      </c>
      <c r="H75" s="13" t="s">
        <v>49</v>
      </c>
      <c r="I75" s="11" t="s">
        <v>49</v>
      </c>
      <c r="J75" s="12">
        <v>0</v>
      </c>
      <c r="K75" s="11" t="s">
        <v>916</v>
      </c>
      <c r="L75" s="12">
        <v>0</v>
      </c>
      <c r="M75" s="12">
        <v>66280</v>
      </c>
      <c r="N75" s="12">
        <v>0</v>
      </c>
      <c r="O75" s="12">
        <v>0</v>
      </c>
      <c r="P75" s="12">
        <v>0</v>
      </c>
      <c r="Q75" s="12">
        <v>0</v>
      </c>
      <c r="R75" s="12">
        <v>0</v>
      </c>
      <c r="S75" s="12">
        <v>0</v>
      </c>
      <c r="T75" s="12">
        <v>1960</v>
      </c>
      <c r="U75" s="12">
        <v>0</v>
      </c>
      <c r="V75" s="12">
        <v>0</v>
      </c>
      <c r="W75" s="12">
        <v>0</v>
      </c>
      <c r="X75" s="12">
        <v>0</v>
      </c>
      <c r="Y75" s="12">
        <v>0</v>
      </c>
      <c r="Z75" s="12">
        <v>0</v>
      </c>
      <c r="AA75" s="12">
        <v>0</v>
      </c>
      <c r="AB75" s="12">
        <v>3700</v>
      </c>
      <c r="AC75" s="12">
        <v>0</v>
      </c>
      <c r="AD75" s="12">
        <v>0</v>
      </c>
      <c r="AE75" s="12">
        <v>0</v>
      </c>
      <c r="AF75" s="12">
        <v>0</v>
      </c>
      <c r="AG75" s="12">
        <v>0</v>
      </c>
      <c r="AH75" s="12">
        <v>0</v>
      </c>
      <c r="AI75" s="12">
        <v>0</v>
      </c>
      <c r="AJ75" s="12">
        <v>2000</v>
      </c>
      <c r="AK75" s="12">
        <v>3000</v>
      </c>
      <c r="AL75" s="12">
        <v>0</v>
      </c>
      <c r="AM75" s="12">
        <v>14000</v>
      </c>
      <c r="AN75" s="12">
        <v>4000</v>
      </c>
      <c r="AO75" s="12">
        <v>1500</v>
      </c>
      <c r="AP75" s="12">
        <v>0</v>
      </c>
      <c r="AQ75" s="12">
        <v>11354</v>
      </c>
      <c r="AR75" s="12">
        <v>12000</v>
      </c>
      <c r="AS75" s="12">
        <v>0</v>
      </c>
      <c r="AT75" s="12">
        <v>12766</v>
      </c>
      <c r="AU75" s="12">
        <v>0</v>
      </c>
      <c r="AV75" s="12">
        <v>0</v>
      </c>
      <c r="AW75" s="12">
        <v>1960</v>
      </c>
      <c r="AX75" s="12">
        <v>8700</v>
      </c>
      <c r="AY75" s="12">
        <v>19500</v>
      </c>
      <c r="AZ75" s="12">
        <v>36120</v>
      </c>
      <c r="BA75" s="12">
        <v>0</v>
      </c>
      <c r="BC75" s="7">
        <f t="shared" si="22"/>
        <v>0</v>
      </c>
      <c r="BD75" s="7">
        <f t="shared" si="23"/>
        <v>1960</v>
      </c>
      <c r="BE75" s="7">
        <f t="shared" si="24"/>
        <v>3700</v>
      </c>
    </row>
    <row r="76" spans="1:57" ht="15" customHeight="1" x14ac:dyDescent="0.3">
      <c r="A76" s="7">
        <f t="shared" si="19"/>
        <v>696745</v>
      </c>
      <c r="B76" s="7">
        <f t="shared" si="20"/>
        <v>684985</v>
      </c>
      <c r="C76" s="7">
        <f t="shared" si="21"/>
        <v>659085</v>
      </c>
      <c r="D76" s="5"/>
      <c r="E76" s="5" t="str">
        <f t="shared" ref="E76:E79" si="26">E75</f>
        <v>1203A0200003</v>
      </c>
      <c r="F76" s="5"/>
      <c r="G76" s="5"/>
      <c r="H76" s="6"/>
      <c r="I76" s="11"/>
      <c r="J76" s="12">
        <v>0</v>
      </c>
      <c r="K76" s="11" t="s">
        <v>917</v>
      </c>
      <c r="L76" s="12">
        <v>99815</v>
      </c>
      <c r="M76" s="12">
        <v>33535</v>
      </c>
      <c r="N76" s="12">
        <v>99815</v>
      </c>
      <c r="O76" s="12">
        <v>99815</v>
      </c>
      <c r="P76" s="12">
        <v>99815</v>
      </c>
      <c r="Q76" s="12">
        <v>99815</v>
      </c>
      <c r="R76" s="12">
        <v>99815</v>
      </c>
      <c r="S76" s="12">
        <v>99815</v>
      </c>
      <c r="T76" s="12">
        <v>97855</v>
      </c>
      <c r="U76" s="12">
        <v>97855</v>
      </c>
      <c r="V76" s="12">
        <v>97855</v>
      </c>
      <c r="W76" s="12">
        <v>97855</v>
      </c>
      <c r="X76" s="12">
        <v>97855</v>
      </c>
      <c r="Y76" s="12">
        <v>97855</v>
      </c>
      <c r="Z76" s="12">
        <v>97855</v>
      </c>
      <c r="AA76" s="12">
        <v>97855</v>
      </c>
      <c r="AB76" s="12">
        <v>94155</v>
      </c>
      <c r="AC76" s="12">
        <v>94155</v>
      </c>
      <c r="AD76" s="12">
        <v>94155</v>
      </c>
      <c r="AE76" s="12">
        <v>94155</v>
      </c>
      <c r="AF76" s="12">
        <v>94155</v>
      </c>
      <c r="AG76" s="12">
        <v>94155</v>
      </c>
      <c r="AH76" s="12">
        <v>94155</v>
      </c>
      <c r="AI76" s="12">
        <v>94155</v>
      </c>
      <c r="AJ76" s="12">
        <v>92155</v>
      </c>
      <c r="AK76" s="12">
        <v>89155</v>
      </c>
      <c r="AL76" s="12">
        <v>89155</v>
      </c>
      <c r="AM76" s="12">
        <v>75155</v>
      </c>
      <c r="AN76" s="12">
        <v>71155</v>
      </c>
      <c r="AO76" s="12">
        <v>69655</v>
      </c>
      <c r="AP76" s="12">
        <v>69655</v>
      </c>
      <c r="AQ76" s="12">
        <v>58301</v>
      </c>
      <c r="AR76" s="12">
        <v>46301</v>
      </c>
      <c r="AS76" s="12">
        <v>46301</v>
      </c>
      <c r="AT76" s="12">
        <v>33535</v>
      </c>
      <c r="AU76" s="12">
        <v>33535</v>
      </c>
      <c r="AV76" s="12">
        <v>33535</v>
      </c>
      <c r="AW76" s="12">
        <v>0</v>
      </c>
      <c r="AX76" s="12">
        <v>0</v>
      </c>
      <c r="AY76" s="12">
        <v>0</v>
      </c>
      <c r="AZ76" s="12">
        <v>0</v>
      </c>
      <c r="BA76" s="12">
        <v>0</v>
      </c>
      <c r="BC76" s="7">
        <f t="shared" si="22"/>
        <v>299445</v>
      </c>
      <c r="BD76" s="7">
        <f t="shared" si="23"/>
        <v>690865</v>
      </c>
      <c r="BE76" s="7">
        <f t="shared" si="24"/>
        <v>673885</v>
      </c>
    </row>
    <row r="77" spans="1:57" ht="15" customHeight="1" x14ac:dyDescent="0.3">
      <c r="A77" s="7">
        <f t="shared" si="19"/>
        <v>0</v>
      </c>
      <c r="B77" s="7">
        <f t="shared" si="20"/>
        <v>0</v>
      </c>
      <c r="C77" s="7">
        <f t="shared" si="21"/>
        <v>0</v>
      </c>
      <c r="D77" s="5"/>
      <c r="E77" s="5" t="str">
        <f t="shared" si="26"/>
        <v>1203A0200003</v>
      </c>
      <c r="F77" s="5"/>
      <c r="G77" s="5"/>
      <c r="H77" s="11" t="s">
        <v>828</v>
      </c>
      <c r="I77" s="11" t="s">
        <v>829</v>
      </c>
      <c r="J77" s="12"/>
      <c r="K77" s="11" t="s">
        <v>918</v>
      </c>
      <c r="L77" s="12">
        <v>0</v>
      </c>
      <c r="M77" s="12">
        <v>0</v>
      </c>
      <c r="N77" s="12">
        <v>0</v>
      </c>
      <c r="O77" s="12">
        <v>0</v>
      </c>
      <c r="P77" s="12">
        <v>0</v>
      </c>
      <c r="Q77" s="12">
        <v>0</v>
      </c>
      <c r="R77" s="12">
        <v>0</v>
      </c>
      <c r="S77" s="12">
        <v>0</v>
      </c>
      <c r="T77" s="12">
        <v>0</v>
      </c>
      <c r="U77" s="12">
        <v>0</v>
      </c>
      <c r="V77" s="12">
        <v>0</v>
      </c>
      <c r="W77" s="12">
        <v>0</v>
      </c>
      <c r="X77" s="12">
        <v>0</v>
      </c>
      <c r="Y77" s="12">
        <v>0</v>
      </c>
      <c r="Z77" s="12">
        <v>0</v>
      </c>
      <c r="AA77" s="12">
        <v>0</v>
      </c>
      <c r="AB77" s="12">
        <v>0</v>
      </c>
      <c r="AC77" s="12">
        <v>0</v>
      </c>
      <c r="AD77" s="12">
        <v>0</v>
      </c>
      <c r="AE77" s="12">
        <v>0</v>
      </c>
      <c r="AF77" s="12">
        <v>0</v>
      </c>
      <c r="AG77" s="12">
        <v>0</v>
      </c>
      <c r="AH77" s="12">
        <v>0</v>
      </c>
      <c r="AI77" s="12">
        <v>0</v>
      </c>
      <c r="AJ77" s="12">
        <v>0</v>
      </c>
      <c r="AK77" s="12">
        <v>0</v>
      </c>
      <c r="AL77" s="12">
        <v>0</v>
      </c>
      <c r="AM77" s="12">
        <v>0</v>
      </c>
      <c r="AN77" s="12">
        <v>0</v>
      </c>
      <c r="AO77" s="12">
        <v>0</v>
      </c>
      <c r="AP77" s="12">
        <v>0</v>
      </c>
      <c r="AQ77" s="12">
        <v>0</v>
      </c>
      <c r="AR77" s="12">
        <v>0</v>
      </c>
      <c r="AS77" s="12">
        <v>0</v>
      </c>
      <c r="AT77" s="12">
        <v>0</v>
      </c>
      <c r="AU77" s="12">
        <v>0</v>
      </c>
      <c r="AV77" s="12">
        <v>0</v>
      </c>
      <c r="AW77" s="12">
        <v>0</v>
      </c>
      <c r="AX77" s="12">
        <v>0</v>
      </c>
      <c r="AY77" s="12">
        <v>0</v>
      </c>
      <c r="AZ77" s="12">
        <v>0</v>
      </c>
      <c r="BA77" s="12">
        <v>0</v>
      </c>
      <c r="BC77" s="7">
        <f t="shared" si="22"/>
        <v>0</v>
      </c>
      <c r="BD77" s="7">
        <f t="shared" si="23"/>
        <v>0</v>
      </c>
      <c r="BE77" s="7">
        <f t="shared" si="24"/>
        <v>0</v>
      </c>
    </row>
    <row r="78" spans="1:57" ht="15" customHeight="1" x14ac:dyDescent="0.3">
      <c r="A78" s="7">
        <f t="shared" si="19"/>
        <v>0</v>
      </c>
      <c r="B78" s="7">
        <f t="shared" si="20"/>
        <v>0</v>
      </c>
      <c r="C78" s="7">
        <f t="shared" si="21"/>
        <v>0</v>
      </c>
      <c r="D78" s="5"/>
      <c r="E78" s="5" t="str">
        <f t="shared" si="26"/>
        <v>1203A0200003</v>
      </c>
      <c r="F78" s="5"/>
      <c r="G78" s="5"/>
      <c r="H78" s="11" t="s">
        <v>49</v>
      </c>
      <c r="I78" s="11"/>
      <c r="J78" s="12">
        <v>0</v>
      </c>
      <c r="K78" s="11" t="s">
        <v>919</v>
      </c>
      <c r="L78" s="12">
        <v>0</v>
      </c>
      <c r="M78" s="12">
        <v>0</v>
      </c>
      <c r="N78" s="12">
        <v>0</v>
      </c>
      <c r="O78" s="12">
        <v>0</v>
      </c>
      <c r="P78" s="12">
        <v>0</v>
      </c>
      <c r="Q78" s="12">
        <v>0</v>
      </c>
      <c r="R78" s="12">
        <v>0</v>
      </c>
      <c r="S78" s="12">
        <v>0</v>
      </c>
      <c r="T78" s="12">
        <v>0</v>
      </c>
      <c r="U78" s="12">
        <v>0</v>
      </c>
      <c r="V78" s="12">
        <v>0</v>
      </c>
      <c r="W78" s="12">
        <v>0</v>
      </c>
      <c r="X78" s="12">
        <v>0</v>
      </c>
      <c r="Y78" s="12">
        <v>0</v>
      </c>
      <c r="Z78" s="12">
        <v>0</v>
      </c>
      <c r="AA78" s="12">
        <v>0</v>
      </c>
      <c r="AB78" s="12">
        <v>0</v>
      </c>
      <c r="AC78" s="12">
        <v>0</v>
      </c>
      <c r="AD78" s="12">
        <v>0</v>
      </c>
      <c r="AE78" s="12">
        <v>0</v>
      </c>
      <c r="AF78" s="12">
        <v>0</v>
      </c>
      <c r="AG78" s="12">
        <v>0</v>
      </c>
      <c r="AH78" s="12">
        <v>0</v>
      </c>
      <c r="AI78" s="12">
        <v>0</v>
      </c>
      <c r="AJ78" s="12">
        <v>0</v>
      </c>
      <c r="AK78" s="12">
        <v>0</v>
      </c>
      <c r="AL78" s="12">
        <v>0</v>
      </c>
      <c r="AM78" s="12">
        <v>0</v>
      </c>
      <c r="AN78" s="12">
        <v>0</v>
      </c>
      <c r="AO78" s="12">
        <v>0</v>
      </c>
      <c r="AP78" s="12">
        <v>0</v>
      </c>
      <c r="AQ78" s="12">
        <v>0</v>
      </c>
      <c r="AR78" s="12">
        <v>0</v>
      </c>
      <c r="AS78" s="12">
        <v>0</v>
      </c>
      <c r="AT78" s="12">
        <v>0</v>
      </c>
      <c r="AU78" s="12">
        <v>0</v>
      </c>
      <c r="AV78" s="12">
        <v>0</v>
      </c>
      <c r="AW78" s="12">
        <v>0</v>
      </c>
      <c r="AX78" s="12">
        <v>0</v>
      </c>
      <c r="AY78" s="12">
        <v>0</v>
      </c>
      <c r="AZ78" s="12">
        <v>0</v>
      </c>
      <c r="BA78" s="12">
        <v>0</v>
      </c>
      <c r="BC78" s="7">
        <f t="shared" si="22"/>
        <v>0</v>
      </c>
      <c r="BD78" s="7">
        <f t="shared" si="23"/>
        <v>0</v>
      </c>
      <c r="BE78" s="7">
        <f t="shared" si="24"/>
        <v>0</v>
      </c>
    </row>
    <row r="79" spans="1:57" ht="15" customHeight="1" x14ac:dyDescent="0.3">
      <c r="A79" s="7">
        <f t="shared" si="19"/>
        <v>696745</v>
      </c>
      <c r="B79" s="7">
        <f t="shared" si="20"/>
        <v>684985</v>
      </c>
      <c r="C79" s="7">
        <f t="shared" si="21"/>
        <v>659085</v>
      </c>
      <c r="D79" s="5"/>
      <c r="E79" s="5" t="str">
        <f t="shared" si="26"/>
        <v>1203A0200003</v>
      </c>
      <c r="F79" s="5"/>
      <c r="G79" s="6"/>
      <c r="H79" s="11" t="s">
        <v>920</v>
      </c>
      <c r="I79" s="11"/>
      <c r="J79" s="12">
        <v>0</v>
      </c>
      <c r="K79" s="11" t="s">
        <v>921</v>
      </c>
      <c r="L79" s="12">
        <v>0</v>
      </c>
      <c r="M79" s="12">
        <v>33535</v>
      </c>
      <c r="N79" s="12">
        <v>99815</v>
      </c>
      <c r="O79" s="12">
        <v>99815</v>
      </c>
      <c r="P79" s="12">
        <v>99815</v>
      </c>
      <c r="Q79" s="12">
        <v>99815</v>
      </c>
      <c r="R79" s="12">
        <v>99815</v>
      </c>
      <c r="S79" s="12">
        <v>99815</v>
      </c>
      <c r="T79" s="12">
        <v>97855</v>
      </c>
      <c r="U79" s="12">
        <v>97855</v>
      </c>
      <c r="V79" s="12">
        <v>97855</v>
      </c>
      <c r="W79" s="12">
        <v>97855</v>
      </c>
      <c r="X79" s="12">
        <v>97855</v>
      </c>
      <c r="Y79" s="12">
        <v>97855</v>
      </c>
      <c r="Z79" s="12">
        <v>97855</v>
      </c>
      <c r="AA79" s="12">
        <v>97855</v>
      </c>
      <c r="AB79" s="12">
        <v>94155</v>
      </c>
      <c r="AC79" s="12">
        <v>94155</v>
      </c>
      <c r="AD79" s="12">
        <v>94155</v>
      </c>
      <c r="AE79" s="12">
        <v>94155</v>
      </c>
      <c r="AF79" s="12">
        <v>94155</v>
      </c>
      <c r="AG79" s="12">
        <v>94155</v>
      </c>
      <c r="AH79" s="12">
        <v>94155</v>
      </c>
      <c r="AI79" s="12">
        <v>94155</v>
      </c>
      <c r="AJ79" s="12">
        <v>92155</v>
      </c>
      <c r="AK79" s="12">
        <v>89155</v>
      </c>
      <c r="AL79" s="12">
        <v>89155</v>
      </c>
      <c r="AM79" s="12">
        <v>75155</v>
      </c>
      <c r="AN79" s="12">
        <v>71155</v>
      </c>
      <c r="AO79" s="12">
        <v>69655</v>
      </c>
      <c r="AP79" s="12">
        <v>69655</v>
      </c>
      <c r="AQ79" s="12">
        <v>58301</v>
      </c>
      <c r="AR79" s="12">
        <v>46301</v>
      </c>
      <c r="AS79" s="12">
        <v>46301</v>
      </c>
      <c r="AT79" s="12">
        <v>33535</v>
      </c>
      <c r="AU79" s="12">
        <v>33535</v>
      </c>
      <c r="AV79" s="12">
        <v>33535</v>
      </c>
      <c r="AW79" s="12">
        <v>0</v>
      </c>
      <c r="AX79" s="12">
        <v>0</v>
      </c>
      <c r="AY79" s="12">
        <v>0</v>
      </c>
      <c r="AZ79" s="12">
        <v>0</v>
      </c>
      <c r="BA79" s="12">
        <v>0</v>
      </c>
      <c r="BC79" s="7">
        <f t="shared" si="22"/>
        <v>299445</v>
      </c>
      <c r="BD79" s="7">
        <f t="shared" si="23"/>
        <v>690865</v>
      </c>
      <c r="BE79" s="7">
        <f t="shared" si="24"/>
        <v>673885</v>
      </c>
    </row>
    <row r="80" spans="1:57" ht="15" customHeight="1" x14ac:dyDescent="0.3">
      <c r="A80" s="7">
        <f t="shared" si="19"/>
        <v>37590</v>
      </c>
      <c r="B80" s="7">
        <f t="shared" si="20"/>
        <v>68131</v>
      </c>
      <c r="C80" s="7">
        <f t="shared" si="21"/>
        <v>44634</v>
      </c>
      <c r="D80" s="5"/>
      <c r="E80" s="13" t="s">
        <v>768</v>
      </c>
      <c r="F80" s="5"/>
      <c r="G80" s="13" t="s">
        <v>932</v>
      </c>
      <c r="H80" s="13" t="s">
        <v>49</v>
      </c>
      <c r="I80" s="11" t="s">
        <v>49</v>
      </c>
      <c r="J80" s="12">
        <v>0</v>
      </c>
      <c r="K80" s="11" t="s">
        <v>916</v>
      </c>
      <c r="L80" s="12">
        <v>0</v>
      </c>
      <c r="M80" s="12">
        <v>1092927</v>
      </c>
      <c r="N80" s="12">
        <v>5090</v>
      </c>
      <c r="O80" s="12">
        <v>4000</v>
      </c>
      <c r="P80" s="12">
        <v>4500</v>
      </c>
      <c r="Q80" s="12">
        <v>6000</v>
      </c>
      <c r="R80" s="12">
        <v>6000</v>
      </c>
      <c r="S80" s="12">
        <v>6000</v>
      </c>
      <c r="T80" s="12">
        <v>6000</v>
      </c>
      <c r="U80" s="12">
        <v>68131</v>
      </c>
      <c r="V80" s="12">
        <v>0</v>
      </c>
      <c r="W80" s="12">
        <v>0</v>
      </c>
      <c r="X80" s="12">
        <v>0</v>
      </c>
      <c r="Y80" s="12">
        <v>0</v>
      </c>
      <c r="Z80" s="12">
        <v>0</v>
      </c>
      <c r="AA80" s="12">
        <v>0</v>
      </c>
      <c r="AB80" s="12">
        <v>44634</v>
      </c>
      <c r="AC80" s="12">
        <v>0</v>
      </c>
      <c r="AD80" s="12">
        <v>0</v>
      </c>
      <c r="AE80" s="12">
        <v>0</v>
      </c>
      <c r="AF80" s="12">
        <v>0</v>
      </c>
      <c r="AG80" s="12">
        <v>0</v>
      </c>
      <c r="AH80" s="12">
        <v>0</v>
      </c>
      <c r="AI80" s="12">
        <v>49500</v>
      </c>
      <c r="AJ80" s="12">
        <v>51500</v>
      </c>
      <c r="AK80" s="12">
        <v>42000</v>
      </c>
      <c r="AL80" s="12">
        <v>0</v>
      </c>
      <c r="AM80" s="12">
        <v>114046</v>
      </c>
      <c r="AN80" s="12">
        <v>83000</v>
      </c>
      <c r="AO80" s="12">
        <v>81000</v>
      </c>
      <c r="AP80" s="12">
        <v>0</v>
      </c>
      <c r="AQ80" s="12">
        <v>108900</v>
      </c>
      <c r="AR80" s="12">
        <v>94000</v>
      </c>
      <c r="AS80" s="12">
        <v>50000</v>
      </c>
      <c r="AT80" s="12">
        <v>268626</v>
      </c>
      <c r="AU80" s="12">
        <v>0</v>
      </c>
      <c r="AV80" s="12">
        <v>0</v>
      </c>
      <c r="AW80" s="12">
        <v>105721</v>
      </c>
      <c r="AX80" s="12">
        <v>187634</v>
      </c>
      <c r="AY80" s="12">
        <v>278046</v>
      </c>
      <c r="AZ80" s="12">
        <v>521526</v>
      </c>
      <c r="BA80" s="12">
        <v>0</v>
      </c>
      <c r="BC80" s="7">
        <f t="shared" si="22"/>
        <v>13590</v>
      </c>
      <c r="BD80" s="7">
        <f t="shared" si="23"/>
        <v>92131</v>
      </c>
      <c r="BE80" s="7">
        <f t="shared" si="24"/>
        <v>44634</v>
      </c>
    </row>
    <row r="81" spans="1:57" ht="15" customHeight="1" x14ac:dyDescent="0.3">
      <c r="A81" s="7">
        <f t="shared" si="19"/>
        <v>705997</v>
      </c>
      <c r="B81" s="7">
        <f t="shared" si="20"/>
        <v>108080</v>
      </c>
      <c r="C81" s="7">
        <f t="shared" si="21"/>
        <v>-204358</v>
      </c>
      <c r="D81" s="5"/>
      <c r="E81" s="5" t="str">
        <f t="shared" ref="E81:E84" si="27">E80</f>
        <v>1203A0200005</v>
      </c>
      <c r="F81" s="5"/>
      <c r="G81" s="5"/>
      <c r="H81" s="6"/>
      <c r="I81" s="11"/>
      <c r="J81" s="12">
        <v>0</v>
      </c>
      <c r="K81" s="11" t="s">
        <v>917</v>
      </c>
      <c r="L81" s="12">
        <v>121161</v>
      </c>
      <c r="M81" s="12">
        <v>-971766</v>
      </c>
      <c r="N81" s="12">
        <v>116071</v>
      </c>
      <c r="O81" s="12">
        <v>112071</v>
      </c>
      <c r="P81" s="12">
        <v>107571</v>
      </c>
      <c r="Q81" s="12">
        <v>101571</v>
      </c>
      <c r="R81" s="12">
        <v>95571</v>
      </c>
      <c r="S81" s="12">
        <v>89571</v>
      </c>
      <c r="T81" s="12">
        <v>83571</v>
      </c>
      <c r="U81" s="12">
        <v>15440</v>
      </c>
      <c r="V81" s="12">
        <v>15440</v>
      </c>
      <c r="W81" s="12">
        <v>15440</v>
      </c>
      <c r="X81" s="12">
        <v>15440</v>
      </c>
      <c r="Y81" s="12">
        <v>15440</v>
      </c>
      <c r="Z81" s="12">
        <v>15440</v>
      </c>
      <c r="AA81" s="12">
        <v>15440</v>
      </c>
      <c r="AB81" s="12">
        <v>-29194</v>
      </c>
      <c r="AC81" s="12">
        <v>-29194</v>
      </c>
      <c r="AD81" s="12">
        <v>-29194</v>
      </c>
      <c r="AE81" s="12">
        <v>-29194</v>
      </c>
      <c r="AF81" s="12">
        <v>-29194</v>
      </c>
      <c r="AG81" s="12">
        <v>-29194</v>
      </c>
      <c r="AH81" s="12">
        <v>-29194</v>
      </c>
      <c r="AI81" s="12">
        <v>-78694</v>
      </c>
      <c r="AJ81" s="12">
        <v>-130194</v>
      </c>
      <c r="AK81" s="12">
        <v>-172194</v>
      </c>
      <c r="AL81" s="12">
        <v>-172194</v>
      </c>
      <c r="AM81" s="12">
        <v>-286240</v>
      </c>
      <c r="AN81" s="12">
        <v>-369240</v>
      </c>
      <c r="AO81" s="12">
        <v>-450240</v>
      </c>
      <c r="AP81" s="12">
        <v>-450240</v>
      </c>
      <c r="AQ81" s="12">
        <v>-559140</v>
      </c>
      <c r="AR81" s="12">
        <v>-653140</v>
      </c>
      <c r="AS81" s="12">
        <v>-703140</v>
      </c>
      <c r="AT81" s="12">
        <v>-971766</v>
      </c>
      <c r="AU81" s="12">
        <v>-971766</v>
      </c>
      <c r="AV81" s="12">
        <v>-971766</v>
      </c>
      <c r="AW81" s="12">
        <v>0</v>
      </c>
      <c r="AX81" s="12">
        <v>0</v>
      </c>
      <c r="AY81" s="12">
        <v>0</v>
      </c>
      <c r="AZ81" s="12">
        <v>0</v>
      </c>
      <c r="BA81" s="12">
        <v>0</v>
      </c>
      <c r="BC81" s="7">
        <f t="shared" si="22"/>
        <v>335713</v>
      </c>
      <c r="BD81" s="7">
        <f t="shared" si="23"/>
        <v>416604</v>
      </c>
      <c r="BE81" s="7">
        <f t="shared" si="24"/>
        <v>-25822</v>
      </c>
    </row>
    <row r="82" spans="1:57" ht="15" customHeight="1" x14ac:dyDescent="0.3">
      <c r="A82" s="7">
        <f t="shared" si="19"/>
        <v>9000</v>
      </c>
      <c r="B82" s="7">
        <f t="shared" si="20"/>
        <v>0</v>
      </c>
      <c r="C82" s="7">
        <f t="shared" si="21"/>
        <v>36000</v>
      </c>
      <c r="D82" s="5"/>
      <c r="E82" s="5" t="str">
        <f t="shared" si="27"/>
        <v>1203A0200005</v>
      </c>
      <c r="F82" s="5"/>
      <c r="G82" s="5"/>
      <c r="H82" s="11" t="s">
        <v>769</v>
      </c>
      <c r="I82" s="11" t="s">
        <v>770</v>
      </c>
      <c r="J82" s="12">
        <v>933000</v>
      </c>
      <c r="K82" s="11" t="s">
        <v>918</v>
      </c>
      <c r="L82" s="12">
        <v>0</v>
      </c>
      <c r="M82" s="12">
        <v>75000</v>
      </c>
      <c r="N82" s="12">
        <v>0</v>
      </c>
      <c r="O82" s="12">
        <v>0</v>
      </c>
      <c r="P82" s="12">
        <v>0</v>
      </c>
      <c r="Q82" s="12">
        <v>0</v>
      </c>
      <c r="R82" s="12">
        <v>9000</v>
      </c>
      <c r="S82" s="12">
        <v>0</v>
      </c>
      <c r="T82" s="12">
        <v>0</v>
      </c>
      <c r="U82" s="12">
        <v>0</v>
      </c>
      <c r="V82" s="12">
        <v>0</v>
      </c>
      <c r="W82" s="12">
        <v>0</v>
      </c>
      <c r="X82" s="12">
        <v>0</v>
      </c>
      <c r="Y82" s="12">
        <v>0</v>
      </c>
      <c r="Z82" s="12">
        <v>0</v>
      </c>
      <c r="AA82" s="12">
        <v>0</v>
      </c>
      <c r="AB82" s="12">
        <v>0</v>
      </c>
      <c r="AC82" s="12">
        <v>0</v>
      </c>
      <c r="AD82" s="12">
        <v>0</v>
      </c>
      <c r="AE82" s="12">
        <v>0</v>
      </c>
      <c r="AF82" s="12">
        <v>0</v>
      </c>
      <c r="AG82" s="12">
        <v>36000</v>
      </c>
      <c r="AH82" s="12">
        <v>0</v>
      </c>
      <c r="AI82" s="12">
        <v>30000</v>
      </c>
      <c r="AJ82" s="12">
        <v>0</v>
      </c>
      <c r="AK82" s="12">
        <v>0</v>
      </c>
      <c r="AL82" s="12">
        <v>0</v>
      </c>
      <c r="AM82" s="12">
        <v>0</v>
      </c>
      <c r="AN82" s="12">
        <v>0</v>
      </c>
      <c r="AO82" s="12">
        <v>0</v>
      </c>
      <c r="AP82" s="12">
        <v>0</v>
      </c>
      <c r="AQ82" s="12">
        <v>0</v>
      </c>
      <c r="AR82" s="12">
        <v>0</v>
      </c>
      <c r="AS82" s="12">
        <v>0</v>
      </c>
      <c r="AT82" s="12">
        <v>0</v>
      </c>
      <c r="AU82" s="12">
        <v>0</v>
      </c>
      <c r="AV82" s="12">
        <v>0</v>
      </c>
      <c r="AW82" s="12">
        <v>9000</v>
      </c>
      <c r="AX82" s="12">
        <v>66000</v>
      </c>
      <c r="AY82" s="12">
        <v>0</v>
      </c>
      <c r="AZ82" s="12">
        <v>0</v>
      </c>
      <c r="BA82" s="12">
        <v>0</v>
      </c>
      <c r="BC82" s="7">
        <f t="shared" si="22"/>
        <v>0</v>
      </c>
      <c r="BD82" s="7">
        <f t="shared" si="23"/>
        <v>9000</v>
      </c>
      <c r="BE82" s="7">
        <f t="shared" si="24"/>
        <v>0</v>
      </c>
    </row>
    <row r="83" spans="1:57" ht="15" customHeight="1" x14ac:dyDescent="0.3">
      <c r="A83" s="7">
        <f t="shared" si="19"/>
        <v>9000</v>
      </c>
      <c r="B83" s="7">
        <f t="shared" si="20"/>
        <v>0</v>
      </c>
      <c r="C83" s="7">
        <f t="shared" si="21"/>
        <v>36000</v>
      </c>
      <c r="D83" s="5"/>
      <c r="E83" s="5" t="str">
        <f t="shared" si="27"/>
        <v>1203A0200005</v>
      </c>
      <c r="F83" s="5"/>
      <c r="G83" s="5"/>
      <c r="H83" s="11" t="s">
        <v>49</v>
      </c>
      <c r="I83" s="11"/>
      <c r="J83" s="12">
        <v>0</v>
      </c>
      <c r="K83" s="11" t="s">
        <v>919</v>
      </c>
      <c r="L83" s="12">
        <v>0</v>
      </c>
      <c r="M83" s="12">
        <v>75000</v>
      </c>
      <c r="N83" s="12">
        <v>0</v>
      </c>
      <c r="O83" s="12">
        <v>0</v>
      </c>
      <c r="P83" s="12">
        <v>0</v>
      </c>
      <c r="Q83" s="12">
        <v>0</v>
      </c>
      <c r="R83" s="12">
        <v>9000</v>
      </c>
      <c r="S83" s="12">
        <v>0</v>
      </c>
      <c r="T83" s="12">
        <v>0</v>
      </c>
      <c r="U83" s="12">
        <v>0</v>
      </c>
      <c r="V83" s="12">
        <v>0</v>
      </c>
      <c r="W83" s="12">
        <v>0</v>
      </c>
      <c r="X83" s="12">
        <v>0</v>
      </c>
      <c r="Y83" s="12">
        <v>0</v>
      </c>
      <c r="Z83" s="12">
        <v>0</v>
      </c>
      <c r="AA83" s="12">
        <v>0</v>
      </c>
      <c r="AB83" s="12">
        <v>0</v>
      </c>
      <c r="AC83" s="12">
        <v>0</v>
      </c>
      <c r="AD83" s="12">
        <v>0</v>
      </c>
      <c r="AE83" s="12">
        <v>0</v>
      </c>
      <c r="AF83" s="12">
        <v>0</v>
      </c>
      <c r="AG83" s="12">
        <v>36000</v>
      </c>
      <c r="AH83" s="12">
        <v>0</v>
      </c>
      <c r="AI83" s="12">
        <v>30000</v>
      </c>
      <c r="AJ83" s="12">
        <v>0</v>
      </c>
      <c r="AK83" s="12">
        <v>0</v>
      </c>
      <c r="AL83" s="12">
        <v>0</v>
      </c>
      <c r="AM83" s="12">
        <v>0</v>
      </c>
      <c r="AN83" s="12">
        <v>0</v>
      </c>
      <c r="AO83" s="12">
        <v>0</v>
      </c>
      <c r="AP83" s="12">
        <v>0</v>
      </c>
      <c r="AQ83" s="12">
        <v>0</v>
      </c>
      <c r="AR83" s="12">
        <v>0</v>
      </c>
      <c r="AS83" s="12">
        <v>0</v>
      </c>
      <c r="AT83" s="12">
        <v>0</v>
      </c>
      <c r="AU83" s="12">
        <v>0</v>
      </c>
      <c r="AV83" s="12">
        <v>0</v>
      </c>
      <c r="AW83" s="12">
        <v>9000</v>
      </c>
      <c r="AX83" s="12">
        <v>66000</v>
      </c>
      <c r="AY83" s="12">
        <v>0</v>
      </c>
      <c r="AZ83" s="12">
        <v>0</v>
      </c>
      <c r="BA83" s="12">
        <v>0</v>
      </c>
      <c r="BC83" s="7">
        <f t="shared" si="22"/>
        <v>0</v>
      </c>
      <c r="BD83" s="7">
        <f t="shared" si="23"/>
        <v>9000</v>
      </c>
      <c r="BE83" s="7">
        <f t="shared" si="24"/>
        <v>0</v>
      </c>
    </row>
    <row r="84" spans="1:57" ht="15" customHeight="1" x14ac:dyDescent="0.3">
      <c r="A84" s="7">
        <f t="shared" si="19"/>
        <v>732997</v>
      </c>
      <c r="B84" s="7">
        <f t="shared" si="20"/>
        <v>171080</v>
      </c>
      <c r="C84" s="7">
        <f t="shared" si="21"/>
        <v>-69358</v>
      </c>
      <c r="D84" s="5"/>
      <c r="E84" s="5" t="str">
        <f t="shared" si="27"/>
        <v>1203A0200005</v>
      </c>
      <c r="F84" s="5"/>
      <c r="G84" s="6"/>
      <c r="H84" s="11" t="s">
        <v>920</v>
      </c>
      <c r="I84" s="11"/>
      <c r="J84" s="12">
        <v>0</v>
      </c>
      <c r="K84" s="11" t="s">
        <v>921</v>
      </c>
      <c r="L84" s="12">
        <v>0</v>
      </c>
      <c r="M84" s="12">
        <v>-896766</v>
      </c>
      <c r="N84" s="12">
        <v>116071</v>
      </c>
      <c r="O84" s="12">
        <v>112071</v>
      </c>
      <c r="P84" s="12">
        <v>107571</v>
      </c>
      <c r="Q84" s="12">
        <v>101571</v>
      </c>
      <c r="R84" s="12">
        <v>104571</v>
      </c>
      <c r="S84" s="12">
        <v>98571</v>
      </c>
      <c r="T84" s="12">
        <v>92571</v>
      </c>
      <c r="U84" s="12">
        <v>24440</v>
      </c>
      <c r="V84" s="12">
        <v>24440</v>
      </c>
      <c r="W84" s="12">
        <v>24440</v>
      </c>
      <c r="X84" s="12">
        <v>24440</v>
      </c>
      <c r="Y84" s="12">
        <v>24440</v>
      </c>
      <c r="Z84" s="12">
        <v>24440</v>
      </c>
      <c r="AA84" s="12">
        <v>24440</v>
      </c>
      <c r="AB84" s="12">
        <v>-20194</v>
      </c>
      <c r="AC84" s="12">
        <v>-20194</v>
      </c>
      <c r="AD84" s="12">
        <v>-20194</v>
      </c>
      <c r="AE84" s="12">
        <v>-20194</v>
      </c>
      <c r="AF84" s="12">
        <v>-20194</v>
      </c>
      <c r="AG84" s="12">
        <v>15806</v>
      </c>
      <c r="AH84" s="12">
        <v>15806</v>
      </c>
      <c r="AI84" s="12">
        <v>-3694</v>
      </c>
      <c r="AJ84" s="12">
        <v>-55194</v>
      </c>
      <c r="AK84" s="12">
        <v>-97194</v>
      </c>
      <c r="AL84" s="12">
        <v>-97194</v>
      </c>
      <c r="AM84" s="12">
        <v>-211240</v>
      </c>
      <c r="AN84" s="12">
        <v>-294240</v>
      </c>
      <c r="AO84" s="12">
        <v>-375240</v>
      </c>
      <c r="AP84" s="12">
        <v>-375240</v>
      </c>
      <c r="AQ84" s="12">
        <v>-484140</v>
      </c>
      <c r="AR84" s="12">
        <v>-578140</v>
      </c>
      <c r="AS84" s="12">
        <v>-628140</v>
      </c>
      <c r="AT84" s="12">
        <v>-896766</v>
      </c>
      <c r="AU84" s="12">
        <v>-896766</v>
      </c>
      <c r="AV84" s="12">
        <v>-896766</v>
      </c>
      <c r="AW84" s="12">
        <v>0</v>
      </c>
      <c r="AX84" s="12">
        <v>0</v>
      </c>
      <c r="AY84" s="12">
        <v>0</v>
      </c>
      <c r="AZ84" s="12">
        <v>0</v>
      </c>
      <c r="BA84" s="12">
        <v>0</v>
      </c>
      <c r="BC84" s="7">
        <f t="shared" si="22"/>
        <v>335713</v>
      </c>
      <c r="BD84" s="7">
        <f t="shared" si="23"/>
        <v>470604</v>
      </c>
      <c r="BE84" s="7">
        <f t="shared" si="24"/>
        <v>37178</v>
      </c>
    </row>
    <row r="85" spans="1:57" ht="15" customHeight="1" x14ac:dyDescent="0.3">
      <c r="A85" s="7">
        <f t="shared" si="19"/>
        <v>37590</v>
      </c>
      <c r="B85" s="7">
        <f t="shared" si="20"/>
        <v>66631</v>
      </c>
      <c r="C85" s="7">
        <f t="shared" si="21"/>
        <v>44634</v>
      </c>
      <c r="D85" s="5"/>
      <c r="E85" s="13" t="s">
        <v>771</v>
      </c>
      <c r="F85" s="5"/>
      <c r="G85" s="13" t="s">
        <v>933</v>
      </c>
      <c r="H85" s="13" t="s">
        <v>49</v>
      </c>
      <c r="I85" s="11" t="s">
        <v>49</v>
      </c>
      <c r="J85" s="12">
        <v>0</v>
      </c>
      <c r="K85" s="11" t="s">
        <v>916</v>
      </c>
      <c r="L85" s="12">
        <v>0</v>
      </c>
      <c r="M85" s="12">
        <v>1059719</v>
      </c>
      <c r="N85" s="12">
        <v>5090</v>
      </c>
      <c r="O85" s="12">
        <v>4000</v>
      </c>
      <c r="P85" s="12">
        <v>4500</v>
      </c>
      <c r="Q85" s="12">
        <v>6000</v>
      </c>
      <c r="R85" s="12">
        <v>6000</v>
      </c>
      <c r="S85" s="12">
        <v>6000</v>
      </c>
      <c r="T85" s="12">
        <v>6000</v>
      </c>
      <c r="U85" s="12">
        <v>66631</v>
      </c>
      <c r="V85" s="12">
        <v>0</v>
      </c>
      <c r="W85" s="12">
        <v>0</v>
      </c>
      <c r="X85" s="12">
        <v>0</v>
      </c>
      <c r="Y85" s="12">
        <v>0</v>
      </c>
      <c r="Z85" s="12">
        <v>0</v>
      </c>
      <c r="AA85" s="12">
        <v>0</v>
      </c>
      <c r="AB85" s="12">
        <v>44634</v>
      </c>
      <c r="AC85" s="12">
        <v>0</v>
      </c>
      <c r="AD85" s="12">
        <v>0</v>
      </c>
      <c r="AE85" s="12">
        <v>0</v>
      </c>
      <c r="AF85" s="12">
        <v>0</v>
      </c>
      <c r="AG85" s="12">
        <v>0</v>
      </c>
      <c r="AH85" s="12">
        <v>0</v>
      </c>
      <c r="AI85" s="12">
        <v>47000</v>
      </c>
      <c r="AJ85" s="12">
        <v>49000</v>
      </c>
      <c r="AK85" s="12">
        <v>42000</v>
      </c>
      <c r="AL85" s="12">
        <v>0</v>
      </c>
      <c r="AM85" s="12">
        <v>109046</v>
      </c>
      <c r="AN85" s="12">
        <v>80000</v>
      </c>
      <c r="AO85" s="12">
        <v>80000</v>
      </c>
      <c r="AP85" s="12">
        <v>0</v>
      </c>
      <c r="AQ85" s="12">
        <v>102900</v>
      </c>
      <c r="AR85" s="12">
        <v>90000</v>
      </c>
      <c r="AS85" s="12">
        <v>50000</v>
      </c>
      <c r="AT85" s="12">
        <v>260918</v>
      </c>
      <c r="AU85" s="12">
        <v>0</v>
      </c>
      <c r="AV85" s="12">
        <v>0</v>
      </c>
      <c r="AW85" s="12">
        <v>104221</v>
      </c>
      <c r="AX85" s="12">
        <v>182634</v>
      </c>
      <c r="AY85" s="12">
        <v>269046</v>
      </c>
      <c r="AZ85" s="12">
        <v>503818</v>
      </c>
      <c r="BA85" s="12">
        <v>0</v>
      </c>
      <c r="BC85" s="7">
        <f t="shared" si="22"/>
        <v>13590</v>
      </c>
      <c r="BD85" s="7">
        <f t="shared" si="23"/>
        <v>90631</v>
      </c>
      <c r="BE85" s="7">
        <f t="shared" si="24"/>
        <v>44634</v>
      </c>
    </row>
    <row r="86" spans="1:57" ht="15" customHeight="1" x14ac:dyDescent="0.3">
      <c r="A86" s="7">
        <f t="shared" si="19"/>
        <v>775794</v>
      </c>
      <c r="B86" s="7">
        <f t="shared" si="20"/>
        <v>188377</v>
      </c>
      <c r="C86" s="7">
        <f t="shared" si="21"/>
        <v>-124061</v>
      </c>
      <c r="D86" s="5"/>
      <c r="E86" s="5" t="str">
        <f t="shared" ref="E86:E89" si="28">E85</f>
        <v>1203A0200006</v>
      </c>
      <c r="F86" s="5"/>
      <c r="G86" s="5"/>
      <c r="H86" s="6"/>
      <c r="I86" s="11"/>
      <c r="J86" s="12">
        <v>0</v>
      </c>
      <c r="K86" s="11" t="s">
        <v>917</v>
      </c>
      <c r="L86" s="12">
        <v>131132</v>
      </c>
      <c r="M86" s="12">
        <v>-928587</v>
      </c>
      <c r="N86" s="12">
        <v>126042</v>
      </c>
      <c r="O86" s="12">
        <v>122042</v>
      </c>
      <c r="P86" s="12">
        <v>117542</v>
      </c>
      <c r="Q86" s="12">
        <v>111542</v>
      </c>
      <c r="R86" s="12">
        <v>105542</v>
      </c>
      <c r="S86" s="12">
        <v>99542</v>
      </c>
      <c r="T86" s="12">
        <v>93542</v>
      </c>
      <c r="U86" s="12">
        <v>26911</v>
      </c>
      <c r="V86" s="12">
        <v>26911</v>
      </c>
      <c r="W86" s="12">
        <v>26911</v>
      </c>
      <c r="X86" s="12">
        <v>26911</v>
      </c>
      <c r="Y86" s="12">
        <v>26911</v>
      </c>
      <c r="Z86" s="12">
        <v>26911</v>
      </c>
      <c r="AA86" s="12">
        <v>26911</v>
      </c>
      <c r="AB86" s="12">
        <v>-17723</v>
      </c>
      <c r="AC86" s="12">
        <v>-17723</v>
      </c>
      <c r="AD86" s="12">
        <v>-17723</v>
      </c>
      <c r="AE86" s="12">
        <v>-17723</v>
      </c>
      <c r="AF86" s="12">
        <v>-17723</v>
      </c>
      <c r="AG86" s="12">
        <v>-17723</v>
      </c>
      <c r="AH86" s="12">
        <v>-17723</v>
      </c>
      <c r="AI86" s="12">
        <v>-64723</v>
      </c>
      <c r="AJ86" s="12">
        <v>-113723</v>
      </c>
      <c r="AK86" s="12">
        <v>-155723</v>
      </c>
      <c r="AL86" s="12">
        <v>-155723</v>
      </c>
      <c r="AM86" s="12">
        <v>-264769</v>
      </c>
      <c r="AN86" s="12">
        <v>-344769</v>
      </c>
      <c r="AO86" s="12">
        <v>-424769</v>
      </c>
      <c r="AP86" s="12">
        <v>-424769</v>
      </c>
      <c r="AQ86" s="12">
        <v>-527669</v>
      </c>
      <c r="AR86" s="12">
        <v>-617669</v>
      </c>
      <c r="AS86" s="12">
        <v>-667669</v>
      </c>
      <c r="AT86" s="12">
        <v>-928587</v>
      </c>
      <c r="AU86" s="12">
        <v>-928587</v>
      </c>
      <c r="AV86" s="12">
        <v>-928587</v>
      </c>
      <c r="AW86" s="12">
        <v>0</v>
      </c>
      <c r="AX86" s="12">
        <v>0</v>
      </c>
      <c r="AY86" s="12">
        <v>0</v>
      </c>
      <c r="AZ86" s="12">
        <v>0</v>
      </c>
      <c r="BA86" s="12">
        <v>0</v>
      </c>
      <c r="BC86" s="7">
        <f t="shared" si="22"/>
        <v>365626</v>
      </c>
      <c r="BD86" s="7">
        <f t="shared" si="23"/>
        <v>490901</v>
      </c>
      <c r="BE86" s="7">
        <f t="shared" si="24"/>
        <v>54475</v>
      </c>
    </row>
    <row r="87" spans="1:57" ht="15" customHeight="1" x14ac:dyDescent="0.3">
      <c r="A87" s="7">
        <f t="shared" si="19"/>
        <v>0</v>
      </c>
      <c r="B87" s="7">
        <f t="shared" si="20"/>
        <v>0</v>
      </c>
      <c r="C87" s="7">
        <f t="shared" si="21"/>
        <v>63000</v>
      </c>
      <c r="D87" s="5"/>
      <c r="E87" s="5" t="str">
        <f t="shared" si="28"/>
        <v>1203A0200006</v>
      </c>
      <c r="F87" s="5"/>
      <c r="G87" s="5"/>
      <c r="H87" s="11" t="s">
        <v>769</v>
      </c>
      <c r="I87" s="11" t="s">
        <v>770</v>
      </c>
      <c r="J87" s="12">
        <v>891000</v>
      </c>
      <c r="K87" s="11" t="s">
        <v>918</v>
      </c>
      <c r="L87" s="12">
        <v>0</v>
      </c>
      <c r="M87" s="12">
        <v>63000</v>
      </c>
      <c r="N87" s="12">
        <v>0</v>
      </c>
      <c r="O87" s="12">
        <v>0</v>
      </c>
      <c r="P87" s="12">
        <v>0</v>
      </c>
      <c r="Q87" s="12">
        <v>0</v>
      </c>
      <c r="R87" s="12">
        <v>0</v>
      </c>
      <c r="S87" s="12">
        <v>0</v>
      </c>
      <c r="T87" s="12">
        <v>0</v>
      </c>
      <c r="U87" s="12">
        <v>0</v>
      </c>
      <c r="V87" s="12">
        <v>0</v>
      </c>
      <c r="W87" s="12">
        <v>0</v>
      </c>
      <c r="X87" s="12">
        <v>0</v>
      </c>
      <c r="Y87" s="12">
        <v>0</v>
      </c>
      <c r="Z87" s="12">
        <v>0</v>
      </c>
      <c r="AA87" s="12">
        <v>0</v>
      </c>
      <c r="AB87" s="12">
        <v>0</v>
      </c>
      <c r="AC87" s="12">
        <v>0</v>
      </c>
      <c r="AD87" s="12">
        <v>0</v>
      </c>
      <c r="AE87" s="12">
        <v>0</v>
      </c>
      <c r="AF87" s="12">
        <v>0</v>
      </c>
      <c r="AG87" s="12">
        <v>63000</v>
      </c>
      <c r="AH87" s="12">
        <v>0</v>
      </c>
      <c r="AI87" s="12">
        <v>0</v>
      </c>
      <c r="AJ87" s="12">
        <v>0</v>
      </c>
      <c r="AK87" s="12">
        <v>0</v>
      </c>
      <c r="AL87" s="12">
        <v>0</v>
      </c>
      <c r="AM87" s="12">
        <v>0</v>
      </c>
      <c r="AN87" s="12">
        <v>0</v>
      </c>
      <c r="AO87" s="12">
        <v>0</v>
      </c>
      <c r="AP87" s="12">
        <v>0</v>
      </c>
      <c r="AQ87" s="12">
        <v>0</v>
      </c>
      <c r="AR87" s="12">
        <v>0</v>
      </c>
      <c r="AS87" s="12">
        <v>0</v>
      </c>
      <c r="AT87" s="12">
        <v>0</v>
      </c>
      <c r="AU87" s="12">
        <v>0</v>
      </c>
      <c r="AV87" s="12">
        <v>0</v>
      </c>
      <c r="AW87" s="12">
        <v>0</v>
      </c>
      <c r="AX87" s="12">
        <v>63000</v>
      </c>
      <c r="AY87" s="12">
        <v>0</v>
      </c>
      <c r="AZ87" s="12">
        <v>0</v>
      </c>
      <c r="BA87" s="12">
        <v>0</v>
      </c>
      <c r="BC87" s="7">
        <f t="shared" si="22"/>
        <v>0</v>
      </c>
      <c r="BD87" s="7">
        <f t="shared" si="23"/>
        <v>0</v>
      </c>
      <c r="BE87" s="7">
        <f t="shared" si="24"/>
        <v>0</v>
      </c>
    </row>
    <row r="88" spans="1:57" ht="15" customHeight="1" x14ac:dyDescent="0.3">
      <c r="A88" s="7">
        <f t="shared" si="19"/>
        <v>0</v>
      </c>
      <c r="B88" s="7">
        <f t="shared" si="20"/>
        <v>0</v>
      </c>
      <c r="C88" s="7">
        <f t="shared" si="21"/>
        <v>63000</v>
      </c>
      <c r="D88" s="5"/>
      <c r="E88" s="5" t="str">
        <f t="shared" si="28"/>
        <v>1203A0200006</v>
      </c>
      <c r="F88" s="5"/>
      <c r="G88" s="5"/>
      <c r="H88" s="11" t="s">
        <v>49</v>
      </c>
      <c r="I88" s="11"/>
      <c r="J88" s="12">
        <v>0</v>
      </c>
      <c r="K88" s="11" t="s">
        <v>919</v>
      </c>
      <c r="L88" s="12">
        <v>0</v>
      </c>
      <c r="M88" s="12">
        <v>63000</v>
      </c>
      <c r="N88" s="12">
        <v>0</v>
      </c>
      <c r="O88" s="12">
        <v>0</v>
      </c>
      <c r="P88" s="12">
        <v>0</v>
      </c>
      <c r="Q88" s="12">
        <v>0</v>
      </c>
      <c r="R88" s="12">
        <v>0</v>
      </c>
      <c r="S88" s="12">
        <v>0</v>
      </c>
      <c r="T88" s="12">
        <v>0</v>
      </c>
      <c r="U88" s="12">
        <v>0</v>
      </c>
      <c r="V88" s="12">
        <v>0</v>
      </c>
      <c r="W88" s="12">
        <v>0</v>
      </c>
      <c r="X88" s="12">
        <v>0</v>
      </c>
      <c r="Y88" s="12">
        <v>0</v>
      </c>
      <c r="Z88" s="12">
        <v>0</v>
      </c>
      <c r="AA88" s="12">
        <v>0</v>
      </c>
      <c r="AB88" s="12">
        <v>0</v>
      </c>
      <c r="AC88" s="12">
        <v>0</v>
      </c>
      <c r="AD88" s="12">
        <v>0</v>
      </c>
      <c r="AE88" s="12">
        <v>0</v>
      </c>
      <c r="AF88" s="12">
        <v>0</v>
      </c>
      <c r="AG88" s="12">
        <v>63000</v>
      </c>
      <c r="AH88" s="12">
        <v>0</v>
      </c>
      <c r="AI88" s="12">
        <v>0</v>
      </c>
      <c r="AJ88" s="12">
        <v>0</v>
      </c>
      <c r="AK88" s="12">
        <v>0</v>
      </c>
      <c r="AL88" s="12">
        <v>0</v>
      </c>
      <c r="AM88" s="12">
        <v>0</v>
      </c>
      <c r="AN88" s="12">
        <v>0</v>
      </c>
      <c r="AO88" s="12">
        <v>0</v>
      </c>
      <c r="AP88" s="12">
        <v>0</v>
      </c>
      <c r="AQ88" s="12">
        <v>0</v>
      </c>
      <c r="AR88" s="12">
        <v>0</v>
      </c>
      <c r="AS88" s="12">
        <v>0</v>
      </c>
      <c r="AT88" s="12">
        <v>0</v>
      </c>
      <c r="AU88" s="12">
        <v>0</v>
      </c>
      <c r="AV88" s="12">
        <v>0</v>
      </c>
      <c r="AW88" s="12">
        <v>0</v>
      </c>
      <c r="AX88" s="12">
        <v>63000</v>
      </c>
      <c r="AY88" s="12">
        <v>0</v>
      </c>
      <c r="AZ88" s="12">
        <v>0</v>
      </c>
      <c r="BA88" s="12">
        <v>0</v>
      </c>
      <c r="BC88" s="7">
        <f t="shared" si="22"/>
        <v>0</v>
      </c>
      <c r="BD88" s="7">
        <f t="shared" si="23"/>
        <v>0</v>
      </c>
      <c r="BE88" s="7">
        <f t="shared" si="24"/>
        <v>0</v>
      </c>
    </row>
    <row r="89" spans="1:57" ht="15" customHeight="1" x14ac:dyDescent="0.3">
      <c r="A89" s="7">
        <f t="shared" si="19"/>
        <v>775794</v>
      </c>
      <c r="B89" s="7">
        <f t="shared" si="20"/>
        <v>188377</v>
      </c>
      <c r="C89" s="7">
        <f t="shared" si="21"/>
        <v>1939</v>
      </c>
      <c r="D89" s="5"/>
      <c r="E89" s="5" t="str">
        <f t="shared" si="28"/>
        <v>1203A0200006</v>
      </c>
      <c r="F89" s="5"/>
      <c r="G89" s="6"/>
      <c r="H89" s="11" t="s">
        <v>920</v>
      </c>
      <c r="I89" s="11"/>
      <c r="J89" s="12">
        <v>0</v>
      </c>
      <c r="K89" s="11" t="s">
        <v>921</v>
      </c>
      <c r="L89" s="12">
        <v>0</v>
      </c>
      <c r="M89" s="12">
        <v>-865587</v>
      </c>
      <c r="N89" s="12">
        <v>126042</v>
      </c>
      <c r="O89" s="12">
        <v>122042</v>
      </c>
      <c r="P89" s="12">
        <v>117542</v>
      </c>
      <c r="Q89" s="12">
        <v>111542</v>
      </c>
      <c r="R89" s="12">
        <v>105542</v>
      </c>
      <c r="S89" s="12">
        <v>99542</v>
      </c>
      <c r="T89" s="12">
        <v>93542</v>
      </c>
      <c r="U89" s="12">
        <v>26911</v>
      </c>
      <c r="V89" s="12">
        <v>26911</v>
      </c>
      <c r="W89" s="12">
        <v>26911</v>
      </c>
      <c r="X89" s="12">
        <v>26911</v>
      </c>
      <c r="Y89" s="12">
        <v>26911</v>
      </c>
      <c r="Z89" s="12">
        <v>26911</v>
      </c>
      <c r="AA89" s="12">
        <v>26911</v>
      </c>
      <c r="AB89" s="12">
        <v>-17723</v>
      </c>
      <c r="AC89" s="12">
        <v>-17723</v>
      </c>
      <c r="AD89" s="12">
        <v>-17723</v>
      </c>
      <c r="AE89" s="12">
        <v>-17723</v>
      </c>
      <c r="AF89" s="12">
        <v>-17723</v>
      </c>
      <c r="AG89" s="12">
        <v>45277</v>
      </c>
      <c r="AH89" s="12">
        <v>45277</v>
      </c>
      <c r="AI89" s="12">
        <v>-1723</v>
      </c>
      <c r="AJ89" s="12">
        <v>-50723</v>
      </c>
      <c r="AK89" s="12">
        <v>-92723</v>
      </c>
      <c r="AL89" s="12">
        <v>-92723</v>
      </c>
      <c r="AM89" s="12">
        <v>-201769</v>
      </c>
      <c r="AN89" s="12">
        <v>-281769</v>
      </c>
      <c r="AO89" s="12">
        <v>-361769</v>
      </c>
      <c r="AP89" s="12">
        <v>-361769</v>
      </c>
      <c r="AQ89" s="12">
        <v>-464669</v>
      </c>
      <c r="AR89" s="12">
        <v>-554669</v>
      </c>
      <c r="AS89" s="12">
        <v>-604669</v>
      </c>
      <c r="AT89" s="12">
        <v>-865587</v>
      </c>
      <c r="AU89" s="12">
        <v>-865587</v>
      </c>
      <c r="AV89" s="12">
        <v>-865587</v>
      </c>
      <c r="AW89" s="12">
        <v>0</v>
      </c>
      <c r="AX89" s="12">
        <v>0</v>
      </c>
      <c r="AY89" s="12">
        <v>0</v>
      </c>
      <c r="AZ89" s="12">
        <v>0</v>
      </c>
      <c r="BA89" s="12">
        <v>0</v>
      </c>
      <c r="BC89" s="7">
        <f t="shared" si="22"/>
        <v>365626</v>
      </c>
      <c r="BD89" s="7">
        <f t="shared" si="23"/>
        <v>490901</v>
      </c>
      <c r="BE89" s="7">
        <f t="shared" si="24"/>
        <v>54475</v>
      </c>
    </row>
    <row r="90" spans="1:57" ht="15" customHeight="1" x14ac:dyDescent="0.3">
      <c r="A90" s="7">
        <f t="shared" si="19"/>
        <v>800</v>
      </c>
      <c r="B90" s="7">
        <f t="shared" si="20"/>
        <v>1700</v>
      </c>
      <c r="C90" s="7">
        <f t="shared" si="21"/>
        <v>146</v>
      </c>
      <c r="D90" s="5"/>
      <c r="E90" s="13" t="s">
        <v>858</v>
      </c>
      <c r="F90" s="5"/>
      <c r="G90" s="13" t="s">
        <v>934</v>
      </c>
      <c r="H90" s="13" t="s">
        <v>49</v>
      </c>
      <c r="I90" s="11" t="s">
        <v>49</v>
      </c>
      <c r="J90" s="12">
        <v>0</v>
      </c>
      <c r="K90" s="11" t="s">
        <v>916</v>
      </c>
      <c r="L90" s="12">
        <v>0</v>
      </c>
      <c r="M90" s="12">
        <v>24093</v>
      </c>
      <c r="N90" s="12">
        <v>0</v>
      </c>
      <c r="O90" s="12">
        <v>800</v>
      </c>
      <c r="P90" s="12">
        <v>0</v>
      </c>
      <c r="Q90" s="12">
        <v>0</v>
      </c>
      <c r="R90" s="12">
        <v>0</v>
      </c>
      <c r="S90" s="12">
        <v>0</v>
      </c>
      <c r="T90" s="12">
        <v>0</v>
      </c>
      <c r="U90" s="12">
        <v>1700</v>
      </c>
      <c r="V90" s="12">
        <v>0</v>
      </c>
      <c r="W90" s="12">
        <v>0</v>
      </c>
      <c r="X90" s="12">
        <v>0</v>
      </c>
      <c r="Y90" s="12">
        <v>0</v>
      </c>
      <c r="Z90" s="12">
        <v>0</v>
      </c>
      <c r="AA90" s="12">
        <v>0</v>
      </c>
      <c r="AB90" s="12">
        <v>146</v>
      </c>
      <c r="AC90" s="12">
        <v>0</v>
      </c>
      <c r="AD90" s="12">
        <v>0</v>
      </c>
      <c r="AE90" s="12">
        <v>0</v>
      </c>
      <c r="AF90" s="12">
        <v>0</v>
      </c>
      <c r="AG90" s="12">
        <v>0</v>
      </c>
      <c r="AH90" s="12">
        <v>0</v>
      </c>
      <c r="AI90" s="12">
        <v>5000</v>
      </c>
      <c r="AJ90" s="12">
        <v>0</v>
      </c>
      <c r="AK90" s="12">
        <v>0</v>
      </c>
      <c r="AL90" s="12">
        <v>0</v>
      </c>
      <c r="AM90" s="12">
        <v>0</v>
      </c>
      <c r="AN90" s="12">
        <v>7000</v>
      </c>
      <c r="AO90" s="12">
        <v>0</v>
      </c>
      <c r="AP90" s="12">
        <v>0</v>
      </c>
      <c r="AQ90" s="12">
        <v>3000</v>
      </c>
      <c r="AR90" s="12">
        <v>5000</v>
      </c>
      <c r="AS90" s="12">
        <v>0</v>
      </c>
      <c r="AT90" s="12">
        <v>1447</v>
      </c>
      <c r="AU90" s="12">
        <v>0</v>
      </c>
      <c r="AV90" s="12">
        <v>0</v>
      </c>
      <c r="AW90" s="12">
        <v>2500</v>
      </c>
      <c r="AX90" s="12">
        <v>5146</v>
      </c>
      <c r="AY90" s="12">
        <v>7000</v>
      </c>
      <c r="AZ90" s="12">
        <v>9447</v>
      </c>
      <c r="BA90" s="12">
        <v>0</v>
      </c>
      <c r="BC90" s="7">
        <f t="shared" si="22"/>
        <v>800</v>
      </c>
      <c r="BD90" s="7">
        <f t="shared" si="23"/>
        <v>1700</v>
      </c>
      <c r="BE90" s="7">
        <f t="shared" si="24"/>
        <v>146</v>
      </c>
    </row>
    <row r="91" spans="1:57" ht="15" customHeight="1" x14ac:dyDescent="0.3">
      <c r="A91" s="7">
        <f t="shared" si="19"/>
        <v>62281</v>
      </c>
      <c r="B91" s="7">
        <f t="shared" si="20"/>
        <v>49581</v>
      </c>
      <c r="C91" s="7">
        <f t="shared" si="21"/>
        <v>48559</v>
      </c>
      <c r="D91" s="5"/>
      <c r="E91" s="5" t="str">
        <f t="shared" ref="E91:E94" si="29">E90</f>
        <v>1203A0200019</v>
      </c>
      <c r="F91" s="5"/>
      <c r="G91" s="5"/>
      <c r="H91" s="6"/>
      <c r="I91" s="11"/>
      <c r="J91" s="12">
        <v>0</v>
      </c>
      <c r="K91" s="11" t="s">
        <v>917</v>
      </c>
      <c r="L91" s="12">
        <v>9583</v>
      </c>
      <c r="M91" s="12">
        <v>-14510</v>
      </c>
      <c r="N91" s="12">
        <v>9583</v>
      </c>
      <c r="O91" s="12">
        <v>8783</v>
      </c>
      <c r="P91" s="12">
        <v>8783</v>
      </c>
      <c r="Q91" s="12">
        <v>8783</v>
      </c>
      <c r="R91" s="12">
        <v>8783</v>
      </c>
      <c r="S91" s="12">
        <v>8783</v>
      </c>
      <c r="T91" s="12">
        <v>8783</v>
      </c>
      <c r="U91" s="12">
        <v>7083</v>
      </c>
      <c r="V91" s="12">
        <v>7083</v>
      </c>
      <c r="W91" s="12">
        <v>7083</v>
      </c>
      <c r="X91" s="12">
        <v>7083</v>
      </c>
      <c r="Y91" s="12">
        <v>7083</v>
      </c>
      <c r="Z91" s="12">
        <v>7083</v>
      </c>
      <c r="AA91" s="12">
        <v>7083</v>
      </c>
      <c r="AB91" s="12">
        <v>6937</v>
      </c>
      <c r="AC91" s="12">
        <v>6937</v>
      </c>
      <c r="AD91" s="12">
        <v>6937</v>
      </c>
      <c r="AE91" s="12">
        <v>6937</v>
      </c>
      <c r="AF91" s="12">
        <v>6937</v>
      </c>
      <c r="AG91" s="12">
        <v>6937</v>
      </c>
      <c r="AH91" s="12">
        <v>6937</v>
      </c>
      <c r="AI91" s="12">
        <v>1937</v>
      </c>
      <c r="AJ91" s="12">
        <v>1937</v>
      </c>
      <c r="AK91" s="12">
        <v>1937</v>
      </c>
      <c r="AL91" s="12">
        <v>1937</v>
      </c>
      <c r="AM91" s="12">
        <v>1937</v>
      </c>
      <c r="AN91" s="12">
        <v>-5063</v>
      </c>
      <c r="AO91" s="12">
        <v>-5063</v>
      </c>
      <c r="AP91" s="12">
        <v>-5063</v>
      </c>
      <c r="AQ91" s="12">
        <v>-8063</v>
      </c>
      <c r="AR91" s="12">
        <v>-13063</v>
      </c>
      <c r="AS91" s="12">
        <v>-13063</v>
      </c>
      <c r="AT91" s="12">
        <v>-14510</v>
      </c>
      <c r="AU91" s="12">
        <v>-14510</v>
      </c>
      <c r="AV91" s="12">
        <v>-14510</v>
      </c>
      <c r="AW91" s="12">
        <v>0</v>
      </c>
      <c r="AX91" s="12">
        <v>0</v>
      </c>
      <c r="AY91" s="12">
        <v>0</v>
      </c>
      <c r="AZ91" s="12">
        <v>0</v>
      </c>
      <c r="BA91" s="12">
        <v>0</v>
      </c>
      <c r="BC91" s="7">
        <f t="shared" si="22"/>
        <v>27149</v>
      </c>
      <c r="BD91" s="7">
        <f t="shared" si="23"/>
        <v>56381</v>
      </c>
      <c r="BE91" s="7">
        <f t="shared" si="24"/>
        <v>49143</v>
      </c>
    </row>
    <row r="92" spans="1:57" ht="15" customHeight="1" x14ac:dyDescent="0.3">
      <c r="A92" s="7">
        <f t="shared" si="19"/>
        <v>0</v>
      </c>
      <c r="B92" s="7">
        <f t="shared" si="20"/>
        <v>0</v>
      </c>
      <c r="C92" s="7">
        <f t="shared" si="21"/>
        <v>5100</v>
      </c>
      <c r="D92" s="5"/>
      <c r="E92" s="5" t="str">
        <f t="shared" si="29"/>
        <v>1203A0200019</v>
      </c>
      <c r="F92" s="5"/>
      <c r="G92" s="5"/>
      <c r="H92" s="11" t="s">
        <v>769</v>
      </c>
      <c r="I92" s="11" t="s">
        <v>770</v>
      </c>
      <c r="J92" s="12">
        <v>14280</v>
      </c>
      <c r="K92" s="11" t="s">
        <v>918</v>
      </c>
      <c r="L92" s="12">
        <v>0</v>
      </c>
      <c r="M92" s="12">
        <v>14280</v>
      </c>
      <c r="N92" s="12">
        <v>0</v>
      </c>
      <c r="O92" s="12">
        <v>0</v>
      </c>
      <c r="P92" s="12">
        <v>0</v>
      </c>
      <c r="Q92" s="12">
        <v>0</v>
      </c>
      <c r="R92" s="12">
        <v>0</v>
      </c>
      <c r="S92" s="12">
        <v>0</v>
      </c>
      <c r="T92" s="12">
        <v>0</v>
      </c>
      <c r="U92" s="12">
        <v>0</v>
      </c>
      <c r="V92" s="12">
        <v>0</v>
      </c>
      <c r="W92" s="12">
        <v>0</v>
      </c>
      <c r="X92" s="12">
        <v>0</v>
      </c>
      <c r="Y92" s="12">
        <v>0</v>
      </c>
      <c r="Z92" s="12">
        <v>0</v>
      </c>
      <c r="AA92" s="12">
        <v>0</v>
      </c>
      <c r="AB92" s="12">
        <v>5100</v>
      </c>
      <c r="AC92" s="12">
        <v>0</v>
      </c>
      <c r="AD92" s="12">
        <v>0</v>
      </c>
      <c r="AE92" s="12">
        <v>0</v>
      </c>
      <c r="AF92" s="12">
        <v>0</v>
      </c>
      <c r="AG92" s="12">
        <v>0</v>
      </c>
      <c r="AH92" s="12">
        <v>0</v>
      </c>
      <c r="AI92" s="12">
        <v>0</v>
      </c>
      <c r="AJ92" s="12">
        <v>0</v>
      </c>
      <c r="AK92" s="12">
        <v>0</v>
      </c>
      <c r="AL92" s="12">
        <v>0</v>
      </c>
      <c r="AM92" s="12">
        <v>0</v>
      </c>
      <c r="AN92" s="12">
        <v>3060</v>
      </c>
      <c r="AO92" s="12">
        <v>0</v>
      </c>
      <c r="AP92" s="12">
        <v>0</v>
      </c>
      <c r="AQ92" s="12">
        <v>6120</v>
      </c>
      <c r="AR92" s="12">
        <v>0</v>
      </c>
      <c r="AS92" s="12">
        <v>0</v>
      </c>
      <c r="AT92" s="12">
        <v>0</v>
      </c>
      <c r="AU92" s="12">
        <v>0</v>
      </c>
      <c r="AV92" s="12">
        <v>0</v>
      </c>
      <c r="AW92" s="12">
        <v>0</v>
      </c>
      <c r="AX92" s="12">
        <v>5100</v>
      </c>
      <c r="AY92" s="12">
        <v>3060</v>
      </c>
      <c r="AZ92" s="12">
        <v>6120</v>
      </c>
      <c r="BA92" s="12">
        <v>0</v>
      </c>
      <c r="BC92" s="7">
        <f t="shared" si="22"/>
        <v>0</v>
      </c>
      <c r="BD92" s="7">
        <f t="shared" si="23"/>
        <v>0</v>
      </c>
      <c r="BE92" s="7">
        <f t="shared" si="24"/>
        <v>5100</v>
      </c>
    </row>
    <row r="93" spans="1:57" ht="15" customHeight="1" x14ac:dyDescent="0.3">
      <c r="A93" s="7">
        <f t="shared" si="19"/>
        <v>0</v>
      </c>
      <c r="B93" s="7">
        <f t="shared" si="20"/>
        <v>0</v>
      </c>
      <c r="C93" s="7">
        <f t="shared" si="21"/>
        <v>5100</v>
      </c>
      <c r="D93" s="5"/>
      <c r="E93" s="5" t="str">
        <f t="shared" si="29"/>
        <v>1203A0200019</v>
      </c>
      <c r="F93" s="5"/>
      <c r="G93" s="5"/>
      <c r="H93" s="11" t="s">
        <v>49</v>
      </c>
      <c r="I93" s="11"/>
      <c r="J93" s="12">
        <v>0</v>
      </c>
      <c r="K93" s="11" t="s">
        <v>919</v>
      </c>
      <c r="L93" s="12">
        <v>0</v>
      </c>
      <c r="M93" s="12">
        <v>14280</v>
      </c>
      <c r="N93" s="12">
        <v>0</v>
      </c>
      <c r="O93" s="12">
        <v>0</v>
      </c>
      <c r="P93" s="12">
        <v>0</v>
      </c>
      <c r="Q93" s="12">
        <v>0</v>
      </c>
      <c r="R93" s="12">
        <v>0</v>
      </c>
      <c r="S93" s="12">
        <v>0</v>
      </c>
      <c r="T93" s="12">
        <v>0</v>
      </c>
      <c r="U93" s="12">
        <v>0</v>
      </c>
      <c r="V93" s="12">
        <v>0</v>
      </c>
      <c r="W93" s="12">
        <v>0</v>
      </c>
      <c r="X93" s="12">
        <v>0</v>
      </c>
      <c r="Y93" s="12">
        <v>0</v>
      </c>
      <c r="Z93" s="12">
        <v>0</v>
      </c>
      <c r="AA93" s="12">
        <v>0</v>
      </c>
      <c r="AB93" s="12">
        <v>5100</v>
      </c>
      <c r="AC93" s="12">
        <v>0</v>
      </c>
      <c r="AD93" s="12">
        <v>0</v>
      </c>
      <c r="AE93" s="12">
        <v>0</v>
      </c>
      <c r="AF93" s="12">
        <v>0</v>
      </c>
      <c r="AG93" s="12">
        <v>0</v>
      </c>
      <c r="AH93" s="12">
        <v>0</v>
      </c>
      <c r="AI93" s="12">
        <v>0</v>
      </c>
      <c r="AJ93" s="12">
        <v>0</v>
      </c>
      <c r="AK93" s="12">
        <v>0</v>
      </c>
      <c r="AL93" s="12">
        <v>0</v>
      </c>
      <c r="AM93" s="12">
        <v>0</v>
      </c>
      <c r="AN93" s="12">
        <v>3060</v>
      </c>
      <c r="AO93" s="12">
        <v>0</v>
      </c>
      <c r="AP93" s="12">
        <v>0</v>
      </c>
      <c r="AQ93" s="12">
        <v>6120</v>
      </c>
      <c r="AR93" s="12">
        <v>0</v>
      </c>
      <c r="AS93" s="12">
        <v>0</v>
      </c>
      <c r="AT93" s="12">
        <v>0</v>
      </c>
      <c r="AU93" s="12">
        <v>0</v>
      </c>
      <c r="AV93" s="12">
        <v>0</v>
      </c>
      <c r="AW93" s="12">
        <v>0</v>
      </c>
      <c r="AX93" s="12">
        <v>5100</v>
      </c>
      <c r="AY93" s="12">
        <v>3060</v>
      </c>
      <c r="AZ93" s="12">
        <v>6120</v>
      </c>
      <c r="BA93" s="12">
        <v>0</v>
      </c>
      <c r="BC93" s="7">
        <f t="shared" si="22"/>
        <v>0</v>
      </c>
      <c r="BD93" s="7">
        <f t="shared" si="23"/>
        <v>0</v>
      </c>
      <c r="BE93" s="7">
        <f t="shared" si="24"/>
        <v>5100</v>
      </c>
    </row>
    <row r="94" spans="1:57" ht="15" customHeight="1" x14ac:dyDescent="0.3">
      <c r="A94" s="7">
        <f t="shared" si="19"/>
        <v>62281</v>
      </c>
      <c r="B94" s="7">
        <f t="shared" si="20"/>
        <v>49581</v>
      </c>
      <c r="C94" s="7">
        <f t="shared" si="21"/>
        <v>84259</v>
      </c>
      <c r="D94" s="5"/>
      <c r="E94" s="5" t="str">
        <f t="shared" si="29"/>
        <v>1203A0200019</v>
      </c>
      <c r="F94" s="5"/>
      <c r="G94" s="6"/>
      <c r="H94" s="11" t="s">
        <v>920</v>
      </c>
      <c r="I94" s="11"/>
      <c r="J94" s="12">
        <v>0</v>
      </c>
      <c r="K94" s="11" t="s">
        <v>921</v>
      </c>
      <c r="L94" s="12">
        <v>0</v>
      </c>
      <c r="M94" s="12">
        <v>-230</v>
      </c>
      <c r="N94" s="12">
        <v>9583</v>
      </c>
      <c r="O94" s="12">
        <v>8783</v>
      </c>
      <c r="P94" s="12">
        <v>8783</v>
      </c>
      <c r="Q94" s="12">
        <v>8783</v>
      </c>
      <c r="R94" s="12">
        <v>8783</v>
      </c>
      <c r="S94" s="12">
        <v>8783</v>
      </c>
      <c r="T94" s="12">
        <v>8783</v>
      </c>
      <c r="U94" s="12">
        <v>7083</v>
      </c>
      <c r="V94" s="12">
        <v>7083</v>
      </c>
      <c r="W94" s="12">
        <v>7083</v>
      </c>
      <c r="X94" s="12">
        <v>7083</v>
      </c>
      <c r="Y94" s="12">
        <v>7083</v>
      </c>
      <c r="Z94" s="12">
        <v>7083</v>
      </c>
      <c r="AA94" s="12">
        <v>7083</v>
      </c>
      <c r="AB94" s="12">
        <v>12037</v>
      </c>
      <c r="AC94" s="12">
        <v>12037</v>
      </c>
      <c r="AD94" s="12">
        <v>12037</v>
      </c>
      <c r="AE94" s="12">
        <v>12037</v>
      </c>
      <c r="AF94" s="12">
        <v>12037</v>
      </c>
      <c r="AG94" s="12">
        <v>12037</v>
      </c>
      <c r="AH94" s="12">
        <v>12037</v>
      </c>
      <c r="AI94" s="12">
        <v>7037</v>
      </c>
      <c r="AJ94" s="12">
        <v>7037</v>
      </c>
      <c r="AK94" s="12">
        <v>7037</v>
      </c>
      <c r="AL94" s="12">
        <v>7037</v>
      </c>
      <c r="AM94" s="12">
        <v>7037</v>
      </c>
      <c r="AN94" s="12">
        <v>3097</v>
      </c>
      <c r="AO94" s="12">
        <v>3097</v>
      </c>
      <c r="AP94" s="12">
        <v>3097</v>
      </c>
      <c r="AQ94" s="12">
        <v>6217</v>
      </c>
      <c r="AR94" s="12">
        <v>1217</v>
      </c>
      <c r="AS94" s="12">
        <v>1217</v>
      </c>
      <c r="AT94" s="12">
        <v>-230</v>
      </c>
      <c r="AU94" s="12">
        <v>-230</v>
      </c>
      <c r="AV94" s="12">
        <v>-230</v>
      </c>
      <c r="AW94" s="12">
        <v>0</v>
      </c>
      <c r="AX94" s="12">
        <v>0</v>
      </c>
      <c r="AY94" s="12">
        <v>0</v>
      </c>
      <c r="AZ94" s="12">
        <v>0</v>
      </c>
      <c r="BA94" s="12">
        <v>0</v>
      </c>
      <c r="BC94" s="7">
        <f t="shared" si="22"/>
        <v>27149</v>
      </c>
      <c r="BD94" s="7">
        <f t="shared" si="23"/>
        <v>56381</v>
      </c>
      <c r="BE94" s="7">
        <f t="shared" si="24"/>
        <v>64443</v>
      </c>
    </row>
    <row r="95" spans="1:57" ht="15" customHeight="1" x14ac:dyDescent="0.3">
      <c r="A95" s="7">
        <f t="shared" si="19"/>
        <v>0</v>
      </c>
      <c r="B95" s="7">
        <f t="shared" si="20"/>
        <v>15000</v>
      </c>
      <c r="C95" s="7">
        <f t="shared" si="21"/>
        <v>69173</v>
      </c>
      <c r="D95" s="5"/>
      <c r="E95" s="13" t="s">
        <v>830</v>
      </c>
      <c r="F95" s="5"/>
      <c r="G95" s="13" t="s">
        <v>998</v>
      </c>
      <c r="H95" s="13" t="s">
        <v>49</v>
      </c>
      <c r="I95" s="11" t="s">
        <v>935</v>
      </c>
      <c r="J95" s="12">
        <v>0</v>
      </c>
      <c r="K95" s="11" t="s">
        <v>916</v>
      </c>
      <c r="L95" s="12">
        <v>0</v>
      </c>
      <c r="M95" s="12">
        <v>1036810</v>
      </c>
      <c r="N95" s="12">
        <v>0</v>
      </c>
      <c r="O95" s="12">
        <v>0</v>
      </c>
      <c r="P95" s="12">
        <v>0</v>
      </c>
      <c r="Q95" s="12">
        <v>0</v>
      </c>
      <c r="R95" s="12">
        <v>0</v>
      </c>
      <c r="S95" s="12">
        <v>0</v>
      </c>
      <c r="T95" s="12">
        <v>0</v>
      </c>
      <c r="U95" s="12">
        <v>15000</v>
      </c>
      <c r="V95" s="12">
        <v>0</v>
      </c>
      <c r="W95" s="12">
        <v>0</v>
      </c>
      <c r="X95" s="12">
        <v>0</v>
      </c>
      <c r="Y95" s="12">
        <v>0</v>
      </c>
      <c r="Z95" s="12">
        <v>0</v>
      </c>
      <c r="AA95" s="12">
        <v>0</v>
      </c>
      <c r="AB95" s="12">
        <v>69173</v>
      </c>
      <c r="AC95" s="12">
        <v>0</v>
      </c>
      <c r="AD95" s="12">
        <v>0</v>
      </c>
      <c r="AE95" s="12">
        <v>0</v>
      </c>
      <c r="AF95" s="12">
        <v>0</v>
      </c>
      <c r="AG95" s="12">
        <v>0</v>
      </c>
      <c r="AH95" s="12">
        <v>0</v>
      </c>
      <c r="AI95" s="12">
        <v>50000</v>
      </c>
      <c r="AJ95" s="12">
        <v>64000</v>
      </c>
      <c r="AK95" s="12">
        <v>51000</v>
      </c>
      <c r="AL95" s="12">
        <v>0</v>
      </c>
      <c r="AM95" s="12">
        <v>70000</v>
      </c>
      <c r="AN95" s="12">
        <v>209000</v>
      </c>
      <c r="AO95" s="12">
        <v>31500</v>
      </c>
      <c r="AP95" s="12">
        <v>0</v>
      </c>
      <c r="AQ95" s="12">
        <v>123637</v>
      </c>
      <c r="AR95" s="12">
        <v>117000</v>
      </c>
      <c r="AS95" s="12">
        <v>0</v>
      </c>
      <c r="AT95" s="12">
        <v>236500</v>
      </c>
      <c r="AU95" s="12">
        <v>0</v>
      </c>
      <c r="AV95" s="12">
        <v>0</v>
      </c>
      <c r="AW95" s="12">
        <v>15000</v>
      </c>
      <c r="AX95" s="12">
        <v>234173</v>
      </c>
      <c r="AY95" s="12">
        <v>310500</v>
      </c>
      <c r="AZ95" s="12">
        <v>477137</v>
      </c>
      <c r="BA95" s="12">
        <v>0</v>
      </c>
      <c r="BC95" s="7">
        <f t="shared" si="22"/>
        <v>0</v>
      </c>
      <c r="BD95" s="7">
        <f t="shared" si="23"/>
        <v>15000</v>
      </c>
      <c r="BE95" s="7">
        <f t="shared" si="24"/>
        <v>69173</v>
      </c>
    </row>
    <row r="96" spans="1:57" ht="15" customHeight="1" x14ac:dyDescent="0.3">
      <c r="A96" s="7">
        <f t="shared" si="19"/>
        <v>7913255</v>
      </c>
      <c r="B96" s="7">
        <f t="shared" si="20"/>
        <v>7808255</v>
      </c>
      <c r="C96" s="7">
        <f t="shared" si="21"/>
        <v>7324044</v>
      </c>
      <c r="D96" s="5"/>
      <c r="E96" s="5" t="str">
        <f t="shared" ref="E96:E99" si="30">E95</f>
        <v>1203A0200023</v>
      </c>
      <c r="F96" s="5"/>
      <c r="G96" s="5"/>
      <c r="H96" s="6"/>
      <c r="I96" s="11"/>
      <c r="J96" s="12">
        <v>0</v>
      </c>
      <c r="K96" s="11" t="s">
        <v>917</v>
      </c>
      <c r="L96" s="12">
        <v>1130465</v>
      </c>
      <c r="M96" s="12">
        <v>93655</v>
      </c>
      <c r="N96" s="12">
        <v>1130465</v>
      </c>
      <c r="O96" s="12">
        <v>1130465</v>
      </c>
      <c r="P96" s="12">
        <v>1130465</v>
      </c>
      <c r="Q96" s="12">
        <v>1130465</v>
      </c>
      <c r="R96" s="12">
        <v>1130465</v>
      </c>
      <c r="S96" s="12">
        <v>1130465</v>
      </c>
      <c r="T96" s="12">
        <v>1130465</v>
      </c>
      <c r="U96" s="12">
        <v>1115465</v>
      </c>
      <c r="V96" s="12">
        <v>1115465</v>
      </c>
      <c r="W96" s="12">
        <v>1115465</v>
      </c>
      <c r="X96" s="12">
        <v>1115465</v>
      </c>
      <c r="Y96" s="12">
        <v>1115465</v>
      </c>
      <c r="Z96" s="12">
        <v>1115465</v>
      </c>
      <c r="AA96" s="12">
        <v>1115465</v>
      </c>
      <c r="AB96" s="12">
        <v>1046292</v>
      </c>
      <c r="AC96" s="12">
        <v>1046292</v>
      </c>
      <c r="AD96" s="12">
        <v>1046292</v>
      </c>
      <c r="AE96" s="12">
        <v>1046292</v>
      </c>
      <c r="AF96" s="12">
        <v>1046292</v>
      </c>
      <c r="AG96" s="12">
        <v>1046292</v>
      </c>
      <c r="AH96" s="12">
        <v>1046292</v>
      </c>
      <c r="AI96" s="12">
        <v>996292</v>
      </c>
      <c r="AJ96" s="12">
        <v>932292</v>
      </c>
      <c r="AK96" s="12">
        <v>881292</v>
      </c>
      <c r="AL96" s="12">
        <v>881292</v>
      </c>
      <c r="AM96" s="12">
        <v>811292</v>
      </c>
      <c r="AN96" s="12">
        <v>602292</v>
      </c>
      <c r="AO96" s="12">
        <v>570792</v>
      </c>
      <c r="AP96" s="12">
        <v>570792</v>
      </c>
      <c r="AQ96" s="12">
        <v>447155</v>
      </c>
      <c r="AR96" s="12">
        <v>330155</v>
      </c>
      <c r="AS96" s="12">
        <v>330155</v>
      </c>
      <c r="AT96" s="12">
        <v>93655</v>
      </c>
      <c r="AU96" s="12">
        <v>93655</v>
      </c>
      <c r="AV96" s="12">
        <v>93655</v>
      </c>
      <c r="AW96" s="12">
        <v>0</v>
      </c>
      <c r="AX96" s="12">
        <v>0</v>
      </c>
      <c r="AY96" s="12">
        <v>0</v>
      </c>
      <c r="AZ96" s="12">
        <v>0</v>
      </c>
      <c r="BA96" s="12">
        <v>0</v>
      </c>
      <c r="BC96" s="7">
        <f t="shared" si="22"/>
        <v>3391395</v>
      </c>
      <c r="BD96" s="7">
        <f t="shared" si="23"/>
        <v>7868255</v>
      </c>
      <c r="BE96" s="7">
        <f t="shared" si="24"/>
        <v>7600736</v>
      </c>
    </row>
    <row r="97" spans="1:57" ht="15" customHeight="1" x14ac:dyDescent="0.3">
      <c r="A97" s="7">
        <f t="shared" si="19"/>
        <v>0</v>
      </c>
      <c r="B97" s="7">
        <f t="shared" si="20"/>
        <v>0</v>
      </c>
      <c r="C97" s="7">
        <f t="shared" si="21"/>
        <v>0</v>
      </c>
      <c r="D97" s="5"/>
      <c r="E97" s="5" t="str">
        <f t="shared" si="30"/>
        <v>1203A0200023</v>
      </c>
      <c r="F97" s="5"/>
      <c r="G97" s="5"/>
      <c r="H97" s="11" t="s">
        <v>828</v>
      </c>
      <c r="I97" s="11" t="s">
        <v>829</v>
      </c>
      <c r="J97" s="12">
        <v>402500</v>
      </c>
      <c r="K97" s="11" t="s">
        <v>918</v>
      </c>
      <c r="L97" s="12">
        <v>0</v>
      </c>
      <c r="M97" s="12">
        <v>0</v>
      </c>
      <c r="N97" s="12">
        <v>0</v>
      </c>
      <c r="O97" s="12">
        <v>0</v>
      </c>
      <c r="P97" s="12">
        <v>0</v>
      </c>
      <c r="Q97" s="12">
        <v>0</v>
      </c>
      <c r="R97" s="12">
        <v>0</v>
      </c>
      <c r="S97" s="12">
        <v>0</v>
      </c>
      <c r="T97" s="12">
        <v>0</v>
      </c>
      <c r="U97" s="12">
        <v>0</v>
      </c>
      <c r="V97" s="12">
        <v>0</v>
      </c>
      <c r="W97" s="12">
        <v>0</v>
      </c>
      <c r="X97" s="12">
        <v>0</v>
      </c>
      <c r="Y97" s="12">
        <v>0</v>
      </c>
      <c r="Z97" s="12">
        <v>0</v>
      </c>
      <c r="AA97" s="12">
        <v>0</v>
      </c>
      <c r="AB97" s="12">
        <v>0</v>
      </c>
      <c r="AC97" s="12">
        <v>0</v>
      </c>
      <c r="AD97" s="12">
        <v>0</v>
      </c>
      <c r="AE97" s="12">
        <v>0</v>
      </c>
      <c r="AF97" s="12">
        <v>0</v>
      </c>
      <c r="AG97" s="12">
        <v>0</v>
      </c>
      <c r="AH97" s="12">
        <v>0</v>
      </c>
      <c r="AI97" s="12">
        <v>0</v>
      </c>
      <c r="AJ97" s="12">
        <v>0</v>
      </c>
      <c r="AK97" s="12">
        <v>0</v>
      </c>
      <c r="AL97" s="12">
        <v>0</v>
      </c>
      <c r="AM97" s="12">
        <v>0</v>
      </c>
      <c r="AN97" s="12">
        <v>0</v>
      </c>
      <c r="AO97" s="12">
        <v>0</v>
      </c>
      <c r="AP97" s="12">
        <v>0</v>
      </c>
      <c r="AQ97" s="12">
        <v>0</v>
      </c>
      <c r="AR97" s="12">
        <v>0</v>
      </c>
      <c r="AS97" s="12">
        <v>0</v>
      </c>
      <c r="AT97" s="12">
        <v>0</v>
      </c>
      <c r="AU97" s="12">
        <v>0</v>
      </c>
      <c r="AV97" s="12">
        <v>0</v>
      </c>
      <c r="AW97" s="12">
        <v>0</v>
      </c>
      <c r="AX97" s="12">
        <v>0</v>
      </c>
      <c r="AY97" s="12">
        <v>0</v>
      </c>
      <c r="AZ97" s="12">
        <v>0</v>
      </c>
      <c r="BA97" s="12">
        <v>0</v>
      </c>
      <c r="BC97" s="7">
        <f t="shared" si="22"/>
        <v>0</v>
      </c>
      <c r="BD97" s="7">
        <f t="shared" si="23"/>
        <v>0</v>
      </c>
      <c r="BE97" s="7">
        <f t="shared" si="24"/>
        <v>0</v>
      </c>
    </row>
    <row r="98" spans="1:57" ht="15" customHeight="1" x14ac:dyDescent="0.3">
      <c r="A98" s="7">
        <f t="shared" si="19"/>
        <v>0</v>
      </c>
      <c r="B98" s="7">
        <f t="shared" si="20"/>
        <v>0</v>
      </c>
      <c r="C98" s="7">
        <f t="shared" si="21"/>
        <v>0</v>
      </c>
      <c r="D98" s="5"/>
      <c r="E98" s="5" t="str">
        <f t="shared" si="30"/>
        <v>1203A0200023</v>
      </c>
      <c r="F98" s="5"/>
      <c r="G98" s="5"/>
      <c r="H98" s="11" t="s">
        <v>49</v>
      </c>
      <c r="I98" s="11"/>
      <c r="J98" s="12">
        <v>0</v>
      </c>
      <c r="K98" s="11" t="s">
        <v>919</v>
      </c>
      <c r="L98" s="12">
        <v>0</v>
      </c>
      <c r="M98" s="12">
        <v>0</v>
      </c>
      <c r="N98" s="12">
        <v>0</v>
      </c>
      <c r="O98" s="12">
        <v>0</v>
      </c>
      <c r="P98" s="12">
        <v>0</v>
      </c>
      <c r="Q98" s="12">
        <v>0</v>
      </c>
      <c r="R98" s="12">
        <v>0</v>
      </c>
      <c r="S98" s="12">
        <v>0</v>
      </c>
      <c r="T98" s="12">
        <v>0</v>
      </c>
      <c r="U98" s="12">
        <v>0</v>
      </c>
      <c r="V98" s="12">
        <v>0</v>
      </c>
      <c r="W98" s="12">
        <v>0</v>
      </c>
      <c r="X98" s="12">
        <v>0</v>
      </c>
      <c r="Y98" s="12">
        <v>0</v>
      </c>
      <c r="Z98" s="12">
        <v>0</v>
      </c>
      <c r="AA98" s="12">
        <v>0</v>
      </c>
      <c r="AB98" s="12">
        <v>0</v>
      </c>
      <c r="AC98" s="12">
        <v>0</v>
      </c>
      <c r="AD98" s="12">
        <v>0</v>
      </c>
      <c r="AE98" s="12">
        <v>0</v>
      </c>
      <c r="AF98" s="12">
        <v>0</v>
      </c>
      <c r="AG98" s="12">
        <v>0</v>
      </c>
      <c r="AH98" s="12">
        <v>0</v>
      </c>
      <c r="AI98" s="12">
        <v>0</v>
      </c>
      <c r="AJ98" s="12">
        <v>0</v>
      </c>
      <c r="AK98" s="12">
        <v>0</v>
      </c>
      <c r="AL98" s="12">
        <v>0</v>
      </c>
      <c r="AM98" s="12">
        <v>0</v>
      </c>
      <c r="AN98" s="12">
        <v>0</v>
      </c>
      <c r="AO98" s="12">
        <v>0</v>
      </c>
      <c r="AP98" s="12">
        <v>0</v>
      </c>
      <c r="AQ98" s="12">
        <v>0</v>
      </c>
      <c r="AR98" s="12">
        <v>0</v>
      </c>
      <c r="AS98" s="12">
        <v>0</v>
      </c>
      <c r="AT98" s="12">
        <v>0</v>
      </c>
      <c r="AU98" s="12">
        <v>0</v>
      </c>
      <c r="AV98" s="12">
        <v>0</v>
      </c>
      <c r="AW98" s="12">
        <v>0</v>
      </c>
      <c r="AX98" s="12">
        <v>0</v>
      </c>
      <c r="AY98" s="12">
        <v>0</v>
      </c>
      <c r="AZ98" s="12">
        <v>0</v>
      </c>
      <c r="BA98" s="12">
        <v>0</v>
      </c>
      <c r="BC98" s="7">
        <f t="shared" si="22"/>
        <v>0</v>
      </c>
      <c r="BD98" s="7">
        <f t="shared" si="23"/>
        <v>0</v>
      </c>
      <c r="BE98" s="7">
        <f t="shared" si="24"/>
        <v>0</v>
      </c>
    </row>
    <row r="99" spans="1:57" ht="15" customHeight="1" x14ac:dyDescent="0.3">
      <c r="A99" s="7">
        <f t="shared" si="19"/>
        <v>7913255</v>
      </c>
      <c r="B99" s="7">
        <f t="shared" si="20"/>
        <v>7808255</v>
      </c>
      <c r="C99" s="7">
        <f t="shared" si="21"/>
        <v>7324044</v>
      </c>
      <c r="D99" s="5"/>
      <c r="E99" s="5" t="str">
        <f t="shared" si="30"/>
        <v>1203A0200023</v>
      </c>
      <c r="F99" s="5"/>
      <c r="G99" s="6"/>
      <c r="H99" s="11" t="s">
        <v>920</v>
      </c>
      <c r="I99" s="11"/>
      <c r="J99" s="12">
        <v>0</v>
      </c>
      <c r="K99" s="11" t="s">
        <v>921</v>
      </c>
      <c r="L99" s="12">
        <v>0</v>
      </c>
      <c r="M99" s="12">
        <v>93655</v>
      </c>
      <c r="N99" s="12">
        <v>1130465</v>
      </c>
      <c r="O99" s="12">
        <v>1130465</v>
      </c>
      <c r="P99" s="12">
        <v>1130465</v>
      </c>
      <c r="Q99" s="12">
        <v>1130465</v>
      </c>
      <c r="R99" s="12">
        <v>1130465</v>
      </c>
      <c r="S99" s="12">
        <v>1130465</v>
      </c>
      <c r="T99" s="12">
        <v>1130465</v>
      </c>
      <c r="U99" s="12">
        <v>1115465</v>
      </c>
      <c r="V99" s="12">
        <v>1115465</v>
      </c>
      <c r="W99" s="12">
        <v>1115465</v>
      </c>
      <c r="X99" s="12">
        <v>1115465</v>
      </c>
      <c r="Y99" s="12">
        <v>1115465</v>
      </c>
      <c r="Z99" s="12">
        <v>1115465</v>
      </c>
      <c r="AA99" s="12">
        <v>1115465</v>
      </c>
      <c r="AB99" s="12">
        <v>1046292</v>
      </c>
      <c r="AC99" s="12">
        <v>1046292</v>
      </c>
      <c r="AD99" s="12">
        <v>1046292</v>
      </c>
      <c r="AE99" s="12">
        <v>1046292</v>
      </c>
      <c r="AF99" s="12">
        <v>1046292</v>
      </c>
      <c r="AG99" s="12">
        <v>1046292</v>
      </c>
      <c r="AH99" s="12">
        <v>1046292</v>
      </c>
      <c r="AI99" s="12">
        <v>996292</v>
      </c>
      <c r="AJ99" s="12">
        <v>932292</v>
      </c>
      <c r="AK99" s="12">
        <v>881292</v>
      </c>
      <c r="AL99" s="12">
        <v>881292</v>
      </c>
      <c r="AM99" s="12">
        <v>811292</v>
      </c>
      <c r="AN99" s="12">
        <v>602292</v>
      </c>
      <c r="AO99" s="12">
        <v>570792</v>
      </c>
      <c r="AP99" s="12">
        <v>570792</v>
      </c>
      <c r="AQ99" s="12">
        <v>447155</v>
      </c>
      <c r="AR99" s="12">
        <v>330155</v>
      </c>
      <c r="AS99" s="12">
        <v>330155</v>
      </c>
      <c r="AT99" s="12">
        <v>93655</v>
      </c>
      <c r="AU99" s="12">
        <v>93655</v>
      </c>
      <c r="AV99" s="12">
        <v>93655</v>
      </c>
      <c r="AW99" s="12">
        <v>0</v>
      </c>
      <c r="AX99" s="12">
        <v>0</v>
      </c>
      <c r="AY99" s="12">
        <v>0</v>
      </c>
      <c r="AZ99" s="12">
        <v>0</v>
      </c>
      <c r="BA99" s="12">
        <v>0</v>
      </c>
      <c r="BC99" s="7">
        <f t="shared" si="22"/>
        <v>3391395</v>
      </c>
      <c r="BD99" s="7">
        <f t="shared" si="23"/>
        <v>7868255</v>
      </c>
      <c r="BE99" s="7">
        <f t="shared" si="24"/>
        <v>7600736</v>
      </c>
    </row>
    <row r="100" spans="1:57" ht="15" customHeight="1" x14ac:dyDescent="0.3">
      <c r="A100" s="7">
        <f t="shared" si="19"/>
        <v>0</v>
      </c>
      <c r="B100" s="7">
        <f t="shared" si="20"/>
        <v>15000</v>
      </c>
      <c r="C100" s="7">
        <f t="shared" si="21"/>
        <v>69173</v>
      </c>
      <c r="D100" s="5"/>
      <c r="E100" s="13" t="s">
        <v>831</v>
      </c>
      <c r="F100" s="5"/>
      <c r="G100" s="13" t="s">
        <v>936</v>
      </c>
      <c r="H100" s="13" t="s">
        <v>49</v>
      </c>
      <c r="I100" s="11" t="s">
        <v>935</v>
      </c>
      <c r="J100" s="12">
        <v>0</v>
      </c>
      <c r="K100" s="11" t="s">
        <v>916</v>
      </c>
      <c r="L100" s="12">
        <v>0</v>
      </c>
      <c r="M100" s="12">
        <v>1036810</v>
      </c>
      <c r="N100" s="12">
        <v>0</v>
      </c>
      <c r="O100" s="12">
        <v>0</v>
      </c>
      <c r="P100" s="12">
        <v>0</v>
      </c>
      <c r="Q100" s="12">
        <v>0</v>
      </c>
      <c r="R100" s="12">
        <v>0</v>
      </c>
      <c r="S100" s="12">
        <v>0</v>
      </c>
      <c r="T100" s="12">
        <v>0</v>
      </c>
      <c r="U100" s="12">
        <v>15000</v>
      </c>
      <c r="V100" s="12">
        <v>0</v>
      </c>
      <c r="W100" s="12">
        <v>0</v>
      </c>
      <c r="X100" s="12">
        <v>0</v>
      </c>
      <c r="Y100" s="12">
        <v>0</v>
      </c>
      <c r="Z100" s="12">
        <v>0</v>
      </c>
      <c r="AA100" s="12">
        <v>0</v>
      </c>
      <c r="AB100" s="12">
        <v>69173</v>
      </c>
      <c r="AC100" s="12">
        <v>0</v>
      </c>
      <c r="AD100" s="12">
        <v>0</v>
      </c>
      <c r="AE100" s="12">
        <v>0</v>
      </c>
      <c r="AF100" s="12">
        <v>0</v>
      </c>
      <c r="AG100" s="12">
        <v>0</v>
      </c>
      <c r="AH100" s="12">
        <v>0</v>
      </c>
      <c r="AI100" s="12">
        <v>50000</v>
      </c>
      <c r="AJ100" s="12">
        <v>64000</v>
      </c>
      <c r="AK100" s="12">
        <v>51000</v>
      </c>
      <c r="AL100" s="12">
        <v>0</v>
      </c>
      <c r="AM100" s="12">
        <v>70000</v>
      </c>
      <c r="AN100" s="12">
        <v>209000</v>
      </c>
      <c r="AO100" s="12">
        <v>31500</v>
      </c>
      <c r="AP100" s="12">
        <v>0</v>
      </c>
      <c r="AQ100" s="12">
        <v>123637</v>
      </c>
      <c r="AR100" s="12">
        <v>117000</v>
      </c>
      <c r="AS100" s="12">
        <v>0</v>
      </c>
      <c r="AT100" s="12">
        <v>236500</v>
      </c>
      <c r="AU100" s="12">
        <v>0</v>
      </c>
      <c r="AV100" s="12">
        <v>0</v>
      </c>
      <c r="AW100" s="12">
        <v>15000</v>
      </c>
      <c r="AX100" s="12">
        <v>234173</v>
      </c>
      <c r="AY100" s="12">
        <v>310500</v>
      </c>
      <c r="AZ100" s="12">
        <v>477137</v>
      </c>
      <c r="BA100" s="12">
        <v>0</v>
      </c>
      <c r="BC100" s="7">
        <f t="shared" si="22"/>
        <v>0</v>
      </c>
      <c r="BD100" s="7">
        <f t="shared" si="23"/>
        <v>15000</v>
      </c>
      <c r="BE100" s="7">
        <f t="shared" si="24"/>
        <v>69173</v>
      </c>
    </row>
    <row r="101" spans="1:57" ht="15" customHeight="1" x14ac:dyDescent="0.3">
      <c r="A101" s="7">
        <f t="shared" si="19"/>
        <v>5348693</v>
      </c>
      <c r="B101" s="7">
        <f t="shared" si="20"/>
        <v>5243693</v>
      </c>
      <c r="C101" s="7">
        <f t="shared" si="21"/>
        <v>4759482</v>
      </c>
      <c r="D101" s="5"/>
      <c r="E101" s="5" t="str">
        <f t="shared" ref="E101:E104" si="31">E100</f>
        <v>1203A0200024</v>
      </c>
      <c r="F101" s="5"/>
      <c r="G101" s="5"/>
      <c r="H101" s="6"/>
      <c r="I101" s="11"/>
      <c r="J101" s="12">
        <v>0</v>
      </c>
      <c r="K101" s="11" t="s">
        <v>917</v>
      </c>
      <c r="L101" s="12">
        <v>764099</v>
      </c>
      <c r="M101" s="12">
        <v>-272711</v>
      </c>
      <c r="N101" s="12">
        <v>764099</v>
      </c>
      <c r="O101" s="12">
        <v>764099</v>
      </c>
      <c r="P101" s="12">
        <v>764099</v>
      </c>
      <c r="Q101" s="12">
        <v>764099</v>
      </c>
      <c r="R101" s="12">
        <v>764099</v>
      </c>
      <c r="S101" s="12">
        <v>764099</v>
      </c>
      <c r="T101" s="12">
        <v>764099</v>
      </c>
      <c r="U101" s="12">
        <v>749099</v>
      </c>
      <c r="V101" s="12">
        <v>749099</v>
      </c>
      <c r="W101" s="12">
        <v>749099</v>
      </c>
      <c r="X101" s="12">
        <v>749099</v>
      </c>
      <c r="Y101" s="12">
        <v>749099</v>
      </c>
      <c r="Z101" s="12">
        <v>749099</v>
      </c>
      <c r="AA101" s="12">
        <v>749099</v>
      </c>
      <c r="AB101" s="12">
        <v>679926</v>
      </c>
      <c r="AC101" s="12">
        <v>679926</v>
      </c>
      <c r="AD101" s="12">
        <v>679926</v>
      </c>
      <c r="AE101" s="12">
        <v>679926</v>
      </c>
      <c r="AF101" s="12">
        <v>679926</v>
      </c>
      <c r="AG101" s="12">
        <v>679926</v>
      </c>
      <c r="AH101" s="12">
        <v>679926</v>
      </c>
      <c r="AI101" s="12">
        <v>629926</v>
      </c>
      <c r="AJ101" s="12">
        <v>565926</v>
      </c>
      <c r="AK101" s="12">
        <v>514926</v>
      </c>
      <c r="AL101" s="12">
        <v>514926</v>
      </c>
      <c r="AM101" s="12">
        <v>444926</v>
      </c>
      <c r="AN101" s="12">
        <v>235926</v>
      </c>
      <c r="AO101" s="12">
        <v>204426</v>
      </c>
      <c r="AP101" s="12">
        <v>204426</v>
      </c>
      <c r="AQ101" s="12">
        <v>80789</v>
      </c>
      <c r="AR101" s="12">
        <v>-36211</v>
      </c>
      <c r="AS101" s="12">
        <v>-36211</v>
      </c>
      <c r="AT101" s="12">
        <v>-272711</v>
      </c>
      <c r="AU101" s="12">
        <v>-272711</v>
      </c>
      <c r="AV101" s="12">
        <v>-272711</v>
      </c>
      <c r="AW101" s="12">
        <v>0</v>
      </c>
      <c r="AX101" s="12">
        <v>0</v>
      </c>
      <c r="AY101" s="12">
        <v>0</v>
      </c>
      <c r="AZ101" s="12">
        <v>0</v>
      </c>
      <c r="BA101" s="12">
        <v>0</v>
      </c>
      <c r="BC101" s="7">
        <f t="shared" si="22"/>
        <v>2292297</v>
      </c>
      <c r="BD101" s="7">
        <f t="shared" si="23"/>
        <v>5303693</v>
      </c>
      <c r="BE101" s="7">
        <f t="shared" si="24"/>
        <v>5036174</v>
      </c>
    </row>
    <row r="102" spans="1:57" ht="15" customHeight="1" x14ac:dyDescent="0.3">
      <c r="A102" s="7">
        <f t="shared" si="19"/>
        <v>0</v>
      </c>
      <c r="B102" s="7">
        <f t="shared" si="20"/>
        <v>0</v>
      </c>
      <c r="C102" s="7">
        <f t="shared" si="21"/>
        <v>0</v>
      </c>
      <c r="D102" s="5"/>
      <c r="E102" s="5" t="str">
        <f t="shared" si="31"/>
        <v>1203A0200024</v>
      </c>
      <c r="F102" s="5"/>
      <c r="G102" s="5"/>
      <c r="H102" s="11" t="s">
        <v>828</v>
      </c>
      <c r="I102" s="11" t="s">
        <v>829</v>
      </c>
      <c r="J102" s="12">
        <v>768000</v>
      </c>
      <c r="K102" s="11" t="s">
        <v>918</v>
      </c>
      <c r="L102" s="12">
        <v>0</v>
      </c>
      <c r="M102" s="12">
        <v>0</v>
      </c>
      <c r="N102" s="12">
        <v>0</v>
      </c>
      <c r="O102" s="12">
        <v>0</v>
      </c>
      <c r="P102" s="12">
        <v>0</v>
      </c>
      <c r="Q102" s="12">
        <v>0</v>
      </c>
      <c r="R102" s="12">
        <v>0</v>
      </c>
      <c r="S102" s="12">
        <v>0</v>
      </c>
      <c r="T102" s="12">
        <v>0</v>
      </c>
      <c r="U102" s="12">
        <v>0</v>
      </c>
      <c r="V102" s="12">
        <v>0</v>
      </c>
      <c r="W102" s="12">
        <v>0</v>
      </c>
      <c r="X102" s="12">
        <v>0</v>
      </c>
      <c r="Y102" s="12">
        <v>0</v>
      </c>
      <c r="Z102" s="12">
        <v>0</v>
      </c>
      <c r="AA102" s="12">
        <v>0</v>
      </c>
      <c r="AB102" s="12">
        <v>0</v>
      </c>
      <c r="AC102" s="12">
        <v>0</v>
      </c>
      <c r="AD102" s="12">
        <v>0</v>
      </c>
      <c r="AE102" s="12">
        <v>0</v>
      </c>
      <c r="AF102" s="12">
        <v>0</v>
      </c>
      <c r="AG102" s="12">
        <v>0</v>
      </c>
      <c r="AH102" s="12">
        <v>0</v>
      </c>
      <c r="AI102" s="12">
        <v>0</v>
      </c>
      <c r="AJ102" s="12">
        <v>0</v>
      </c>
      <c r="AK102" s="12">
        <v>0</v>
      </c>
      <c r="AL102" s="12">
        <v>0</v>
      </c>
      <c r="AM102" s="12">
        <v>0</v>
      </c>
      <c r="AN102" s="12">
        <v>0</v>
      </c>
      <c r="AO102" s="12">
        <v>0</v>
      </c>
      <c r="AP102" s="12">
        <v>0</v>
      </c>
      <c r="AQ102" s="12">
        <v>0</v>
      </c>
      <c r="AR102" s="12">
        <v>0</v>
      </c>
      <c r="AS102" s="12">
        <v>0</v>
      </c>
      <c r="AT102" s="12">
        <v>0</v>
      </c>
      <c r="AU102" s="12">
        <v>0</v>
      </c>
      <c r="AV102" s="12">
        <v>0</v>
      </c>
      <c r="AW102" s="12">
        <v>0</v>
      </c>
      <c r="AX102" s="12">
        <v>0</v>
      </c>
      <c r="AY102" s="12">
        <v>0</v>
      </c>
      <c r="AZ102" s="12">
        <v>0</v>
      </c>
      <c r="BA102" s="12">
        <v>0</v>
      </c>
      <c r="BC102" s="7">
        <f t="shared" si="22"/>
        <v>0</v>
      </c>
      <c r="BD102" s="7">
        <f t="shared" si="23"/>
        <v>0</v>
      </c>
      <c r="BE102" s="7">
        <f t="shared" si="24"/>
        <v>0</v>
      </c>
    </row>
    <row r="103" spans="1:57" ht="15" customHeight="1" x14ac:dyDescent="0.3">
      <c r="A103" s="7">
        <f t="shared" si="19"/>
        <v>0</v>
      </c>
      <c r="B103" s="7">
        <f t="shared" si="20"/>
        <v>0</v>
      </c>
      <c r="C103" s="7">
        <f t="shared" si="21"/>
        <v>0</v>
      </c>
      <c r="D103" s="5"/>
      <c r="E103" s="5" t="str">
        <f t="shared" si="31"/>
        <v>1203A0200024</v>
      </c>
      <c r="F103" s="5"/>
      <c r="G103" s="5"/>
      <c r="H103" s="11" t="s">
        <v>49</v>
      </c>
      <c r="I103" s="11"/>
      <c r="J103" s="12">
        <v>0</v>
      </c>
      <c r="K103" s="11" t="s">
        <v>919</v>
      </c>
      <c r="L103" s="12">
        <v>0</v>
      </c>
      <c r="M103" s="12">
        <v>0</v>
      </c>
      <c r="N103" s="12">
        <v>0</v>
      </c>
      <c r="O103" s="12">
        <v>0</v>
      </c>
      <c r="P103" s="12">
        <v>0</v>
      </c>
      <c r="Q103" s="12">
        <v>0</v>
      </c>
      <c r="R103" s="12">
        <v>0</v>
      </c>
      <c r="S103" s="12">
        <v>0</v>
      </c>
      <c r="T103" s="12">
        <v>0</v>
      </c>
      <c r="U103" s="12">
        <v>0</v>
      </c>
      <c r="V103" s="12">
        <v>0</v>
      </c>
      <c r="W103" s="12">
        <v>0</v>
      </c>
      <c r="X103" s="12">
        <v>0</v>
      </c>
      <c r="Y103" s="12">
        <v>0</v>
      </c>
      <c r="Z103" s="12">
        <v>0</v>
      </c>
      <c r="AA103" s="12">
        <v>0</v>
      </c>
      <c r="AB103" s="12">
        <v>0</v>
      </c>
      <c r="AC103" s="12">
        <v>0</v>
      </c>
      <c r="AD103" s="12">
        <v>0</v>
      </c>
      <c r="AE103" s="12">
        <v>0</v>
      </c>
      <c r="AF103" s="12">
        <v>0</v>
      </c>
      <c r="AG103" s="12">
        <v>0</v>
      </c>
      <c r="AH103" s="12">
        <v>0</v>
      </c>
      <c r="AI103" s="12">
        <v>0</v>
      </c>
      <c r="AJ103" s="12">
        <v>0</v>
      </c>
      <c r="AK103" s="12">
        <v>0</v>
      </c>
      <c r="AL103" s="12">
        <v>0</v>
      </c>
      <c r="AM103" s="12">
        <v>0</v>
      </c>
      <c r="AN103" s="12">
        <v>0</v>
      </c>
      <c r="AO103" s="12">
        <v>0</v>
      </c>
      <c r="AP103" s="12">
        <v>0</v>
      </c>
      <c r="AQ103" s="12">
        <v>0</v>
      </c>
      <c r="AR103" s="12">
        <v>0</v>
      </c>
      <c r="AS103" s="12">
        <v>0</v>
      </c>
      <c r="AT103" s="12">
        <v>0</v>
      </c>
      <c r="AU103" s="12">
        <v>0</v>
      </c>
      <c r="AV103" s="12">
        <v>0</v>
      </c>
      <c r="AW103" s="12">
        <v>0</v>
      </c>
      <c r="AX103" s="12">
        <v>0</v>
      </c>
      <c r="AY103" s="12">
        <v>0</v>
      </c>
      <c r="AZ103" s="12">
        <v>0</v>
      </c>
      <c r="BA103" s="12">
        <v>0</v>
      </c>
      <c r="BC103" s="7">
        <f t="shared" si="22"/>
        <v>0</v>
      </c>
      <c r="BD103" s="7">
        <f t="shared" si="23"/>
        <v>0</v>
      </c>
      <c r="BE103" s="7">
        <f t="shared" si="24"/>
        <v>0</v>
      </c>
    </row>
    <row r="104" spans="1:57" ht="15" customHeight="1" x14ac:dyDescent="0.3">
      <c r="A104" s="7">
        <f t="shared" si="19"/>
        <v>5348693</v>
      </c>
      <c r="B104" s="7">
        <f t="shared" si="20"/>
        <v>5243693</v>
      </c>
      <c r="C104" s="7">
        <f t="shared" si="21"/>
        <v>4759482</v>
      </c>
      <c r="D104" s="5"/>
      <c r="E104" s="5" t="str">
        <f t="shared" si="31"/>
        <v>1203A0200024</v>
      </c>
      <c r="F104" s="5"/>
      <c r="G104" s="6"/>
      <c r="H104" s="11" t="s">
        <v>920</v>
      </c>
      <c r="I104" s="11"/>
      <c r="J104" s="12">
        <v>0</v>
      </c>
      <c r="K104" s="11" t="s">
        <v>921</v>
      </c>
      <c r="L104" s="12">
        <v>0</v>
      </c>
      <c r="M104" s="12">
        <v>-272711</v>
      </c>
      <c r="N104" s="12">
        <v>764099</v>
      </c>
      <c r="O104" s="12">
        <v>764099</v>
      </c>
      <c r="P104" s="12">
        <v>764099</v>
      </c>
      <c r="Q104" s="12">
        <v>764099</v>
      </c>
      <c r="R104" s="12">
        <v>764099</v>
      </c>
      <c r="S104" s="12">
        <v>764099</v>
      </c>
      <c r="T104" s="12">
        <v>764099</v>
      </c>
      <c r="U104" s="12">
        <v>749099</v>
      </c>
      <c r="V104" s="12">
        <v>749099</v>
      </c>
      <c r="W104" s="12">
        <v>749099</v>
      </c>
      <c r="X104" s="12">
        <v>749099</v>
      </c>
      <c r="Y104" s="12">
        <v>749099</v>
      </c>
      <c r="Z104" s="12">
        <v>749099</v>
      </c>
      <c r="AA104" s="12">
        <v>749099</v>
      </c>
      <c r="AB104" s="12">
        <v>679926</v>
      </c>
      <c r="AC104" s="12">
        <v>679926</v>
      </c>
      <c r="AD104" s="12">
        <v>679926</v>
      </c>
      <c r="AE104" s="12">
        <v>679926</v>
      </c>
      <c r="AF104" s="12">
        <v>679926</v>
      </c>
      <c r="AG104" s="12">
        <v>679926</v>
      </c>
      <c r="AH104" s="12">
        <v>679926</v>
      </c>
      <c r="AI104" s="12">
        <v>629926</v>
      </c>
      <c r="AJ104" s="12">
        <v>565926</v>
      </c>
      <c r="AK104" s="12">
        <v>514926</v>
      </c>
      <c r="AL104" s="12">
        <v>514926</v>
      </c>
      <c r="AM104" s="12">
        <v>444926</v>
      </c>
      <c r="AN104" s="12">
        <v>235926</v>
      </c>
      <c r="AO104" s="12">
        <v>204426</v>
      </c>
      <c r="AP104" s="12">
        <v>204426</v>
      </c>
      <c r="AQ104" s="12">
        <v>80789</v>
      </c>
      <c r="AR104" s="12">
        <v>-36211</v>
      </c>
      <c r="AS104" s="12">
        <v>-36211</v>
      </c>
      <c r="AT104" s="12">
        <v>-272711</v>
      </c>
      <c r="AU104" s="12">
        <v>-272711</v>
      </c>
      <c r="AV104" s="12">
        <v>-272711</v>
      </c>
      <c r="AW104" s="12">
        <v>0</v>
      </c>
      <c r="AX104" s="12">
        <v>0</v>
      </c>
      <c r="AY104" s="12">
        <v>0</v>
      </c>
      <c r="AZ104" s="12">
        <v>0</v>
      </c>
      <c r="BA104" s="12">
        <v>0</v>
      </c>
      <c r="BC104" s="7">
        <f t="shared" si="22"/>
        <v>2292297</v>
      </c>
      <c r="BD104" s="7">
        <f t="shared" si="23"/>
        <v>5303693</v>
      </c>
      <c r="BE104" s="7">
        <f t="shared" si="24"/>
        <v>5036174</v>
      </c>
    </row>
    <row r="105" spans="1:57" ht="15" customHeight="1" x14ac:dyDescent="0.3">
      <c r="A105" s="7">
        <f t="shared" si="19"/>
        <v>0</v>
      </c>
      <c r="B105" s="7">
        <f t="shared" si="20"/>
        <v>0</v>
      </c>
      <c r="C105" s="7">
        <f t="shared" si="21"/>
        <v>0</v>
      </c>
      <c r="D105" s="5"/>
      <c r="E105" s="13" t="s">
        <v>859</v>
      </c>
      <c r="F105" s="5"/>
      <c r="G105" s="13" t="s">
        <v>937</v>
      </c>
      <c r="H105" s="13" t="s">
        <v>49</v>
      </c>
      <c r="I105" s="11" t="s">
        <v>49</v>
      </c>
      <c r="J105" s="12">
        <v>0</v>
      </c>
      <c r="K105" s="11" t="s">
        <v>916</v>
      </c>
      <c r="L105" s="12">
        <v>0</v>
      </c>
      <c r="M105" s="12">
        <v>8380</v>
      </c>
      <c r="N105" s="12">
        <v>0</v>
      </c>
      <c r="O105" s="12">
        <v>0</v>
      </c>
      <c r="P105" s="12">
        <v>0</v>
      </c>
      <c r="Q105" s="12">
        <v>0</v>
      </c>
      <c r="R105" s="12">
        <v>0</v>
      </c>
      <c r="S105" s="12">
        <v>0</v>
      </c>
      <c r="T105" s="12">
        <v>0</v>
      </c>
      <c r="U105" s="12">
        <v>0</v>
      </c>
      <c r="V105" s="12">
        <v>0</v>
      </c>
      <c r="W105" s="12">
        <v>0</v>
      </c>
      <c r="X105" s="12">
        <v>0</v>
      </c>
      <c r="Y105" s="12">
        <v>0</v>
      </c>
      <c r="Z105" s="12">
        <v>0</v>
      </c>
      <c r="AA105" s="12">
        <v>0</v>
      </c>
      <c r="AB105" s="12">
        <v>0</v>
      </c>
      <c r="AC105" s="12">
        <v>0</v>
      </c>
      <c r="AD105" s="12">
        <v>0</v>
      </c>
      <c r="AE105" s="12">
        <v>0</v>
      </c>
      <c r="AF105" s="12">
        <v>0</v>
      </c>
      <c r="AG105" s="12">
        <v>0</v>
      </c>
      <c r="AH105" s="12">
        <v>0</v>
      </c>
      <c r="AI105" s="12">
        <v>0</v>
      </c>
      <c r="AJ105" s="12">
        <v>0</v>
      </c>
      <c r="AK105" s="12">
        <v>0</v>
      </c>
      <c r="AL105" s="12">
        <v>0</v>
      </c>
      <c r="AM105" s="12">
        <v>1500</v>
      </c>
      <c r="AN105" s="12">
        <v>0</v>
      </c>
      <c r="AO105" s="12">
        <v>0</v>
      </c>
      <c r="AP105" s="12">
        <v>0</v>
      </c>
      <c r="AQ105" s="12">
        <v>3000</v>
      </c>
      <c r="AR105" s="12">
        <v>0</v>
      </c>
      <c r="AS105" s="12">
        <v>0</v>
      </c>
      <c r="AT105" s="12">
        <v>3880</v>
      </c>
      <c r="AU105" s="12">
        <v>0</v>
      </c>
      <c r="AV105" s="12">
        <v>0</v>
      </c>
      <c r="AW105" s="12">
        <v>0</v>
      </c>
      <c r="AX105" s="12">
        <v>0</v>
      </c>
      <c r="AY105" s="12">
        <v>1500</v>
      </c>
      <c r="AZ105" s="12">
        <v>6880</v>
      </c>
      <c r="BA105" s="12">
        <v>0</v>
      </c>
      <c r="BC105" s="7">
        <f t="shared" si="22"/>
        <v>0</v>
      </c>
      <c r="BD105" s="7">
        <f t="shared" si="23"/>
        <v>0</v>
      </c>
      <c r="BE105" s="7">
        <f t="shared" si="24"/>
        <v>0</v>
      </c>
    </row>
    <row r="106" spans="1:57" ht="15" customHeight="1" x14ac:dyDescent="0.3">
      <c r="A106" s="7">
        <f t="shared" si="19"/>
        <v>41160</v>
      </c>
      <c r="B106" s="7">
        <f t="shared" si="20"/>
        <v>41160</v>
      </c>
      <c r="C106" s="7">
        <f t="shared" si="21"/>
        <v>41160</v>
      </c>
      <c r="D106" s="5"/>
      <c r="E106" s="5" t="str">
        <f t="shared" ref="E106:E109" si="32">E105</f>
        <v>1203A0200027</v>
      </c>
      <c r="F106" s="5"/>
      <c r="G106" s="5"/>
      <c r="H106" s="6"/>
      <c r="I106" s="11"/>
      <c r="J106" s="12">
        <v>0</v>
      </c>
      <c r="K106" s="11" t="s">
        <v>917</v>
      </c>
      <c r="L106" s="12">
        <v>5880</v>
      </c>
      <c r="M106" s="12">
        <v>-2500</v>
      </c>
      <c r="N106" s="12">
        <v>5880</v>
      </c>
      <c r="O106" s="12">
        <v>5880</v>
      </c>
      <c r="P106" s="12">
        <v>5880</v>
      </c>
      <c r="Q106" s="12">
        <v>5880</v>
      </c>
      <c r="R106" s="12">
        <v>5880</v>
      </c>
      <c r="S106" s="12">
        <v>5880</v>
      </c>
      <c r="T106" s="12">
        <v>5880</v>
      </c>
      <c r="U106" s="12">
        <v>5880</v>
      </c>
      <c r="V106" s="12">
        <v>5880</v>
      </c>
      <c r="W106" s="12">
        <v>5880</v>
      </c>
      <c r="X106" s="12">
        <v>5880</v>
      </c>
      <c r="Y106" s="12">
        <v>5880</v>
      </c>
      <c r="Z106" s="12">
        <v>5880</v>
      </c>
      <c r="AA106" s="12">
        <v>5880</v>
      </c>
      <c r="AB106" s="12">
        <v>5880</v>
      </c>
      <c r="AC106" s="12">
        <v>5880</v>
      </c>
      <c r="AD106" s="12">
        <v>5880</v>
      </c>
      <c r="AE106" s="12">
        <v>5880</v>
      </c>
      <c r="AF106" s="12">
        <v>5880</v>
      </c>
      <c r="AG106" s="12">
        <v>5880</v>
      </c>
      <c r="AH106" s="12">
        <v>5880</v>
      </c>
      <c r="AI106" s="12">
        <v>5880</v>
      </c>
      <c r="AJ106" s="12">
        <v>5880</v>
      </c>
      <c r="AK106" s="12">
        <v>5880</v>
      </c>
      <c r="AL106" s="12">
        <v>5880</v>
      </c>
      <c r="AM106" s="12">
        <v>4380</v>
      </c>
      <c r="AN106" s="12">
        <v>4380</v>
      </c>
      <c r="AO106" s="12">
        <v>4380</v>
      </c>
      <c r="AP106" s="12">
        <v>4380</v>
      </c>
      <c r="AQ106" s="12">
        <v>1380</v>
      </c>
      <c r="AR106" s="12">
        <v>1380</v>
      </c>
      <c r="AS106" s="12">
        <v>1380</v>
      </c>
      <c r="AT106" s="12">
        <v>-2500</v>
      </c>
      <c r="AU106" s="12">
        <v>-2500</v>
      </c>
      <c r="AV106" s="12">
        <v>-2500</v>
      </c>
      <c r="AW106" s="12">
        <v>0</v>
      </c>
      <c r="AX106" s="12">
        <v>0</v>
      </c>
      <c r="AY106" s="12">
        <v>0</v>
      </c>
      <c r="AZ106" s="12">
        <v>0</v>
      </c>
      <c r="BA106" s="12">
        <v>0</v>
      </c>
      <c r="BC106" s="7">
        <f t="shared" si="22"/>
        <v>17640</v>
      </c>
      <c r="BD106" s="7">
        <f t="shared" si="23"/>
        <v>41160</v>
      </c>
      <c r="BE106" s="7">
        <f t="shared" si="24"/>
        <v>41160</v>
      </c>
    </row>
    <row r="107" spans="1:57" ht="15" customHeight="1" x14ac:dyDescent="0.3">
      <c r="A107" s="7">
        <f t="shared" si="19"/>
        <v>0</v>
      </c>
      <c r="B107" s="7">
        <f t="shared" si="20"/>
        <v>0</v>
      </c>
      <c r="C107" s="7">
        <f t="shared" si="21"/>
        <v>0</v>
      </c>
      <c r="D107" s="5"/>
      <c r="E107" s="5" t="str">
        <f t="shared" si="32"/>
        <v>1203A0200027</v>
      </c>
      <c r="F107" s="5"/>
      <c r="G107" s="5"/>
      <c r="H107" s="11" t="s">
        <v>769</v>
      </c>
      <c r="I107" s="11" t="s">
        <v>770</v>
      </c>
      <c r="J107" s="12"/>
      <c r="K107" s="11" t="s">
        <v>918</v>
      </c>
      <c r="L107" s="12">
        <v>0</v>
      </c>
      <c r="M107" s="12">
        <v>0</v>
      </c>
      <c r="N107" s="12">
        <v>0</v>
      </c>
      <c r="O107" s="12">
        <v>0</v>
      </c>
      <c r="P107" s="12">
        <v>0</v>
      </c>
      <c r="Q107" s="12">
        <v>0</v>
      </c>
      <c r="R107" s="12">
        <v>0</v>
      </c>
      <c r="S107" s="12">
        <v>0</v>
      </c>
      <c r="T107" s="12">
        <v>0</v>
      </c>
      <c r="U107" s="12">
        <v>0</v>
      </c>
      <c r="V107" s="12">
        <v>0</v>
      </c>
      <c r="W107" s="12">
        <v>0</v>
      </c>
      <c r="X107" s="12">
        <v>0</v>
      </c>
      <c r="Y107" s="12">
        <v>0</v>
      </c>
      <c r="Z107" s="12">
        <v>0</v>
      </c>
      <c r="AA107" s="12">
        <v>0</v>
      </c>
      <c r="AB107" s="12">
        <v>0</v>
      </c>
      <c r="AC107" s="12">
        <v>0</v>
      </c>
      <c r="AD107" s="12">
        <v>0</v>
      </c>
      <c r="AE107" s="12">
        <v>0</v>
      </c>
      <c r="AF107" s="12">
        <v>0</v>
      </c>
      <c r="AG107" s="12">
        <v>0</v>
      </c>
      <c r="AH107" s="12">
        <v>0</v>
      </c>
      <c r="AI107" s="12">
        <v>0</v>
      </c>
      <c r="AJ107" s="12">
        <v>0</v>
      </c>
      <c r="AK107" s="12">
        <v>0</v>
      </c>
      <c r="AL107" s="12">
        <v>0</v>
      </c>
      <c r="AM107" s="12">
        <v>0</v>
      </c>
      <c r="AN107" s="12">
        <v>0</v>
      </c>
      <c r="AO107" s="12">
        <v>0</v>
      </c>
      <c r="AP107" s="12">
        <v>0</v>
      </c>
      <c r="AQ107" s="12">
        <v>0</v>
      </c>
      <c r="AR107" s="12">
        <v>0</v>
      </c>
      <c r="AS107" s="12">
        <v>0</v>
      </c>
      <c r="AT107" s="12">
        <v>0</v>
      </c>
      <c r="AU107" s="12">
        <v>0</v>
      </c>
      <c r="AV107" s="12">
        <v>0</v>
      </c>
      <c r="AW107" s="12">
        <v>0</v>
      </c>
      <c r="AX107" s="12">
        <v>0</v>
      </c>
      <c r="AY107" s="12">
        <v>0</v>
      </c>
      <c r="AZ107" s="12">
        <v>0</v>
      </c>
      <c r="BA107" s="12">
        <v>0</v>
      </c>
      <c r="BC107" s="7">
        <f t="shared" si="22"/>
        <v>0</v>
      </c>
      <c r="BD107" s="7">
        <f t="shared" si="23"/>
        <v>0</v>
      </c>
      <c r="BE107" s="7">
        <f t="shared" si="24"/>
        <v>0</v>
      </c>
    </row>
    <row r="108" spans="1:57" ht="15" customHeight="1" x14ac:dyDescent="0.3">
      <c r="A108" s="7">
        <f t="shared" si="19"/>
        <v>0</v>
      </c>
      <c r="B108" s="7">
        <f t="shared" si="20"/>
        <v>0</v>
      </c>
      <c r="C108" s="7">
        <f t="shared" si="21"/>
        <v>0</v>
      </c>
      <c r="D108" s="5"/>
      <c r="E108" s="5" t="str">
        <f t="shared" si="32"/>
        <v>1203A0200027</v>
      </c>
      <c r="F108" s="5"/>
      <c r="G108" s="5"/>
      <c r="H108" s="11" t="s">
        <v>49</v>
      </c>
      <c r="I108" s="11"/>
      <c r="J108" s="12">
        <v>0</v>
      </c>
      <c r="K108" s="11" t="s">
        <v>919</v>
      </c>
      <c r="L108" s="12">
        <v>0</v>
      </c>
      <c r="M108" s="12">
        <v>0</v>
      </c>
      <c r="N108" s="12">
        <v>0</v>
      </c>
      <c r="O108" s="12">
        <v>0</v>
      </c>
      <c r="P108" s="12">
        <v>0</v>
      </c>
      <c r="Q108" s="12">
        <v>0</v>
      </c>
      <c r="R108" s="12">
        <v>0</v>
      </c>
      <c r="S108" s="12">
        <v>0</v>
      </c>
      <c r="T108" s="12">
        <v>0</v>
      </c>
      <c r="U108" s="12">
        <v>0</v>
      </c>
      <c r="V108" s="12">
        <v>0</v>
      </c>
      <c r="W108" s="12">
        <v>0</v>
      </c>
      <c r="X108" s="12">
        <v>0</v>
      </c>
      <c r="Y108" s="12">
        <v>0</v>
      </c>
      <c r="Z108" s="12">
        <v>0</v>
      </c>
      <c r="AA108" s="12">
        <v>0</v>
      </c>
      <c r="AB108" s="12">
        <v>0</v>
      </c>
      <c r="AC108" s="12">
        <v>0</v>
      </c>
      <c r="AD108" s="12">
        <v>0</v>
      </c>
      <c r="AE108" s="12">
        <v>0</v>
      </c>
      <c r="AF108" s="12">
        <v>0</v>
      </c>
      <c r="AG108" s="12">
        <v>0</v>
      </c>
      <c r="AH108" s="12">
        <v>0</v>
      </c>
      <c r="AI108" s="12">
        <v>0</v>
      </c>
      <c r="AJ108" s="12">
        <v>0</v>
      </c>
      <c r="AK108" s="12">
        <v>0</v>
      </c>
      <c r="AL108" s="12">
        <v>0</v>
      </c>
      <c r="AM108" s="12">
        <v>0</v>
      </c>
      <c r="AN108" s="12">
        <v>0</v>
      </c>
      <c r="AO108" s="12">
        <v>0</v>
      </c>
      <c r="AP108" s="12">
        <v>0</v>
      </c>
      <c r="AQ108" s="12">
        <v>0</v>
      </c>
      <c r="AR108" s="12">
        <v>0</v>
      </c>
      <c r="AS108" s="12">
        <v>0</v>
      </c>
      <c r="AT108" s="12">
        <v>0</v>
      </c>
      <c r="AU108" s="12">
        <v>0</v>
      </c>
      <c r="AV108" s="12">
        <v>0</v>
      </c>
      <c r="AW108" s="12">
        <v>0</v>
      </c>
      <c r="AX108" s="12">
        <v>0</v>
      </c>
      <c r="AY108" s="12">
        <v>0</v>
      </c>
      <c r="AZ108" s="12">
        <v>0</v>
      </c>
      <c r="BA108" s="12">
        <v>0</v>
      </c>
      <c r="BC108" s="7">
        <f t="shared" si="22"/>
        <v>0</v>
      </c>
      <c r="BD108" s="7">
        <f t="shared" si="23"/>
        <v>0</v>
      </c>
      <c r="BE108" s="7">
        <f t="shared" si="24"/>
        <v>0</v>
      </c>
    </row>
    <row r="109" spans="1:57" ht="15" customHeight="1" x14ac:dyDescent="0.3">
      <c r="A109" s="7">
        <f t="shared" si="19"/>
        <v>41160</v>
      </c>
      <c r="B109" s="7">
        <f t="shared" si="20"/>
        <v>41160</v>
      </c>
      <c r="C109" s="7">
        <f t="shared" si="21"/>
        <v>41160</v>
      </c>
      <c r="D109" s="5"/>
      <c r="E109" s="5" t="str">
        <f t="shared" si="32"/>
        <v>1203A0200027</v>
      </c>
      <c r="F109" s="5"/>
      <c r="G109" s="6"/>
      <c r="H109" s="11" t="s">
        <v>920</v>
      </c>
      <c r="I109" s="11"/>
      <c r="J109" s="12">
        <v>0</v>
      </c>
      <c r="K109" s="11" t="s">
        <v>921</v>
      </c>
      <c r="L109" s="12">
        <v>0</v>
      </c>
      <c r="M109" s="12">
        <v>-2500</v>
      </c>
      <c r="N109" s="12">
        <v>5880</v>
      </c>
      <c r="O109" s="12">
        <v>5880</v>
      </c>
      <c r="P109" s="12">
        <v>5880</v>
      </c>
      <c r="Q109" s="12">
        <v>5880</v>
      </c>
      <c r="R109" s="12">
        <v>5880</v>
      </c>
      <c r="S109" s="12">
        <v>5880</v>
      </c>
      <c r="T109" s="12">
        <v>5880</v>
      </c>
      <c r="U109" s="12">
        <v>5880</v>
      </c>
      <c r="V109" s="12">
        <v>5880</v>
      </c>
      <c r="W109" s="12">
        <v>5880</v>
      </c>
      <c r="X109" s="12">
        <v>5880</v>
      </c>
      <c r="Y109" s="12">
        <v>5880</v>
      </c>
      <c r="Z109" s="12">
        <v>5880</v>
      </c>
      <c r="AA109" s="12">
        <v>5880</v>
      </c>
      <c r="AB109" s="12">
        <v>5880</v>
      </c>
      <c r="AC109" s="12">
        <v>5880</v>
      </c>
      <c r="AD109" s="12">
        <v>5880</v>
      </c>
      <c r="AE109" s="12">
        <v>5880</v>
      </c>
      <c r="AF109" s="12">
        <v>5880</v>
      </c>
      <c r="AG109" s="12">
        <v>5880</v>
      </c>
      <c r="AH109" s="12">
        <v>5880</v>
      </c>
      <c r="AI109" s="12">
        <v>5880</v>
      </c>
      <c r="AJ109" s="12">
        <v>5880</v>
      </c>
      <c r="AK109" s="12">
        <v>5880</v>
      </c>
      <c r="AL109" s="12">
        <v>5880</v>
      </c>
      <c r="AM109" s="12">
        <v>4380</v>
      </c>
      <c r="AN109" s="12">
        <v>4380</v>
      </c>
      <c r="AO109" s="12">
        <v>4380</v>
      </c>
      <c r="AP109" s="12">
        <v>4380</v>
      </c>
      <c r="AQ109" s="12">
        <v>1380</v>
      </c>
      <c r="AR109" s="12">
        <v>1380</v>
      </c>
      <c r="AS109" s="12">
        <v>1380</v>
      </c>
      <c r="AT109" s="12">
        <v>-2500</v>
      </c>
      <c r="AU109" s="12">
        <v>-2500</v>
      </c>
      <c r="AV109" s="12">
        <v>-2500</v>
      </c>
      <c r="AW109" s="12">
        <v>0</v>
      </c>
      <c r="AX109" s="12">
        <v>0</v>
      </c>
      <c r="AY109" s="12">
        <v>0</v>
      </c>
      <c r="AZ109" s="12">
        <v>0</v>
      </c>
      <c r="BA109" s="12">
        <v>0</v>
      </c>
      <c r="BC109" s="7">
        <f t="shared" si="22"/>
        <v>17640</v>
      </c>
      <c r="BD109" s="7">
        <f t="shared" si="23"/>
        <v>41160</v>
      </c>
      <c r="BE109" s="7">
        <f t="shared" si="24"/>
        <v>41160</v>
      </c>
    </row>
    <row r="110" spans="1:57" ht="15" customHeight="1" x14ac:dyDescent="0.3">
      <c r="A110" s="7">
        <f t="shared" si="19"/>
        <v>37165</v>
      </c>
      <c r="B110" s="7">
        <f t="shared" si="20"/>
        <v>15799</v>
      </c>
      <c r="C110" s="7">
        <f t="shared" si="21"/>
        <v>30782</v>
      </c>
      <c r="D110" s="5"/>
      <c r="E110" s="13" t="s">
        <v>790</v>
      </c>
      <c r="F110" s="5"/>
      <c r="G110" s="13" t="s">
        <v>938</v>
      </c>
      <c r="H110" s="13" t="s">
        <v>49</v>
      </c>
      <c r="I110" s="11" t="s">
        <v>49</v>
      </c>
      <c r="J110" s="12">
        <v>0</v>
      </c>
      <c r="K110" s="11" t="s">
        <v>916</v>
      </c>
      <c r="L110" s="12">
        <v>0</v>
      </c>
      <c r="M110" s="12">
        <v>195850</v>
      </c>
      <c r="N110" s="12">
        <v>8091</v>
      </c>
      <c r="O110" s="12">
        <v>7000</v>
      </c>
      <c r="P110" s="12">
        <v>6074</v>
      </c>
      <c r="Q110" s="12">
        <v>4000</v>
      </c>
      <c r="R110" s="12">
        <v>4000</v>
      </c>
      <c r="S110" s="12">
        <v>4000</v>
      </c>
      <c r="T110" s="12">
        <v>4000</v>
      </c>
      <c r="U110" s="12">
        <v>15799</v>
      </c>
      <c r="V110" s="12">
        <v>0</v>
      </c>
      <c r="W110" s="12">
        <v>0</v>
      </c>
      <c r="X110" s="12">
        <v>0</v>
      </c>
      <c r="Y110" s="12">
        <v>0</v>
      </c>
      <c r="Z110" s="12">
        <v>0</v>
      </c>
      <c r="AA110" s="12">
        <v>0</v>
      </c>
      <c r="AB110" s="12">
        <v>30782</v>
      </c>
      <c r="AC110" s="12">
        <v>0</v>
      </c>
      <c r="AD110" s="12">
        <v>0</v>
      </c>
      <c r="AE110" s="12">
        <v>0</v>
      </c>
      <c r="AF110" s="12">
        <v>0</v>
      </c>
      <c r="AG110" s="12">
        <v>0</v>
      </c>
      <c r="AH110" s="12">
        <v>0</v>
      </c>
      <c r="AI110" s="12">
        <v>30000</v>
      </c>
      <c r="AJ110" s="12">
        <v>25000</v>
      </c>
      <c r="AK110" s="12">
        <v>25000</v>
      </c>
      <c r="AL110" s="12">
        <v>0</v>
      </c>
      <c r="AM110" s="12">
        <v>22000</v>
      </c>
      <c r="AN110" s="12">
        <v>0</v>
      </c>
      <c r="AO110" s="12">
        <v>0</v>
      </c>
      <c r="AP110" s="12">
        <v>0</v>
      </c>
      <c r="AQ110" s="12">
        <v>6104</v>
      </c>
      <c r="AR110" s="12">
        <v>0</v>
      </c>
      <c r="AS110" s="12">
        <v>0</v>
      </c>
      <c r="AT110" s="12">
        <v>4000</v>
      </c>
      <c r="AU110" s="12">
        <v>0</v>
      </c>
      <c r="AV110" s="12">
        <v>0</v>
      </c>
      <c r="AW110" s="12">
        <v>52964</v>
      </c>
      <c r="AX110" s="12">
        <v>110782</v>
      </c>
      <c r="AY110" s="12">
        <v>22000</v>
      </c>
      <c r="AZ110" s="12">
        <v>10104</v>
      </c>
      <c r="BA110" s="12">
        <v>0</v>
      </c>
      <c r="BC110" s="7">
        <f t="shared" si="22"/>
        <v>21165</v>
      </c>
      <c r="BD110" s="7">
        <f t="shared" si="23"/>
        <v>31799</v>
      </c>
      <c r="BE110" s="7">
        <f t="shared" si="24"/>
        <v>30782</v>
      </c>
    </row>
    <row r="111" spans="1:57" ht="15" customHeight="1" x14ac:dyDescent="0.3">
      <c r="A111" s="7">
        <f t="shared" si="19"/>
        <v>674500</v>
      </c>
      <c r="B111" s="7">
        <f t="shared" si="20"/>
        <v>472759</v>
      </c>
      <c r="C111" s="7">
        <f t="shared" si="21"/>
        <v>257285</v>
      </c>
      <c r="D111" s="5"/>
      <c r="E111" s="5" t="str">
        <f t="shared" ref="E111:E114" si="33">E110</f>
        <v>LH13-00115N</v>
      </c>
      <c r="F111" s="5"/>
      <c r="G111" s="5"/>
      <c r="H111" s="6"/>
      <c r="I111" s="11"/>
      <c r="J111" s="12">
        <v>0</v>
      </c>
      <c r="K111" s="11" t="s">
        <v>917</v>
      </c>
      <c r="L111" s="12">
        <v>120501</v>
      </c>
      <c r="M111" s="12">
        <v>-75349</v>
      </c>
      <c r="N111" s="12">
        <v>112410</v>
      </c>
      <c r="O111" s="12">
        <v>105410</v>
      </c>
      <c r="P111" s="12">
        <v>99336</v>
      </c>
      <c r="Q111" s="12">
        <v>95336</v>
      </c>
      <c r="R111" s="12">
        <v>91336</v>
      </c>
      <c r="S111" s="12">
        <v>87336</v>
      </c>
      <c r="T111" s="12">
        <v>83336</v>
      </c>
      <c r="U111" s="12">
        <v>67537</v>
      </c>
      <c r="V111" s="12">
        <v>67537</v>
      </c>
      <c r="W111" s="12">
        <v>67537</v>
      </c>
      <c r="X111" s="12">
        <v>67537</v>
      </c>
      <c r="Y111" s="12">
        <v>67537</v>
      </c>
      <c r="Z111" s="12">
        <v>67537</v>
      </c>
      <c r="AA111" s="12">
        <v>67537</v>
      </c>
      <c r="AB111" s="12">
        <v>36755</v>
      </c>
      <c r="AC111" s="12">
        <v>36755</v>
      </c>
      <c r="AD111" s="12">
        <v>36755</v>
      </c>
      <c r="AE111" s="12">
        <v>36755</v>
      </c>
      <c r="AF111" s="12">
        <v>36755</v>
      </c>
      <c r="AG111" s="12">
        <v>36755</v>
      </c>
      <c r="AH111" s="12">
        <v>36755</v>
      </c>
      <c r="AI111" s="12">
        <v>6755</v>
      </c>
      <c r="AJ111" s="12">
        <v>-18245</v>
      </c>
      <c r="AK111" s="12">
        <v>-43245</v>
      </c>
      <c r="AL111" s="12">
        <v>-43245</v>
      </c>
      <c r="AM111" s="12">
        <v>-65245</v>
      </c>
      <c r="AN111" s="12">
        <v>-65245</v>
      </c>
      <c r="AO111" s="12">
        <v>-65245</v>
      </c>
      <c r="AP111" s="12">
        <v>-65245</v>
      </c>
      <c r="AQ111" s="12">
        <v>-71349</v>
      </c>
      <c r="AR111" s="12">
        <v>-71349</v>
      </c>
      <c r="AS111" s="12">
        <v>-71349</v>
      </c>
      <c r="AT111" s="12">
        <v>-75349</v>
      </c>
      <c r="AU111" s="12">
        <v>-75349</v>
      </c>
      <c r="AV111" s="12">
        <v>-75349</v>
      </c>
      <c r="AW111" s="12">
        <v>0</v>
      </c>
      <c r="AX111" s="12">
        <v>0</v>
      </c>
      <c r="AY111" s="12">
        <v>0</v>
      </c>
      <c r="AZ111" s="12">
        <v>0</v>
      </c>
      <c r="BA111" s="12">
        <v>0</v>
      </c>
      <c r="BC111" s="7">
        <f t="shared" si="22"/>
        <v>317156</v>
      </c>
      <c r="BD111" s="7">
        <f t="shared" si="23"/>
        <v>559955</v>
      </c>
      <c r="BE111" s="7">
        <f t="shared" si="24"/>
        <v>380413</v>
      </c>
    </row>
    <row r="112" spans="1:57" ht="15" customHeight="1" x14ac:dyDescent="0.3">
      <c r="A112" s="7">
        <f t="shared" si="19"/>
        <v>150000</v>
      </c>
      <c r="B112" s="7">
        <f t="shared" si="20"/>
        <v>0</v>
      </c>
      <c r="C112" s="7">
        <f t="shared" si="21"/>
        <v>0</v>
      </c>
      <c r="D112" s="5"/>
      <c r="E112" s="5" t="str">
        <f t="shared" si="33"/>
        <v>LH13-00115N</v>
      </c>
      <c r="F112" s="5"/>
      <c r="G112" s="5"/>
      <c r="H112" s="11" t="s">
        <v>769</v>
      </c>
      <c r="I112" s="11" t="s">
        <v>770</v>
      </c>
      <c r="J112" s="12">
        <v>153000</v>
      </c>
      <c r="K112" s="11" t="s">
        <v>918</v>
      </c>
      <c r="L112" s="12">
        <v>0</v>
      </c>
      <c r="M112" s="12">
        <v>150000</v>
      </c>
      <c r="N112" s="12">
        <v>0</v>
      </c>
      <c r="O112" s="12">
        <v>0</v>
      </c>
      <c r="P112" s="12">
        <v>150000</v>
      </c>
      <c r="Q112" s="12">
        <v>0</v>
      </c>
      <c r="R112" s="12">
        <v>0</v>
      </c>
      <c r="S112" s="12">
        <v>0</v>
      </c>
      <c r="T112" s="12">
        <v>0</v>
      </c>
      <c r="U112" s="12">
        <v>0</v>
      </c>
      <c r="V112" s="12">
        <v>0</v>
      </c>
      <c r="W112" s="12">
        <v>0</v>
      </c>
      <c r="X112" s="12">
        <v>0</v>
      </c>
      <c r="Y112" s="12">
        <v>0</v>
      </c>
      <c r="Z112" s="12">
        <v>0</v>
      </c>
      <c r="AA112" s="12">
        <v>0</v>
      </c>
      <c r="AB112" s="12">
        <v>0</v>
      </c>
      <c r="AC112" s="12">
        <v>0</v>
      </c>
      <c r="AD112" s="12">
        <v>0</v>
      </c>
      <c r="AE112" s="12">
        <v>0</v>
      </c>
      <c r="AF112" s="12">
        <v>0</v>
      </c>
      <c r="AG112" s="12">
        <v>0</v>
      </c>
      <c r="AH112" s="12">
        <v>0</v>
      </c>
      <c r="AI112" s="12">
        <v>0</v>
      </c>
      <c r="AJ112" s="12">
        <v>0</v>
      </c>
      <c r="AK112" s="12">
        <v>0</v>
      </c>
      <c r="AL112" s="12">
        <v>0</v>
      </c>
      <c r="AM112" s="12">
        <v>0</v>
      </c>
      <c r="AN112" s="12">
        <v>0</v>
      </c>
      <c r="AO112" s="12">
        <v>0</v>
      </c>
      <c r="AP112" s="12">
        <v>0</v>
      </c>
      <c r="AQ112" s="12">
        <v>0</v>
      </c>
      <c r="AR112" s="12">
        <v>0</v>
      </c>
      <c r="AS112" s="12">
        <v>0</v>
      </c>
      <c r="AT112" s="12">
        <v>0</v>
      </c>
      <c r="AU112" s="12">
        <v>0</v>
      </c>
      <c r="AV112" s="12">
        <v>0</v>
      </c>
      <c r="AW112" s="12">
        <v>150000</v>
      </c>
      <c r="AX112" s="12">
        <v>0</v>
      </c>
      <c r="AY112" s="12">
        <v>0</v>
      </c>
      <c r="AZ112" s="12">
        <v>0</v>
      </c>
      <c r="BA112" s="12">
        <v>0</v>
      </c>
      <c r="BC112" s="7">
        <f t="shared" si="22"/>
        <v>150000</v>
      </c>
      <c r="BD112" s="7">
        <f t="shared" si="23"/>
        <v>0</v>
      </c>
      <c r="BE112" s="7">
        <f t="shared" si="24"/>
        <v>0</v>
      </c>
    </row>
    <row r="113" spans="1:57" ht="15" customHeight="1" x14ac:dyDescent="0.3">
      <c r="A113" s="7">
        <f t="shared" si="19"/>
        <v>150000</v>
      </c>
      <c r="B113" s="7">
        <f t="shared" si="20"/>
        <v>0</v>
      </c>
      <c r="C113" s="7">
        <f t="shared" si="21"/>
        <v>0</v>
      </c>
      <c r="D113" s="5"/>
      <c r="E113" s="5" t="str">
        <f t="shared" si="33"/>
        <v>LH13-00115N</v>
      </c>
      <c r="F113" s="5"/>
      <c r="G113" s="5"/>
      <c r="H113" s="11" t="s">
        <v>49</v>
      </c>
      <c r="I113" s="11"/>
      <c r="J113" s="12">
        <v>0</v>
      </c>
      <c r="K113" s="11" t="s">
        <v>919</v>
      </c>
      <c r="L113" s="12">
        <v>0</v>
      </c>
      <c r="M113" s="12">
        <v>150000</v>
      </c>
      <c r="N113" s="12">
        <v>0</v>
      </c>
      <c r="O113" s="12">
        <v>0</v>
      </c>
      <c r="P113" s="12">
        <v>150000</v>
      </c>
      <c r="Q113" s="12">
        <v>0</v>
      </c>
      <c r="R113" s="12">
        <v>0</v>
      </c>
      <c r="S113" s="12">
        <v>0</v>
      </c>
      <c r="T113" s="12">
        <v>0</v>
      </c>
      <c r="U113" s="12">
        <v>0</v>
      </c>
      <c r="V113" s="12">
        <v>0</v>
      </c>
      <c r="W113" s="12">
        <v>0</v>
      </c>
      <c r="X113" s="12">
        <v>0</v>
      </c>
      <c r="Y113" s="12">
        <v>0</v>
      </c>
      <c r="Z113" s="12">
        <v>0</v>
      </c>
      <c r="AA113" s="12">
        <v>0</v>
      </c>
      <c r="AB113" s="12">
        <v>0</v>
      </c>
      <c r="AC113" s="12">
        <v>0</v>
      </c>
      <c r="AD113" s="12">
        <v>0</v>
      </c>
      <c r="AE113" s="12">
        <v>0</v>
      </c>
      <c r="AF113" s="12">
        <v>0</v>
      </c>
      <c r="AG113" s="12">
        <v>0</v>
      </c>
      <c r="AH113" s="12">
        <v>0</v>
      </c>
      <c r="AI113" s="12">
        <v>0</v>
      </c>
      <c r="AJ113" s="12">
        <v>0</v>
      </c>
      <c r="AK113" s="12">
        <v>0</v>
      </c>
      <c r="AL113" s="12">
        <v>0</v>
      </c>
      <c r="AM113" s="12">
        <v>0</v>
      </c>
      <c r="AN113" s="12">
        <v>0</v>
      </c>
      <c r="AO113" s="12">
        <v>0</v>
      </c>
      <c r="AP113" s="12">
        <v>0</v>
      </c>
      <c r="AQ113" s="12">
        <v>0</v>
      </c>
      <c r="AR113" s="12">
        <v>0</v>
      </c>
      <c r="AS113" s="12">
        <v>0</v>
      </c>
      <c r="AT113" s="12">
        <v>0</v>
      </c>
      <c r="AU113" s="12">
        <v>0</v>
      </c>
      <c r="AV113" s="12">
        <v>0</v>
      </c>
      <c r="AW113" s="12">
        <v>150000</v>
      </c>
      <c r="AX113" s="12">
        <v>0</v>
      </c>
      <c r="AY113" s="12">
        <v>0</v>
      </c>
      <c r="AZ113" s="12">
        <v>0</v>
      </c>
      <c r="BA113" s="12">
        <v>0</v>
      </c>
      <c r="BC113" s="7">
        <f t="shared" si="22"/>
        <v>150000</v>
      </c>
      <c r="BD113" s="7">
        <f t="shared" si="23"/>
        <v>0</v>
      </c>
      <c r="BE113" s="7">
        <f t="shared" si="24"/>
        <v>0</v>
      </c>
    </row>
    <row r="114" spans="1:57" ht="15" customHeight="1" x14ac:dyDescent="0.3">
      <c r="A114" s="7">
        <f t="shared" si="19"/>
        <v>1424500</v>
      </c>
      <c r="B114" s="7">
        <f t="shared" si="20"/>
        <v>1522759</v>
      </c>
      <c r="C114" s="7">
        <f t="shared" si="21"/>
        <v>1307285</v>
      </c>
      <c r="D114" s="5"/>
      <c r="E114" s="5" t="str">
        <f t="shared" si="33"/>
        <v>LH13-00115N</v>
      </c>
      <c r="F114" s="5"/>
      <c r="G114" s="6"/>
      <c r="H114" s="11" t="s">
        <v>920</v>
      </c>
      <c r="I114" s="11"/>
      <c r="J114" s="12">
        <v>0</v>
      </c>
      <c r="K114" s="11" t="s">
        <v>921</v>
      </c>
      <c r="L114" s="12">
        <v>0</v>
      </c>
      <c r="M114" s="12">
        <v>74651</v>
      </c>
      <c r="N114" s="12">
        <v>112410</v>
      </c>
      <c r="O114" s="12">
        <v>105410</v>
      </c>
      <c r="P114" s="12">
        <v>249336</v>
      </c>
      <c r="Q114" s="12">
        <v>245336</v>
      </c>
      <c r="R114" s="12">
        <v>241336</v>
      </c>
      <c r="S114" s="12">
        <v>237336</v>
      </c>
      <c r="T114" s="12">
        <v>233336</v>
      </c>
      <c r="U114" s="12">
        <v>217537</v>
      </c>
      <c r="V114" s="12">
        <v>217537</v>
      </c>
      <c r="W114" s="12">
        <v>217537</v>
      </c>
      <c r="X114" s="12">
        <v>217537</v>
      </c>
      <c r="Y114" s="12">
        <v>217537</v>
      </c>
      <c r="Z114" s="12">
        <v>217537</v>
      </c>
      <c r="AA114" s="12">
        <v>217537</v>
      </c>
      <c r="AB114" s="12">
        <v>186755</v>
      </c>
      <c r="AC114" s="12">
        <v>186755</v>
      </c>
      <c r="AD114" s="12">
        <v>186755</v>
      </c>
      <c r="AE114" s="12">
        <v>186755</v>
      </c>
      <c r="AF114" s="12">
        <v>186755</v>
      </c>
      <c r="AG114" s="12">
        <v>186755</v>
      </c>
      <c r="AH114" s="12">
        <v>186755</v>
      </c>
      <c r="AI114" s="12">
        <v>156755</v>
      </c>
      <c r="AJ114" s="12">
        <v>131755</v>
      </c>
      <c r="AK114" s="12">
        <v>106755</v>
      </c>
      <c r="AL114" s="12">
        <v>106755</v>
      </c>
      <c r="AM114" s="12">
        <v>84755</v>
      </c>
      <c r="AN114" s="12">
        <v>84755</v>
      </c>
      <c r="AO114" s="12">
        <v>84755</v>
      </c>
      <c r="AP114" s="12">
        <v>84755</v>
      </c>
      <c r="AQ114" s="12">
        <v>78651</v>
      </c>
      <c r="AR114" s="12">
        <v>78651</v>
      </c>
      <c r="AS114" s="12">
        <v>78651</v>
      </c>
      <c r="AT114" s="12">
        <v>74651</v>
      </c>
      <c r="AU114" s="12">
        <v>74651</v>
      </c>
      <c r="AV114" s="12">
        <v>74651</v>
      </c>
      <c r="AW114" s="12">
        <v>0</v>
      </c>
      <c r="AX114" s="12">
        <v>0</v>
      </c>
      <c r="AY114" s="12">
        <v>0</v>
      </c>
      <c r="AZ114" s="12">
        <v>0</v>
      </c>
      <c r="BA114" s="12">
        <v>0</v>
      </c>
      <c r="BC114" s="7">
        <f t="shared" si="22"/>
        <v>467156</v>
      </c>
      <c r="BD114" s="7">
        <f t="shared" si="23"/>
        <v>1609955</v>
      </c>
      <c r="BE114" s="7">
        <f t="shared" si="24"/>
        <v>1430413</v>
      </c>
    </row>
    <row r="115" spans="1:57" ht="15" customHeight="1" x14ac:dyDescent="0.3">
      <c r="A115" s="7">
        <f t="shared" si="19"/>
        <v>361365</v>
      </c>
      <c r="B115" s="7">
        <f t="shared" si="20"/>
        <v>313227</v>
      </c>
      <c r="C115" s="7">
        <f t="shared" si="21"/>
        <v>156091</v>
      </c>
      <c r="D115" s="5"/>
      <c r="E115" s="13" t="s">
        <v>821</v>
      </c>
      <c r="F115" s="5"/>
      <c r="G115" s="13" t="s">
        <v>939</v>
      </c>
      <c r="H115" s="13" t="s">
        <v>49</v>
      </c>
      <c r="I115" s="11" t="s">
        <v>49</v>
      </c>
      <c r="J115" s="12">
        <v>0</v>
      </c>
      <c r="K115" s="11" t="s">
        <v>916</v>
      </c>
      <c r="L115" s="12">
        <v>0</v>
      </c>
      <c r="M115" s="12">
        <v>4127441</v>
      </c>
      <c r="N115" s="12">
        <v>86365</v>
      </c>
      <c r="O115" s="12">
        <v>45000</v>
      </c>
      <c r="P115" s="12">
        <v>60000</v>
      </c>
      <c r="Q115" s="12">
        <v>50000</v>
      </c>
      <c r="R115" s="12">
        <v>60000</v>
      </c>
      <c r="S115" s="12">
        <v>20000</v>
      </c>
      <c r="T115" s="12">
        <v>40000</v>
      </c>
      <c r="U115" s="12">
        <v>313227</v>
      </c>
      <c r="V115" s="12">
        <v>0</v>
      </c>
      <c r="W115" s="12">
        <v>0</v>
      </c>
      <c r="X115" s="12">
        <v>0</v>
      </c>
      <c r="Y115" s="12">
        <v>0</v>
      </c>
      <c r="Z115" s="12">
        <v>0</v>
      </c>
      <c r="AA115" s="12">
        <v>0</v>
      </c>
      <c r="AB115" s="12">
        <v>156091</v>
      </c>
      <c r="AC115" s="12">
        <v>0</v>
      </c>
      <c r="AD115" s="12">
        <v>0</v>
      </c>
      <c r="AE115" s="12">
        <v>0</v>
      </c>
      <c r="AF115" s="12">
        <v>0</v>
      </c>
      <c r="AG115" s="12">
        <v>0</v>
      </c>
      <c r="AH115" s="12">
        <v>0</v>
      </c>
      <c r="AI115" s="12">
        <v>328000</v>
      </c>
      <c r="AJ115" s="12">
        <v>262000</v>
      </c>
      <c r="AK115" s="12">
        <v>220000</v>
      </c>
      <c r="AL115" s="12">
        <v>5000</v>
      </c>
      <c r="AM115" s="12">
        <v>421000</v>
      </c>
      <c r="AN115" s="12">
        <v>314500</v>
      </c>
      <c r="AO115" s="12">
        <v>284000</v>
      </c>
      <c r="AP115" s="12">
        <v>0</v>
      </c>
      <c r="AQ115" s="12">
        <v>276000</v>
      </c>
      <c r="AR115" s="12">
        <v>305000</v>
      </c>
      <c r="AS115" s="12">
        <v>170000</v>
      </c>
      <c r="AT115" s="12">
        <v>711258</v>
      </c>
      <c r="AU115" s="12">
        <v>0</v>
      </c>
      <c r="AV115" s="12">
        <v>0</v>
      </c>
      <c r="AW115" s="12">
        <v>674592</v>
      </c>
      <c r="AX115" s="12">
        <v>971091</v>
      </c>
      <c r="AY115" s="12">
        <v>1019500</v>
      </c>
      <c r="AZ115" s="12">
        <v>1462258</v>
      </c>
      <c r="BA115" s="12">
        <v>0</v>
      </c>
      <c r="BC115" s="7">
        <f t="shared" si="22"/>
        <v>191365</v>
      </c>
      <c r="BD115" s="7">
        <f t="shared" si="23"/>
        <v>483227</v>
      </c>
      <c r="BE115" s="7">
        <f t="shared" si="24"/>
        <v>156091</v>
      </c>
    </row>
    <row r="116" spans="1:57" ht="15" customHeight="1" x14ac:dyDescent="0.3">
      <c r="A116" s="7">
        <f t="shared" si="19"/>
        <v>11628380</v>
      </c>
      <c r="B116" s="7">
        <f t="shared" si="20"/>
        <v>8540791</v>
      </c>
      <c r="C116" s="7">
        <f t="shared" si="21"/>
        <v>7448154</v>
      </c>
      <c r="D116" s="5"/>
      <c r="E116" s="5" t="str">
        <f t="shared" ref="E116:E119" si="34">E115</f>
        <v>LH13A00001B</v>
      </c>
      <c r="F116" s="5"/>
      <c r="G116" s="5"/>
      <c r="H116" s="6"/>
      <c r="I116" s="11"/>
      <c r="J116" s="12">
        <v>0</v>
      </c>
      <c r="K116" s="11" t="s">
        <v>917</v>
      </c>
      <c r="L116" s="12">
        <v>1894705</v>
      </c>
      <c r="M116" s="12">
        <v>-2232736</v>
      </c>
      <c r="N116" s="12">
        <v>1808340</v>
      </c>
      <c r="O116" s="12">
        <v>1763340</v>
      </c>
      <c r="P116" s="12">
        <v>1703340</v>
      </c>
      <c r="Q116" s="12">
        <v>1653340</v>
      </c>
      <c r="R116" s="12">
        <v>1593340</v>
      </c>
      <c r="S116" s="12">
        <v>1573340</v>
      </c>
      <c r="T116" s="12">
        <v>1533340</v>
      </c>
      <c r="U116" s="12">
        <v>1220113</v>
      </c>
      <c r="V116" s="12">
        <v>1220113</v>
      </c>
      <c r="W116" s="12">
        <v>1220113</v>
      </c>
      <c r="X116" s="12">
        <v>1220113</v>
      </c>
      <c r="Y116" s="12">
        <v>1220113</v>
      </c>
      <c r="Z116" s="12">
        <v>1220113</v>
      </c>
      <c r="AA116" s="12">
        <v>1220113</v>
      </c>
      <c r="AB116" s="12">
        <v>1064022</v>
      </c>
      <c r="AC116" s="12">
        <v>1064022</v>
      </c>
      <c r="AD116" s="12">
        <v>1064022</v>
      </c>
      <c r="AE116" s="12">
        <v>1064022</v>
      </c>
      <c r="AF116" s="12">
        <v>1064022</v>
      </c>
      <c r="AG116" s="12">
        <v>1064022</v>
      </c>
      <c r="AH116" s="12">
        <v>1064022</v>
      </c>
      <c r="AI116" s="12">
        <v>736022</v>
      </c>
      <c r="AJ116" s="12">
        <v>474022</v>
      </c>
      <c r="AK116" s="12">
        <v>254022</v>
      </c>
      <c r="AL116" s="12">
        <v>249022</v>
      </c>
      <c r="AM116" s="12">
        <v>-171978</v>
      </c>
      <c r="AN116" s="12">
        <v>-486478</v>
      </c>
      <c r="AO116" s="12">
        <v>-770478</v>
      </c>
      <c r="AP116" s="12">
        <v>-770478</v>
      </c>
      <c r="AQ116" s="12">
        <v>-1046478</v>
      </c>
      <c r="AR116" s="12">
        <v>-1351478</v>
      </c>
      <c r="AS116" s="12">
        <v>-1521478</v>
      </c>
      <c r="AT116" s="12">
        <v>-2232736</v>
      </c>
      <c r="AU116" s="12">
        <v>-2232736</v>
      </c>
      <c r="AV116" s="12">
        <v>-2232736</v>
      </c>
      <c r="AW116" s="12">
        <v>0</v>
      </c>
      <c r="AX116" s="12">
        <v>0</v>
      </c>
      <c r="AY116" s="12">
        <v>0</v>
      </c>
      <c r="AZ116" s="12">
        <v>0</v>
      </c>
      <c r="BA116" s="12">
        <v>0</v>
      </c>
      <c r="BC116" s="7">
        <f t="shared" si="22"/>
        <v>5275020</v>
      </c>
      <c r="BD116" s="7">
        <f t="shared" si="23"/>
        <v>10013699</v>
      </c>
      <c r="BE116" s="7">
        <f t="shared" si="24"/>
        <v>8072518</v>
      </c>
    </row>
    <row r="117" spans="1:57" ht="15" customHeight="1" x14ac:dyDescent="0.3">
      <c r="A117" s="7">
        <f t="shared" si="19"/>
        <v>0</v>
      </c>
      <c r="B117" s="7">
        <f t="shared" si="20"/>
        <v>0</v>
      </c>
      <c r="C117" s="7">
        <f t="shared" si="21"/>
        <v>0</v>
      </c>
      <c r="D117" s="5"/>
      <c r="E117" s="5" t="str">
        <f t="shared" si="34"/>
        <v>LH13A00001B</v>
      </c>
      <c r="F117" s="5"/>
      <c r="G117" s="5"/>
      <c r="H117" s="11" t="s">
        <v>769</v>
      </c>
      <c r="I117" s="11" t="s">
        <v>770</v>
      </c>
      <c r="J117" s="12">
        <v>2228000</v>
      </c>
      <c r="K117" s="11" t="s">
        <v>918</v>
      </c>
      <c r="L117" s="12">
        <v>0</v>
      </c>
      <c r="M117" s="12">
        <v>2200000</v>
      </c>
      <c r="N117" s="12">
        <v>0</v>
      </c>
      <c r="O117" s="12">
        <v>0</v>
      </c>
      <c r="P117" s="12">
        <v>0</v>
      </c>
      <c r="Q117" s="12">
        <v>0</v>
      </c>
      <c r="R117" s="12">
        <v>0</v>
      </c>
      <c r="S117" s="12">
        <v>0</v>
      </c>
      <c r="T117" s="12">
        <v>0</v>
      </c>
      <c r="U117" s="12">
        <v>0</v>
      </c>
      <c r="V117" s="12">
        <v>0</v>
      </c>
      <c r="W117" s="12">
        <v>0</v>
      </c>
      <c r="X117" s="12">
        <v>0</v>
      </c>
      <c r="Y117" s="12">
        <v>0</v>
      </c>
      <c r="Z117" s="12">
        <v>0</v>
      </c>
      <c r="AA117" s="12">
        <v>0</v>
      </c>
      <c r="AB117" s="12">
        <v>0</v>
      </c>
      <c r="AC117" s="12">
        <v>0</v>
      </c>
      <c r="AD117" s="12">
        <v>0</v>
      </c>
      <c r="AE117" s="12">
        <v>0</v>
      </c>
      <c r="AF117" s="12">
        <v>0</v>
      </c>
      <c r="AG117" s="12">
        <v>0</v>
      </c>
      <c r="AH117" s="12">
        <v>0</v>
      </c>
      <c r="AI117" s="12">
        <v>0</v>
      </c>
      <c r="AJ117" s="12">
        <v>1000000</v>
      </c>
      <c r="AK117" s="12">
        <v>0</v>
      </c>
      <c r="AL117" s="12">
        <v>0</v>
      </c>
      <c r="AM117" s="12">
        <v>0</v>
      </c>
      <c r="AN117" s="12">
        <v>0</v>
      </c>
      <c r="AO117" s="12">
        <v>600000</v>
      </c>
      <c r="AP117" s="12">
        <v>0</v>
      </c>
      <c r="AQ117" s="12">
        <v>0</v>
      </c>
      <c r="AR117" s="12">
        <v>0</v>
      </c>
      <c r="AS117" s="12">
        <v>600000</v>
      </c>
      <c r="AT117" s="12">
        <v>0</v>
      </c>
      <c r="AU117" s="12">
        <v>0</v>
      </c>
      <c r="AV117" s="12">
        <v>0</v>
      </c>
      <c r="AW117" s="12">
        <v>0</v>
      </c>
      <c r="AX117" s="12">
        <v>1000000</v>
      </c>
      <c r="AY117" s="12">
        <v>600000</v>
      </c>
      <c r="AZ117" s="12">
        <v>600000</v>
      </c>
      <c r="BA117" s="12">
        <v>0</v>
      </c>
      <c r="BC117" s="7">
        <f t="shared" si="22"/>
        <v>0</v>
      </c>
      <c r="BD117" s="7">
        <f t="shared" si="23"/>
        <v>0</v>
      </c>
      <c r="BE117" s="7">
        <f t="shared" si="24"/>
        <v>0</v>
      </c>
    </row>
    <row r="118" spans="1:57" ht="15" customHeight="1" x14ac:dyDescent="0.3">
      <c r="A118" s="7">
        <f t="shared" si="19"/>
        <v>0</v>
      </c>
      <c r="B118" s="7">
        <f t="shared" si="20"/>
        <v>0</v>
      </c>
      <c r="C118" s="7">
        <f t="shared" si="21"/>
        <v>0</v>
      </c>
      <c r="D118" s="5"/>
      <c r="E118" s="5" t="str">
        <f t="shared" si="34"/>
        <v>LH13A00001B</v>
      </c>
      <c r="F118" s="5"/>
      <c r="G118" s="5"/>
      <c r="H118" s="11" t="s">
        <v>49</v>
      </c>
      <c r="I118" s="11"/>
      <c r="J118" s="12">
        <v>0</v>
      </c>
      <c r="K118" s="11" t="s">
        <v>919</v>
      </c>
      <c r="L118" s="12">
        <v>0</v>
      </c>
      <c r="M118" s="12">
        <v>2200000</v>
      </c>
      <c r="N118" s="12">
        <v>0</v>
      </c>
      <c r="O118" s="12">
        <v>0</v>
      </c>
      <c r="P118" s="12">
        <v>0</v>
      </c>
      <c r="Q118" s="12">
        <v>0</v>
      </c>
      <c r="R118" s="12">
        <v>0</v>
      </c>
      <c r="S118" s="12">
        <v>0</v>
      </c>
      <c r="T118" s="12">
        <v>0</v>
      </c>
      <c r="U118" s="12">
        <v>0</v>
      </c>
      <c r="V118" s="12">
        <v>0</v>
      </c>
      <c r="W118" s="12">
        <v>0</v>
      </c>
      <c r="X118" s="12">
        <v>0</v>
      </c>
      <c r="Y118" s="12">
        <v>0</v>
      </c>
      <c r="Z118" s="12">
        <v>0</v>
      </c>
      <c r="AA118" s="12">
        <v>0</v>
      </c>
      <c r="AB118" s="12">
        <v>0</v>
      </c>
      <c r="AC118" s="12">
        <v>0</v>
      </c>
      <c r="AD118" s="12">
        <v>0</v>
      </c>
      <c r="AE118" s="12">
        <v>0</v>
      </c>
      <c r="AF118" s="12">
        <v>0</v>
      </c>
      <c r="AG118" s="12">
        <v>0</v>
      </c>
      <c r="AH118" s="12">
        <v>0</v>
      </c>
      <c r="AI118" s="12">
        <v>0</v>
      </c>
      <c r="AJ118" s="12">
        <v>1000000</v>
      </c>
      <c r="AK118" s="12">
        <v>0</v>
      </c>
      <c r="AL118" s="12">
        <v>0</v>
      </c>
      <c r="AM118" s="12">
        <v>0</v>
      </c>
      <c r="AN118" s="12">
        <v>0</v>
      </c>
      <c r="AO118" s="12">
        <v>600000</v>
      </c>
      <c r="AP118" s="12">
        <v>0</v>
      </c>
      <c r="AQ118" s="12">
        <v>0</v>
      </c>
      <c r="AR118" s="12">
        <v>0</v>
      </c>
      <c r="AS118" s="12">
        <v>600000</v>
      </c>
      <c r="AT118" s="12">
        <v>0</v>
      </c>
      <c r="AU118" s="12">
        <v>0</v>
      </c>
      <c r="AV118" s="12">
        <v>0</v>
      </c>
      <c r="AW118" s="12">
        <v>0</v>
      </c>
      <c r="AX118" s="12">
        <v>1000000</v>
      </c>
      <c r="AY118" s="12">
        <v>600000</v>
      </c>
      <c r="AZ118" s="12">
        <v>600000</v>
      </c>
      <c r="BA118" s="12">
        <v>0</v>
      </c>
      <c r="BC118" s="7">
        <f t="shared" si="22"/>
        <v>0</v>
      </c>
      <c r="BD118" s="7">
        <f t="shared" si="23"/>
        <v>0</v>
      </c>
      <c r="BE118" s="7">
        <f t="shared" si="24"/>
        <v>0</v>
      </c>
    </row>
    <row r="119" spans="1:57" ht="15" customHeight="1" x14ac:dyDescent="0.3">
      <c r="A119" s="7">
        <f t="shared" si="19"/>
        <v>11628380</v>
      </c>
      <c r="B119" s="7">
        <f t="shared" si="20"/>
        <v>8540791</v>
      </c>
      <c r="C119" s="7">
        <f t="shared" si="21"/>
        <v>7448154</v>
      </c>
      <c r="D119" s="5"/>
      <c r="E119" s="5" t="str">
        <f t="shared" si="34"/>
        <v>LH13A00001B</v>
      </c>
      <c r="F119" s="5"/>
      <c r="G119" s="6"/>
      <c r="H119" s="11" t="s">
        <v>920</v>
      </c>
      <c r="I119" s="11"/>
      <c r="J119" s="12">
        <v>0</v>
      </c>
      <c r="K119" s="11" t="s">
        <v>921</v>
      </c>
      <c r="L119" s="12">
        <v>0</v>
      </c>
      <c r="M119" s="12">
        <v>-32736</v>
      </c>
      <c r="N119" s="12">
        <v>1808340</v>
      </c>
      <c r="O119" s="12">
        <v>1763340</v>
      </c>
      <c r="P119" s="12">
        <v>1703340</v>
      </c>
      <c r="Q119" s="12">
        <v>1653340</v>
      </c>
      <c r="R119" s="12">
        <v>1593340</v>
      </c>
      <c r="S119" s="12">
        <v>1573340</v>
      </c>
      <c r="T119" s="12">
        <v>1533340</v>
      </c>
      <c r="U119" s="12">
        <v>1220113</v>
      </c>
      <c r="V119" s="12">
        <v>1220113</v>
      </c>
      <c r="W119" s="12">
        <v>1220113</v>
      </c>
      <c r="X119" s="12">
        <v>1220113</v>
      </c>
      <c r="Y119" s="12">
        <v>1220113</v>
      </c>
      <c r="Z119" s="12">
        <v>1220113</v>
      </c>
      <c r="AA119" s="12">
        <v>1220113</v>
      </c>
      <c r="AB119" s="12">
        <v>1064022</v>
      </c>
      <c r="AC119" s="12">
        <v>1064022</v>
      </c>
      <c r="AD119" s="12">
        <v>1064022</v>
      </c>
      <c r="AE119" s="12">
        <v>1064022</v>
      </c>
      <c r="AF119" s="12">
        <v>1064022</v>
      </c>
      <c r="AG119" s="12">
        <v>1064022</v>
      </c>
      <c r="AH119" s="12">
        <v>1064022</v>
      </c>
      <c r="AI119" s="12">
        <v>736022</v>
      </c>
      <c r="AJ119" s="12">
        <v>1474022</v>
      </c>
      <c r="AK119" s="12">
        <v>1254022</v>
      </c>
      <c r="AL119" s="12">
        <v>1249022</v>
      </c>
      <c r="AM119" s="12">
        <v>828022</v>
      </c>
      <c r="AN119" s="12">
        <v>513522</v>
      </c>
      <c r="AO119" s="12">
        <v>829522</v>
      </c>
      <c r="AP119" s="12">
        <v>829522</v>
      </c>
      <c r="AQ119" s="12">
        <v>553522</v>
      </c>
      <c r="AR119" s="12">
        <v>248522</v>
      </c>
      <c r="AS119" s="12">
        <v>678522</v>
      </c>
      <c r="AT119" s="12">
        <v>-32736</v>
      </c>
      <c r="AU119" s="12">
        <v>-32736</v>
      </c>
      <c r="AV119" s="12">
        <v>-32736</v>
      </c>
      <c r="AW119" s="12">
        <v>0</v>
      </c>
      <c r="AX119" s="12">
        <v>0</v>
      </c>
      <c r="AY119" s="12">
        <v>0</v>
      </c>
      <c r="AZ119" s="12">
        <v>0</v>
      </c>
      <c r="BA119" s="12">
        <v>0</v>
      </c>
      <c r="BC119" s="7">
        <f t="shared" si="22"/>
        <v>5275020</v>
      </c>
      <c r="BD119" s="7">
        <f t="shared" si="23"/>
        <v>10013699</v>
      </c>
      <c r="BE119" s="7">
        <f t="shared" si="24"/>
        <v>8072518</v>
      </c>
    </row>
    <row r="120" spans="1:57" ht="15" customHeight="1" x14ac:dyDescent="0.3">
      <c r="A120" s="7">
        <f t="shared" si="19"/>
        <v>361365</v>
      </c>
      <c r="B120" s="7">
        <f t="shared" si="20"/>
        <v>313227</v>
      </c>
      <c r="C120" s="7">
        <f t="shared" si="21"/>
        <v>156091</v>
      </c>
      <c r="D120" s="5"/>
      <c r="E120" s="13" t="s">
        <v>822</v>
      </c>
      <c r="F120" s="5"/>
      <c r="G120" s="13" t="s">
        <v>940</v>
      </c>
      <c r="H120" s="13" t="s">
        <v>49</v>
      </c>
      <c r="I120" s="11" t="s">
        <v>49</v>
      </c>
      <c r="J120" s="12">
        <v>0</v>
      </c>
      <c r="K120" s="11" t="s">
        <v>916</v>
      </c>
      <c r="L120" s="12">
        <v>0</v>
      </c>
      <c r="M120" s="12">
        <v>4127441</v>
      </c>
      <c r="N120" s="12">
        <v>86365</v>
      </c>
      <c r="O120" s="12">
        <v>45000</v>
      </c>
      <c r="P120" s="12">
        <v>60000</v>
      </c>
      <c r="Q120" s="12">
        <v>50000</v>
      </c>
      <c r="R120" s="12">
        <v>60000</v>
      </c>
      <c r="S120" s="12">
        <v>20000</v>
      </c>
      <c r="T120" s="12">
        <v>40000</v>
      </c>
      <c r="U120" s="12">
        <v>313227</v>
      </c>
      <c r="V120" s="12">
        <v>0</v>
      </c>
      <c r="W120" s="12">
        <v>0</v>
      </c>
      <c r="X120" s="12">
        <v>0</v>
      </c>
      <c r="Y120" s="12">
        <v>0</v>
      </c>
      <c r="Z120" s="12">
        <v>0</v>
      </c>
      <c r="AA120" s="12">
        <v>0</v>
      </c>
      <c r="AB120" s="12">
        <v>156091</v>
      </c>
      <c r="AC120" s="12">
        <v>0</v>
      </c>
      <c r="AD120" s="12">
        <v>0</v>
      </c>
      <c r="AE120" s="12">
        <v>0</v>
      </c>
      <c r="AF120" s="12">
        <v>0</v>
      </c>
      <c r="AG120" s="12">
        <v>0</v>
      </c>
      <c r="AH120" s="12">
        <v>0</v>
      </c>
      <c r="AI120" s="12">
        <v>328000</v>
      </c>
      <c r="AJ120" s="12">
        <v>262000</v>
      </c>
      <c r="AK120" s="12">
        <v>220000</v>
      </c>
      <c r="AL120" s="12">
        <v>5000</v>
      </c>
      <c r="AM120" s="12">
        <v>421000</v>
      </c>
      <c r="AN120" s="12">
        <v>314500</v>
      </c>
      <c r="AO120" s="12">
        <v>284000</v>
      </c>
      <c r="AP120" s="12">
        <v>0</v>
      </c>
      <c r="AQ120" s="12">
        <v>276000</v>
      </c>
      <c r="AR120" s="12">
        <v>305000</v>
      </c>
      <c r="AS120" s="12">
        <v>170000</v>
      </c>
      <c r="AT120" s="12">
        <v>711258</v>
      </c>
      <c r="AU120" s="12">
        <v>0</v>
      </c>
      <c r="AV120" s="12">
        <v>0</v>
      </c>
      <c r="AW120" s="12">
        <v>674592</v>
      </c>
      <c r="AX120" s="12">
        <v>971091</v>
      </c>
      <c r="AY120" s="12">
        <v>1019500</v>
      </c>
      <c r="AZ120" s="12">
        <v>1462258</v>
      </c>
      <c r="BA120" s="12">
        <v>0</v>
      </c>
      <c r="BC120" s="7">
        <f t="shared" si="22"/>
        <v>191365</v>
      </c>
      <c r="BD120" s="7">
        <f t="shared" si="23"/>
        <v>483227</v>
      </c>
      <c r="BE120" s="7">
        <f t="shared" si="24"/>
        <v>156091</v>
      </c>
    </row>
    <row r="121" spans="1:57" ht="15" customHeight="1" x14ac:dyDescent="0.3">
      <c r="A121" s="7">
        <f t="shared" si="19"/>
        <v>4258234</v>
      </c>
      <c r="B121" s="7">
        <f t="shared" si="20"/>
        <v>1170645</v>
      </c>
      <c r="C121" s="7">
        <f t="shared" si="21"/>
        <v>78008</v>
      </c>
      <c r="D121" s="5"/>
      <c r="E121" s="5" t="str">
        <f t="shared" ref="E121:E124" si="35">E120</f>
        <v>LH13A00001C</v>
      </c>
      <c r="F121" s="5"/>
      <c r="G121" s="5"/>
      <c r="H121" s="6"/>
      <c r="I121" s="11"/>
      <c r="J121" s="12">
        <v>0</v>
      </c>
      <c r="K121" s="11" t="s">
        <v>917</v>
      </c>
      <c r="L121" s="12">
        <v>841827</v>
      </c>
      <c r="M121" s="12">
        <v>-3285614</v>
      </c>
      <c r="N121" s="12">
        <v>755462</v>
      </c>
      <c r="O121" s="12">
        <v>710462</v>
      </c>
      <c r="P121" s="12">
        <v>650462</v>
      </c>
      <c r="Q121" s="12">
        <v>600462</v>
      </c>
      <c r="R121" s="12">
        <v>540462</v>
      </c>
      <c r="S121" s="12">
        <v>520462</v>
      </c>
      <c r="T121" s="12">
        <v>480462</v>
      </c>
      <c r="U121" s="12">
        <v>167235</v>
      </c>
      <c r="V121" s="12">
        <v>167235</v>
      </c>
      <c r="W121" s="12">
        <v>167235</v>
      </c>
      <c r="X121" s="12">
        <v>167235</v>
      </c>
      <c r="Y121" s="12">
        <v>167235</v>
      </c>
      <c r="Z121" s="12">
        <v>167235</v>
      </c>
      <c r="AA121" s="12">
        <v>167235</v>
      </c>
      <c r="AB121" s="12">
        <v>11144</v>
      </c>
      <c r="AC121" s="12">
        <v>11144</v>
      </c>
      <c r="AD121" s="12">
        <v>11144</v>
      </c>
      <c r="AE121" s="12">
        <v>11144</v>
      </c>
      <c r="AF121" s="12">
        <v>11144</v>
      </c>
      <c r="AG121" s="12">
        <v>11144</v>
      </c>
      <c r="AH121" s="12">
        <v>11144</v>
      </c>
      <c r="AI121" s="12">
        <v>-316856</v>
      </c>
      <c r="AJ121" s="12">
        <v>-578856</v>
      </c>
      <c r="AK121" s="12">
        <v>-798856</v>
      </c>
      <c r="AL121" s="12">
        <v>-803856</v>
      </c>
      <c r="AM121" s="12">
        <v>-1224856</v>
      </c>
      <c r="AN121" s="12">
        <v>-1539356</v>
      </c>
      <c r="AO121" s="12">
        <v>-1823356</v>
      </c>
      <c r="AP121" s="12">
        <v>-1823356</v>
      </c>
      <c r="AQ121" s="12">
        <v>-2099356</v>
      </c>
      <c r="AR121" s="12">
        <v>-2404356</v>
      </c>
      <c r="AS121" s="12">
        <v>-2574356</v>
      </c>
      <c r="AT121" s="12">
        <v>-3285614</v>
      </c>
      <c r="AU121" s="12">
        <v>-3285614</v>
      </c>
      <c r="AV121" s="12">
        <v>-3285614</v>
      </c>
      <c r="AW121" s="12">
        <v>0</v>
      </c>
      <c r="AX121" s="12">
        <v>0</v>
      </c>
      <c r="AY121" s="12">
        <v>0</v>
      </c>
      <c r="AZ121" s="12">
        <v>0</v>
      </c>
      <c r="BA121" s="12">
        <v>0</v>
      </c>
      <c r="BC121" s="7">
        <f t="shared" si="22"/>
        <v>2116386</v>
      </c>
      <c r="BD121" s="7">
        <f t="shared" si="23"/>
        <v>2643553</v>
      </c>
      <c r="BE121" s="7">
        <f t="shared" si="24"/>
        <v>702372</v>
      </c>
    </row>
    <row r="122" spans="1:57" ht="15" customHeight="1" x14ac:dyDescent="0.3">
      <c r="A122" s="7">
        <f t="shared" si="19"/>
        <v>918000</v>
      </c>
      <c r="B122" s="7">
        <f t="shared" si="20"/>
        <v>0</v>
      </c>
      <c r="C122" s="7">
        <f t="shared" si="21"/>
        <v>0</v>
      </c>
      <c r="D122" s="5"/>
      <c r="E122" s="5" t="str">
        <f t="shared" si="35"/>
        <v>LH13A00001C</v>
      </c>
      <c r="F122" s="5"/>
      <c r="G122" s="5"/>
      <c r="H122" s="11" t="s">
        <v>769</v>
      </c>
      <c r="I122" s="11" t="s">
        <v>770</v>
      </c>
      <c r="J122" s="12">
        <v>3281000</v>
      </c>
      <c r="K122" s="11" t="s">
        <v>918</v>
      </c>
      <c r="L122" s="12">
        <v>0</v>
      </c>
      <c r="M122" s="12">
        <v>3516000</v>
      </c>
      <c r="N122" s="12">
        <v>0</v>
      </c>
      <c r="O122" s="12">
        <v>0</v>
      </c>
      <c r="P122" s="12">
        <v>918000</v>
      </c>
      <c r="Q122" s="12">
        <v>0</v>
      </c>
      <c r="R122" s="12">
        <v>0</v>
      </c>
      <c r="S122" s="12">
        <v>0</v>
      </c>
      <c r="T122" s="12">
        <v>0</v>
      </c>
      <c r="U122" s="12">
        <v>0</v>
      </c>
      <c r="V122" s="12">
        <v>0</v>
      </c>
      <c r="W122" s="12">
        <v>0</v>
      </c>
      <c r="X122" s="12">
        <v>0</v>
      </c>
      <c r="Y122" s="12">
        <v>0</v>
      </c>
      <c r="Z122" s="12">
        <v>0</v>
      </c>
      <c r="AA122" s="12">
        <v>0</v>
      </c>
      <c r="AB122" s="12">
        <v>0</v>
      </c>
      <c r="AC122" s="12">
        <v>0</v>
      </c>
      <c r="AD122" s="12">
        <v>0</v>
      </c>
      <c r="AE122" s="12">
        <v>0</v>
      </c>
      <c r="AF122" s="12">
        <v>0</v>
      </c>
      <c r="AG122" s="12">
        <v>0</v>
      </c>
      <c r="AH122" s="12">
        <v>0</v>
      </c>
      <c r="AI122" s="12">
        <v>0</v>
      </c>
      <c r="AJ122" s="12">
        <v>0</v>
      </c>
      <c r="AK122" s="12">
        <v>999000</v>
      </c>
      <c r="AL122" s="12">
        <v>0</v>
      </c>
      <c r="AM122" s="12">
        <v>0</v>
      </c>
      <c r="AN122" s="12">
        <v>0</v>
      </c>
      <c r="AO122" s="12">
        <v>999000</v>
      </c>
      <c r="AP122" s="12">
        <v>0</v>
      </c>
      <c r="AQ122" s="12">
        <v>0</v>
      </c>
      <c r="AR122" s="12">
        <v>0</v>
      </c>
      <c r="AS122" s="12">
        <v>600000</v>
      </c>
      <c r="AT122" s="12">
        <v>0</v>
      </c>
      <c r="AU122" s="12">
        <v>0</v>
      </c>
      <c r="AV122" s="12">
        <v>0</v>
      </c>
      <c r="AW122" s="12">
        <v>918000</v>
      </c>
      <c r="AX122" s="12">
        <v>999000</v>
      </c>
      <c r="AY122" s="12">
        <v>999000</v>
      </c>
      <c r="AZ122" s="12">
        <v>600000</v>
      </c>
      <c r="BA122" s="12">
        <v>0</v>
      </c>
      <c r="BC122" s="7">
        <f t="shared" si="22"/>
        <v>918000</v>
      </c>
      <c r="BD122" s="7">
        <f t="shared" si="23"/>
        <v>0</v>
      </c>
      <c r="BE122" s="7">
        <f t="shared" si="24"/>
        <v>0</v>
      </c>
    </row>
    <row r="123" spans="1:57" ht="15" customHeight="1" x14ac:dyDescent="0.3">
      <c r="A123" s="7">
        <f t="shared" si="19"/>
        <v>918000</v>
      </c>
      <c r="B123" s="7">
        <f t="shared" si="20"/>
        <v>0</v>
      </c>
      <c r="C123" s="7">
        <f t="shared" si="21"/>
        <v>0</v>
      </c>
      <c r="D123" s="5"/>
      <c r="E123" s="5" t="str">
        <f t="shared" si="35"/>
        <v>LH13A00001C</v>
      </c>
      <c r="F123" s="5"/>
      <c r="G123" s="5"/>
      <c r="H123" s="11" t="s">
        <v>49</v>
      </c>
      <c r="I123" s="11"/>
      <c r="J123" s="12">
        <v>0</v>
      </c>
      <c r="K123" s="11" t="s">
        <v>919</v>
      </c>
      <c r="L123" s="12">
        <v>0</v>
      </c>
      <c r="M123" s="12">
        <v>3516000</v>
      </c>
      <c r="N123" s="12">
        <v>0</v>
      </c>
      <c r="O123" s="12">
        <v>0</v>
      </c>
      <c r="P123" s="12">
        <v>918000</v>
      </c>
      <c r="Q123" s="12">
        <v>0</v>
      </c>
      <c r="R123" s="12">
        <v>0</v>
      </c>
      <c r="S123" s="12">
        <v>0</v>
      </c>
      <c r="T123" s="12">
        <v>0</v>
      </c>
      <c r="U123" s="12">
        <v>0</v>
      </c>
      <c r="V123" s="12">
        <v>0</v>
      </c>
      <c r="W123" s="12">
        <v>0</v>
      </c>
      <c r="X123" s="12">
        <v>0</v>
      </c>
      <c r="Y123" s="12">
        <v>0</v>
      </c>
      <c r="Z123" s="12">
        <v>0</v>
      </c>
      <c r="AA123" s="12">
        <v>0</v>
      </c>
      <c r="AB123" s="12">
        <v>0</v>
      </c>
      <c r="AC123" s="12">
        <v>0</v>
      </c>
      <c r="AD123" s="12">
        <v>0</v>
      </c>
      <c r="AE123" s="12">
        <v>0</v>
      </c>
      <c r="AF123" s="12">
        <v>0</v>
      </c>
      <c r="AG123" s="12">
        <v>0</v>
      </c>
      <c r="AH123" s="12">
        <v>0</v>
      </c>
      <c r="AI123" s="12">
        <v>0</v>
      </c>
      <c r="AJ123" s="12">
        <v>0</v>
      </c>
      <c r="AK123" s="12">
        <v>999000</v>
      </c>
      <c r="AL123" s="12">
        <v>0</v>
      </c>
      <c r="AM123" s="12">
        <v>0</v>
      </c>
      <c r="AN123" s="12">
        <v>0</v>
      </c>
      <c r="AO123" s="12">
        <v>999000</v>
      </c>
      <c r="AP123" s="12">
        <v>0</v>
      </c>
      <c r="AQ123" s="12">
        <v>0</v>
      </c>
      <c r="AR123" s="12">
        <v>0</v>
      </c>
      <c r="AS123" s="12">
        <v>600000</v>
      </c>
      <c r="AT123" s="12">
        <v>0</v>
      </c>
      <c r="AU123" s="12">
        <v>0</v>
      </c>
      <c r="AV123" s="12">
        <v>0</v>
      </c>
      <c r="AW123" s="12">
        <v>918000</v>
      </c>
      <c r="AX123" s="12">
        <v>999000</v>
      </c>
      <c r="AY123" s="12">
        <v>999000</v>
      </c>
      <c r="AZ123" s="12">
        <v>600000</v>
      </c>
      <c r="BA123" s="12">
        <v>0</v>
      </c>
      <c r="BC123" s="7">
        <f t="shared" si="22"/>
        <v>918000</v>
      </c>
      <c r="BD123" s="7">
        <f t="shared" si="23"/>
        <v>0</v>
      </c>
      <c r="BE123" s="7">
        <f t="shared" si="24"/>
        <v>0</v>
      </c>
    </row>
    <row r="124" spans="1:57" ht="15" customHeight="1" x14ac:dyDescent="0.3">
      <c r="A124" s="7">
        <f t="shared" si="19"/>
        <v>8848234</v>
      </c>
      <c r="B124" s="7">
        <f t="shared" si="20"/>
        <v>7596645</v>
      </c>
      <c r="C124" s="7">
        <f t="shared" si="21"/>
        <v>6504008</v>
      </c>
      <c r="D124" s="5"/>
      <c r="E124" s="5" t="str">
        <f t="shared" si="35"/>
        <v>LH13A00001C</v>
      </c>
      <c r="F124" s="5"/>
      <c r="G124" s="6"/>
      <c r="H124" s="11" t="s">
        <v>920</v>
      </c>
      <c r="I124" s="11"/>
      <c r="J124" s="12">
        <v>0</v>
      </c>
      <c r="K124" s="11" t="s">
        <v>921</v>
      </c>
      <c r="L124" s="12">
        <v>0</v>
      </c>
      <c r="M124" s="12">
        <v>230386</v>
      </c>
      <c r="N124" s="12">
        <v>755462</v>
      </c>
      <c r="O124" s="12">
        <v>710462</v>
      </c>
      <c r="P124" s="12">
        <v>1568462</v>
      </c>
      <c r="Q124" s="12">
        <v>1518462</v>
      </c>
      <c r="R124" s="12">
        <v>1458462</v>
      </c>
      <c r="S124" s="12">
        <v>1438462</v>
      </c>
      <c r="T124" s="12">
        <v>1398462</v>
      </c>
      <c r="U124" s="12">
        <v>1085235</v>
      </c>
      <c r="V124" s="12">
        <v>1085235</v>
      </c>
      <c r="W124" s="12">
        <v>1085235</v>
      </c>
      <c r="X124" s="12">
        <v>1085235</v>
      </c>
      <c r="Y124" s="12">
        <v>1085235</v>
      </c>
      <c r="Z124" s="12">
        <v>1085235</v>
      </c>
      <c r="AA124" s="12">
        <v>1085235</v>
      </c>
      <c r="AB124" s="12">
        <v>929144</v>
      </c>
      <c r="AC124" s="12">
        <v>929144</v>
      </c>
      <c r="AD124" s="12">
        <v>929144</v>
      </c>
      <c r="AE124" s="12">
        <v>929144</v>
      </c>
      <c r="AF124" s="12">
        <v>929144</v>
      </c>
      <c r="AG124" s="12">
        <v>929144</v>
      </c>
      <c r="AH124" s="12">
        <v>929144</v>
      </c>
      <c r="AI124" s="12">
        <v>601144</v>
      </c>
      <c r="AJ124" s="12">
        <v>339144</v>
      </c>
      <c r="AK124" s="12">
        <v>1118144</v>
      </c>
      <c r="AL124" s="12">
        <v>1113144</v>
      </c>
      <c r="AM124" s="12">
        <v>692144</v>
      </c>
      <c r="AN124" s="12">
        <v>377644</v>
      </c>
      <c r="AO124" s="12">
        <v>1092644</v>
      </c>
      <c r="AP124" s="12">
        <v>1092644</v>
      </c>
      <c r="AQ124" s="12">
        <v>816644</v>
      </c>
      <c r="AR124" s="12">
        <v>511644</v>
      </c>
      <c r="AS124" s="12">
        <v>941644</v>
      </c>
      <c r="AT124" s="12">
        <v>230386</v>
      </c>
      <c r="AU124" s="12">
        <v>230386</v>
      </c>
      <c r="AV124" s="12">
        <v>230386</v>
      </c>
      <c r="AW124" s="12">
        <v>0</v>
      </c>
      <c r="AX124" s="12">
        <v>0</v>
      </c>
      <c r="AY124" s="12">
        <v>0</v>
      </c>
      <c r="AZ124" s="12">
        <v>0</v>
      </c>
      <c r="BA124" s="12">
        <v>0</v>
      </c>
      <c r="BC124" s="7">
        <f t="shared" si="22"/>
        <v>3034386</v>
      </c>
      <c r="BD124" s="7">
        <f t="shared" si="23"/>
        <v>9069553</v>
      </c>
      <c r="BE124" s="7">
        <f t="shared" si="24"/>
        <v>7128372</v>
      </c>
    </row>
    <row r="125" spans="1:57" ht="15" customHeight="1" x14ac:dyDescent="0.3">
      <c r="A125" s="7">
        <f t="shared" si="19"/>
        <v>0</v>
      </c>
      <c r="B125" s="7">
        <f t="shared" si="20"/>
        <v>6000</v>
      </c>
      <c r="C125" s="7">
        <f t="shared" si="21"/>
        <v>4634</v>
      </c>
      <c r="D125" s="5"/>
      <c r="E125" s="13" t="s">
        <v>813</v>
      </c>
      <c r="F125" s="5"/>
      <c r="G125" s="13" t="s">
        <v>999</v>
      </c>
      <c r="H125" s="13" t="s">
        <v>49</v>
      </c>
      <c r="I125" s="11" t="s">
        <v>49</v>
      </c>
      <c r="J125" s="12">
        <v>0</v>
      </c>
      <c r="K125" s="11" t="s">
        <v>916</v>
      </c>
      <c r="L125" s="12">
        <v>0</v>
      </c>
      <c r="M125" s="12">
        <v>29002</v>
      </c>
      <c r="N125" s="12">
        <v>0</v>
      </c>
      <c r="O125" s="12">
        <v>0</v>
      </c>
      <c r="P125" s="12">
        <v>0</v>
      </c>
      <c r="Q125" s="12">
        <v>0</v>
      </c>
      <c r="R125" s="12">
        <v>0</v>
      </c>
      <c r="S125" s="12">
        <v>0</v>
      </c>
      <c r="T125" s="12">
        <v>0</v>
      </c>
      <c r="U125" s="12">
        <v>6000</v>
      </c>
      <c r="V125" s="12">
        <v>0</v>
      </c>
      <c r="W125" s="12">
        <v>0</v>
      </c>
      <c r="X125" s="12">
        <v>0</v>
      </c>
      <c r="Y125" s="12">
        <v>0</v>
      </c>
      <c r="Z125" s="12">
        <v>0</v>
      </c>
      <c r="AA125" s="12">
        <v>0</v>
      </c>
      <c r="AB125" s="12">
        <v>4634</v>
      </c>
      <c r="AC125" s="12">
        <v>0</v>
      </c>
      <c r="AD125" s="12">
        <v>0</v>
      </c>
      <c r="AE125" s="12">
        <v>0</v>
      </c>
      <c r="AF125" s="12">
        <v>0</v>
      </c>
      <c r="AG125" s="12">
        <v>0</v>
      </c>
      <c r="AH125" s="12">
        <v>0</v>
      </c>
      <c r="AI125" s="12">
        <v>4000</v>
      </c>
      <c r="AJ125" s="12">
        <v>4000</v>
      </c>
      <c r="AK125" s="12">
        <v>2000</v>
      </c>
      <c r="AL125" s="12">
        <v>0</v>
      </c>
      <c r="AM125" s="12">
        <v>6446</v>
      </c>
      <c r="AN125" s="12">
        <v>0</v>
      </c>
      <c r="AO125" s="12">
        <v>0</v>
      </c>
      <c r="AP125" s="12">
        <v>0</v>
      </c>
      <c r="AQ125" s="12">
        <v>1900</v>
      </c>
      <c r="AR125" s="12">
        <v>0</v>
      </c>
      <c r="AS125" s="12">
        <v>0</v>
      </c>
      <c r="AT125" s="12">
        <v>22</v>
      </c>
      <c r="AU125" s="12">
        <v>0</v>
      </c>
      <c r="AV125" s="12">
        <v>0</v>
      </c>
      <c r="AW125" s="12">
        <v>6000</v>
      </c>
      <c r="AX125" s="12">
        <v>14634</v>
      </c>
      <c r="AY125" s="12">
        <v>6446</v>
      </c>
      <c r="AZ125" s="12">
        <v>1922</v>
      </c>
      <c r="BA125" s="12">
        <v>0</v>
      </c>
      <c r="BC125" s="7">
        <f t="shared" si="22"/>
        <v>0</v>
      </c>
      <c r="BD125" s="7">
        <f t="shared" si="23"/>
        <v>6000</v>
      </c>
      <c r="BE125" s="7">
        <f t="shared" si="24"/>
        <v>4634</v>
      </c>
    </row>
    <row r="126" spans="1:57" ht="15" customHeight="1" x14ac:dyDescent="0.3">
      <c r="A126" s="7">
        <f t="shared" si="19"/>
        <v>453012</v>
      </c>
      <c r="B126" s="7">
        <f t="shared" si="20"/>
        <v>411012</v>
      </c>
      <c r="C126" s="7">
        <f t="shared" si="21"/>
        <v>378574</v>
      </c>
      <c r="D126" s="5"/>
      <c r="E126" s="5" t="str">
        <f t="shared" ref="E126:E129" si="36">E125</f>
        <v>LH13A010007A</v>
      </c>
      <c r="F126" s="5"/>
      <c r="G126" s="5"/>
      <c r="H126" s="6"/>
      <c r="I126" s="11"/>
      <c r="J126" s="12">
        <v>0</v>
      </c>
      <c r="K126" s="11" t="s">
        <v>917</v>
      </c>
      <c r="L126" s="12">
        <v>64716</v>
      </c>
      <c r="M126" s="12">
        <v>35714</v>
      </c>
      <c r="N126" s="12">
        <v>64716</v>
      </c>
      <c r="O126" s="12">
        <v>64716</v>
      </c>
      <c r="P126" s="12">
        <v>64716</v>
      </c>
      <c r="Q126" s="12">
        <v>64716</v>
      </c>
      <c r="R126" s="12">
        <v>64716</v>
      </c>
      <c r="S126" s="12">
        <v>64716</v>
      </c>
      <c r="T126" s="12">
        <v>64716</v>
      </c>
      <c r="U126" s="12">
        <v>58716</v>
      </c>
      <c r="V126" s="12">
        <v>58716</v>
      </c>
      <c r="W126" s="12">
        <v>58716</v>
      </c>
      <c r="X126" s="12">
        <v>58716</v>
      </c>
      <c r="Y126" s="12">
        <v>58716</v>
      </c>
      <c r="Z126" s="12">
        <v>58716</v>
      </c>
      <c r="AA126" s="12">
        <v>58716</v>
      </c>
      <c r="AB126" s="12">
        <v>54082</v>
      </c>
      <c r="AC126" s="12">
        <v>54082</v>
      </c>
      <c r="AD126" s="12">
        <v>54082</v>
      </c>
      <c r="AE126" s="12">
        <v>54082</v>
      </c>
      <c r="AF126" s="12">
        <v>54082</v>
      </c>
      <c r="AG126" s="12">
        <v>54082</v>
      </c>
      <c r="AH126" s="12">
        <v>54082</v>
      </c>
      <c r="AI126" s="12">
        <v>50082</v>
      </c>
      <c r="AJ126" s="12">
        <v>46082</v>
      </c>
      <c r="AK126" s="12">
        <v>44082</v>
      </c>
      <c r="AL126" s="12">
        <v>44082</v>
      </c>
      <c r="AM126" s="12">
        <v>37636</v>
      </c>
      <c r="AN126" s="12">
        <v>37636</v>
      </c>
      <c r="AO126" s="12">
        <v>37636</v>
      </c>
      <c r="AP126" s="12">
        <v>37636</v>
      </c>
      <c r="AQ126" s="12">
        <v>35736</v>
      </c>
      <c r="AR126" s="12">
        <v>35736</v>
      </c>
      <c r="AS126" s="12">
        <v>35736</v>
      </c>
      <c r="AT126" s="12">
        <v>35714</v>
      </c>
      <c r="AU126" s="12">
        <v>35714</v>
      </c>
      <c r="AV126" s="12">
        <v>35714</v>
      </c>
      <c r="AW126" s="12">
        <v>0</v>
      </c>
      <c r="AX126" s="12">
        <v>0</v>
      </c>
      <c r="AY126" s="12">
        <v>0</v>
      </c>
      <c r="AZ126" s="12">
        <v>0</v>
      </c>
      <c r="BA126" s="12">
        <v>0</v>
      </c>
      <c r="BC126" s="7">
        <f t="shared" si="22"/>
        <v>194148</v>
      </c>
      <c r="BD126" s="7">
        <f t="shared" si="23"/>
        <v>435012</v>
      </c>
      <c r="BE126" s="7">
        <f t="shared" si="24"/>
        <v>397110</v>
      </c>
    </row>
    <row r="127" spans="1:57" ht="15" customHeight="1" x14ac:dyDescent="0.3">
      <c r="A127" s="7">
        <f t="shared" si="19"/>
        <v>0</v>
      </c>
      <c r="B127" s="7">
        <f t="shared" si="20"/>
        <v>0</v>
      </c>
      <c r="C127" s="7">
        <f t="shared" si="21"/>
        <v>0</v>
      </c>
      <c r="D127" s="5"/>
      <c r="E127" s="5" t="str">
        <f t="shared" si="36"/>
        <v>LH13A010007A</v>
      </c>
      <c r="F127" s="5"/>
      <c r="G127" s="5"/>
      <c r="H127" s="11" t="s">
        <v>769</v>
      </c>
      <c r="I127" s="11" t="s">
        <v>770</v>
      </c>
      <c r="J127" s="12">
        <v>4000</v>
      </c>
      <c r="K127" s="11" t="s">
        <v>918</v>
      </c>
      <c r="L127" s="12">
        <v>0</v>
      </c>
      <c r="M127" s="12">
        <v>0</v>
      </c>
      <c r="N127" s="12">
        <v>0</v>
      </c>
      <c r="O127" s="12">
        <v>0</v>
      </c>
      <c r="P127" s="12">
        <v>0</v>
      </c>
      <c r="Q127" s="12">
        <v>0</v>
      </c>
      <c r="R127" s="12">
        <v>0</v>
      </c>
      <c r="S127" s="12">
        <v>0</v>
      </c>
      <c r="T127" s="12">
        <v>0</v>
      </c>
      <c r="U127" s="12">
        <v>0</v>
      </c>
      <c r="V127" s="12">
        <v>0</v>
      </c>
      <c r="W127" s="12">
        <v>0</v>
      </c>
      <c r="X127" s="12">
        <v>0</v>
      </c>
      <c r="Y127" s="12">
        <v>0</v>
      </c>
      <c r="Z127" s="12">
        <v>0</v>
      </c>
      <c r="AA127" s="12">
        <v>0</v>
      </c>
      <c r="AB127" s="12">
        <v>0</v>
      </c>
      <c r="AC127" s="12">
        <v>0</v>
      </c>
      <c r="AD127" s="12">
        <v>0</v>
      </c>
      <c r="AE127" s="12">
        <v>0</v>
      </c>
      <c r="AF127" s="12">
        <v>0</v>
      </c>
      <c r="AG127" s="12">
        <v>0</v>
      </c>
      <c r="AH127" s="12">
        <v>0</v>
      </c>
      <c r="AI127" s="12">
        <v>0</v>
      </c>
      <c r="AJ127" s="12">
        <v>0</v>
      </c>
      <c r="AK127" s="12">
        <v>0</v>
      </c>
      <c r="AL127" s="12">
        <v>0</v>
      </c>
      <c r="AM127" s="12">
        <v>0</v>
      </c>
      <c r="AN127" s="12">
        <v>0</v>
      </c>
      <c r="AO127" s="12">
        <v>0</v>
      </c>
      <c r="AP127" s="12">
        <v>0</v>
      </c>
      <c r="AQ127" s="12">
        <v>0</v>
      </c>
      <c r="AR127" s="12">
        <v>0</v>
      </c>
      <c r="AS127" s="12">
        <v>0</v>
      </c>
      <c r="AT127" s="12">
        <v>0</v>
      </c>
      <c r="AU127" s="12">
        <v>0</v>
      </c>
      <c r="AV127" s="12">
        <v>0</v>
      </c>
      <c r="AW127" s="12">
        <v>0</v>
      </c>
      <c r="AX127" s="12">
        <v>0</v>
      </c>
      <c r="AY127" s="12">
        <v>0</v>
      </c>
      <c r="AZ127" s="12">
        <v>0</v>
      </c>
      <c r="BA127" s="12">
        <v>0</v>
      </c>
      <c r="BC127" s="7">
        <f t="shared" si="22"/>
        <v>0</v>
      </c>
      <c r="BD127" s="7">
        <f t="shared" si="23"/>
        <v>0</v>
      </c>
      <c r="BE127" s="7">
        <f t="shared" si="24"/>
        <v>0</v>
      </c>
    </row>
    <row r="128" spans="1:57" ht="15" customHeight="1" x14ac:dyDescent="0.3">
      <c r="A128" s="7">
        <f t="shared" si="19"/>
        <v>0</v>
      </c>
      <c r="B128" s="7">
        <f t="shared" si="20"/>
        <v>0</v>
      </c>
      <c r="C128" s="7">
        <f t="shared" si="21"/>
        <v>0</v>
      </c>
      <c r="D128" s="5"/>
      <c r="E128" s="5" t="str">
        <f t="shared" si="36"/>
        <v>LH13A010007A</v>
      </c>
      <c r="F128" s="5"/>
      <c r="G128" s="5"/>
      <c r="H128" s="11" t="s">
        <v>49</v>
      </c>
      <c r="I128" s="11"/>
      <c r="J128" s="12">
        <v>0</v>
      </c>
      <c r="K128" s="11" t="s">
        <v>919</v>
      </c>
      <c r="L128" s="12">
        <v>0</v>
      </c>
      <c r="M128" s="12">
        <v>0</v>
      </c>
      <c r="N128" s="12">
        <v>0</v>
      </c>
      <c r="O128" s="12">
        <v>0</v>
      </c>
      <c r="P128" s="12">
        <v>0</v>
      </c>
      <c r="Q128" s="12">
        <v>0</v>
      </c>
      <c r="R128" s="12">
        <v>0</v>
      </c>
      <c r="S128" s="12">
        <v>0</v>
      </c>
      <c r="T128" s="12">
        <v>0</v>
      </c>
      <c r="U128" s="12">
        <v>0</v>
      </c>
      <c r="V128" s="12">
        <v>0</v>
      </c>
      <c r="W128" s="12">
        <v>0</v>
      </c>
      <c r="X128" s="12">
        <v>0</v>
      </c>
      <c r="Y128" s="12">
        <v>0</v>
      </c>
      <c r="Z128" s="12">
        <v>0</v>
      </c>
      <c r="AA128" s="12">
        <v>0</v>
      </c>
      <c r="AB128" s="12">
        <v>0</v>
      </c>
      <c r="AC128" s="12">
        <v>0</v>
      </c>
      <c r="AD128" s="12">
        <v>0</v>
      </c>
      <c r="AE128" s="12">
        <v>0</v>
      </c>
      <c r="AF128" s="12">
        <v>0</v>
      </c>
      <c r="AG128" s="12">
        <v>0</v>
      </c>
      <c r="AH128" s="12">
        <v>0</v>
      </c>
      <c r="AI128" s="12">
        <v>0</v>
      </c>
      <c r="AJ128" s="12">
        <v>0</v>
      </c>
      <c r="AK128" s="12">
        <v>0</v>
      </c>
      <c r="AL128" s="12">
        <v>0</v>
      </c>
      <c r="AM128" s="12">
        <v>0</v>
      </c>
      <c r="AN128" s="12">
        <v>0</v>
      </c>
      <c r="AO128" s="12">
        <v>0</v>
      </c>
      <c r="AP128" s="12">
        <v>0</v>
      </c>
      <c r="AQ128" s="12">
        <v>0</v>
      </c>
      <c r="AR128" s="12">
        <v>0</v>
      </c>
      <c r="AS128" s="12">
        <v>0</v>
      </c>
      <c r="AT128" s="12">
        <v>0</v>
      </c>
      <c r="AU128" s="12">
        <v>0</v>
      </c>
      <c r="AV128" s="12">
        <v>0</v>
      </c>
      <c r="AW128" s="12">
        <v>0</v>
      </c>
      <c r="AX128" s="12">
        <v>0</v>
      </c>
      <c r="AY128" s="12">
        <v>0</v>
      </c>
      <c r="AZ128" s="12">
        <v>0</v>
      </c>
      <c r="BA128" s="12">
        <v>0</v>
      </c>
      <c r="BC128" s="7">
        <f t="shared" si="22"/>
        <v>0</v>
      </c>
      <c r="BD128" s="7">
        <f t="shared" si="23"/>
        <v>0</v>
      </c>
      <c r="BE128" s="7">
        <f t="shared" si="24"/>
        <v>0</v>
      </c>
    </row>
    <row r="129" spans="1:57" ht="15" customHeight="1" x14ac:dyDescent="0.3">
      <c r="A129" s="7">
        <f t="shared" si="19"/>
        <v>453012</v>
      </c>
      <c r="B129" s="7">
        <f t="shared" si="20"/>
        <v>411012</v>
      </c>
      <c r="C129" s="7">
        <f t="shared" si="21"/>
        <v>378574</v>
      </c>
      <c r="D129" s="5"/>
      <c r="E129" s="5" t="str">
        <f t="shared" si="36"/>
        <v>LH13A010007A</v>
      </c>
      <c r="F129" s="5"/>
      <c r="G129" s="6"/>
      <c r="H129" s="11" t="s">
        <v>920</v>
      </c>
      <c r="I129" s="11"/>
      <c r="J129" s="12">
        <v>0</v>
      </c>
      <c r="K129" s="11" t="s">
        <v>921</v>
      </c>
      <c r="L129" s="12">
        <v>0</v>
      </c>
      <c r="M129" s="12">
        <v>35714</v>
      </c>
      <c r="N129" s="12">
        <v>64716</v>
      </c>
      <c r="O129" s="12">
        <v>64716</v>
      </c>
      <c r="P129" s="12">
        <v>64716</v>
      </c>
      <c r="Q129" s="12">
        <v>64716</v>
      </c>
      <c r="R129" s="12">
        <v>64716</v>
      </c>
      <c r="S129" s="12">
        <v>64716</v>
      </c>
      <c r="T129" s="12">
        <v>64716</v>
      </c>
      <c r="U129" s="12">
        <v>58716</v>
      </c>
      <c r="V129" s="12">
        <v>58716</v>
      </c>
      <c r="W129" s="12">
        <v>58716</v>
      </c>
      <c r="X129" s="12">
        <v>58716</v>
      </c>
      <c r="Y129" s="12">
        <v>58716</v>
      </c>
      <c r="Z129" s="12">
        <v>58716</v>
      </c>
      <c r="AA129" s="12">
        <v>58716</v>
      </c>
      <c r="AB129" s="12">
        <v>54082</v>
      </c>
      <c r="AC129" s="12">
        <v>54082</v>
      </c>
      <c r="AD129" s="12">
        <v>54082</v>
      </c>
      <c r="AE129" s="12">
        <v>54082</v>
      </c>
      <c r="AF129" s="12">
        <v>54082</v>
      </c>
      <c r="AG129" s="12">
        <v>54082</v>
      </c>
      <c r="AH129" s="12">
        <v>54082</v>
      </c>
      <c r="AI129" s="12">
        <v>50082</v>
      </c>
      <c r="AJ129" s="12">
        <v>46082</v>
      </c>
      <c r="AK129" s="12">
        <v>44082</v>
      </c>
      <c r="AL129" s="12">
        <v>44082</v>
      </c>
      <c r="AM129" s="12">
        <v>37636</v>
      </c>
      <c r="AN129" s="12">
        <v>37636</v>
      </c>
      <c r="AO129" s="12">
        <v>37636</v>
      </c>
      <c r="AP129" s="12">
        <v>37636</v>
      </c>
      <c r="AQ129" s="12">
        <v>35736</v>
      </c>
      <c r="AR129" s="12">
        <v>35736</v>
      </c>
      <c r="AS129" s="12">
        <v>35736</v>
      </c>
      <c r="AT129" s="12">
        <v>35714</v>
      </c>
      <c r="AU129" s="12">
        <v>35714</v>
      </c>
      <c r="AV129" s="12">
        <v>35714</v>
      </c>
      <c r="AW129" s="12">
        <v>0</v>
      </c>
      <c r="AX129" s="12">
        <v>0</v>
      </c>
      <c r="AY129" s="12">
        <v>0</v>
      </c>
      <c r="AZ129" s="12">
        <v>0</v>
      </c>
      <c r="BA129" s="12">
        <v>0</v>
      </c>
      <c r="BC129" s="7">
        <f t="shared" si="22"/>
        <v>194148</v>
      </c>
      <c r="BD129" s="7">
        <f t="shared" si="23"/>
        <v>435012</v>
      </c>
      <c r="BE129" s="7">
        <f t="shared" si="24"/>
        <v>397110</v>
      </c>
    </row>
    <row r="130" spans="1:57" ht="15" customHeight="1" x14ac:dyDescent="0.3">
      <c r="A130" s="7">
        <f t="shared" si="19"/>
        <v>0</v>
      </c>
      <c r="B130" s="7">
        <f t="shared" si="20"/>
        <v>12000</v>
      </c>
      <c r="C130" s="7">
        <f t="shared" si="21"/>
        <v>9268</v>
      </c>
      <c r="D130" s="5"/>
      <c r="E130" s="13" t="s">
        <v>814</v>
      </c>
      <c r="F130" s="5"/>
      <c r="G130" s="13" t="s">
        <v>1000</v>
      </c>
      <c r="H130" s="13" t="s">
        <v>49</v>
      </c>
      <c r="I130" s="11" t="s">
        <v>49</v>
      </c>
      <c r="J130" s="12">
        <v>0</v>
      </c>
      <c r="K130" s="11" t="s">
        <v>916</v>
      </c>
      <c r="L130" s="12">
        <v>0</v>
      </c>
      <c r="M130" s="12">
        <v>58004</v>
      </c>
      <c r="N130" s="12">
        <v>0</v>
      </c>
      <c r="O130" s="12">
        <v>0</v>
      </c>
      <c r="P130" s="12">
        <v>0</v>
      </c>
      <c r="Q130" s="12">
        <v>0</v>
      </c>
      <c r="R130" s="12">
        <v>0</v>
      </c>
      <c r="S130" s="12">
        <v>0</v>
      </c>
      <c r="T130" s="12">
        <v>0</v>
      </c>
      <c r="U130" s="12">
        <v>12000</v>
      </c>
      <c r="V130" s="12">
        <v>0</v>
      </c>
      <c r="W130" s="12">
        <v>0</v>
      </c>
      <c r="X130" s="12">
        <v>0</v>
      </c>
      <c r="Y130" s="12">
        <v>0</v>
      </c>
      <c r="Z130" s="12">
        <v>0</v>
      </c>
      <c r="AA130" s="12">
        <v>0</v>
      </c>
      <c r="AB130" s="12">
        <v>9268</v>
      </c>
      <c r="AC130" s="12">
        <v>0</v>
      </c>
      <c r="AD130" s="12">
        <v>0</v>
      </c>
      <c r="AE130" s="12">
        <v>0</v>
      </c>
      <c r="AF130" s="12">
        <v>0</v>
      </c>
      <c r="AG130" s="12">
        <v>0</v>
      </c>
      <c r="AH130" s="12">
        <v>0</v>
      </c>
      <c r="AI130" s="12">
        <v>8000</v>
      </c>
      <c r="AJ130" s="12">
        <v>8000</v>
      </c>
      <c r="AK130" s="12">
        <v>4000</v>
      </c>
      <c r="AL130" s="12">
        <v>0</v>
      </c>
      <c r="AM130" s="12">
        <v>12892</v>
      </c>
      <c r="AN130" s="12">
        <v>0</v>
      </c>
      <c r="AO130" s="12">
        <v>0</v>
      </c>
      <c r="AP130" s="12">
        <v>0</v>
      </c>
      <c r="AQ130" s="12">
        <v>3800</v>
      </c>
      <c r="AR130" s="12">
        <v>0</v>
      </c>
      <c r="AS130" s="12">
        <v>0</v>
      </c>
      <c r="AT130" s="12">
        <v>44</v>
      </c>
      <c r="AU130" s="12">
        <v>0</v>
      </c>
      <c r="AV130" s="12">
        <v>0</v>
      </c>
      <c r="AW130" s="12">
        <v>12000</v>
      </c>
      <c r="AX130" s="12">
        <v>29268</v>
      </c>
      <c r="AY130" s="12">
        <v>12892</v>
      </c>
      <c r="AZ130" s="12">
        <v>3844</v>
      </c>
      <c r="BA130" s="12">
        <v>0</v>
      </c>
      <c r="BC130" s="7">
        <f t="shared" si="22"/>
        <v>0</v>
      </c>
      <c r="BD130" s="7">
        <f t="shared" si="23"/>
        <v>12000</v>
      </c>
      <c r="BE130" s="7">
        <f t="shared" si="24"/>
        <v>9268</v>
      </c>
    </row>
    <row r="131" spans="1:57" ht="15" customHeight="1" x14ac:dyDescent="0.3">
      <c r="A131" s="7">
        <f t="shared" si="19"/>
        <v>618583</v>
      </c>
      <c r="B131" s="7">
        <f t="shared" si="20"/>
        <v>534583</v>
      </c>
      <c r="C131" s="7">
        <f t="shared" si="21"/>
        <v>469707</v>
      </c>
      <c r="D131" s="5"/>
      <c r="E131" s="5" t="str">
        <f t="shared" ref="E131:E134" si="37">E130</f>
        <v>LH13A010008A</v>
      </c>
      <c r="F131" s="5"/>
      <c r="G131" s="5"/>
      <c r="H131" s="6"/>
      <c r="I131" s="11"/>
      <c r="J131" s="12">
        <v>0</v>
      </c>
      <c r="K131" s="11" t="s">
        <v>917</v>
      </c>
      <c r="L131" s="12">
        <v>88369</v>
      </c>
      <c r="M131" s="12">
        <v>30365</v>
      </c>
      <c r="N131" s="12">
        <v>88369</v>
      </c>
      <c r="O131" s="12">
        <v>88369</v>
      </c>
      <c r="P131" s="12">
        <v>88369</v>
      </c>
      <c r="Q131" s="12">
        <v>88369</v>
      </c>
      <c r="R131" s="12">
        <v>88369</v>
      </c>
      <c r="S131" s="12">
        <v>88369</v>
      </c>
      <c r="T131" s="12">
        <v>88369</v>
      </c>
      <c r="U131" s="12">
        <v>76369</v>
      </c>
      <c r="V131" s="12">
        <v>76369</v>
      </c>
      <c r="W131" s="12">
        <v>76369</v>
      </c>
      <c r="X131" s="12">
        <v>76369</v>
      </c>
      <c r="Y131" s="12">
        <v>76369</v>
      </c>
      <c r="Z131" s="12">
        <v>76369</v>
      </c>
      <c r="AA131" s="12">
        <v>76369</v>
      </c>
      <c r="AB131" s="12">
        <v>67101</v>
      </c>
      <c r="AC131" s="12">
        <v>67101</v>
      </c>
      <c r="AD131" s="12">
        <v>67101</v>
      </c>
      <c r="AE131" s="12">
        <v>67101</v>
      </c>
      <c r="AF131" s="12">
        <v>67101</v>
      </c>
      <c r="AG131" s="12">
        <v>67101</v>
      </c>
      <c r="AH131" s="12">
        <v>67101</v>
      </c>
      <c r="AI131" s="12">
        <v>59101</v>
      </c>
      <c r="AJ131" s="12">
        <v>51101</v>
      </c>
      <c r="AK131" s="12">
        <v>47101</v>
      </c>
      <c r="AL131" s="12">
        <v>47101</v>
      </c>
      <c r="AM131" s="12">
        <v>34209</v>
      </c>
      <c r="AN131" s="12">
        <v>34209</v>
      </c>
      <c r="AO131" s="12">
        <v>34209</v>
      </c>
      <c r="AP131" s="12">
        <v>34209</v>
      </c>
      <c r="AQ131" s="12">
        <v>30409</v>
      </c>
      <c r="AR131" s="12">
        <v>30409</v>
      </c>
      <c r="AS131" s="12">
        <v>30409</v>
      </c>
      <c r="AT131" s="12">
        <v>30365</v>
      </c>
      <c r="AU131" s="12">
        <v>30365</v>
      </c>
      <c r="AV131" s="12">
        <v>30365</v>
      </c>
      <c r="AW131" s="12">
        <v>0</v>
      </c>
      <c r="AX131" s="12">
        <v>0</v>
      </c>
      <c r="AY131" s="12">
        <v>0</v>
      </c>
      <c r="AZ131" s="12">
        <v>0</v>
      </c>
      <c r="BA131" s="12">
        <v>0</v>
      </c>
      <c r="BC131" s="7">
        <f t="shared" si="22"/>
        <v>265107</v>
      </c>
      <c r="BD131" s="7">
        <f t="shared" si="23"/>
        <v>582583</v>
      </c>
      <c r="BE131" s="7">
        <f t="shared" si="24"/>
        <v>506779</v>
      </c>
    </row>
    <row r="132" spans="1:57" ht="15" customHeight="1" x14ac:dyDescent="0.3">
      <c r="A132" s="7">
        <f t="shared" si="19"/>
        <v>0</v>
      </c>
      <c r="B132" s="7">
        <f t="shared" si="20"/>
        <v>0</v>
      </c>
      <c r="C132" s="7">
        <f t="shared" si="21"/>
        <v>0</v>
      </c>
      <c r="D132" s="5"/>
      <c r="E132" s="5" t="str">
        <f t="shared" si="37"/>
        <v>LH13A010008A</v>
      </c>
      <c r="F132" s="5"/>
      <c r="G132" s="5"/>
      <c r="H132" s="11" t="s">
        <v>769</v>
      </c>
      <c r="I132" s="11" t="s">
        <v>770</v>
      </c>
      <c r="J132" s="12">
        <v>46000</v>
      </c>
      <c r="K132" s="11" t="s">
        <v>918</v>
      </c>
      <c r="L132" s="12">
        <v>0</v>
      </c>
      <c r="M132" s="12">
        <v>0</v>
      </c>
      <c r="N132" s="12">
        <v>0</v>
      </c>
      <c r="O132" s="12">
        <v>0</v>
      </c>
      <c r="P132" s="12">
        <v>0</v>
      </c>
      <c r="Q132" s="12">
        <v>0</v>
      </c>
      <c r="R132" s="12">
        <v>0</v>
      </c>
      <c r="S132" s="12">
        <v>0</v>
      </c>
      <c r="T132" s="12">
        <v>0</v>
      </c>
      <c r="U132" s="12">
        <v>0</v>
      </c>
      <c r="V132" s="12">
        <v>0</v>
      </c>
      <c r="W132" s="12">
        <v>0</v>
      </c>
      <c r="X132" s="12">
        <v>0</v>
      </c>
      <c r="Y132" s="12">
        <v>0</v>
      </c>
      <c r="Z132" s="12">
        <v>0</v>
      </c>
      <c r="AA132" s="12">
        <v>0</v>
      </c>
      <c r="AB132" s="12">
        <v>0</v>
      </c>
      <c r="AC132" s="12">
        <v>0</v>
      </c>
      <c r="AD132" s="12">
        <v>0</v>
      </c>
      <c r="AE132" s="12">
        <v>0</v>
      </c>
      <c r="AF132" s="12">
        <v>0</v>
      </c>
      <c r="AG132" s="12">
        <v>0</v>
      </c>
      <c r="AH132" s="12">
        <v>0</v>
      </c>
      <c r="AI132" s="12">
        <v>0</v>
      </c>
      <c r="AJ132" s="12">
        <v>0</v>
      </c>
      <c r="AK132" s="12">
        <v>0</v>
      </c>
      <c r="AL132" s="12">
        <v>0</v>
      </c>
      <c r="AM132" s="12">
        <v>0</v>
      </c>
      <c r="AN132" s="12">
        <v>0</v>
      </c>
      <c r="AO132" s="12">
        <v>0</v>
      </c>
      <c r="AP132" s="12">
        <v>0</v>
      </c>
      <c r="AQ132" s="12">
        <v>0</v>
      </c>
      <c r="AR132" s="12">
        <v>0</v>
      </c>
      <c r="AS132" s="12">
        <v>0</v>
      </c>
      <c r="AT132" s="12">
        <v>0</v>
      </c>
      <c r="AU132" s="12">
        <v>0</v>
      </c>
      <c r="AV132" s="12">
        <v>0</v>
      </c>
      <c r="AW132" s="12">
        <v>0</v>
      </c>
      <c r="AX132" s="12">
        <v>0</v>
      </c>
      <c r="AY132" s="12">
        <v>0</v>
      </c>
      <c r="AZ132" s="12">
        <v>0</v>
      </c>
      <c r="BA132" s="12">
        <v>0</v>
      </c>
      <c r="BC132" s="7">
        <f t="shared" si="22"/>
        <v>0</v>
      </c>
      <c r="BD132" s="7">
        <f t="shared" si="23"/>
        <v>0</v>
      </c>
      <c r="BE132" s="7">
        <f t="shared" si="24"/>
        <v>0</v>
      </c>
    </row>
    <row r="133" spans="1:57" ht="15" customHeight="1" x14ac:dyDescent="0.3">
      <c r="A133" s="7">
        <f t="shared" si="19"/>
        <v>0</v>
      </c>
      <c r="B133" s="7">
        <f t="shared" si="20"/>
        <v>0</v>
      </c>
      <c r="C133" s="7">
        <f t="shared" si="21"/>
        <v>0</v>
      </c>
      <c r="D133" s="5"/>
      <c r="E133" s="5" t="str">
        <f t="shared" si="37"/>
        <v>LH13A010008A</v>
      </c>
      <c r="F133" s="5"/>
      <c r="G133" s="5"/>
      <c r="H133" s="11" t="s">
        <v>49</v>
      </c>
      <c r="I133" s="11"/>
      <c r="J133" s="12">
        <v>0</v>
      </c>
      <c r="K133" s="11" t="s">
        <v>919</v>
      </c>
      <c r="L133" s="12">
        <v>0</v>
      </c>
      <c r="M133" s="12">
        <v>0</v>
      </c>
      <c r="N133" s="12">
        <v>0</v>
      </c>
      <c r="O133" s="12">
        <v>0</v>
      </c>
      <c r="P133" s="12">
        <v>0</v>
      </c>
      <c r="Q133" s="12">
        <v>0</v>
      </c>
      <c r="R133" s="12">
        <v>0</v>
      </c>
      <c r="S133" s="12">
        <v>0</v>
      </c>
      <c r="T133" s="12">
        <v>0</v>
      </c>
      <c r="U133" s="12">
        <v>0</v>
      </c>
      <c r="V133" s="12">
        <v>0</v>
      </c>
      <c r="W133" s="12">
        <v>0</v>
      </c>
      <c r="X133" s="12">
        <v>0</v>
      </c>
      <c r="Y133" s="12">
        <v>0</v>
      </c>
      <c r="Z133" s="12">
        <v>0</v>
      </c>
      <c r="AA133" s="12">
        <v>0</v>
      </c>
      <c r="AB133" s="12">
        <v>0</v>
      </c>
      <c r="AC133" s="12">
        <v>0</v>
      </c>
      <c r="AD133" s="12">
        <v>0</v>
      </c>
      <c r="AE133" s="12">
        <v>0</v>
      </c>
      <c r="AF133" s="12">
        <v>0</v>
      </c>
      <c r="AG133" s="12">
        <v>0</v>
      </c>
      <c r="AH133" s="12">
        <v>0</v>
      </c>
      <c r="AI133" s="12">
        <v>0</v>
      </c>
      <c r="AJ133" s="12">
        <v>0</v>
      </c>
      <c r="AK133" s="12">
        <v>0</v>
      </c>
      <c r="AL133" s="12">
        <v>0</v>
      </c>
      <c r="AM133" s="12">
        <v>0</v>
      </c>
      <c r="AN133" s="12">
        <v>0</v>
      </c>
      <c r="AO133" s="12">
        <v>0</v>
      </c>
      <c r="AP133" s="12">
        <v>0</v>
      </c>
      <c r="AQ133" s="12">
        <v>0</v>
      </c>
      <c r="AR133" s="12">
        <v>0</v>
      </c>
      <c r="AS133" s="12">
        <v>0</v>
      </c>
      <c r="AT133" s="12">
        <v>0</v>
      </c>
      <c r="AU133" s="12">
        <v>0</v>
      </c>
      <c r="AV133" s="12">
        <v>0</v>
      </c>
      <c r="AW133" s="12">
        <v>0</v>
      </c>
      <c r="AX133" s="12">
        <v>0</v>
      </c>
      <c r="AY133" s="12">
        <v>0</v>
      </c>
      <c r="AZ133" s="12">
        <v>0</v>
      </c>
      <c r="BA133" s="12">
        <v>0</v>
      </c>
      <c r="BC133" s="7">
        <f t="shared" si="22"/>
        <v>0</v>
      </c>
      <c r="BD133" s="7">
        <f t="shared" si="23"/>
        <v>0</v>
      </c>
      <c r="BE133" s="7">
        <f t="shared" si="24"/>
        <v>0</v>
      </c>
    </row>
    <row r="134" spans="1:57" ht="15" customHeight="1" x14ac:dyDescent="0.3">
      <c r="A134" s="7">
        <f t="shared" ref="A134:A197" si="38">SUM(N134:T134)</f>
        <v>618583</v>
      </c>
      <c r="B134" s="7">
        <f t="shared" ref="B134:B197" si="39">SUM(U134:AA134)</f>
        <v>534583</v>
      </c>
      <c r="C134" s="7">
        <f t="shared" ref="C134:C197" si="40">SUM(AB134:AH134)</f>
        <v>469707</v>
      </c>
      <c r="D134" s="5"/>
      <c r="E134" s="5" t="str">
        <f t="shared" si="37"/>
        <v>LH13A010008A</v>
      </c>
      <c r="F134" s="5"/>
      <c r="G134" s="6"/>
      <c r="H134" s="11" t="s">
        <v>920</v>
      </c>
      <c r="I134" s="11"/>
      <c r="J134" s="12">
        <v>0</v>
      </c>
      <c r="K134" s="11" t="s">
        <v>921</v>
      </c>
      <c r="L134" s="12">
        <v>0</v>
      </c>
      <c r="M134" s="12">
        <v>30365</v>
      </c>
      <c r="N134" s="12">
        <v>88369</v>
      </c>
      <c r="O134" s="12">
        <v>88369</v>
      </c>
      <c r="P134" s="12">
        <v>88369</v>
      </c>
      <c r="Q134" s="12">
        <v>88369</v>
      </c>
      <c r="R134" s="12">
        <v>88369</v>
      </c>
      <c r="S134" s="12">
        <v>88369</v>
      </c>
      <c r="T134" s="12">
        <v>88369</v>
      </c>
      <c r="U134" s="12">
        <v>76369</v>
      </c>
      <c r="V134" s="12">
        <v>76369</v>
      </c>
      <c r="W134" s="12">
        <v>76369</v>
      </c>
      <c r="X134" s="12">
        <v>76369</v>
      </c>
      <c r="Y134" s="12">
        <v>76369</v>
      </c>
      <c r="Z134" s="12">
        <v>76369</v>
      </c>
      <c r="AA134" s="12">
        <v>76369</v>
      </c>
      <c r="AB134" s="12">
        <v>67101</v>
      </c>
      <c r="AC134" s="12">
        <v>67101</v>
      </c>
      <c r="AD134" s="12">
        <v>67101</v>
      </c>
      <c r="AE134" s="12">
        <v>67101</v>
      </c>
      <c r="AF134" s="12">
        <v>67101</v>
      </c>
      <c r="AG134" s="12">
        <v>67101</v>
      </c>
      <c r="AH134" s="12">
        <v>67101</v>
      </c>
      <c r="AI134" s="12">
        <v>59101</v>
      </c>
      <c r="AJ134" s="12">
        <v>51101</v>
      </c>
      <c r="AK134" s="12">
        <v>47101</v>
      </c>
      <c r="AL134" s="12">
        <v>47101</v>
      </c>
      <c r="AM134" s="12">
        <v>34209</v>
      </c>
      <c r="AN134" s="12">
        <v>34209</v>
      </c>
      <c r="AO134" s="12">
        <v>34209</v>
      </c>
      <c r="AP134" s="12">
        <v>34209</v>
      </c>
      <c r="AQ134" s="12">
        <v>30409</v>
      </c>
      <c r="AR134" s="12">
        <v>30409</v>
      </c>
      <c r="AS134" s="12">
        <v>30409</v>
      </c>
      <c r="AT134" s="12">
        <v>30365</v>
      </c>
      <c r="AU134" s="12">
        <v>30365</v>
      </c>
      <c r="AV134" s="12">
        <v>30365</v>
      </c>
      <c r="AW134" s="12">
        <v>0</v>
      </c>
      <c r="AX134" s="12">
        <v>0</v>
      </c>
      <c r="AY134" s="12">
        <v>0</v>
      </c>
      <c r="AZ134" s="12">
        <v>0</v>
      </c>
      <c r="BA134" s="12">
        <v>0</v>
      </c>
      <c r="BC134" s="7">
        <f t="shared" ref="BC134:BC154" si="41">SUM(N134:P134)</f>
        <v>265107</v>
      </c>
      <c r="BD134" s="7">
        <f t="shared" ref="BD134:BD154" si="42">SUM(Q134:W134)</f>
        <v>582583</v>
      </c>
      <c r="BE134" s="7">
        <f t="shared" ref="BE134:BE154" si="43">SUM(X134:AD134)</f>
        <v>506779</v>
      </c>
    </row>
    <row r="135" spans="1:57" ht="15" customHeight="1" x14ac:dyDescent="0.3">
      <c r="A135" s="7">
        <f t="shared" si="38"/>
        <v>13088</v>
      </c>
      <c r="B135" s="7">
        <f t="shared" si="39"/>
        <v>0</v>
      </c>
      <c r="C135" s="7">
        <f t="shared" si="40"/>
        <v>5782</v>
      </c>
      <c r="D135" s="5"/>
      <c r="E135" s="13" t="s">
        <v>801</v>
      </c>
      <c r="F135" s="5"/>
      <c r="G135" s="13" t="s">
        <v>941</v>
      </c>
      <c r="H135" s="13" t="s">
        <v>49</v>
      </c>
      <c r="I135" s="11" t="s">
        <v>49</v>
      </c>
      <c r="J135" s="12">
        <v>0</v>
      </c>
      <c r="K135" s="11" t="s">
        <v>916</v>
      </c>
      <c r="L135" s="12">
        <v>0</v>
      </c>
      <c r="M135" s="12">
        <v>25974</v>
      </c>
      <c r="N135" s="12">
        <v>3400</v>
      </c>
      <c r="O135" s="12">
        <v>3400</v>
      </c>
      <c r="P135" s="12">
        <v>3310</v>
      </c>
      <c r="Q135" s="12">
        <v>0</v>
      </c>
      <c r="R135" s="12">
        <v>0</v>
      </c>
      <c r="S135" s="12">
        <v>0</v>
      </c>
      <c r="T135" s="12">
        <v>2978</v>
      </c>
      <c r="U135" s="12">
        <v>0</v>
      </c>
      <c r="V135" s="12">
        <v>0</v>
      </c>
      <c r="W135" s="12">
        <v>0</v>
      </c>
      <c r="X135" s="12">
        <v>0</v>
      </c>
      <c r="Y135" s="12">
        <v>0</v>
      </c>
      <c r="Z135" s="12">
        <v>0</v>
      </c>
      <c r="AA135" s="12">
        <v>0</v>
      </c>
      <c r="AB135" s="12">
        <v>5782</v>
      </c>
      <c r="AC135" s="12">
        <v>0</v>
      </c>
      <c r="AD135" s="12">
        <v>0</v>
      </c>
      <c r="AE135" s="12">
        <v>0</v>
      </c>
      <c r="AF135" s="12">
        <v>0</v>
      </c>
      <c r="AG135" s="12">
        <v>0</v>
      </c>
      <c r="AH135" s="12">
        <v>0</v>
      </c>
      <c r="AI135" s="12">
        <v>5000</v>
      </c>
      <c r="AJ135" s="12">
        <v>0</v>
      </c>
      <c r="AK135" s="12">
        <v>0</v>
      </c>
      <c r="AL135" s="12">
        <v>0</v>
      </c>
      <c r="AM135" s="12">
        <v>2000</v>
      </c>
      <c r="AN135" s="12">
        <v>0</v>
      </c>
      <c r="AO135" s="12">
        <v>0</v>
      </c>
      <c r="AP135" s="12">
        <v>0</v>
      </c>
      <c r="AQ135" s="12">
        <v>104</v>
      </c>
      <c r="AR135" s="12">
        <v>0</v>
      </c>
      <c r="AS135" s="12">
        <v>0</v>
      </c>
      <c r="AT135" s="12">
        <v>0</v>
      </c>
      <c r="AU135" s="12">
        <v>0</v>
      </c>
      <c r="AV135" s="12">
        <v>0</v>
      </c>
      <c r="AW135" s="12">
        <v>13088</v>
      </c>
      <c r="AX135" s="12">
        <v>10782</v>
      </c>
      <c r="AY135" s="12">
        <v>2000</v>
      </c>
      <c r="AZ135" s="12">
        <v>104</v>
      </c>
      <c r="BA135" s="12">
        <v>0</v>
      </c>
      <c r="BC135" s="7">
        <f t="shared" si="41"/>
        <v>10110</v>
      </c>
      <c r="BD135" s="7">
        <f t="shared" si="42"/>
        <v>2978</v>
      </c>
      <c r="BE135" s="7">
        <f t="shared" si="43"/>
        <v>5782</v>
      </c>
    </row>
    <row r="136" spans="1:57" ht="15" customHeight="1" x14ac:dyDescent="0.3">
      <c r="A136" s="7">
        <f t="shared" si="38"/>
        <v>51394</v>
      </c>
      <c r="B136" s="7">
        <f t="shared" si="39"/>
        <v>23506</v>
      </c>
      <c r="C136" s="7">
        <f t="shared" si="40"/>
        <v>-16968</v>
      </c>
      <c r="D136" s="5"/>
      <c r="E136" s="5" t="str">
        <f t="shared" ref="E136:E139" si="44">E135</f>
        <v>ML27A00004Z</v>
      </c>
      <c r="F136" s="5"/>
      <c r="G136" s="5"/>
      <c r="H136" s="6"/>
      <c r="I136" s="11"/>
      <c r="J136" s="12">
        <v>0</v>
      </c>
      <c r="K136" s="11" t="s">
        <v>917</v>
      </c>
      <c r="L136" s="12">
        <v>16446</v>
      </c>
      <c r="M136" s="12">
        <v>-9528</v>
      </c>
      <c r="N136" s="12">
        <v>13046</v>
      </c>
      <c r="O136" s="12">
        <v>9646</v>
      </c>
      <c r="P136" s="12">
        <v>6336</v>
      </c>
      <c r="Q136" s="12">
        <v>6336</v>
      </c>
      <c r="R136" s="12">
        <v>6336</v>
      </c>
      <c r="S136" s="12">
        <v>6336</v>
      </c>
      <c r="T136" s="12">
        <v>3358</v>
      </c>
      <c r="U136" s="12">
        <v>3358</v>
      </c>
      <c r="V136" s="12">
        <v>3358</v>
      </c>
      <c r="W136" s="12">
        <v>3358</v>
      </c>
      <c r="X136" s="12">
        <v>3358</v>
      </c>
      <c r="Y136" s="12">
        <v>3358</v>
      </c>
      <c r="Z136" s="12">
        <v>3358</v>
      </c>
      <c r="AA136" s="12">
        <v>3358</v>
      </c>
      <c r="AB136" s="12">
        <v>-2424</v>
      </c>
      <c r="AC136" s="12">
        <v>-2424</v>
      </c>
      <c r="AD136" s="12">
        <v>-2424</v>
      </c>
      <c r="AE136" s="12">
        <v>-2424</v>
      </c>
      <c r="AF136" s="12">
        <v>-2424</v>
      </c>
      <c r="AG136" s="12">
        <v>-2424</v>
      </c>
      <c r="AH136" s="12">
        <v>-2424</v>
      </c>
      <c r="AI136" s="12">
        <v>-7424</v>
      </c>
      <c r="AJ136" s="12">
        <v>-7424</v>
      </c>
      <c r="AK136" s="12">
        <v>-7424</v>
      </c>
      <c r="AL136" s="12">
        <v>-7424</v>
      </c>
      <c r="AM136" s="12">
        <v>-9424</v>
      </c>
      <c r="AN136" s="12">
        <v>-9424</v>
      </c>
      <c r="AO136" s="12">
        <v>-9424</v>
      </c>
      <c r="AP136" s="12">
        <v>-9424</v>
      </c>
      <c r="AQ136" s="12">
        <v>-9528</v>
      </c>
      <c r="AR136" s="12">
        <v>-9528</v>
      </c>
      <c r="AS136" s="12">
        <v>-9528</v>
      </c>
      <c r="AT136" s="12">
        <v>-9528</v>
      </c>
      <c r="AU136" s="12">
        <v>-9528</v>
      </c>
      <c r="AV136" s="12">
        <v>-9528</v>
      </c>
      <c r="AW136" s="12">
        <v>0</v>
      </c>
      <c r="AX136" s="12">
        <v>0</v>
      </c>
      <c r="AY136" s="12">
        <v>0</v>
      </c>
      <c r="AZ136" s="12">
        <v>0</v>
      </c>
      <c r="BA136" s="12">
        <v>0</v>
      </c>
      <c r="BC136" s="7">
        <f t="shared" si="41"/>
        <v>29028</v>
      </c>
      <c r="BD136" s="7">
        <f t="shared" si="42"/>
        <v>32440</v>
      </c>
      <c r="BE136" s="7">
        <f t="shared" si="43"/>
        <v>6160</v>
      </c>
    </row>
    <row r="137" spans="1:57" ht="15" customHeight="1" x14ac:dyDescent="0.3">
      <c r="A137" s="7">
        <f t="shared" si="38"/>
        <v>0</v>
      </c>
      <c r="B137" s="7">
        <f t="shared" si="39"/>
        <v>0</v>
      </c>
      <c r="C137" s="7">
        <f t="shared" si="40"/>
        <v>0</v>
      </c>
      <c r="D137" s="5"/>
      <c r="E137" s="5" t="str">
        <f t="shared" si="44"/>
        <v>ML27A00004Z</v>
      </c>
      <c r="F137" s="5"/>
      <c r="G137" s="5"/>
      <c r="H137" s="11" t="s">
        <v>802</v>
      </c>
      <c r="I137" s="11" t="s">
        <v>803</v>
      </c>
      <c r="J137" s="12">
        <v>10320</v>
      </c>
      <c r="K137" s="11" t="s">
        <v>918</v>
      </c>
      <c r="L137" s="12">
        <v>0</v>
      </c>
      <c r="M137" s="12">
        <v>0</v>
      </c>
      <c r="N137" s="12">
        <v>0</v>
      </c>
      <c r="O137" s="12">
        <v>0</v>
      </c>
      <c r="P137" s="12">
        <v>0</v>
      </c>
      <c r="Q137" s="12">
        <v>0</v>
      </c>
      <c r="R137" s="12">
        <v>0</v>
      </c>
      <c r="S137" s="12">
        <v>0</v>
      </c>
      <c r="T137" s="12">
        <v>0</v>
      </c>
      <c r="U137" s="12">
        <v>0</v>
      </c>
      <c r="V137" s="12">
        <v>0</v>
      </c>
      <c r="W137" s="12">
        <v>0</v>
      </c>
      <c r="X137" s="12">
        <v>0</v>
      </c>
      <c r="Y137" s="12">
        <v>0</v>
      </c>
      <c r="Z137" s="12">
        <v>0</v>
      </c>
      <c r="AA137" s="12">
        <v>0</v>
      </c>
      <c r="AB137" s="12">
        <v>0</v>
      </c>
      <c r="AC137" s="12">
        <v>0</v>
      </c>
      <c r="AD137" s="12">
        <v>0</v>
      </c>
      <c r="AE137" s="12">
        <v>0</v>
      </c>
      <c r="AF137" s="12">
        <v>0</v>
      </c>
      <c r="AG137" s="12">
        <v>0</v>
      </c>
      <c r="AH137" s="12">
        <v>0</v>
      </c>
      <c r="AI137" s="12">
        <v>0</v>
      </c>
      <c r="AJ137" s="12">
        <v>0</v>
      </c>
      <c r="AK137" s="12">
        <v>0</v>
      </c>
      <c r="AL137" s="12">
        <v>0</v>
      </c>
      <c r="AM137" s="12">
        <v>0</v>
      </c>
      <c r="AN137" s="12">
        <v>0</v>
      </c>
      <c r="AO137" s="12">
        <v>0</v>
      </c>
      <c r="AP137" s="12">
        <v>0</v>
      </c>
      <c r="AQ137" s="12">
        <v>0</v>
      </c>
      <c r="AR137" s="12">
        <v>0</v>
      </c>
      <c r="AS137" s="12">
        <v>0</v>
      </c>
      <c r="AT137" s="12">
        <v>0</v>
      </c>
      <c r="AU137" s="12">
        <v>0</v>
      </c>
      <c r="AV137" s="12">
        <v>0</v>
      </c>
      <c r="AW137" s="12">
        <v>0</v>
      </c>
      <c r="AX137" s="12">
        <v>0</v>
      </c>
      <c r="AY137" s="12">
        <v>0</v>
      </c>
      <c r="AZ137" s="12">
        <v>0</v>
      </c>
      <c r="BA137" s="12">
        <v>0</v>
      </c>
      <c r="BC137" s="7">
        <f t="shared" si="41"/>
        <v>0</v>
      </c>
      <c r="BD137" s="7">
        <f t="shared" si="42"/>
        <v>0</v>
      </c>
      <c r="BE137" s="7">
        <f t="shared" si="43"/>
        <v>0</v>
      </c>
    </row>
    <row r="138" spans="1:57" ht="15" customHeight="1" x14ac:dyDescent="0.3">
      <c r="A138" s="7">
        <f t="shared" si="38"/>
        <v>0</v>
      </c>
      <c r="B138" s="7">
        <f t="shared" si="39"/>
        <v>0</v>
      </c>
      <c r="C138" s="7">
        <f t="shared" si="40"/>
        <v>0</v>
      </c>
      <c r="D138" s="5"/>
      <c r="E138" s="5" t="str">
        <f t="shared" si="44"/>
        <v>ML27A00004Z</v>
      </c>
      <c r="F138" s="5"/>
      <c r="G138" s="5"/>
      <c r="H138" s="11" t="s">
        <v>49</v>
      </c>
      <c r="I138" s="11"/>
      <c r="J138" s="12">
        <v>0</v>
      </c>
      <c r="K138" s="11" t="s">
        <v>919</v>
      </c>
      <c r="L138" s="12">
        <v>0</v>
      </c>
      <c r="M138" s="12">
        <v>0</v>
      </c>
      <c r="N138" s="12">
        <v>0</v>
      </c>
      <c r="O138" s="12">
        <v>0</v>
      </c>
      <c r="P138" s="12">
        <v>0</v>
      </c>
      <c r="Q138" s="12">
        <v>0</v>
      </c>
      <c r="R138" s="12">
        <v>0</v>
      </c>
      <c r="S138" s="12">
        <v>0</v>
      </c>
      <c r="T138" s="12">
        <v>0</v>
      </c>
      <c r="U138" s="12">
        <v>0</v>
      </c>
      <c r="V138" s="12">
        <v>0</v>
      </c>
      <c r="W138" s="12">
        <v>0</v>
      </c>
      <c r="X138" s="12">
        <v>0</v>
      </c>
      <c r="Y138" s="12">
        <v>0</v>
      </c>
      <c r="Z138" s="12">
        <v>0</v>
      </c>
      <c r="AA138" s="12">
        <v>0</v>
      </c>
      <c r="AB138" s="12">
        <v>0</v>
      </c>
      <c r="AC138" s="12">
        <v>0</v>
      </c>
      <c r="AD138" s="12">
        <v>0</v>
      </c>
      <c r="AE138" s="12">
        <v>0</v>
      </c>
      <c r="AF138" s="12">
        <v>0</v>
      </c>
      <c r="AG138" s="12">
        <v>0</v>
      </c>
      <c r="AH138" s="12">
        <v>0</v>
      </c>
      <c r="AI138" s="12">
        <v>0</v>
      </c>
      <c r="AJ138" s="12">
        <v>0</v>
      </c>
      <c r="AK138" s="12">
        <v>0</v>
      </c>
      <c r="AL138" s="12">
        <v>0</v>
      </c>
      <c r="AM138" s="12">
        <v>0</v>
      </c>
      <c r="AN138" s="12">
        <v>0</v>
      </c>
      <c r="AO138" s="12">
        <v>0</v>
      </c>
      <c r="AP138" s="12">
        <v>0</v>
      </c>
      <c r="AQ138" s="12">
        <v>0</v>
      </c>
      <c r="AR138" s="12">
        <v>0</v>
      </c>
      <c r="AS138" s="12">
        <v>0</v>
      </c>
      <c r="AT138" s="12">
        <v>0</v>
      </c>
      <c r="AU138" s="12">
        <v>0</v>
      </c>
      <c r="AV138" s="12">
        <v>0</v>
      </c>
      <c r="AW138" s="12">
        <v>0</v>
      </c>
      <c r="AX138" s="12">
        <v>0</v>
      </c>
      <c r="AY138" s="12">
        <v>0</v>
      </c>
      <c r="AZ138" s="12">
        <v>0</v>
      </c>
      <c r="BA138" s="12">
        <v>0</v>
      </c>
      <c r="BC138" s="7">
        <f t="shared" si="41"/>
        <v>0</v>
      </c>
      <c r="BD138" s="7">
        <f t="shared" si="42"/>
        <v>0</v>
      </c>
      <c r="BE138" s="7">
        <f t="shared" si="43"/>
        <v>0</v>
      </c>
    </row>
    <row r="139" spans="1:57" ht="15" customHeight="1" x14ac:dyDescent="0.3">
      <c r="A139" s="7">
        <f t="shared" si="38"/>
        <v>51394</v>
      </c>
      <c r="B139" s="7">
        <f t="shared" si="39"/>
        <v>23506</v>
      </c>
      <c r="C139" s="7">
        <f t="shared" si="40"/>
        <v>-16968</v>
      </c>
      <c r="D139" s="5"/>
      <c r="E139" s="5" t="str">
        <f t="shared" si="44"/>
        <v>ML27A00004Z</v>
      </c>
      <c r="F139" s="5"/>
      <c r="G139" s="6"/>
      <c r="H139" s="11" t="s">
        <v>920</v>
      </c>
      <c r="I139" s="11"/>
      <c r="J139" s="12">
        <v>0</v>
      </c>
      <c r="K139" s="11" t="s">
        <v>921</v>
      </c>
      <c r="L139" s="12">
        <v>0</v>
      </c>
      <c r="M139" s="12">
        <v>-9528</v>
      </c>
      <c r="N139" s="12">
        <v>13046</v>
      </c>
      <c r="O139" s="12">
        <v>9646</v>
      </c>
      <c r="P139" s="12">
        <v>6336</v>
      </c>
      <c r="Q139" s="12">
        <v>6336</v>
      </c>
      <c r="R139" s="12">
        <v>6336</v>
      </c>
      <c r="S139" s="12">
        <v>6336</v>
      </c>
      <c r="T139" s="12">
        <v>3358</v>
      </c>
      <c r="U139" s="12">
        <v>3358</v>
      </c>
      <c r="V139" s="12">
        <v>3358</v>
      </c>
      <c r="W139" s="12">
        <v>3358</v>
      </c>
      <c r="X139" s="12">
        <v>3358</v>
      </c>
      <c r="Y139" s="12">
        <v>3358</v>
      </c>
      <c r="Z139" s="12">
        <v>3358</v>
      </c>
      <c r="AA139" s="12">
        <v>3358</v>
      </c>
      <c r="AB139" s="12">
        <v>-2424</v>
      </c>
      <c r="AC139" s="12">
        <v>-2424</v>
      </c>
      <c r="AD139" s="12">
        <v>-2424</v>
      </c>
      <c r="AE139" s="12">
        <v>-2424</v>
      </c>
      <c r="AF139" s="12">
        <v>-2424</v>
      </c>
      <c r="AG139" s="12">
        <v>-2424</v>
      </c>
      <c r="AH139" s="12">
        <v>-2424</v>
      </c>
      <c r="AI139" s="12">
        <v>-7424</v>
      </c>
      <c r="AJ139" s="12">
        <v>-7424</v>
      </c>
      <c r="AK139" s="12">
        <v>-7424</v>
      </c>
      <c r="AL139" s="12">
        <v>-7424</v>
      </c>
      <c r="AM139" s="12">
        <v>-9424</v>
      </c>
      <c r="AN139" s="12">
        <v>-9424</v>
      </c>
      <c r="AO139" s="12">
        <v>-9424</v>
      </c>
      <c r="AP139" s="12">
        <v>-9424</v>
      </c>
      <c r="AQ139" s="12">
        <v>-9528</v>
      </c>
      <c r="AR139" s="12">
        <v>-9528</v>
      </c>
      <c r="AS139" s="12">
        <v>-9528</v>
      </c>
      <c r="AT139" s="12">
        <v>-9528</v>
      </c>
      <c r="AU139" s="12">
        <v>-9528</v>
      </c>
      <c r="AV139" s="12">
        <v>-9528</v>
      </c>
      <c r="AW139" s="12">
        <v>0</v>
      </c>
      <c r="AX139" s="12">
        <v>0</v>
      </c>
      <c r="AY139" s="12">
        <v>0</v>
      </c>
      <c r="AZ139" s="12">
        <v>0</v>
      </c>
      <c r="BA139" s="12">
        <v>0</v>
      </c>
      <c r="BC139" s="7">
        <f t="shared" si="41"/>
        <v>29028</v>
      </c>
      <c r="BD139" s="7">
        <f t="shared" si="42"/>
        <v>32440</v>
      </c>
      <c r="BE139" s="7">
        <f t="shared" si="43"/>
        <v>6160</v>
      </c>
    </row>
    <row r="140" spans="1:57" ht="15" customHeight="1" x14ac:dyDescent="0.3">
      <c r="A140" s="7">
        <f t="shared" si="38"/>
        <v>0</v>
      </c>
      <c r="B140" s="7">
        <f t="shared" si="39"/>
        <v>12000</v>
      </c>
      <c r="C140" s="7">
        <f t="shared" si="40"/>
        <v>10800</v>
      </c>
      <c r="D140" s="5"/>
      <c r="E140" s="13" t="s">
        <v>815</v>
      </c>
      <c r="F140" s="5"/>
      <c r="G140" s="13" t="s">
        <v>1001</v>
      </c>
      <c r="H140" s="13" t="s">
        <v>49</v>
      </c>
      <c r="I140" s="11" t="s">
        <v>49</v>
      </c>
      <c r="J140" s="12">
        <v>0</v>
      </c>
      <c r="K140" s="11" t="s">
        <v>916</v>
      </c>
      <c r="L140" s="12">
        <v>0</v>
      </c>
      <c r="M140" s="12">
        <v>59536</v>
      </c>
      <c r="N140" s="12">
        <v>0</v>
      </c>
      <c r="O140" s="12">
        <v>0</v>
      </c>
      <c r="P140" s="12">
        <v>0</v>
      </c>
      <c r="Q140" s="12">
        <v>0</v>
      </c>
      <c r="R140" s="12">
        <v>0</v>
      </c>
      <c r="S140" s="12">
        <v>0</v>
      </c>
      <c r="T140" s="12">
        <v>0</v>
      </c>
      <c r="U140" s="12">
        <v>12000</v>
      </c>
      <c r="V140" s="12">
        <v>0</v>
      </c>
      <c r="W140" s="12">
        <v>0</v>
      </c>
      <c r="X140" s="12">
        <v>0</v>
      </c>
      <c r="Y140" s="12">
        <v>0</v>
      </c>
      <c r="Z140" s="12">
        <v>0</v>
      </c>
      <c r="AA140" s="12">
        <v>0</v>
      </c>
      <c r="AB140" s="12">
        <v>10800</v>
      </c>
      <c r="AC140" s="12">
        <v>0</v>
      </c>
      <c r="AD140" s="12">
        <v>0</v>
      </c>
      <c r="AE140" s="12">
        <v>0</v>
      </c>
      <c r="AF140" s="12">
        <v>0</v>
      </c>
      <c r="AG140" s="12">
        <v>0</v>
      </c>
      <c r="AH140" s="12">
        <v>0</v>
      </c>
      <c r="AI140" s="12">
        <v>8000</v>
      </c>
      <c r="AJ140" s="12">
        <v>8000</v>
      </c>
      <c r="AK140" s="12">
        <v>4000</v>
      </c>
      <c r="AL140" s="12">
        <v>0</v>
      </c>
      <c r="AM140" s="12">
        <v>12892</v>
      </c>
      <c r="AN140" s="12">
        <v>0</v>
      </c>
      <c r="AO140" s="12">
        <v>0</v>
      </c>
      <c r="AP140" s="12">
        <v>0</v>
      </c>
      <c r="AQ140" s="12">
        <v>3800</v>
      </c>
      <c r="AR140" s="12">
        <v>0</v>
      </c>
      <c r="AS140" s="12">
        <v>0</v>
      </c>
      <c r="AT140" s="12">
        <v>44</v>
      </c>
      <c r="AU140" s="12">
        <v>0</v>
      </c>
      <c r="AV140" s="12">
        <v>0</v>
      </c>
      <c r="AW140" s="12">
        <v>12000</v>
      </c>
      <c r="AX140" s="12">
        <v>30800</v>
      </c>
      <c r="AY140" s="12">
        <v>12892</v>
      </c>
      <c r="AZ140" s="12">
        <v>3844</v>
      </c>
      <c r="BA140" s="12">
        <v>0</v>
      </c>
      <c r="BC140" s="7">
        <f t="shared" si="41"/>
        <v>0</v>
      </c>
      <c r="BD140" s="7">
        <f t="shared" si="42"/>
        <v>12000</v>
      </c>
      <c r="BE140" s="7">
        <f t="shared" si="43"/>
        <v>10800</v>
      </c>
    </row>
    <row r="141" spans="1:57" ht="15" customHeight="1" x14ac:dyDescent="0.3">
      <c r="A141" s="7">
        <f t="shared" si="38"/>
        <v>819091</v>
      </c>
      <c r="B141" s="7">
        <f t="shared" si="39"/>
        <v>735091</v>
      </c>
      <c r="C141" s="7">
        <f t="shared" si="40"/>
        <v>659491</v>
      </c>
      <c r="D141" s="5"/>
      <c r="E141" s="5" t="str">
        <f t="shared" ref="E141:E144" si="45">E140</f>
        <v>ML27A020011A</v>
      </c>
      <c r="F141" s="5"/>
      <c r="G141" s="5"/>
      <c r="H141" s="6"/>
      <c r="I141" s="11"/>
      <c r="J141" s="12">
        <v>0</v>
      </c>
      <c r="K141" s="11" t="s">
        <v>917</v>
      </c>
      <c r="L141" s="12">
        <v>117013</v>
      </c>
      <c r="M141" s="12">
        <v>57477</v>
      </c>
      <c r="N141" s="12">
        <v>117013</v>
      </c>
      <c r="O141" s="12">
        <v>117013</v>
      </c>
      <c r="P141" s="12">
        <v>117013</v>
      </c>
      <c r="Q141" s="12">
        <v>117013</v>
      </c>
      <c r="R141" s="12">
        <v>117013</v>
      </c>
      <c r="S141" s="12">
        <v>117013</v>
      </c>
      <c r="T141" s="12">
        <v>117013</v>
      </c>
      <c r="U141" s="12">
        <v>105013</v>
      </c>
      <c r="V141" s="12">
        <v>105013</v>
      </c>
      <c r="W141" s="12">
        <v>105013</v>
      </c>
      <c r="X141" s="12">
        <v>105013</v>
      </c>
      <c r="Y141" s="12">
        <v>105013</v>
      </c>
      <c r="Z141" s="12">
        <v>105013</v>
      </c>
      <c r="AA141" s="12">
        <v>105013</v>
      </c>
      <c r="AB141" s="12">
        <v>94213</v>
      </c>
      <c r="AC141" s="12">
        <v>94213</v>
      </c>
      <c r="AD141" s="12">
        <v>94213</v>
      </c>
      <c r="AE141" s="12">
        <v>94213</v>
      </c>
      <c r="AF141" s="12">
        <v>94213</v>
      </c>
      <c r="AG141" s="12">
        <v>94213</v>
      </c>
      <c r="AH141" s="12">
        <v>94213</v>
      </c>
      <c r="AI141" s="12">
        <v>86213</v>
      </c>
      <c r="AJ141" s="12">
        <v>78213</v>
      </c>
      <c r="AK141" s="12">
        <v>74213</v>
      </c>
      <c r="AL141" s="12">
        <v>74213</v>
      </c>
      <c r="AM141" s="12">
        <v>61321</v>
      </c>
      <c r="AN141" s="12">
        <v>61321</v>
      </c>
      <c r="AO141" s="12">
        <v>61321</v>
      </c>
      <c r="AP141" s="12">
        <v>61321</v>
      </c>
      <c r="AQ141" s="12">
        <v>57521</v>
      </c>
      <c r="AR141" s="12">
        <v>57521</v>
      </c>
      <c r="AS141" s="12">
        <v>57521</v>
      </c>
      <c r="AT141" s="12">
        <v>57477</v>
      </c>
      <c r="AU141" s="12">
        <v>57477</v>
      </c>
      <c r="AV141" s="12">
        <v>57477</v>
      </c>
      <c r="AW141" s="12">
        <v>0</v>
      </c>
      <c r="AX141" s="12">
        <v>0</v>
      </c>
      <c r="AY141" s="12">
        <v>0</v>
      </c>
      <c r="AZ141" s="12">
        <v>0</v>
      </c>
      <c r="BA141" s="12">
        <v>0</v>
      </c>
      <c r="BC141" s="7">
        <f t="shared" si="41"/>
        <v>351039</v>
      </c>
      <c r="BD141" s="7">
        <f t="shared" si="42"/>
        <v>783091</v>
      </c>
      <c r="BE141" s="7">
        <f t="shared" si="43"/>
        <v>702691</v>
      </c>
    </row>
    <row r="142" spans="1:57" ht="15" customHeight="1" x14ac:dyDescent="0.3">
      <c r="A142" s="7">
        <f t="shared" si="38"/>
        <v>0</v>
      </c>
      <c r="B142" s="7">
        <f t="shared" si="39"/>
        <v>0</v>
      </c>
      <c r="C142" s="7">
        <f t="shared" si="40"/>
        <v>0</v>
      </c>
      <c r="D142" s="5"/>
      <c r="E142" s="5" t="str">
        <f t="shared" si="45"/>
        <v>ML27A020011A</v>
      </c>
      <c r="F142" s="5"/>
      <c r="G142" s="5"/>
      <c r="H142" s="11" t="s">
        <v>802</v>
      </c>
      <c r="I142" s="11" t="s">
        <v>803</v>
      </c>
      <c r="J142" s="12"/>
      <c r="K142" s="11" t="s">
        <v>918</v>
      </c>
      <c r="L142" s="12">
        <v>0</v>
      </c>
      <c r="M142" s="12">
        <v>0</v>
      </c>
      <c r="N142" s="12">
        <v>0</v>
      </c>
      <c r="O142" s="12">
        <v>0</v>
      </c>
      <c r="P142" s="12">
        <v>0</v>
      </c>
      <c r="Q142" s="12">
        <v>0</v>
      </c>
      <c r="R142" s="12">
        <v>0</v>
      </c>
      <c r="S142" s="12">
        <v>0</v>
      </c>
      <c r="T142" s="12">
        <v>0</v>
      </c>
      <c r="U142" s="12">
        <v>0</v>
      </c>
      <c r="V142" s="12">
        <v>0</v>
      </c>
      <c r="W142" s="12">
        <v>0</v>
      </c>
      <c r="X142" s="12">
        <v>0</v>
      </c>
      <c r="Y142" s="12">
        <v>0</v>
      </c>
      <c r="Z142" s="12">
        <v>0</v>
      </c>
      <c r="AA142" s="12">
        <v>0</v>
      </c>
      <c r="AB142" s="12">
        <v>0</v>
      </c>
      <c r="AC142" s="12">
        <v>0</v>
      </c>
      <c r="AD142" s="12">
        <v>0</v>
      </c>
      <c r="AE142" s="12">
        <v>0</v>
      </c>
      <c r="AF142" s="12">
        <v>0</v>
      </c>
      <c r="AG142" s="12">
        <v>0</v>
      </c>
      <c r="AH142" s="12">
        <v>0</v>
      </c>
      <c r="AI142" s="12">
        <v>0</v>
      </c>
      <c r="AJ142" s="12">
        <v>0</v>
      </c>
      <c r="AK142" s="12">
        <v>0</v>
      </c>
      <c r="AL142" s="12">
        <v>0</v>
      </c>
      <c r="AM142" s="12">
        <v>0</v>
      </c>
      <c r="AN142" s="12">
        <v>0</v>
      </c>
      <c r="AO142" s="12">
        <v>0</v>
      </c>
      <c r="AP142" s="12">
        <v>0</v>
      </c>
      <c r="AQ142" s="12">
        <v>0</v>
      </c>
      <c r="AR142" s="12">
        <v>0</v>
      </c>
      <c r="AS142" s="12">
        <v>0</v>
      </c>
      <c r="AT142" s="12">
        <v>0</v>
      </c>
      <c r="AU142" s="12">
        <v>0</v>
      </c>
      <c r="AV142" s="12">
        <v>0</v>
      </c>
      <c r="AW142" s="12">
        <v>0</v>
      </c>
      <c r="AX142" s="12">
        <v>0</v>
      </c>
      <c r="AY142" s="12">
        <v>0</v>
      </c>
      <c r="AZ142" s="12">
        <v>0</v>
      </c>
      <c r="BA142" s="12">
        <v>0</v>
      </c>
      <c r="BC142" s="7">
        <f t="shared" si="41"/>
        <v>0</v>
      </c>
      <c r="BD142" s="7">
        <f t="shared" si="42"/>
        <v>0</v>
      </c>
      <c r="BE142" s="7">
        <f t="shared" si="43"/>
        <v>0</v>
      </c>
    </row>
    <row r="143" spans="1:57" ht="15" customHeight="1" x14ac:dyDescent="0.3">
      <c r="A143" s="7">
        <f t="shared" si="38"/>
        <v>0</v>
      </c>
      <c r="B143" s="7">
        <f t="shared" si="39"/>
        <v>0</v>
      </c>
      <c r="C143" s="7">
        <f t="shared" si="40"/>
        <v>0</v>
      </c>
      <c r="D143" s="5"/>
      <c r="E143" s="5" t="str">
        <f t="shared" si="45"/>
        <v>ML27A020011A</v>
      </c>
      <c r="F143" s="5"/>
      <c r="G143" s="5"/>
      <c r="H143" s="11" t="s">
        <v>49</v>
      </c>
      <c r="I143" s="11"/>
      <c r="J143" s="12">
        <v>0</v>
      </c>
      <c r="K143" s="11" t="s">
        <v>919</v>
      </c>
      <c r="L143" s="12">
        <v>0</v>
      </c>
      <c r="M143" s="12">
        <v>0</v>
      </c>
      <c r="N143" s="12">
        <v>0</v>
      </c>
      <c r="O143" s="12">
        <v>0</v>
      </c>
      <c r="P143" s="12">
        <v>0</v>
      </c>
      <c r="Q143" s="12">
        <v>0</v>
      </c>
      <c r="R143" s="12">
        <v>0</v>
      </c>
      <c r="S143" s="12">
        <v>0</v>
      </c>
      <c r="T143" s="12">
        <v>0</v>
      </c>
      <c r="U143" s="12">
        <v>0</v>
      </c>
      <c r="V143" s="12">
        <v>0</v>
      </c>
      <c r="W143" s="12">
        <v>0</v>
      </c>
      <c r="X143" s="12">
        <v>0</v>
      </c>
      <c r="Y143" s="12">
        <v>0</v>
      </c>
      <c r="Z143" s="12">
        <v>0</v>
      </c>
      <c r="AA143" s="12">
        <v>0</v>
      </c>
      <c r="AB143" s="12">
        <v>0</v>
      </c>
      <c r="AC143" s="12">
        <v>0</v>
      </c>
      <c r="AD143" s="12">
        <v>0</v>
      </c>
      <c r="AE143" s="12">
        <v>0</v>
      </c>
      <c r="AF143" s="12">
        <v>0</v>
      </c>
      <c r="AG143" s="12">
        <v>0</v>
      </c>
      <c r="AH143" s="12">
        <v>0</v>
      </c>
      <c r="AI143" s="12">
        <v>0</v>
      </c>
      <c r="AJ143" s="12">
        <v>0</v>
      </c>
      <c r="AK143" s="12">
        <v>0</v>
      </c>
      <c r="AL143" s="12">
        <v>0</v>
      </c>
      <c r="AM143" s="12">
        <v>0</v>
      </c>
      <c r="AN143" s="12">
        <v>0</v>
      </c>
      <c r="AO143" s="12">
        <v>0</v>
      </c>
      <c r="AP143" s="12">
        <v>0</v>
      </c>
      <c r="AQ143" s="12">
        <v>0</v>
      </c>
      <c r="AR143" s="12">
        <v>0</v>
      </c>
      <c r="AS143" s="12">
        <v>0</v>
      </c>
      <c r="AT143" s="12">
        <v>0</v>
      </c>
      <c r="AU143" s="12">
        <v>0</v>
      </c>
      <c r="AV143" s="12">
        <v>0</v>
      </c>
      <c r="AW143" s="12">
        <v>0</v>
      </c>
      <c r="AX143" s="12">
        <v>0</v>
      </c>
      <c r="AY143" s="12">
        <v>0</v>
      </c>
      <c r="AZ143" s="12">
        <v>0</v>
      </c>
      <c r="BA143" s="12">
        <v>0</v>
      </c>
      <c r="BC143" s="7">
        <f t="shared" si="41"/>
        <v>0</v>
      </c>
      <c r="BD143" s="7">
        <f t="shared" si="42"/>
        <v>0</v>
      </c>
      <c r="BE143" s="7">
        <f t="shared" si="43"/>
        <v>0</v>
      </c>
    </row>
    <row r="144" spans="1:57" ht="15" customHeight="1" x14ac:dyDescent="0.3">
      <c r="A144" s="7">
        <f t="shared" si="38"/>
        <v>819091</v>
      </c>
      <c r="B144" s="7">
        <f t="shared" si="39"/>
        <v>735091</v>
      </c>
      <c r="C144" s="7">
        <f t="shared" si="40"/>
        <v>659491</v>
      </c>
      <c r="D144" s="5"/>
      <c r="E144" s="5" t="str">
        <f t="shared" si="45"/>
        <v>ML27A020011A</v>
      </c>
      <c r="F144" s="5"/>
      <c r="G144" s="6"/>
      <c r="H144" s="11" t="s">
        <v>920</v>
      </c>
      <c r="I144" s="11"/>
      <c r="J144" s="12">
        <v>0</v>
      </c>
      <c r="K144" s="11" t="s">
        <v>921</v>
      </c>
      <c r="L144" s="12">
        <v>0</v>
      </c>
      <c r="M144" s="12">
        <v>57477</v>
      </c>
      <c r="N144" s="12">
        <v>117013</v>
      </c>
      <c r="O144" s="12">
        <v>117013</v>
      </c>
      <c r="P144" s="12">
        <v>117013</v>
      </c>
      <c r="Q144" s="12">
        <v>117013</v>
      </c>
      <c r="R144" s="12">
        <v>117013</v>
      </c>
      <c r="S144" s="12">
        <v>117013</v>
      </c>
      <c r="T144" s="12">
        <v>117013</v>
      </c>
      <c r="U144" s="12">
        <v>105013</v>
      </c>
      <c r="V144" s="12">
        <v>105013</v>
      </c>
      <c r="W144" s="12">
        <v>105013</v>
      </c>
      <c r="X144" s="12">
        <v>105013</v>
      </c>
      <c r="Y144" s="12">
        <v>105013</v>
      </c>
      <c r="Z144" s="12">
        <v>105013</v>
      </c>
      <c r="AA144" s="12">
        <v>105013</v>
      </c>
      <c r="AB144" s="12">
        <v>94213</v>
      </c>
      <c r="AC144" s="12">
        <v>94213</v>
      </c>
      <c r="AD144" s="12">
        <v>94213</v>
      </c>
      <c r="AE144" s="12">
        <v>94213</v>
      </c>
      <c r="AF144" s="12">
        <v>94213</v>
      </c>
      <c r="AG144" s="12">
        <v>94213</v>
      </c>
      <c r="AH144" s="12">
        <v>94213</v>
      </c>
      <c r="AI144" s="12">
        <v>86213</v>
      </c>
      <c r="AJ144" s="12">
        <v>78213</v>
      </c>
      <c r="AK144" s="12">
        <v>74213</v>
      </c>
      <c r="AL144" s="12">
        <v>74213</v>
      </c>
      <c r="AM144" s="12">
        <v>61321</v>
      </c>
      <c r="AN144" s="12">
        <v>61321</v>
      </c>
      <c r="AO144" s="12">
        <v>61321</v>
      </c>
      <c r="AP144" s="12">
        <v>61321</v>
      </c>
      <c r="AQ144" s="12">
        <v>57521</v>
      </c>
      <c r="AR144" s="12">
        <v>57521</v>
      </c>
      <c r="AS144" s="12">
        <v>57521</v>
      </c>
      <c r="AT144" s="12">
        <v>57477</v>
      </c>
      <c r="AU144" s="12">
        <v>57477</v>
      </c>
      <c r="AV144" s="12">
        <v>57477</v>
      </c>
      <c r="AW144" s="12">
        <v>0</v>
      </c>
      <c r="AX144" s="12">
        <v>0</v>
      </c>
      <c r="AY144" s="12">
        <v>0</v>
      </c>
      <c r="AZ144" s="12">
        <v>0</v>
      </c>
      <c r="BA144" s="12">
        <v>0</v>
      </c>
      <c r="BC144" s="7">
        <f t="shared" si="41"/>
        <v>351039</v>
      </c>
      <c r="BD144" s="7">
        <f t="shared" si="42"/>
        <v>783091</v>
      </c>
      <c r="BE144" s="7">
        <f t="shared" si="43"/>
        <v>702691</v>
      </c>
    </row>
    <row r="145" spans="1:57" ht="15" customHeight="1" x14ac:dyDescent="0.3">
      <c r="A145" s="7">
        <f t="shared" si="38"/>
        <v>0</v>
      </c>
      <c r="B145" s="7">
        <f t="shared" si="39"/>
        <v>6000</v>
      </c>
      <c r="C145" s="7">
        <f t="shared" si="40"/>
        <v>5400</v>
      </c>
      <c r="D145" s="5"/>
      <c r="E145" s="13" t="s">
        <v>816</v>
      </c>
      <c r="F145" s="5"/>
      <c r="G145" s="13" t="s">
        <v>1002</v>
      </c>
      <c r="H145" s="13" t="s">
        <v>49</v>
      </c>
      <c r="I145" s="11" t="s">
        <v>49</v>
      </c>
      <c r="J145" s="12">
        <v>0</v>
      </c>
      <c r="K145" s="11" t="s">
        <v>916</v>
      </c>
      <c r="L145" s="12">
        <v>0</v>
      </c>
      <c r="M145" s="12">
        <v>29768</v>
      </c>
      <c r="N145" s="12">
        <v>0</v>
      </c>
      <c r="O145" s="12">
        <v>0</v>
      </c>
      <c r="P145" s="12">
        <v>0</v>
      </c>
      <c r="Q145" s="12">
        <v>0</v>
      </c>
      <c r="R145" s="12">
        <v>0</v>
      </c>
      <c r="S145" s="12">
        <v>0</v>
      </c>
      <c r="T145" s="12">
        <v>0</v>
      </c>
      <c r="U145" s="12">
        <v>6000</v>
      </c>
      <c r="V145" s="12">
        <v>0</v>
      </c>
      <c r="W145" s="12">
        <v>0</v>
      </c>
      <c r="X145" s="12">
        <v>0</v>
      </c>
      <c r="Y145" s="12">
        <v>0</v>
      </c>
      <c r="Z145" s="12">
        <v>0</v>
      </c>
      <c r="AA145" s="12">
        <v>0</v>
      </c>
      <c r="AB145" s="12">
        <v>5400</v>
      </c>
      <c r="AC145" s="12">
        <v>0</v>
      </c>
      <c r="AD145" s="12">
        <v>0</v>
      </c>
      <c r="AE145" s="12">
        <v>0</v>
      </c>
      <c r="AF145" s="12">
        <v>0</v>
      </c>
      <c r="AG145" s="12">
        <v>0</v>
      </c>
      <c r="AH145" s="12">
        <v>0</v>
      </c>
      <c r="AI145" s="12">
        <v>4000</v>
      </c>
      <c r="AJ145" s="12">
        <v>4000</v>
      </c>
      <c r="AK145" s="12">
        <v>2000</v>
      </c>
      <c r="AL145" s="12">
        <v>0</v>
      </c>
      <c r="AM145" s="12">
        <v>6446</v>
      </c>
      <c r="AN145" s="12">
        <v>0</v>
      </c>
      <c r="AO145" s="12">
        <v>0</v>
      </c>
      <c r="AP145" s="12">
        <v>0</v>
      </c>
      <c r="AQ145" s="12">
        <v>1900</v>
      </c>
      <c r="AR145" s="12">
        <v>0</v>
      </c>
      <c r="AS145" s="12">
        <v>0</v>
      </c>
      <c r="AT145" s="12">
        <v>22</v>
      </c>
      <c r="AU145" s="12">
        <v>0</v>
      </c>
      <c r="AV145" s="12">
        <v>0</v>
      </c>
      <c r="AW145" s="12">
        <v>6000</v>
      </c>
      <c r="AX145" s="12">
        <v>15400</v>
      </c>
      <c r="AY145" s="12">
        <v>6446</v>
      </c>
      <c r="AZ145" s="12">
        <v>1922</v>
      </c>
      <c r="BA145" s="12">
        <v>0</v>
      </c>
      <c r="BC145" s="7">
        <f t="shared" si="41"/>
        <v>0</v>
      </c>
      <c r="BD145" s="7">
        <f t="shared" si="42"/>
        <v>6000</v>
      </c>
      <c r="BE145" s="7">
        <f t="shared" si="43"/>
        <v>5400</v>
      </c>
    </row>
    <row r="146" spans="1:57" ht="15" customHeight="1" x14ac:dyDescent="0.3">
      <c r="A146" s="7">
        <f t="shared" si="38"/>
        <v>243901</v>
      </c>
      <c r="B146" s="7">
        <f t="shared" si="39"/>
        <v>201901</v>
      </c>
      <c r="C146" s="7">
        <f t="shared" si="40"/>
        <v>164101</v>
      </c>
      <c r="D146" s="5"/>
      <c r="E146" s="5" t="str">
        <f t="shared" ref="E146:E149" si="46">E145</f>
        <v>ML27A020031A</v>
      </c>
      <c r="F146" s="5"/>
      <c r="G146" s="5"/>
      <c r="H146" s="6"/>
      <c r="I146" s="11"/>
      <c r="J146" s="12">
        <v>0</v>
      </c>
      <c r="K146" s="11" t="s">
        <v>917</v>
      </c>
      <c r="L146" s="12">
        <v>34843</v>
      </c>
      <c r="M146" s="12">
        <v>5075</v>
      </c>
      <c r="N146" s="12">
        <v>34843</v>
      </c>
      <c r="O146" s="12">
        <v>34843</v>
      </c>
      <c r="P146" s="12">
        <v>34843</v>
      </c>
      <c r="Q146" s="12">
        <v>34843</v>
      </c>
      <c r="R146" s="12">
        <v>34843</v>
      </c>
      <c r="S146" s="12">
        <v>34843</v>
      </c>
      <c r="T146" s="12">
        <v>34843</v>
      </c>
      <c r="U146" s="12">
        <v>28843</v>
      </c>
      <c r="V146" s="12">
        <v>28843</v>
      </c>
      <c r="W146" s="12">
        <v>28843</v>
      </c>
      <c r="X146" s="12">
        <v>28843</v>
      </c>
      <c r="Y146" s="12">
        <v>28843</v>
      </c>
      <c r="Z146" s="12">
        <v>28843</v>
      </c>
      <c r="AA146" s="12">
        <v>28843</v>
      </c>
      <c r="AB146" s="12">
        <v>23443</v>
      </c>
      <c r="AC146" s="12">
        <v>23443</v>
      </c>
      <c r="AD146" s="12">
        <v>23443</v>
      </c>
      <c r="AE146" s="12">
        <v>23443</v>
      </c>
      <c r="AF146" s="12">
        <v>23443</v>
      </c>
      <c r="AG146" s="12">
        <v>23443</v>
      </c>
      <c r="AH146" s="12">
        <v>23443</v>
      </c>
      <c r="AI146" s="12">
        <v>19443</v>
      </c>
      <c r="AJ146" s="12">
        <v>15443</v>
      </c>
      <c r="AK146" s="12">
        <v>13443</v>
      </c>
      <c r="AL146" s="12">
        <v>13443</v>
      </c>
      <c r="AM146" s="12">
        <v>6997</v>
      </c>
      <c r="AN146" s="12">
        <v>6997</v>
      </c>
      <c r="AO146" s="12">
        <v>6997</v>
      </c>
      <c r="AP146" s="12">
        <v>6997</v>
      </c>
      <c r="AQ146" s="12">
        <v>5097</v>
      </c>
      <c r="AR146" s="12">
        <v>5097</v>
      </c>
      <c r="AS146" s="12">
        <v>5097</v>
      </c>
      <c r="AT146" s="12">
        <v>5075</v>
      </c>
      <c r="AU146" s="12">
        <v>5075</v>
      </c>
      <c r="AV146" s="12">
        <v>5075</v>
      </c>
      <c r="AW146" s="12">
        <v>0</v>
      </c>
      <c r="AX146" s="12">
        <v>0</v>
      </c>
      <c r="AY146" s="12">
        <v>0</v>
      </c>
      <c r="AZ146" s="12">
        <v>0</v>
      </c>
      <c r="BA146" s="12">
        <v>0</v>
      </c>
      <c r="BC146" s="7">
        <f t="shared" si="41"/>
        <v>104529</v>
      </c>
      <c r="BD146" s="7">
        <f t="shared" si="42"/>
        <v>225901</v>
      </c>
      <c r="BE146" s="7">
        <f t="shared" si="43"/>
        <v>185701</v>
      </c>
    </row>
    <row r="147" spans="1:57" ht="15" customHeight="1" x14ac:dyDescent="0.3">
      <c r="A147" s="7">
        <f t="shared" si="38"/>
        <v>0</v>
      </c>
      <c r="B147" s="7">
        <f t="shared" si="39"/>
        <v>0</v>
      </c>
      <c r="C147" s="7">
        <f t="shared" si="40"/>
        <v>0</v>
      </c>
      <c r="D147" s="5"/>
      <c r="E147" s="5" t="str">
        <f t="shared" si="46"/>
        <v>ML27A020031A</v>
      </c>
      <c r="F147" s="5"/>
      <c r="G147" s="5"/>
      <c r="H147" s="11" t="s">
        <v>802</v>
      </c>
      <c r="I147" s="11" t="s">
        <v>803</v>
      </c>
      <c r="J147" s="12">
        <v>15120</v>
      </c>
      <c r="K147" s="11" t="s">
        <v>918</v>
      </c>
      <c r="L147" s="12">
        <v>0</v>
      </c>
      <c r="M147" s="12">
        <v>0</v>
      </c>
      <c r="N147" s="12">
        <v>0</v>
      </c>
      <c r="O147" s="12">
        <v>0</v>
      </c>
      <c r="P147" s="12">
        <v>0</v>
      </c>
      <c r="Q147" s="12">
        <v>0</v>
      </c>
      <c r="R147" s="12">
        <v>0</v>
      </c>
      <c r="S147" s="12">
        <v>0</v>
      </c>
      <c r="T147" s="12">
        <v>0</v>
      </c>
      <c r="U147" s="12">
        <v>0</v>
      </c>
      <c r="V147" s="12">
        <v>0</v>
      </c>
      <c r="W147" s="12">
        <v>0</v>
      </c>
      <c r="X147" s="12">
        <v>0</v>
      </c>
      <c r="Y147" s="12">
        <v>0</v>
      </c>
      <c r="Z147" s="12">
        <v>0</v>
      </c>
      <c r="AA147" s="12">
        <v>0</v>
      </c>
      <c r="AB147" s="12">
        <v>0</v>
      </c>
      <c r="AC147" s="12">
        <v>0</v>
      </c>
      <c r="AD147" s="12">
        <v>0</v>
      </c>
      <c r="AE147" s="12">
        <v>0</v>
      </c>
      <c r="AF147" s="12">
        <v>0</v>
      </c>
      <c r="AG147" s="12">
        <v>0</v>
      </c>
      <c r="AH147" s="12">
        <v>0</v>
      </c>
      <c r="AI147" s="12">
        <v>0</v>
      </c>
      <c r="AJ147" s="12">
        <v>0</v>
      </c>
      <c r="AK147" s="12">
        <v>0</v>
      </c>
      <c r="AL147" s="12">
        <v>0</v>
      </c>
      <c r="AM147" s="12">
        <v>0</v>
      </c>
      <c r="AN147" s="12">
        <v>0</v>
      </c>
      <c r="AO147" s="12">
        <v>0</v>
      </c>
      <c r="AP147" s="12">
        <v>0</v>
      </c>
      <c r="AQ147" s="12">
        <v>0</v>
      </c>
      <c r="AR147" s="12">
        <v>0</v>
      </c>
      <c r="AS147" s="12">
        <v>0</v>
      </c>
      <c r="AT147" s="12">
        <v>0</v>
      </c>
      <c r="AU147" s="12">
        <v>0</v>
      </c>
      <c r="AV147" s="12">
        <v>0</v>
      </c>
      <c r="AW147" s="12">
        <v>0</v>
      </c>
      <c r="AX147" s="12">
        <v>0</v>
      </c>
      <c r="AY147" s="12">
        <v>0</v>
      </c>
      <c r="AZ147" s="12">
        <v>0</v>
      </c>
      <c r="BA147" s="12">
        <v>0</v>
      </c>
      <c r="BC147" s="7">
        <f t="shared" si="41"/>
        <v>0</v>
      </c>
      <c r="BD147" s="7">
        <f t="shared" si="42"/>
        <v>0</v>
      </c>
      <c r="BE147" s="7">
        <f t="shared" si="43"/>
        <v>0</v>
      </c>
    </row>
    <row r="148" spans="1:57" ht="15" customHeight="1" x14ac:dyDescent="0.3">
      <c r="A148" s="7">
        <f t="shared" si="38"/>
        <v>0</v>
      </c>
      <c r="B148" s="7">
        <f t="shared" si="39"/>
        <v>0</v>
      </c>
      <c r="C148" s="7">
        <f t="shared" si="40"/>
        <v>0</v>
      </c>
      <c r="D148" s="5"/>
      <c r="E148" s="5" t="str">
        <f t="shared" si="46"/>
        <v>ML27A020031A</v>
      </c>
      <c r="F148" s="5"/>
      <c r="G148" s="5"/>
      <c r="H148" s="11" t="s">
        <v>49</v>
      </c>
      <c r="I148" s="11"/>
      <c r="J148" s="12">
        <v>0</v>
      </c>
      <c r="K148" s="11" t="s">
        <v>919</v>
      </c>
      <c r="L148" s="12">
        <v>0</v>
      </c>
      <c r="M148" s="12">
        <v>0</v>
      </c>
      <c r="N148" s="12">
        <v>0</v>
      </c>
      <c r="O148" s="12">
        <v>0</v>
      </c>
      <c r="P148" s="12">
        <v>0</v>
      </c>
      <c r="Q148" s="12">
        <v>0</v>
      </c>
      <c r="R148" s="12">
        <v>0</v>
      </c>
      <c r="S148" s="12">
        <v>0</v>
      </c>
      <c r="T148" s="12">
        <v>0</v>
      </c>
      <c r="U148" s="12">
        <v>0</v>
      </c>
      <c r="V148" s="12">
        <v>0</v>
      </c>
      <c r="W148" s="12">
        <v>0</v>
      </c>
      <c r="X148" s="12">
        <v>0</v>
      </c>
      <c r="Y148" s="12">
        <v>0</v>
      </c>
      <c r="Z148" s="12">
        <v>0</v>
      </c>
      <c r="AA148" s="12">
        <v>0</v>
      </c>
      <c r="AB148" s="12">
        <v>0</v>
      </c>
      <c r="AC148" s="12">
        <v>0</v>
      </c>
      <c r="AD148" s="12">
        <v>0</v>
      </c>
      <c r="AE148" s="12">
        <v>0</v>
      </c>
      <c r="AF148" s="12">
        <v>0</v>
      </c>
      <c r="AG148" s="12">
        <v>0</v>
      </c>
      <c r="AH148" s="12">
        <v>0</v>
      </c>
      <c r="AI148" s="12">
        <v>0</v>
      </c>
      <c r="AJ148" s="12">
        <v>0</v>
      </c>
      <c r="AK148" s="12">
        <v>0</v>
      </c>
      <c r="AL148" s="12">
        <v>0</v>
      </c>
      <c r="AM148" s="12">
        <v>0</v>
      </c>
      <c r="AN148" s="12">
        <v>0</v>
      </c>
      <c r="AO148" s="12">
        <v>0</v>
      </c>
      <c r="AP148" s="12">
        <v>0</v>
      </c>
      <c r="AQ148" s="12">
        <v>0</v>
      </c>
      <c r="AR148" s="12">
        <v>0</v>
      </c>
      <c r="AS148" s="12">
        <v>0</v>
      </c>
      <c r="AT148" s="12">
        <v>0</v>
      </c>
      <c r="AU148" s="12">
        <v>0</v>
      </c>
      <c r="AV148" s="12">
        <v>0</v>
      </c>
      <c r="AW148" s="12">
        <v>0</v>
      </c>
      <c r="AX148" s="12">
        <v>0</v>
      </c>
      <c r="AY148" s="12">
        <v>0</v>
      </c>
      <c r="AZ148" s="12">
        <v>0</v>
      </c>
      <c r="BA148" s="12">
        <v>0</v>
      </c>
      <c r="BC148" s="7">
        <f t="shared" si="41"/>
        <v>0</v>
      </c>
      <c r="BD148" s="7">
        <f t="shared" si="42"/>
        <v>0</v>
      </c>
      <c r="BE148" s="7">
        <f t="shared" si="43"/>
        <v>0</v>
      </c>
    </row>
    <row r="149" spans="1:57" ht="15" customHeight="1" x14ac:dyDescent="0.3">
      <c r="A149" s="7">
        <f t="shared" si="38"/>
        <v>243901</v>
      </c>
      <c r="B149" s="7">
        <f t="shared" si="39"/>
        <v>201901</v>
      </c>
      <c r="C149" s="7">
        <f t="shared" si="40"/>
        <v>164101</v>
      </c>
      <c r="D149" s="5"/>
      <c r="E149" s="5" t="str">
        <f t="shared" si="46"/>
        <v>ML27A020031A</v>
      </c>
      <c r="F149" s="5"/>
      <c r="G149" s="6"/>
      <c r="H149" s="11" t="s">
        <v>920</v>
      </c>
      <c r="I149" s="11"/>
      <c r="J149" s="12">
        <v>0</v>
      </c>
      <c r="K149" s="11" t="s">
        <v>921</v>
      </c>
      <c r="L149" s="12">
        <v>0</v>
      </c>
      <c r="M149" s="12">
        <v>5075</v>
      </c>
      <c r="N149" s="12">
        <v>34843</v>
      </c>
      <c r="O149" s="12">
        <v>34843</v>
      </c>
      <c r="P149" s="12">
        <v>34843</v>
      </c>
      <c r="Q149" s="12">
        <v>34843</v>
      </c>
      <c r="R149" s="12">
        <v>34843</v>
      </c>
      <c r="S149" s="12">
        <v>34843</v>
      </c>
      <c r="T149" s="12">
        <v>34843</v>
      </c>
      <c r="U149" s="12">
        <v>28843</v>
      </c>
      <c r="V149" s="12">
        <v>28843</v>
      </c>
      <c r="W149" s="12">
        <v>28843</v>
      </c>
      <c r="X149" s="12">
        <v>28843</v>
      </c>
      <c r="Y149" s="12">
        <v>28843</v>
      </c>
      <c r="Z149" s="12">
        <v>28843</v>
      </c>
      <c r="AA149" s="12">
        <v>28843</v>
      </c>
      <c r="AB149" s="12">
        <v>23443</v>
      </c>
      <c r="AC149" s="12">
        <v>23443</v>
      </c>
      <c r="AD149" s="12">
        <v>23443</v>
      </c>
      <c r="AE149" s="12">
        <v>23443</v>
      </c>
      <c r="AF149" s="12">
        <v>23443</v>
      </c>
      <c r="AG149" s="12">
        <v>23443</v>
      </c>
      <c r="AH149" s="12">
        <v>23443</v>
      </c>
      <c r="AI149" s="12">
        <v>19443</v>
      </c>
      <c r="AJ149" s="12">
        <v>15443</v>
      </c>
      <c r="AK149" s="12">
        <v>13443</v>
      </c>
      <c r="AL149" s="12">
        <v>13443</v>
      </c>
      <c r="AM149" s="12">
        <v>6997</v>
      </c>
      <c r="AN149" s="12">
        <v>6997</v>
      </c>
      <c r="AO149" s="12">
        <v>6997</v>
      </c>
      <c r="AP149" s="12">
        <v>6997</v>
      </c>
      <c r="AQ149" s="12">
        <v>5097</v>
      </c>
      <c r="AR149" s="12">
        <v>5097</v>
      </c>
      <c r="AS149" s="12">
        <v>5097</v>
      </c>
      <c r="AT149" s="12">
        <v>5075</v>
      </c>
      <c r="AU149" s="12">
        <v>5075</v>
      </c>
      <c r="AV149" s="12">
        <v>5075</v>
      </c>
      <c r="AW149" s="12">
        <v>0</v>
      </c>
      <c r="AX149" s="12">
        <v>0</v>
      </c>
      <c r="AY149" s="12">
        <v>0</v>
      </c>
      <c r="AZ149" s="12">
        <v>0</v>
      </c>
      <c r="BA149" s="12">
        <v>0</v>
      </c>
      <c r="BC149" s="7">
        <f t="shared" si="41"/>
        <v>104529</v>
      </c>
      <c r="BD149" s="7">
        <f t="shared" si="42"/>
        <v>225901</v>
      </c>
      <c r="BE149" s="7">
        <f t="shared" si="43"/>
        <v>185701</v>
      </c>
    </row>
    <row r="150" spans="1:57" ht="15" customHeight="1" x14ac:dyDescent="0.3">
      <c r="A150" s="7">
        <f t="shared" si="38"/>
        <v>0</v>
      </c>
      <c r="B150" s="7">
        <f t="shared" si="39"/>
        <v>1000</v>
      </c>
      <c r="C150" s="7">
        <f t="shared" si="40"/>
        <v>0</v>
      </c>
      <c r="D150" s="5"/>
      <c r="E150" s="13" t="s">
        <v>834</v>
      </c>
      <c r="F150" s="5"/>
      <c r="G150" s="13" t="s">
        <v>1003</v>
      </c>
      <c r="H150" s="13" t="s">
        <v>49</v>
      </c>
      <c r="I150" s="11" t="s">
        <v>49</v>
      </c>
      <c r="J150" s="12">
        <v>0</v>
      </c>
      <c r="K150" s="11" t="s">
        <v>916</v>
      </c>
      <c r="L150" s="12">
        <v>0</v>
      </c>
      <c r="M150" s="12">
        <v>5637</v>
      </c>
      <c r="N150" s="12">
        <v>0</v>
      </c>
      <c r="O150" s="12">
        <v>0</v>
      </c>
      <c r="P150" s="12">
        <v>0</v>
      </c>
      <c r="Q150" s="12">
        <v>0</v>
      </c>
      <c r="R150" s="12">
        <v>0</v>
      </c>
      <c r="S150" s="12">
        <v>0</v>
      </c>
      <c r="T150" s="12">
        <v>0</v>
      </c>
      <c r="U150" s="12">
        <v>1000</v>
      </c>
      <c r="V150" s="12">
        <v>0</v>
      </c>
      <c r="W150" s="12">
        <v>0</v>
      </c>
      <c r="X150" s="12">
        <v>0</v>
      </c>
      <c r="Y150" s="12">
        <v>0</v>
      </c>
      <c r="Z150" s="12">
        <v>0</v>
      </c>
      <c r="AA150" s="12">
        <v>0</v>
      </c>
      <c r="AB150" s="12">
        <v>0</v>
      </c>
      <c r="AC150" s="12">
        <v>0</v>
      </c>
      <c r="AD150" s="12">
        <v>0</v>
      </c>
      <c r="AE150" s="12">
        <v>0</v>
      </c>
      <c r="AF150" s="12">
        <v>0</v>
      </c>
      <c r="AG150" s="12">
        <v>0</v>
      </c>
      <c r="AH150" s="12">
        <v>0</v>
      </c>
      <c r="AI150" s="12">
        <v>1000</v>
      </c>
      <c r="AJ150" s="12">
        <v>0</v>
      </c>
      <c r="AK150" s="12">
        <v>500</v>
      </c>
      <c r="AL150" s="12">
        <v>0</v>
      </c>
      <c r="AM150" s="12">
        <v>1000</v>
      </c>
      <c r="AN150" s="12">
        <v>0</v>
      </c>
      <c r="AO150" s="12">
        <v>0</v>
      </c>
      <c r="AP150" s="12">
        <v>0</v>
      </c>
      <c r="AQ150" s="12">
        <v>2137</v>
      </c>
      <c r="AR150" s="12">
        <v>0</v>
      </c>
      <c r="AS150" s="12">
        <v>0</v>
      </c>
      <c r="AT150" s="12">
        <v>0</v>
      </c>
      <c r="AU150" s="12">
        <v>0</v>
      </c>
      <c r="AV150" s="12">
        <v>0</v>
      </c>
      <c r="AW150" s="12">
        <v>1000</v>
      </c>
      <c r="AX150" s="12">
        <v>1500</v>
      </c>
      <c r="AY150" s="12">
        <v>1000</v>
      </c>
      <c r="AZ150" s="12">
        <v>2137</v>
      </c>
      <c r="BA150" s="12">
        <v>0</v>
      </c>
      <c r="BC150" s="7">
        <f t="shared" si="41"/>
        <v>0</v>
      </c>
      <c r="BD150" s="7">
        <f t="shared" si="42"/>
        <v>1000</v>
      </c>
      <c r="BE150" s="7">
        <f t="shared" si="43"/>
        <v>0</v>
      </c>
    </row>
    <row r="151" spans="1:57" ht="15" customHeight="1" x14ac:dyDescent="0.3">
      <c r="A151" s="7">
        <f t="shared" si="38"/>
        <v>49777</v>
      </c>
      <c r="B151" s="7">
        <f t="shared" si="39"/>
        <v>42777</v>
      </c>
      <c r="C151" s="7">
        <f t="shared" si="40"/>
        <v>42777</v>
      </c>
      <c r="D151" s="5"/>
      <c r="E151" s="5" t="str">
        <f t="shared" ref="E151:E154" si="47">E150</f>
        <v>ML69A010012A</v>
      </c>
      <c r="F151" s="5"/>
      <c r="G151" s="5"/>
      <c r="H151" s="6"/>
      <c r="I151" s="11"/>
      <c r="J151" s="12">
        <v>0</v>
      </c>
      <c r="K151" s="11" t="s">
        <v>917</v>
      </c>
      <c r="L151" s="12">
        <v>7111</v>
      </c>
      <c r="M151" s="12">
        <v>1474</v>
      </c>
      <c r="N151" s="12">
        <v>7111</v>
      </c>
      <c r="O151" s="12">
        <v>7111</v>
      </c>
      <c r="P151" s="12">
        <v>7111</v>
      </c>
      <c r="Q151" s="12">
        <v>7111</v>
      </c>
      <c r="R151" s="12">
        <v>7111</v>
      </c>
      <c r="S151" s="12">
        <v>7111</v>
      </c>
      <c r="T151" s="12">
        <v>7111</v>
      </c>
      <c r="U151" s="12">
        <v>6111</v>
      </c>
      <c r="V151" s="12">
        <v>6111</v>
      </c>
      <c r="W151" s="12">
        <v>6111</v>
      </c>
      <c r="X151" s="12">
        <v>6111</v>
      </c>
      <c r="Y151" s="12">
        <v>6111</v>
      </c>
      <c r="Z151" s="12">
        <v>6111</v>
      </c>
      <c r="AA151" s="12">
        <v>6111</v>
      </c>
      <c r="AB151" s="12">
        <v>6111</v>
      </c>
      <c r="AC151" s="12">
        <v>6111</v>
      </c>
      <c r="AD151" s="12">
        <v>6111</v>
      </c>
      <c r="AE151" s="12">
        <v>6111</v>
      </c>
      <c r="AF151" s="12">
        <v>6111</v>
      </c>
      <c r="AG151" s="12">
        <v>6111</v>
      </c>
      <c r="AH151" s="12">
        <v>6111</v>
      </c>
      <c r="AI151" s="12">
        <v>5111</v>
      </c>
      <c r="AJ151" s="12">
        <v>5111</v>
      </c>
      <c r="AK151" s="12">
        <v>4611</v>
      </c>
      <c r="AL151" s="12">
        <v>4611</v>
      </c>
      <c r="AM151" s="12">
        <v>3611</v>
      </c>
      <c r="AN151" s="12">
        <v>3611</v>
      </c>
      <c r="AO151" s="12">
        <v>3611</v>
      </c>
      <c r="AP151" s="12">
        <v>3611</v>
      </c>
      <c r="AQ151" s="12">
        <v>1474</v>
      </c>
      <c r="AR151" s="12">
        <v>1474</v>
      </c>
      <c r="AS151" s="12">
        <v>1474</v>
      </c>
      <c r="AT151" s="12">
        <v>1474</v>
      </c>
      <c r="AU151" s="12">
        <v>1474</v>
      </c>
      <c r="AV151" s="12">
        <v>1474</v>
      </c>
      <c r="AW151" s="12">
        <v>0</v>
      </c>
      <c r="AX151" s="12">
        <v>0</v>
      </c>
      <c r="AY151" s="12">
        <v>0</v>
      </c>
      <c r="AZ151" s="12">
        <v>0</v>
      </c>
      <c r="BA151" s="12">
        <v>0</v>
      </c>
      <c r="BC151" s="7">
        <f t="shared" si="41"/>
        <v>21333</v>
      </c>
      <c r="BD151" s="7">
        <f t="shared" si="42"/>
        <v>46777</v>
      </c>
      <c r="BE151" s="7">
        <f t="shared" si="43"/>
        <v>42777</v>
      </c>
    </row>
    <row r="152" spans="1:57" ht="15" customHeight="1" x14ac:dyDescent="0.3">
      <c r="A152" s="7">
        <f t="shared" si="38"/>
        <v>0</v>
      </c>
      <c r="B152" s="7">
        <f t="shared" si="39"/>
        <v>0</v>
      </c>
      <c r="C152" s="7">
        <f t="shared" si="40"/>
        <v>0</v>
      </c>
      <c r="D152" s="5"/>
      <c r="E152" s="5" t="str">
        <f t="shared" si="47"/>
        <v>ML69A010012A</v>
      </c>
      <c r="F152" s="5"/>
      <c r="G152" s="5"/>
      <c r="H152" s="11" t="s">
        <v>835</v>
      </c>
      <c r="I152" s="11" t="s">
        <v>836</v>
      </c>
      <c r="J152" s="12">
        <v>12900</v>
      </c>
      <c r="K152" s="11" t="s">
        <v>918</v>
      </c>
      <c r="L152" s="12">
        <v>0</v>
      </c>
      <c r="M152" s="12">
        <v>0</v>
      </c>
      <c r="N152" s="12">
        <v>0</v>
      </c>
      <c r="O152" s="12">
        <v>0</v>
      </c>
      <c r="P152" s="12">
        <v>0</v>
      </c>
      <c r="Q152" s="12">
        <v>0</v>
      </c>
      <c r="R152" s="12">
        <v>0</v>
      </c>
      <c r="S152" s="12">
        <v>0</v>
      </c>
      <c r="T152" s="12">
        <v>0</v>
      </c>
      <c r="U152" s="12">
        <v>0</v>
      </c>
      <c r="V152" s="12">
        <v>0</v>
      </c>
      <c r="W152" s="12">
        <v>0</v>
      </c>
      <c r="X152" s="12">
        <v>0</v>
      </c>
      <c r="Y152" s="12">
        <v>0</v>
      </c>
      <c r="Z152" s="12">
        <v>0</v>
      </c>
      <c r="AA152" s="12">
        <v>0</v>
      </c>
      <c r="AB152" s="12">
        <v>0</v>
      </c>
      <c r="AC152" s="12">
        <v>0</v>
      </c>
      <c r="AD152" s="12">
        <v>0</v>
      </c>
      <c r="AE152" s="12">
        <v>0</v>
      </c>
      <c r="AF152" s="12">
        <v>0</v>
      </c>
      <c r="AG152" s="12">
        <v>0</v>
      </c>
      <c r="AH152" s="12">
        <v>0</v>
      </c>
      <c r="AI152" s="12">
        <v>0</v>
      </c>
      <c r="AJ152" s="12">
        <v>0</v>
      </c>
      <c r="AK152" s="12">
        <v>0</v>
      </c>
      <c r="AL152" s="12">
        <v>0</v>
      </c>
      <c r="AM152" s="12">
        <v>0</v>
      </c>
      <c r="AN152" s="12">
        <v>0</v>
      </c>
      <c r="AO152" s="12">
        <v>0</v>
      </c>
      <c r="AP152" s="12">
        <v>0</v>
      </c>
      <c r="AQ152" s="12">
        <v>0</v>
      </c>
      <c r="AR152" s="12">
        <v>0</v>
      </c>
      <c r="AS152" s="12">
        <v>0</v>
      </c>
      <c r="AT152" s="12">
        <v>0</v>
      </c>
      <c r="AU152" s="12">
        <v>0</v>
      </c>
      <c r="AV152" s="12">
        <v>0</v>
      </c>
      <c r="AW152" s="12">
        <v>0</v>
      </c>
      <c r="AX152" s="12">
        <v>0</v>
      </c>
      <c r="AY152" s="12">
        <v>0</v>
      </c>
      <c r="AZ152" s="12">
        <v>0</v>
      </c>
      <c r="BA152" s="12">
        <v>0</v>
      </c>
      <c r="BC152" s="7">
        <f t="shared" si="41"/>
        <v>0</v>
      </c>
      <c r="BD152" s="7">
        <f t="shared" si="42"/>
        <v>0</v>
      </c>
      <c r="BE152" s="7">
        <f t="shared" si="43"/>
        <v>0</v>
      </c>
    </row>
    <row r="153" spans="1:57" ht="15" customHeight="1" x14ac:dyDescent="0.3">
      <c r="A153" s="7">
        <f t="shared" si="38"/>
        <v>0</v>
      </c>
      <c r="B153" s="7">
        <f t="shared" si="39"/>
        <v>0</v>
      </c>
      <c r="C153" s="7">
        <f t="shared" si="40"/>
        <v>0</v>
      </c>
      <c r="D153" s="5"/>
      <c r="E153" s="5" t="str">
        <f t="shared" si="47"/>
        <v>ML69A010012A</v>
      </c>
      <c r="F153" s="5"/>
      <c r="G153" s="5"/>
      <c r="H153" s="11" t="s">
        <v>49</v>
      </c>
      <c r="I153" s="11"/>
      <c r="J153" s="12">
        <v>0</v>
      </c>
      <c r="K153" s="11" t="s">
        <v>919</v>
      </c>
      <c r="L153" s="12">
        <v>0</v>
      </c>
      <c r="M153" s="12">
        <v>0</v>
      </c>
      <c r="N153" s="12">
        <v>0</v>
      </c>
      <c r="O153" s="12">
        <v>0</v>
      </c>
      <c r="P153" s="12">
        <v>0</v>
      </c>
      <c r="Q153" s="12">
        <v>0</v>
      </c>
      <c r="R153" s="12">
        <v>0</v>
      </c>
      <c r="S153" s="12">
        <v>0</v>
      </c>
      <c r="T153" s="12">
        <v>0</v>
      </c>
      <c r="U153" s="12">
        <v>0</v>
      </c>
      <c r="V153" s="12">
        <v>0</v>
      </c>
      <c r="W153" s="12">
        <v>0</v>
      </c>
      <c r="X153" s="12">
        <v>0</v>
      </c>
      <c r="Y153" s="12">
        <v>0</v>
      </c>
      <c r="Z153" s="12">
        <v>0</v>
      </c>
      <c r="AA153" s="12">
        <v>0</v>
      </c>
      <c r="AB153" s="12">
        <v>0</v>
      </c>
      <c r="AC153" s="12">
        <v>0</v>
      </c>
      <c r="AD153" s="12">
        <v>0</v>
      </c>
      <c r="AE153" s="12">
        <v>0</v>
      </c>
      <c r="AF153" s="12">
        <v>0</v>
      </c>
      <c r="AG153" s="12">
        <v>0</v>
      </c>
      <c r="AH153" s="12">
        <v>0</v>
      </c>
      <c r="AI153" s="12">
        <v>0</v>
      </c>
      <c r="AJ153" s="12">
        <v>0</v>
      </c>
      <c r="AK153" s="12">
        <v>0</v>
      </c>
      <c r="AL153" s="12">
        <v>0</v>
      </c>
      <c r="AM153" s="12">
        <v>0</v>
      </c>
      <c r="AN153" s="12">
        <v>0</v>
      </c>
      <c r="AO153" s="12">
        <v>0</v>
      </c>
      <c r="AP153" s="12">
        <v>0</v>
      </c>
      <c r="AQ153" s="12">
        <v>0</v>
      </c>
      <c r="AR153" s="12">
        <v>0</v>
      </c>
      <c r="AS153" s="12">
        <v>0</v>
      </c>
      <c r="AT153" s="12">
        <v>0</v>
      </c>
      <c r="AU153" s="12">
        <v>0</v>
      </c>
      <c r="AV153" s="12">
        <v>0</v>
      </c>
      <c r="AW153" s="12">
        <v>0</v>
      </c>
      <c r="AX153" s="12">
        <v>0</v>
      </c>
      <c r="AY153" s="12">
        <v>0</v>
      </c>
      <c r="AZ153" s="12">
        <v>0</v>
      </c>
      <c r="BA153" s="12">
        <v>0</v>
      </c>
      <c r="BC153" s="7">
        <f t="shared" si="41"/>
        <v>0</v>
      </c>
      <c r="BD153" s="7">
        <f t="shared" si="42"/>
        <v>0</v>
      </c>
      <c r="BE153" s="7">
        <f t="shared" si="43"/>
        <v>0</v>
      </c>
    </row>
    <row r="154" spans="1:57" ht="15" customHeight="1" x14ac:dyDescent="0.3">
      <c r="A154" s="7">
        <f t="shared" si="38"/>
        <v>49777</v>
      </c>
      <c r="B154" s="7">
        <f t="shared" si="39"/>
        <v>42777</v>
      </c>
      <c r="C154" s="7">
        <f t="shared" si="40"/>
        <v>42777</v>
      </c>
      <c r="D154" s="6"/>
      <c r="E154" s="5" t="str">
        <f t="shared" si="47"/>
        <v>ML69A010012A</v>
      </c>
      <c r="F154" s="5"/>
      <c r="G154" s="6"/>
      <c r="H154" s="11" t="s">
        <v>920</v>
      </c>
      <c r="I154" s="11"/>
      <c r="J154" s="12">
        <v>0</v>
      </c>
      <c r="K154" s="11" t="s">
        <v>921</v>
      </c>
      <c r="L154" s="12">
        <v>0</v>
      </c>
      <c r="M154" s="12">
        <v>1474</v>
      </c>
      <c r="N154" s="12">
        <v>7111</v>
      </c>
      <c r="O154" s="12">
        <v>7111</v>
      </c>
      <c r="P154" s="12">
        <v>7111</v>
      </c>
      <c r="Q154" s="12">
        <v>7111</v>
      </c>
      <c r="R154" s="12">
        <v>7111</v>
      </c>
      <c r="S154" s="12">
        <v>7111</v>
      </c>
      <c r="T154" s="12">
        <v>7111</v>
      </c>
      <c r="U154" s="12">
        <v>6111</v>
      </c>
      <c r="V154" s="12">
        <v>6111</v>
      </c>
      <c r="W154" s="12">
        <v>6111</v>
      </c>
      <c r="X154" s="12">
        <v>6111</v>
      </c>
      <c r="Y154" s="12">
        <v>6111</v>
      </c>
      <c r="Z154" s="12">
        <v>6111</v>
      </c>
      <c r="AA154" s="12">
        <v>6111</v>
      </c>
      <c r="AB154" s="12">
        <v>6111</v>
      </c>
      <c r="AC154" s="12">
        <v>6111</v>
      </c>
      <c r="AD154" s="12">
        <v>6111</v>
      </c>
      <c r="AE154" s="12">
        <v>6111</v>
      </c>
      <c r="AF154" s="12">
        <v>6111</v>
      </c>
      <c r="AG154" s="12">
        <v>6111</v>
      </c>
      <c r="AH154" s="12">
        <v>6111</v>
      </c>
      <c r="AI154" s="12">
        <v>5111</v>
      </c>
      <c r="AJ154" s="12">
        <v>5111</v>
      </c>
      <c r="AK154" s="12">
        <v>4611</v>
      </c>
      <c r="AL154" s="12">
        <v>4611</v>
      </c>
      <c r="AM154" s="12">
        <v>3611</v>
      </c>
      <c r="AN154" s="12">
        <v>3611</v>
      </c>
      <c r="AO154" s="12">
        <v>3611</v>
      </c>
      <c r="AP154" s="12">
        <v>3611</v>
      </c>
      <c r="AQ154" s="12">
        <v>1474</v>
      </c>
      <c r="AR154" s="12">
        <v>1474</v>
      </c>
      <c r="AS154" s="12">
        <v>1474</v>
      </c>
      <c r="AT154" s="12">
        <v>1474</v>
      </c>
      <c r="AU154" s="12">
        <v>1474</v>
      </c>
      <c r="AV154" s="12">
        <v>1474</v>
      </c>
      <c r="AW154" s="12">
        <v>0</v>
      </c>
      <c r="AX154" s="12">
        <v>0</v>
      </c>
      <c r="AY154" s="12">
        <v>0</v>
      </c>
      <c r="AZ154" s="12">
        <v>0</v>
      </c>
      <c r="BA154" s="12">
        <v>0</v>
      </c>
      <c r="BC154" s="7">
        <f t="shared" si="41"/>
        <v>21333</v>
      </c>
      <c r="BD154" s="7">
        <f t="shared" si="42"/>
        <v>46777</v>
      </c>
      <c r="BE154" s="7">
        <f t="shared" si="43"/>
        <v>42777</v>
      </c>
    </row>
    <row r="155" spans="1:57" x14ac:dyDescent="0.3">
      <c r="A155" s="7">
        <f t="shared" si="38"/>
        <v>0</v>
      </c>
      <c r="B155" s="7">
        <f t="shared" si="39"/>
        <v>1832.8000000000002</v>
      </c>
      <c r="C155" s="7">
        <f t="shared" si="40"/>
        <v>6412</v>
      </c>
      <c r="D155" s="13"/>
      <c r="E155" s="13" t="s">
        <v>855</v>
      </c>
      <c r="F155" s="5"/>
      <c r="G155" s="13" t="s">
        <v>942</v>
      </c>
      <c r="H155" s="13" t="s">
        <v>49</v>
      </c>
      <c r="I155" s="11" t="s">
        <v>49</v>
      </c>
      <c r="J155" s="12">
        <v>0</v>
      </c>
      <c r="K155" s="11" t="s">
        <v>916</v>
      </c>
      <c r="L155" s="12">
        <v>0</v>
      </c>
      <c r="M155" s="12">
        <v>41844.800000000003</v>
      </c>
      <c r="N155" s="12">
        <v>0</v>
      </c>
      <c r="O155" s="12">
        <v>0</v>
      </c>
      <c r="P155" s="12">
        <v>0</v>
      </c>
      <c r="Q155" s="12">
        <v>0</v>
      </c>
      <c r="R155" s="12">
        <v>0</v>
      </c>
      <c r="S155" s="12">
        <v>0</v>
      </c>
      <c r="T155" s="12">
        <v>0</v>
      </c>
      <c r="U155" s="12">
        <v>1782.4</v>
      </c>
      <c r="V155" s="12">
        <v>0</v>
      </c>
      <c r="W155" s="12">
        <v>0</v>
      </c>
      <c r="X155" s="12">
        <v>0</v>
      </c>
      <c r="Y155" s="12">
        <v>0</v>
      </c>
      <c r="Z155" s="12">
        <v>0</v>
      </c>
      <c r="AA155" s="12">
        <v>50.4</v>
      </c>
      <c r="AB155" s="12">
        <v>6412</v>
      </c>
      <c r="AC155" s="12">
        <v>0</v>
      </c>
      <c r="AD155" s="12">
        <v>0</v>
      </c>
      <c r="AE155" s="12">
        <v>0</v>
      </c>
      <c r="AF155" s="12">
        <v>0</v>
      </c>
      <c r="AG155" s="12">
        <v>0</v>
      </c>
      <c r="AH155" s="12">
        <v>0</v>
      </c>
      <c r="AI155" s="12">
        <v>5000</v>
      </c>
      <c r="AJ155" s="12">
        <v>7400</v>
      </c>
      <c r="AK155" s="12">
        <v>3000</v>
      </c>
      <c r="AL155" s="12">
        <v>0</v>
      </c>
      <c r="AM155" s="12">
        <v>800</v>
      </c>
      <c r="AN155" s="12">
        <v>7000</v>
      </c>
      <c r="AO155" s="12">
        <v>0</v>
      </c>
      <c r="AP155" s="12">
        <v>0</v>
      </c>
      <c r="AQ155" s="12">
        <v>6600</v>
      </c>
      <c r="AR155" s="12">
        <v>0</v>
      </c>
      <c r="AS155" s="12">
        <v>0</v>
      </c>
      <c r="AT155" s="12">
        <v>3800</v>
      </c>
      <c r="AU155" s="12">
        <v>0</v>
      </c>
      <c r="AV155" s="12">
        <v>0</v>
      </c>
      <c r="AW155" s="12">
        <v>1782.4</v>
      </c>
      <c r="AX155" s="12">
        <v>21862.400000000001</v>
      </c>
      <c r="AY155" s="12">
        <v>7800</v>
      </c>
      <c r="AZ155" s="12">
        <v>10400</v>
      </c>
      <c r="BA155" s="12">
        <v>0</v>
      </c>
    </row>
    <row r="156" spans="1:57" x14ac:dyDescent="0.3">
      <c r="A156" s="7">
        <f t="shared" si="38"/>
        <v>1029</v>
      </c>
      <c r="B156" s="7">
        <f t="shared" si="39"/>
        <v>-11498.199999999999</v>
      </c>
      <c r="C156" s="7">
        <f t="shared" si="40"/>
        <v>-56684.600000000006</v>
      </c>
      <c r="D156" s="5"/>
      <c r="E156" s="5" t="str">
        <f t="shared" ref="E156:E159" si="48">E155</f>
        <v>0505-003190</v>
      </c>
      <c r="F156" s="5"/>
      <c r="G156" s="5"/>
      <c r="H156" s="6"/>
      <c r="I156" s="11"/>
      <c r="J156" s="12">
        <v>0</v>
      </c>
      <c r="K156" s="11" t="s">
        <v>917</v>
      </c>
      <c r="L156" s="12">
        <v>147</v>
      </c>
      <c r="M156" s="12">
        <v>-41697.800000000003</v>
      </c>
      <c r="N156" s="12">
        <v>147</v>
      </c>
      <c r="O156" s="12">
        <v>147</v>
      </c>
      <c r="P156" s="12">
        <v>147</v>
      </c>
      <c r="Q156" s="12">
        <v>147</v>
      </c>
      <c r="R156" s="12">
        <v>147</v>
      </c>
      <c r="S156" s="12">
        <v>147</v>
      </c>
      <c r="T156" s="12">
        <v>147</v>
      </c>
      <c r="U156" s="12">
        <v>-1635.4</v>
      </c>
      <c r="V156" s="12">
        <v>-1635.4</v>
      </c>
      <c r="W156" s="12">
        <v>-1635.4</v>
      </c>
      <c r="X156" s="12">
        <v>-1635.4</v>
      </c>
      <c r="Y156" s="12">
        <v>-1635.4</v>
      </c>
      <c r="Z156" s="12">
        <v>-1635.4</v>
      </c>
      <c r="AA156" s="12">
        <v>-1685.8</v>
      </c>
      <c r="AB156" s="12">
        <v>-8097.8</v>
      </c>
      <c r="AC156" s="12">
        <v>-8097.8</v>
      </c>
      <c r="AD156" s="12">
        <v>-8097.8</v>
      </c>
      <c r="AE156" s="12">
        <v>-8097.8</v>
      </c>
      <c r="AF156" s="12">
        <v>-8097.8</v>
      </c>
      <c r="AG156" s="12">
        <v>-8097.8</v>
      </c>
      <c r="AH156" s="12">
        <v>-8097.8</v>
      </c>
      <c r="AI156" s="12">
        <v>-13097.8</v>
      </c>
      <c r="AJ156" s="12">
        <v>-20497.8</v>
      </c>
      <c r="AK156" s="12">
        <v>-23497.8</v>
      </c>
      <c r="AL156" s="12">
        <v>-23497.8</v>
      </c>
      <c r="AM156" s="12">
        <v>-24297.8</v>
      </c>
      <c r="AN156" s="12">
        <v>-31297.8</v>
      </c>
      <c r="AO156" s="12">
        <v>-31297.8</v>
      </c>
      <c r="AP156" s="12">
        <v>-31297.8</v>
      </c>
      <c r="AQ156" s="12">
        <v>-37897.800000000003</v>
      </c>
      <c r="AR156" s="12">
        <v>-37897.800000000003</v>
      </c>
      <c r="AS156" s="12">
        <v>-37897.800000000003</v>
      </c>
      <c r="AT156" s="12">
        <v>-41697.800000000003</v>
      </c>
      <c r="AU156" s="12">
        <v>-41697.800000000003</v>
      </c>
      <c r="AV156" s="12">
        <v>-41697.800000000003</v>
      </c>
      <c r="AW156" s="12">
        <v>0</v>
      </c>
      <c r="AX156" s="12">
        <v>0</v>
      </c>
      <c r="AY156" s="12">
        <v>0</v>
      </c>
      <c r="AZ156" s="12">
        <v>0</v>
      </c>
      <c r="BA156" s="12">
        <v>0</v>
      </c>
    </row>
    <row r="157" spans="1:57" x14ac:dyDescent="0.3">
      <c r="A157" s="7">
        <f t="shared" si="38"/>
        <v>0</v>
      </c>
      <c r="B157" s="7">
        <f t="shared" si="39"/>
        <v>0</v>
      </c>
      <c r="C157" s="7">
        <f t="shared" si="40"/>
        <v>0</v>
      </c>
      <c r="D157" s="5"/>
      <c r="E157" s="5" t="str">
        <f t="shared" si="48"/>
        <v>0505-003190</v>
      </c>
      <c r="F157" s="5"/>
      <c r="G157" s="5"/>
      <c r="H157" s="11" t="s">
        <v>769</v>
      </c>
      <c r="I157" s="11" t="s">
        <v>770</v>
      </c>
      <c r="J157" s="12">
        <v>50000</v>
      </c>
      <c r="K157" s="11" t="s">
        <v>918</v>
      </c>
      <c r="L157" s="12">
        <v>0</v>
      </c>
      <c r="M157" s="12">
        <v>0</v>
      </c>
      <c r="N157" s="12">
        <v>0</v>
      </c>
      <c r="O157" s="12">
        <v>0</v>
      </c>
      <c r="P157" s="12">
        <v>0</v>
      </c>
      <c r="Q157" s="12">
        <v>0</v>
      </c>
      <c r="R157" s="12">
        <v>0</v>
      </c>
      <c r="S157" s="12">
        <v>0</v>
      </c>
      <c r="T157" s="12">
        <v>0</v>
      </c>
      <c r="U157" s="12">
        <v>0</v>
      </c>
      <c r="V157" s="12">
        <v>0</v>
      </c>
      <c r="W157" s="12">
        <v>0</v>
      </c>
      <c r="X157" s="12">
        <v>0</v>
      </c>
      <c r="Y157" s="12">
        <v>0</v>
      </c>
      <c r="Z157" s="12">
        <v>0</v>
      </c>
      <c r="AA157" s="12">
        <v>0</v>
      </c>
      <c r="AB157" s="12">
        <v>0</v>
      </c>
      <c r="AC157" s="12">
        <v>0</v>
      </c>
      <c r="AD157" s="12">
        <v>0</v>
      </c>
      <c r="AE157" s="12">
        <v>0</v>
      </c>
      <c r="AF157" s="12">
        <v>0</v>
      </c>
      <c r="AG157" s="12">
        <v>0</v>
      </c>
      <c r="AH157" s="12">
        <v>0</v>
      </c>
      <c r="AI157" s="12">
        <v>0</v>
      </c>
      <c r="AJ157" s="12">
        <v>0</v>
      </c>
      <c r="AK157" s="12">
        <v>0</v>
      </c>
      <c r="AL157" s="12">
        <v>0</v>
      </c>
      <c r="AM157" s="12">
        <v>0</v>
      </c>
      <c r="AN157" s="12">
        <v>0</v>
      </c>
      <c r="AO157" s="12">
        <v>0</v>
      </c>
      <c r="AP157" s="12">
        <v>0</v>
      </c>
      <c r="AQ157" s="12">
        <v>0</v>
      </c>
      <c r="AR157" s="12">
        <v>0</v>
      </c>
      <c r="AS157" s="12">
        <v>0</v>
      </c>
      <c r="AT157" s="12">
        <v>0</v>
      </c>
      <c r="AU157" s="12">
        <v>0</v>
      </c>
      <c r="AV157" s="12">
        <v>0</v>
      </c>
      <c r="AW157" s="12">
        <v>0</v>
      </c>
      <c r="AX157" s="12">
        <v>0</v>
      </c>
      <c r="AY157" s="12">
        <v>0</v>
      </c>
      <c r="AZ157" s="12">
        <v>0</v>
      </c>
      <c r="BA157" s="12">
        <v>0</v>
      </c>
    </row>
    <row r="158" spans="1:57" x14ac:dyDescent="0.3">
      <c r="A158" s="7">
        <f t="shared" si="38"/>
        <v>0</v>
      </c>
      <c r="B158" s="7">
        <f t="shared" si="39"/>
        <v>0</v>
      </c>
      <c r="C158" s="7">
        <f t="shared" si="40"/>
        <v>0</v>
      </c>
      <c r="D158" s="5"/>
      <c r="E158" s="5" t="str">
        <f t="shared" si="48"/>
        <v>0505-003190</v>
      </c>
      <c r="F158" s="5"/>
      <c r="G158" s="5"/>
      <c r="H158" s="11" t="s">
        <v>49</v>
      </c>
      <c r="I158" s="11"/>
      <c r="J158" s="12">
        <v>0</v>
      </c>
      <c r="K158" s="11" t="s">
        <v>919</v>
      </c>
      <c r="L158" s="12">
        <v>0</v>
      </c>
      <c r="M158" s="12">
        <v>0</v>
      </c>
      <c r="N158" s="12">
        <v>0</v>
      </c>
      <c r="O158" s="12">
        <v>0</v>
      </c>
      <c r="P158" s="12">
        <v>0</v>
      </c>
      <c r="Q158" s="12">
        <v>0</v>
      </c>
      <c r="R158" s="12">
        <v>0</v>
      </c>
      <c r="S158" s="12">
        <v>0</v>
      </c>
      <c r="T158" s="12">
        <v>0</v>
      </c>
      <c r="U158" s="12">
        <v>0</v>
      </c>
      <c r="V158" s="12">
        <v>0</v>
      </c>
      <c r="W158" s="12">
        <v>0</v>
      </c>
      <c r="X158" s="12">
        <v>0</v>
      </c>
      <c r="Y158" s="12">
        <v>0</v>
      </c>
      <c r="Z158" s="12">
        <v>0</v>
      </c>
      <c r="AA158" s="12">
        <v>0</v>
      </c>
      <c r="AB158" s="12">
        <v>0</v>
      </c>
      <c r="AC158" s="12">
        <v>0</v>
      </c>
      <c r="AD158" s="12">
        <v>0</v>
      </c>
      <c r="AE158" s="12">
        <v>0</v>
      </c>
      <c r="AF158" s="12">
        <v>0</v>
      </c>
      <c r="AG158" s="12">
        <v>0</v>
      </c>
      <c r="AH158" s="12">
        <v>0</v>
      </c>
      <c r="AI158" s="12">
        <v>0</v>
      </c>
      <c r="AJ158" s="12">
        <v>0</v>
      </c>
      <c r="AK158" s="12">
        <v>0</v>
      </c>
      <c r="AL158" s="12">
        <v>0</v>
      </c>
      <c r="AM158" s="12">
        <v>0</v>
      </c>
      <c r="AN158" s="12">
        <v>0</v>
      </c>
      <c r="AO158" s="12">
        <v>0</v>
      </c>
      <c r="AP158" s="12">
        <v>0</v>
      </c>
      <c r="AQ158" s="12">
        <v>0</v>
      </c>
      <c r="AR158" s="12">
        <v>0</v>
      </c>
      <c r="AS158" s="12">
        <v>0</v>
      </c>
      <c r="AT158" s="12">
        <v>0</v>
      </c>
      <c r="AU158" s="12">
        <v>0</v>
      </c>
      <c r="AV158" s="12">
        <v>0</v>
      </c>
      <c r="AW158" s="12">
        <v>0</v>
      </c>
      <c r="AX158" s="12">
        <v>0</v>
      </c>
      <c r="AY158" s="12">
        <v>0</v>
      </c>
      <c r="AZ158" s="12">
        <v>0</v>
      </c>
      <c r="BA158" s="12">
        <v>0</v>
      </c>
    </row>
    <row r="159" spans="1:57" x14ac:dyDescent="0.3">
      <c r="A159" s="7">
        <f t="shared" si="38"/>
        <v>1029</v>
      </c>
      <c r="B159" s="7">
        <f t="shared" si="39"/>
        <v>-11498.199999999999</v>
      </c>
      <c r="C159" s="7">
        <f t="shared" si="40"/>
        <v>-56684.600000000006</v>
      </c>
      <c r="D159" s="5"/>
      <c r="E159" s="5" t="str">
        <f t="shared" si="48"/>
        <v>0505-003190</v>
      </c>
      <c r="F159" s="5"/>
      <c r="G159" s="6"/>
      <c r="H159" s="11" t="s">
        <v>920</v>
      </c>
      <c r="I159" s="11"/>
      <c r="J159" s="12">
        <v>0</v>
      </c>
      <c r="K159" s="11" t="s">
        <v>921</v>
      </c>
      <c r="L159" s="12">
        <v>0</v>
      </c>
      <c r="M159" s="12">
        <v>-41697.800000000003</v>
      </c>
      <c r="N159" s="12">
        <v>147</v>
      </c>
      <c r="O159" s="12">
        <v>147</v>
      </c>
      <c r="P159" s="12">
        <v>147</v>
      </c>
      <c r="Q159" s="12">
        <v>147</v>
      </c>
      <c r="R159" s="12">
        <v>147</v>
      </c>
      <c r="S159" s="12">
        <v>147</v>
      </c>
      <c r="T159" s="12">
        <v>147</v>
      </c>
      <c r="U159" s="12">
        <v>-1635.4</v>
      </c>
      <c r="V159" s="12">
        <v>-1635.4</v>
      </c>
      <c r="W159" s="12">
        <v>-1635.4</v>
      </c>
      <c r="X159" s="12">
        <v>-1635.4</v>
      </c>
      <c r="Y159" s="12">
        <v>-1635.4</v>
      </c>
      <c r="Z159" s="12">
        <v>-1635.4</v>
      </c>
      <c r="AA159" s="12">
        <v>-1685.8</v>
      </c>
      <c r="AB159" s="12">
        <v>-8097.8</v>
      </c>
      <c r="AC159" s="12">
        <v>-8097.8</v>
      </c>
      <c r="AD159" s="12">
        <v>-8097.8</v>
      </c>
      <c r="AE159" s="12">
        <v>-8097.8</v>
      </c>
      <c r="AF159" s="12">
        <v>-8097.8</v>
      </c>
      <c r="AG159" s="12">
        <v>-8097.8</v>
      </c>
      <c r="AH159" s="12">
        <v>-8097.8</v>
      </c>
      <c r="AI159" s="12">
        <v>-13097.8</v>
      </c>
      <c r="AJ159" s="12">
        <v>-20497.8</v>
      </c>
      <c r="AK159" s="12">
        <v>-23497.8</v>
      </c>
      <c r="AL159" s="12">
        <v>-23497.8</v>
      </c>
      <c r="AM159" s="12">
        <v>-24297.8</v>
      </c>
      <c r="AN159" s="12">
        <v>-31297.8</v>
      </c>
      <c r="AO159" s="12">
        <v>-31297.8</v>
      </c>
      <c r="AP159" s="12">
        <v>-31297.8</v>
      </c>
      <c r="AQ159" s="12">
        <v>-37897.800000000003</v>
      </c>
      <c r="AR159" s="12">
        <v>-37897.800000000003</v>
      </c>
      <c r="AS159" s="12">
        <v>-37897.800000000003</v>
      </c>
      <c r="AT159" s="12">
        <v>-41697.800000000003</v>
      </c>
      <c r="AU159" s="12">
        <v>-41697.800000000003</v>
      </c>
      <c r="AV159" s="12">
        <v>-41697.800000000003</v>
      </c>
      <c r="AW159" s="12">
        <v>0</v>
      </c>
      <c r="AX159" s="12">
        <v>0</v>
      </c>
      <c r="AY159" s="12">
        <v>0</v>
      </c>
      <c r="AZ159" s="12">
        <v>0</v>
      </c>
      <c r="BA159" s="12">
        <v>0</v>
      </c>
    </row>
    <row r="160" spans="1:57" x14ac:dyDescent="0.3">
      <c r="A160" s="7">
        <f t="shared" si="38"/>
        <v>9600</v>
      </c>
      <c r="B160" s="7">
        <f t="shared" si="39"/>
        <v>1773.6</v>
      </c>
      <c r="C160" s="7">
        <f t="shared" si="40"/>
        <v>10000</v>
      </c>
      <c r="D160" s="13"/>
      <c r="E160" s="13" t="s">
        <v>799</v>
      </c>
      <c r="F160" s="5"/>
      <c r="G160" s="13" t="s">
        <v>1004</v>
      </c>
      <c r="H160" s="13" t="s">
        <v>49</v>
      </c>
      <c r="I160" s="11" t="s">
        <v>49</v>
      </c>
      <c r="J160" s="12">
        <v>0</v>
      </c>
      <c r="K160" s="11" t="s">
        <v>916</v>
      </c>
      <c r="L160" s="12">
        <v>0</v>
      </c>
      <c r="M160" s="12">
        <v>63373.599999999999</v>
      </c>
      <c r="N160" s="12">
        <v>1600</v>
      </c>
      <c r="O160" s="12">
        <v>1600</v>
      </c>
      <c r="P160" s="12">
        <v>1600</v>
      </c>
      <c r="Q160" s="12">
        <v>1600</v>
      </c>
      <c r="R160" s="12">
        <v>1600</v>
      </c>
      <c r="S160" s="12">
        <v>1600</v>
      </c>
      <c r="T160" s="12">
        <v>0</v>
      </c>
      <c r="U160" s="12">
        <v>1773.6</v>
      </c>
      <c r="V160" s="12">
        <v>0</v>
      </c>
      <c r="W160" s="12">
        <v>0</v>
      </c>
      <c r="X160" s="12">
        <v>0</v>
      </c>
      <c r="Y160" s="12">
        <v>0</v>
      </c>
      <c r="Z160" s="12">
        <v>0</v>
      </c>
      <c r="AA160" s="12">
        <v>0</v>
      </c>
      <c r="AB160" s="12">
        <v>10000</v>
      </c>
      <c r="AC160" s="12">
        <v>0</v>
      </c>
      <c r="AD160" s="12">
        <v>0</v>
      </c>
      <c r="AE160" s="12">
        <v>0</v>
      </c>
      <c r="AF160" s="12">
        <v>0</v>
      </c>
      <c r="AG160" s="12">
        <v>0</v>
      </c>
      <c r="AH160" s="12">
        <v>0</v>
      </c>
      <c r="AI160" s="12">
        <v>10000</v>
      </c>
      <c r="AJ160" s="12">
        <v>10000</v>
      </c>
      <c r="AK160" s="12">
        <v>10000</v>
      </c>
      <c r="AL160" s="12">
        <v>0</v>
      </c>
      <c r="AM160" s="12">
        <v>8000</v>
      </c>
      <c r="AN160" s="12">
        <v>0</v>
      </c>
      <c r="AO160" s="12">
        <v>0</v>
      </c>
      <c r="AP160" s="12">
        <v>0</v>
      </c>
      <c r="AQ160" s="12">
        <v>2400</v>
      </c>
      <c r="AR160" s="12">
        <v>0</v>
      </c>
      <c r="AS160" s="12">
        <v>0</v>
      </c>
      <c r="AT160" s="12">
        <v>1600</v>
      </c>
      <c r="AU160" s="12">
        <v>0</v>
      </c>
      <c r="AV160" s="12">
        <v>0</v>
      </c>
      <c r="AW160" s="12">
        <v>11373.6</v>
      </c>
      <c r="AX160" s="12">
        <v>40000</v>
      </c>
      <c r="AY160" s="12">
        <v>8000</v>
      </c>
      <c r="AZ160" s="12">
        <v>4000</v>
      </c>
      <c r="BA160" s="12">
        <v>0</v>
      </c>
    </row>
    <row r="161" spans="1:53" x14ac:dyDescent="0.3">
      <c r="A161" s="7">
        <f t="shared" si="38"/>
        <v>415293</v>
      </c>
      <c r="B161" s="7">
        <f t="shared" si="39"/>
        <v>378877.80000000005</v>
      </c>
      <c r="C161" s="7">
        <f t="shared" si="40"/>
        <v>308877.80000000005</v>
      </c>
      <c r="D161" s="5"/>
      <c r="E161" s="5" t="str">
        <f t="shared" ref="E161:E164" si="49">E160</f>
        <v>0505-002604</v>
      </c>
      <c r="F161" s="5"/>
      <c r="G161" s="5"/>
      <c r="H161" s="6"/>
      <c r="I161" s="11"/>
      <c r="J161" s="12">
        <v>0</v>
      </c>
      <c r="K161" s="11" t="s">
        <v>917</v>
      </c>
      <c r="L161" s="12">
        <v>65499</v>
      </c>
      <c r="M161" s="12">
        <v>2125.4</v>
      </c>
      <c r="N161" s="12">
        <v>63899</v>
      </c>
      <c r="O161" s="12">
        <v>62299</v>
      </c>
      <c r="P161" s="12">
        <v>60699</v>
      </c>
      <c r="Q161" s="12">
        <v>59099</v>
      </c>
      <c r="R161" s="12">
        <v>57499</v>
      </c>
      <c r="S161" s="12">
        <v>55899</v>
      </c>
      <c r="T161" s="12">
        <v>55899</v>
      </c>
      <c r="U161" s="12">
        <v>54125.4</v>
      </c>
      <c r="V161" s="12">
        <v>54125.4</v>
      </c>
      <c r="W161" s="12">
        <v>54125.4</v>
      </c>
      <c r="X161" s="12">
        <v>54125.4</v>
      </c>
      <c r="Y161" s="12">
        <v>54125.4</v>
      </c>
      <c r="Z161" s="12">
        <v>54125.4</v>
      </c>
      <c r="AA161" s="12">
        <v>54125.4</v>
      </c>
      <c r="AB161" s="12">
        <v>44125.4</v>
      </c>
      <c r="AC161" s="12">
        <v>44125.4</v>
      </c>
      <c r="AD161" s="12">
        <v>44125.4</v>
      </c>
      <c r="AE161" s="12">
        <v>44125.4</v>
      </c>
      <c r="AF161" s="12">
        <v>44125.4</v>
      </c>
      <c r="AG161" s="12">
        <v>44125.4</v>
      </c>
      <c r="AH161" s="12">
        <v>44125.4</v>
      </c>
      <c r="AI161" s="12">
        <v>34125.4</v>
      </c>
      <c r="AJ161" s="12">
        <v>24125.4</v>
      </c>
      <c r="AK161" s="12">
        <v>14125.4</v>
      </c>
      <c r="AL161" s="12">
        <v>14125.4</v>
      </c>
      <c r="AM161" s="12">
        <v>6125.4</v>
      </c>
      <c r="AN161" s="12">
        <v>6125.4</v>
      </c>
      <c r="AO161" s="12">
        <v>6125.4</v>
      </c>
      <c r="AP161" s="12">
        <v>6125.4</v>
      </c>
      <c r="AQ161" s="12">
        <v>3725.4</v>
      </c>
      <c r="AR161" s="12">
        <v>3725.4</v>
      </c>
      <c r="AS161" s="12">
        <v>3725.4</v>
      </c>
      <c r="AT161" s="12">
        <v>2125.4</v>
      </c>
      <c r="AU161" s="12">
        <v>2125.4</v>
      </c>
      <c r="AV161" s="12">
        <v>2125.4</v>
      </c>
      <c r="AW161" s="12">
        <v>0</v>
      </c>
      <c r="AX161" s="12">
        <v>0</v>
      </c>
      <c r="AY161" s="12">
        <v>0</v>
      </c>
      <c r="AZ161" s="12">
        <v>0</v>
      </c>
      <c r="BA161" s="12">
        <v>0</v>
      </c>
    </row>
    <row r="162" spans="1:53" x14ac:dyDescent="0.3">
      <c r="A162" s="7">
        <f t="shared" si="38"/>
        <v>0</v>
      </c>
      <c r="B162" s="7">
        <f t="shared" si="39"/>
        <v>15000</v>
      </c>
      <c r="C162" s="7">
        <f t="shared" si="40"/>
        <v>15000</v>
      </c>
      <c r="D162" s="5"/>
      <c r="E162" s="5" t="str">
        <f t="shared" si="49"/>
        <v>0505-002604</v>
      </c>
      <c r="F162" s="5"/>
      <c r="G162" s="5"/>
      <c r="H162" s="11" t="s">
        <v>769</v>
      </c>
      <c r="I162" s="11" t="s">
        <v>770</v>
      </c>
      <c r="J162" s="12">
        <v>32500</v>
      </c>
      <c r="K162" s="11" t="s">
        <v>918</v>
      </c>
      <c r="L162" s="12">
        <v>0</v>
      </c>
      <c r="M162" s="12">
        <v>32500</v>
      </c>
      <c r="N162" s="12">
        <v>0</v>
      </c>
      <c r="O162" s="12">
        <v>0</v>
      </c>
      <c r="P162" s="12">
        <v>0</v>
      </c>
      <c r="Q162" s="12">
        <v>0</v>
      </c>
      <c r="R162" s="12">
        <v>0</v>
      </c>
      <c r="S162" s="12">
        <v>0</v>
      </c>
      <c r="T162" s="12">
        <v>0</v>
      </c>
      <c r="U162" s="12">
        <v>0</v>
      </c>
      <c r="V162" s="12">
        <v>0</v>
      </c>
      <c r="W162" s="12">
        <v>15000</v>
      </c>
      <c r="X162" s="12">
        <v>0</v>
      </c>
      <c r="Y162" s="12">
        <v>0</v>
      </c>
      <c r="Z162" s="12">
        <v>0</v>
      </c>
      <c r="AA162" s="12">
        <v>0</v>
      </c>
      <c r="AB162" s="12">
        <v>0</v>
      </c>
      <c r="AC162" s="12">
        <v>0</v>
      </c>
      <c r="AD162" s="12">
        <v>0</v>
      </c>
      <c r="AE162" s="12">
        <v>0</v>
      </c>
      <c r="AF162" s="12">
        <v>0</v>
      </c>
      <c r="AG162" s="12">
        <v>15000</v>
      </c>
      <c r="AH162" s="12">
        <v>0</v>
      </c>
      <c r="AI162" s="12">
        <v>0</v>
      </c>
      <c r="AJ162" s="12">
        <v>0</v>
      </c>
      <c r="AK162" s="12">
        <v>2500</v>
      </c>
      <c r="AL162" s="12">
        <v>0</v>
      </c>
      <c r="AM162" s="12">
        <v>0</v>
      </c>
      <c r="AN162" s="12">
        <v>0</v>
      </c>
      <c r="AO162" s="12">
        <v>0</v>
      </c>
      <c r="AP162" s="12">
        <v>0</v>
      </c>
      <c r="AQ162" s="12">
        <v>0</v>
      </c>
      <c r="AR162" s="12">
        <v>0</v>
      </c>
      <c r="AS162" s="12">
        <v>0</v>
      </c>
      <c r="AT162" s="12">
        <v>0</v>
      </c>
      <c r="AU162" s="12">
        <v>0</v>
      </c>
      <c r="AV162" s="12">
        <v>0</v>
      </c>
      <c r="AW162" s="12">
        <v>15000</v>
      </c>
      <c r="AX162" s="12">
        <v>17500</v>
      </c>
      <c r="AY162" s="12">
        <v>0</v>
      </c>
      <c r="AZ162" s="12">
        <v>0</v>
      </c>
      <c r="BA162" s="12">
        <v>0</v>
      </c>
    </row>
    <row r="163" spans="1:53" x14ac:dyDescent="0.3">
      <c r="A163" s="7">
        <f t="shared" si="38"/>
        <v>0</v>
      </c>
      <c r="B163" s="7">
        <f t="shared" si="39"/>
        <v>15000</v>
      </c>
      <c r="C163" s="7">
        <f t="shared" si="40"/>
        <v>15000</v>
      </c>
      <c r="D163" s="5"/>
      <c r="E163" s="5" t="str">
        <f t="shared" si="49"/>
        <v>0505-002604</v>
      </c>
      <c r="F163" s="5"/>
      <c r="G163" s="5"/>
      <c r="H163" s="11" t="s">
        <v>49</v>
      </c>
      <c r="I163" s="11"/>
      <c r="J163" s="12">
        <v>0</v>
      </c>
      <c r="K163" s="11" t="s">
        <v>919</v>
      </c>
      <c r="L163" s="12">
        <v>0</v>
      </c>
      <c r="M163" s="12">
        <v>32500</v>
      </c>
      <c r="N163" s="12">
        <v>0</v>
      </c>
      <c r="O163" s="12">
        <v>0</v>
      </c>
      <c r="P163" s="12">
        <v>0</v>
      </c>
      <c r="Q163" s="12">
        <v>0</v>
      </c>
      <c r="R163" s="12">
        <v>0</v>
      </c>
      <c r="S163" s="12">
        <v>0</v>
      </c>
      <c r="T163" s="12">
        <v>0</v>
      </c>
      <c r="U163" s="12">
        <v>0</v>
      </c>
      <c r="V163" s="12">
        <v>0</v>
      </c>
      <c r="W163" s="12">
        <v>15000</v>
      </c>
      <c r="X163" s="12">
        <v>0</v>
      </c>
      <c r="Y163" s="12">
        <v>0</v>
      </c>
      <c r="Z163" s="12">
        <v>0</v>
      </c>
      <c r="AA163" s="12">
        <v>0</v>
      </c>
      <c r="AB163" s="12">
        <v>0</v>
      </c>
      <c r="AC163" s="12">
        <v>0</v>
      </c>
      <c r="AD163" s="12">
        <v>0</v>
      </c>
      <c r="AE163" s="12">
        <v>0</v>
      </c>
      <c r="AF163" s="12">
        <v>0</v>
      </c>
      <c r="AG163" s="12">
        <v>15000</v>
      </c>
      <c r="AH163" s="12">
        <v>0</v>
      </c>
      <c r="AI163" s="12">
        <v>0</v>
      </c>
      <c r="AJ163" s="12">
        <v>0</v>
      </c>
      <c r="AK163" s="12">
        <v>2500</v>
      </c>
      <c r="AL163" s="12">
        <v>0</v>
      </c>
      <c r="AM163" s="12">
        <v>0</v>
      </c>
      <c r="AN163" s="12">
        <v>0</v>
      </c>
      <c r="AO163" s="12">
        <v>0</v>
      </c>
      <c r="AP163" s="12">
        <v>0</v>
      </c>
      <c r="AQ163" s="12">
        <v>0</v>
      </c>
      <c r="AR163" s="12">
        <v>0</v>
      </c>
      <c r="AS163" s="12">
        <v>0</v>
      </c>
      <c r="AT163" s="12">
        <v>0</v>
      </c>
      <c r="AU163" s="12">
        <v>0</v>
      </c>
      <c r="AV163" s="12">
        <v>0</v>
      </c>
      <c r="AW163" s="12">
        <v>15000</v>
      </c>
      <c r="AX163" s="12">
        <v>17500</v>
      </c>
      <c r="AY163" s="12">
        <v>0</v>
      </c>
      <c r="AZ163" s="12">
        <v>0</v>
      </c>
      <c r="BA163" s="12">
        <v>0</v>
      </c>
    </row>
    <row r="164" spans="1:53" x14ac:dyDescent="0.3">
      <c r="A164" s="7">
        <f t="shared" si="38"/>
        <v>415293</v>
      </c>
      <c r="B164" s="7">
        <f t="shared" si="39"/>
        <v>453877.80000000005</v>
      </c>
      <c r="C164" s="7">
        <f t="shared" si="40"/>
        <v>443877.80000000005</v>
      </c>
      <c r="D164" s="5"/>
      <c r="E164" s="5" t="str">
        <f t="shared" si="49"/>
        <v>0505-002604</v>
      </c>
      <c r="F164" s="5"/>
      <c r="G164" s="6"/>
      <c r="H164" s="11" t="s">
        <v>920</v>
      </c>
      <c r="I164" s="11"/>
      <c r="J164" s="12">
        <v>0</v>
      </c>
      <c r="K164" s="11" t="s">
        <v>921</v>
      </c>
      <c r="L164" s="12">
        <v>0</v>
      </c>
      <c r="M164" s="12">
        <v>34625.4</v>
      </c>
      <c r="N164" s="12">
        <v>63899</v>
      </c>
      <c r="O164" s="12">
        <v>62299</v>
      </c>
      <c r="P164" s="12">
        <v>60699</v>
      </c>
      <c r="Q164" s="12">
        <v>59099</v>
      </c>
      <c r="R164" s="12">
        <v>57499</v>
      </c>
      <c r="S164" s="12">
        <v>55899</v>
      </c>
      <c r="T164" s="12">
        <v>55899</v>
      </c>
      <c r="U164" s="12">
        <v>54125.4</v>
      </c>
      <c r="V164" s="12">
        <v>54125.4</v>
      </c>
      <c r="W164" s="12">
        <v>69125.399999999994</v>
      </c>
      <c r="X164" s="12">
        <v>69125.399999999994</v>
      </c>
      <c r="Y164" s="12">
        <v>69125.399999999994</v>
      </c>
      <c r="Z164" s="12">
        <v>69125.399999999994</v>
      </c>
      <c r="AA164" s="12">
        <v>69125.399999999994</v>
      </c>
      <c r="AB164" s="12">
        <v>59125.4</v>
      </c>
      <c r="AC164" s="12">
        <v>59125.4</v>
      </c>
      <c r="AD164" s="12">
        <v>59125.4</v>
      </c>
      <c r="AE164" s="12">
        <v>59125.4</v>
      </c>
      <c r="AF164" s="12">
        <v>59125.4</v>
      </c>
      <c r="AG164" s="12">
        <v>74125.399999999994</v>
      </c>
      <c r="AH164" s="12">
        <v>74125.399999999994</v>
      </c>
      <c r="AI164" s="12">
        <v>64125.4</v>
      </c>
      <c r="AJ164" s="12">
        <v>54125.4</v>
      </c>
      <c r="AK164" s="12">
        <v>46625.4</v>
      </c>
      <c r="AL164" s="12">
        <v>46625.4</v>
      </c>
      <c r="AM164" s="12">
        <v>38625.4</v>
      </c>
      <c r="AN164" s="12">
        <v>38625.4</v>
      </c>
      <c r="AO164" s="12">
        <v>38625.4</v>
      </c>
      <c r="AP164" s="12">
        <v>38625.4</v>
      </c>
      <c r="AQ164" s="12">
        <v>36225.4</v>
      </c>
      <c r="AR164" s="12">
        <v>36225.4</v>
      </c>
      <c r="AS164" s="12">
        <v>36225.4</v>
      </c>
      <c r="AT164" s="12">
        <v>34625.4</v>
      </c>
      <c r="AU164" s="12">
        <v>34625.4</v>
      </c>
      <c r="AV164" s="12">
        <v>34625.4</v>
      </c>
      <c r="AW164" s="12">
        <v>0</v>
      </c>
      <c r="AX164" s="12">
        <v>0</v>
      </c>
      <c r="AY164" s="12">
        <v>0</v>
      </c>
      <c r="AZ164" s="12">
        <v>0</v>
      </c>
      <c r="BA164" s="12">
        <v>0</v>
      </c>
    </row>
    <row r="165" spans="1:53" x14ac:dyDescent="0.3">
      <c r="A165" s="7">
        <f t="shared" si="38"/>
        <v>0</v>
      </c>
      <c r="B165" s="7">
        <f t="shared" si="39"/>
        <v>0</v>
      </c>
      <c r="C165" s="7">
        <f t="shared" si="40"/>
        <v>1600</v>
      </c>
      <c r="D165" s="13"/>
      <c r="E165" s="13" t="s">
        <v>856</v>
      </c>
      <c r="F165" s="5"/>
      <c r="G165" s="13" t="s">
        <v>943</v>
      </c>
      <c r="H165" s="13" t="s">
        <v>49</v>
      </c>
      <c r="I165" s="11" t="s">
        <v>49</v>
      </c>
      <c r="J165" s="12">
        <v>0</v>
      </c>
      <c r="K165" s="11" t="s">
        <v>916</v>
      </c>
      <c r="L165" s="12">
        <v>0</v>
      </c>
      <c r="M165" s="12">
        <v>11600</v>
      </c>
      <c r="N165" s="12">
        <v>0</v>
      </c>
      <c r="O165" s="12">
        <v>0</v>
      </c>
      <c r="P165" s="12">
        <v>0</v>
      </c>
      <c r="Q165" s="12">
        <v>0</v>
      </c>
      <c r="R165" s="12">
        <v>0</v>
      </c>
      <c r="S165" s="12">
        <v>0</v>
      </c>
      <c r="T165" s="12">
        <v>0</v>
      </c>
      <c r="U165" s="12">
        <v>0</v>
      </c>
      <c r="V165" s="12">
        <v>0</v>
      </c>
      <c r="W165" s="12">
        <v>0</v>
      </c>
      <c r="X165" s="12">
        <v>0</v>
      </c>
      <c r="Y165" s="12">
        <v>0</v>
      </c>
      <c r="Z165" s="12">
        <v>0</v>
      </c>
      <c r="AA165" s="12">
        <v>0</v>
      </c>
      <c r="AB165" s="12">
        <v>1600</v>
      </c>
      <c r="AC165" s="12">
        <v>0</v>
      </c>
      <c r="AD165" s="12">
        <v>0</v>
      </c>
      <c r="AE165" s="12">
        <v>0</v>
      </c>
      <c r="AF165" s="12">
        <v>0</v>
      </c>
      <c r="AG165" s="12">
        <v>0</v>
      </c>
      <c r="AH165" s="12">
        <v>0</v>
      </c>
      <c r="AI165" s="12">
        <v>0</v>
      </c>
      <c r="AJ165" s="12">
        <v>1600</v>
      </c>
      <c r="AK165" s="12">
        <v>0</v>
      </c>
      <c r="AL165" s="12">
        <v>0</v>
      </c>
      <c r="AM165" s="12">
        <v>0</v>
      </c>
      <c r="AN165" s="12">
        <v>3200</v>
      </c>
      <c r="AO165" s="12">
        <v>0</v>
      </c>
      <c r="AP165" s="12">
        <v>0</v>
      </c>
      <c r="AQ165" s="12">
        <v>2800</v>
      </c>
      <c r="AR165" s="12">
        <v>0</v>
      </c>
      <c r="AS165" s="12">
        <v>0</v>
      </c>
      <c r="AT165" s="12">
        <v>2400</v>
      </c>
      <c r="AU165" s="12">
        <v>0</v>
      </c>
      <c r="AV165" s="12">
        <v>0</v>
      </c>
      <c r="AW165" s="12">
        <v>0</v>
      </c>
      <c r="AX165" s="12">
        <v>3200</v>
      </c>
      <c r="AY165" s="12">
        <v>3200</v>
      </c>
      <c r="AZ165" s="12">
        <v>5200</v>
      </c>
      <c r="BA165" s="12">
        <v>0</v>
      </c>
    </row>
    <row r="166" spans="1:53" x14ac:dyDescent="0.3">
      <c r="A166" s="7">
        <f t="shared" si="38"/>
        <v>42000</v>
      </c>
      <c r="B166" s="7">
        <f t="shared" si="39"/>
        <v>42000</v>
      </c>
      <c r="C166" s="7">
        <f t="shared" si="40"/>
        <v>30800</v>
      </c>
      <c r="D166" s="5"/>
      <c r="E166" s="5" t="str">
        <f t="shared" ref="E166:E169" si="50">E165</f>
        <v>0505A0100011</v>
      </c>
      <c r="F166" s="5"/>
      <c r="G166" s="5"/>
      <c r="H166" s="6"/>
      <c r="I166" s="11"/>
      <c r="J166" s="12">
        <v>0</v>
      </c>
      <c r="K166" s="11" t="s">
        <v>917</v>
      </c>
      <c r="L166" s="12">
        <v>6000</v>
      </c>
      <c r="M166" s="12">
        <v>-5600</v>
      </c>
      <c r="N166" s="12">
        <v>6000</v>
      </c>
      <c r="O166" s="12">
        <v>6000</v>
      </c>
      <c r="P166" s="12">
        <v>6000</v>
      </c>
      <c r="Q166" s="12">
        <v>6000</v>
      </c>
      <c r="R166" s="12">
        <v>6000</v>
      </c>
      <c r="S166" s="12">
        <v>6000</v>
      </c>
      <c r="T166" s="12">
        <v>6000</v>
      </c>
      <c r="U166" s="12">
        <v>6000</v>
      </c>
      <c r="V166" s="12">
        <v>6000</v>
      </c>
      <c r="W166" s="12">
        <v>6000</v>
      </c>
      <c r="X166" s="12">
        <v>6000</v>
      </c>
      <c r="Y166" s="12">
        <v>6000</v>
      </c>
      <c r="Z166" s="12">
        <v>6000</v>
      </c>
      <c r="AA166" s="12">
        <v>6000</v>
      </c>
      <c r="AB166" s="12">
        <v>4400</v>
      </c>
      <c r="AC166" s="12">
        <v>4400</v>
      </c>
      <c r="AD166" s="12">
        <v>4400</v>
      </c>
      <c r="AE166" s="12">
        <v>4400</v>
      </c>
      <c r="AF166" s="12">
        <v>4400</v>
      </c>
      <c r="AG166" s="12">
        <v>4400</v>
      </c>
      <c r="AH166" s="12">
        <v>4400</v>
      </c>
      <c r="AI166" s="12">
        <v>4400</v>
      </c>
      <c r="AJ166" s="12">
        <v>2800</v>
      </c>
      <c r="AK166" s="12">
        <v>2800</v>
      </c>
      <c r="AL166" s="12">
        <v>2800</v>
      </c>
      <c r="AM166" s="12">
        <v>2800</v>
      </c>
      <c r="AN166" s="12">
        <v>-400</v>
      </c>
      <c r="AO166" s="12">
        <v>-400</v>
      </c>
      <c r="AP166" s="12">
        <v>-400</v>
      </c>
      <c r="AQ166" s="12">
        <v>-3200</v>
      </c>
      <c r="AR166" s="12">
        <v>-3200</v>
      </c>
      <c r="AS166" s="12">
        <v>-3200</v>
      </c>
      <c r="AT166" s="12">
        <v>-5600</v>
      </c>
      <c r="AU166" s="12">
        <v>-5600</v>
      </c>
      <c r="AV166" s="12">
        <v>-5600</v>
      </c>
      <c r="AW166" s="12">
        <v>0</v>
      </c>
      <c r="AX166" s="12">
        <v>0</v>
      </c>
      <c r="AY166" s="12">
        <v>0</v>
      </c>
      <c r="AZ166" s="12">
        <v>0</v>
      </c>
      <c r="BA166" s="12">
        <v>0</v>
      </c>
    </row>
    <row r="167" spans="1:53" x14ac:dyDescent="0.3">
      <c r="A167" s="7">
        <f t="shared" si="38"/>
        <v>0</v>
      </c>
      <c r="B167" s="7">
        <f t="shared" si="39"/>
        <v>0</v>
      </c>
      <c r="C167" s="7">
        <f t="shared" si="40"/>
        <v>0</v>
      </c>
      <c r="D167" s="5"/>
      <c r="E167" s="5" t="str">
        <f t="shared" si="50"/>
        <v>0505A0100011</v>
      </c>
      <c r="F167" s="5"/>
      <c r="G167" s="5"/>
      <c r="H167" s="11" t="s">
        <v>769</v>
      </c>
      <c r="I167" s="11" t="s">
        <v>770</v>
      </c>
      <c r="J167" s="12"/>
      <c r="K167" s="11" t="s">
        <v>918</v>
      </c>
      <c r="L167" s="12">
        <v>0</v>
      </c>
      <c r="M167" s="12">
        <v>0</v>
      </c>
      <c r="N167" s="12">
        <v>0</v>
      </c>
      <c r="O167" s="12">
        <v>0</v>
      </c>
      <c r="P167" s="12">
        <v>0</v>
      </c>
      <c r="Q167" s="12">
        <v>0</v>
      </c>
      <c r="R167" s="12">
        <v>0</v>
      </c>
      <c r="S167" s="12">
        <v>0</v>
      </c>
      <c r="T167" s="12">
        <v>0</v>
      </c>
      <c r="U167" s="12">
        <v>0</v>
      </c>
      <c r="V167" s="12">
        <v>0</v>
      </c>
      <c r="W167" s="12">
        <v>0</v>
      </c>
      <c r="X167" s="12">
        <v>0</v>
      </c>
      <c r="Y167" s="12">
        <v>0</v>
      </c>
      <c r="Z167" s="12">
        <v>0</v>
      </c>
      <c r="AA167" s="12">
        <v>0</v>
      </c>
      <c r="AB167" s="12">
        <v>0</v>
      </c>
      <c r="AC167" s="12">
        <v>0</v>
      </c>
      <c r="AD167" s="12">
        <v>0</v>
      </c>
      <c r="AE167" s="12">
        <v>0</v>
      </c>
      <c r="AF167" s="12">
        <v>0</v>
      </c>
      <c r="AG167" s="12">
        <v>0</v>
      </c>
      <c r="AH167" s="12">
        <v>0</v>
      </c>
      <c r="AI167" s="12">
        <v>0</v>
      </c>
      <c r="AJ167" s="12">
        <v>0</v>
      </c>
      <c r="AK167" s="12">
        <v>0</v>
      </c>
      <c r="AL167" s="12">
        <v>0</v>
      </c>
      <c r="AM167" s="12">
        <v>0</v>
      </c>
      <c r="AN167" s="12">
        <v>0</v>
      </c>
      <c r="AO167" s="12">
        <v>0</v>
      </c>
      <c r="AP167" s="12">
        <v>0</v>
      </c>
      <c r="AQ167" s="12">
        <v>0</v>
      </c>
      <c r="AR167" s="12">
        <v>0</v>
      </c>
      <c r="AS167" s="12">
        <v>0</v>
      </c>
      <c r="AT167" s="12">
        <v>0</v>
      </c>
      <c r="AU167" s="12">
        <v>0</v>
      </c>
      <c r="AV167" s="12">
        <v>0</v>
      </c>
      <c r="AW167" s="12">
        <v>0</v>
      </c>
      <c r="AX167" s="12">
        <v>0</v>
      </c>
      <c r="AY167" s="12">
        <v>0</v>
      </c>
      <c r="AZ167" s="12">
        <v>0</v>
      </c>
      <c r="BA167" s="12">
        <v>0</v>
      </c>
    </row>
    <row r="168" spans="1:53" x14ac:dyDescent="0.3">
      <c r="A168" s="7">
        <f t="shared" si="38"/>
        <v>0</v>
      </c>
      <c r="B168" s="7">
        <f t="shared" si="39"/>
        <v>0</v>
      </c>
      <c r="C168" s="7">
        <f t="shared" si="40"/>
        <v>0</v>
      </c>
      <c r="D168" s="5"/>
      <c r="E168" s="5" t="str">
        <f t="shared" si="50"/>
        <v>0505A0100011</v>
      </c>
      <c r="F168" s="5"/>
      <c r="G168" s="5"/>
      <c r="H168" s="11" t="s">
        <v>49</v>
      </c>
      <c r="I168" s="11"/>
      <c r="J168" s="12">
        <v>0</v>
      </c>
      <c r="K168" s="11" t="s">
        <v>919</v>
      </c>
      <c r="L168" s="12">
        <v>0</v>
      </c>
      <c r="M168" s="12">
        <v>0</v>
      </c>
      <c r="N168" s="12">
        <v>0</v>
      </c>
      <c r="O168" s="12">
        <v>0</v>
      </c>
      <c r="P168" s="12">
        <v>0</v>
      </c>
      <c r="Q168" s="12">
        <v>0</v>
      </c>
      <c r="R168" s="12">
        <v>0</v>
      </c>
      <c r="S168" s="12">
        <v>0</v>
      </c>
      <c r="T168" s="12">
        <v>0</v>
      </c>
      <c r="U168" s="12">
        <v>0</v>
      </c>
      <c r="V168" s="12">
        <v>0</v>
      </c>
      <c r="W168" s="12">
        <v>0</v>
      </c>
      <c r="X168" s="12">
        <v>0</v>
      </c>
      <c r="Y168" s="12">
        <v>0</v>
      </c>
      <c r="Z168" s="12">
        <v>0</v>
      </c>
      <c r="AA168" s="12">
        <v>0</v>
      </c>
      <c r="AB168" s="12">
        <v>0</v>
      </c>
      <c r="AC168" s="12">
        <v>0</v>
      </c>
      <c r="AD168" s="12">
        <v>0</v>
      </c>
      <c r="AE168" s="12">
        <v>0</v>
      </c>
      <c r="AF168" s="12">
        <v>0</v>
      </c>
      <c r="AG168" s="12">
        <v>0</v>
      </c>
      <c r="AH168" s="12">
        <v>0</v>
      </c>
      <c r="AI168" s="12">
        <v>0</v>
      </c>
      <c r="AJ168" s="12">
        <v>0</v>
      </c>
      <c r="AK168" s="12">
        <v>0</v>
      </c>
      <c r="AL168" s="12">
        <v>0</v>
      </c>
      <c r="AM168" s="12">
        <v>0</v>
      </c>
      <c r="AN168" s="12">
        <v>0</v>
      </c>
      <c r="AO168" s="12">
        <v>0</v>
      </c>
      <c r="AP168" s="12">
        <v>0</v>
      </c>
      <c r="AQ168" s="12">
        <v>0</v>
      </c>
      <c r="AR168" s="12">
        <v>0</v>
      </c>
      <c r="AS168" s="12">
        <v>0</v>
      </c>
      <c r="AT168" s="12">
        <v>0</v>
      </c>
      <c r="AU168" s="12">
        <v>0</v>
      </c>
      <c r="AV168" s="12">
        <v>0</v>
      </c>
      <c r="AW168" s="12">
        <v>0</v>
      </c>
      <c r="AX168" s="12">
        <v>0</v>
      </c>
      <c r="AY168" s="12">
        <v>0</v>
      </c>
      <c r="AZ168" s="12">
        <v>0</v>
      </c>
      <c r="BA168" s="12">
        <v>0</v>
      </c>
    </row>
    <row r="169" spans="1:53" x14ac:dyDescent="0.3">
      <c r="A169" s="7">
        <f t="shared" si="38"/>
        <v>42000</v>
      </c>
      <c r="B169" s="7">
        <f t="shared" si="39"/>
        <v>42000</v>
      </c>
      <c r="C169" s="7">
        <f t="shared" si="40"/>
        <v>30800</v>
      </c>
      <c r="D169" s="5"/>
      <c r="E169" s="5" t="str">
        <f t="shared" si="50"/>
        <v>0505A0100011</v>
      </c>
      <c r="F169" s="5"/>
      <c r="G169" s="6"/>
      <c r="H169" s="11" t="s">
        <v>920</v>
      </c>
      <c r="I169" s="11"/>
      <c r="J169" s="12">
        <v>0</v>
      </c>
      <c r="K169" s="11" t="s">
        <v>921</v>
      </c>
      <c r="L169" s="12">
        <v>0</v>
      </c>
      <c r="M169" s="12">
        <v>-5600</v>
      </c>
      <c r="N169" s="12">
        <v>6000</v>
      </c>
      <c r="O169" s="12">
        <v>6000</v>
      </c>
      <c r="P169" s="12">
        <v>6000</v>
      </c>
      <c r="Q169" s="12">
        <v>6000</v>
      </c>
      <c r="R169" s="12">
        <v>6000</v>
      </c>
      <c r="S169" s="12">
        <v>6000</v>
      </c>
      <c r="T169" s="12">
        <v>6000</v>
      </c>
      <c r="U169" s="12">
        <v>6000</v>
      </c>
      <c r="V169" s="12">
        <v>6000</v>
      </c>
      <c r="W169" s="12">
        <v>6000</v>
      </c>
      <c r="X169" s="12">
        <v>6000</v>
      </c>
      <c r="Y169" s="12">
        <v>6000</v>
      </c>
      <c r="Z169" s="12">
        <v>6000</v>
      </c>
      <c r="AA169" s="12">
        <v>6000</v>
      </c>
      <c r="AB169" s="12">
        <v>4400</v>
      </c>
      <c r="AC169" s="12">
        <v>4400</v>
      </c>
      <c r="AD169" s="12">
        <v>4400</v>
      </c>
      <c r="AE169" s="12">
        <v>4400</v>
      </c>
      <c r="AF169" s="12">
        <v>4400</v>
      </c>
      <c r="AG169" s="12">
        <v>4400</v>
      </c>
      <c r="AH169" s="12">
        <v>4400</v>
      </c>
      <c r="AI169" s="12">
        <v>4400</v>
      </c>
      <c r="AJ169" s="12">
        <v>2800</v>
      </c>
      <c r="AK169" s="12">
        <v>2800</v>
      </c>
      <c r="AL169" s="12">
        <v>2800</v>
      </c>
      <c r="AM169" s="12">
        <v>2800</v>
      </c>
      <c r="AN169" s="12">
        <v>-400</v>
      </c>
      <c r="AO169" s="12">
        <v>-400</v>
      </c>
      <c r="AP169" s="12">
        <v>-400</v>
      </c>
      <c r="AQ169" s="12">
        <v>-3200</v>
      </c>
      <c r="AR169" s="12">
        <v>-3200</v>
      </c>
      <c r="AS169" s="12">
        <v>-3200</v>
      </c>
      <c r="AT169" s="12">
        <v>-5600</v>
      </c>
      <c r="AU169" s="12">
        <v>-5600</v>
      </c>
      <c r="AV169" s="12">
        <v>-5600</v>
      </c>
      <c r="AW169" s="12">
        <v>0</v>
      </c>
      <c r="AX169" s="12">
        <v>0</v>
      </c>
      <c r="AY169" s="12">
        <v>0</v>
      </c>
      <c r="AZ169" s="12">
        <v>0</v>
      </c>
      <c r="BA169" s="12">
        <v>0</v>
      </c>
    </row>
    <row r="170" spans="1:53" x14ac:dyDescent="0.3">
      <c r="A170" s="7">
        <f t="shared" si="38"/>
        <v>0</v>
      </c>
      <c r="B170" s="7">
        <f t="shared" si="39"/>
        <v>0</v>
      </c>
      <c r="C170" s="7">
        <f t="shared" si="40"/>
        <v>0</v>
      </c>
      <c r="D170" s="13"/>
      <c r="E170" s="13" t="s">
        <v>861</v>
      </c>
      <c r="F170" s="5"/>
      <c r="G170" s="13" t="s">
        <v>1005</v>
      </c>
      <c r="H170" s="13" t="s">
        <v>49</v>
      </c>
      <c r="I170" s="11" t="s">
        <v>49</v>
      </c>
      <c r="J170" s="12">
        <v>0</v>
      </c>
      <c r="K170" s="11" t="s">
        <v>916</v>
      </c>
      <c r="L170" s="12">
        <v>0</v>
      </c>
      <c r="M170" s="12">
        <v>0</v>
      </c>
      <c r="N170" s="12">
        <v>0</v>
      </c>
      <c r="O170" s="12">
        <v>0</v>
      </c>
      <c r="P170" s="12">
        <v>0</v>
      </c>
      <c r="Q170" s="12">
        <v>0</v>
      </c>
      <c r="R170" s="12">
        <v>0</v>
      </c>
      <c r="S170" s="12">
        <v>0</v>
      </c>
      <c r="T170" s="12">
        <v>0</v>
      </c>
      <c r="U170" s="12">
        <v>0</v>
      </c>
      <c r="V170" s="12">
        <v>0</v>
      </c>
      <c r="W170" s="12">
        <v>0</v>
      </c>
      <c r="X170" s="12">
        <v>0</v>
      </c>
      <c r="Y170" s="12">
        <v>0</v>
      </c>
      <c r="Z170" s="12">
        <v>0</v>
      </c>
      <c r="AA170" s="12">
        <v>0</v>
      </c>
      <c r="AB170" s="12">
        <v>0</v>
      </c>
      <c r="AC170" s="12">
        <v>0</v>
      </c>
      <c r="AD170" s="12">
        <v>0</v>
      </c>
      <c r="AE170" s="12">
        <v>0</v>
      </c>
      <c r="AF170" s="12">
        <v>0</v>
      </c>
      <c r="AG170" s="12">
        <v>0</v>
      </c>
      <c r="AH170" s="12">
        <v>0</v>
      </c>
      <c r="AI170" s="12">
        <v>0</v>
      </c>
      <c r="AJ170" s="12">
        <v>0</v>
      </c>
      <c r="AK170" s="12">
        <v>0</v>
      </c>
      <c r="AL170" s="12">
        <v>0</v>
      </c>
      <c r="AM170" s="12">
        <v>0</v>
      </c>
      <c r="AN170" s="12">
        <v>0</v>
      </c>
      <c r="AO170" s="12">
        <v>0</v>
      </c>
      <c r="AP170" s="12">
        <v>0</v>
      </c>
      <c r="AQ170" s="12">
        <v>0</v>
      </c>
      <c r="AR170" s="12">
        <v>0</v>
      </c>
      <c r="AS170" s="12">
        <v>0</v>
      </c>
      <c r="AT170" s="12">
        <v>0</v>
      </c>
      <c r="AU170" s="12">
        <v>0</v>
      </c>
      <c r="AV170" s="12">
        <v>0</v>
      </c>
      <c r="AW170" s="12">
        <v>0</v>
      </c>
      <c r="AX170" s="12">
        <v>0</v>
      </c>
      <c r="AY170" s="12">
        <v>0</v>
      </c>
      <c r="AZ170" s="12">
        <v>0</v>
      </c>
      <c r="BA170" s="12">
        <v>0</v>
      </c>
    </row>
    <row r="171" spans="1:53" x14ac:dyDescent="0.3">
      <c r="A171" s="7">
        <f t="shared" si="38"/>
        <v>52192</v>
      </c>
      <c r="B171" s="7">
        <f t="shared" si="39"/>
        <v>52192</v>
      </c>
      <c r="C171" s="7">
        <f t="shared" si="40"/>
        <v>52192</v>
      </c>
      <c r="D171" s="5"/>
      <c r="E171" s="5" t="str">
        <f t="shared" ref="E171:E174" si="51">E170</f>
        <v>0505-003418</v>
      </c>
      <c r="F171" s="5"/>
      <c r="G171" s="5"/>
      <c r="H171" s="6"/>
      <c r="I171" s="11"/>
      <c r="J171" s="12">
        <v>0</v>
      </c>
      <c r="K171" s="11" t="s">
        <v>917</v>
      </c>
      <c r="L171" s="12">
        <v>7456</v>
      </c>
      <c r="M171" s="12">
        <v>7456</v>
      </c>
      <c r="N171" s="12">
        <v>7456</v>
      </c>
      <c r="O171" s="12">
        <v>7456</v>
      </c>
      <c r="P171" s="12">
        <v>7456</v>
      </c>
      <c r="Q171" s="12">
        <v>7456</v>
      </c>
      <c r="R171" s="12">
        <v>7456</v>
      </c>
      <c r="S171" s="12">
        <v>7456</v>
      </c>
      <c r="T171" s="12">
        <v>7456</v>
      </c>
      <c r="U171" s="12">
        <v>7456</v>
      </c>
      <c r="V171" s="12">
        <v>7456</v>
      </c>
      <c r="W171" s="12">
        <v>7456</v>
      </c>
      <c r="X171" s="12">
        <v>7456</v>
      </c>
      <c r="Y171" s="12">
        <v>7456</v>
      </c>
      <c r="Z171" s="12">
        <v>7456</v>
      </c>
      <c r="AA171" s="12">
        <v>7456</v>
      </c>
      <c r="AB171" s="12">
        <v>7456</v>
      </c>
      <c r="AC171" s="12">
        <v>7456</v>
      </c>
      <c r="AD171" s="12">
        <v>7456</v>
      </c>
      <c r="AE171" s="12">
        <v>7456</v>
      </c>
      <c r="AF171" s="12">
        <v>7456</v>
      </c>
      <c r="AG171" s="12">
        <v>7456</v>
      </c>
      <c r="AH171" s="12">
        <v>7456</v>
      </c>
      <c r="AI171" s="12">
        <v>7456</v>
      </c>
      <c r="AJ171" s="12">
        <v>7456</v>
      </c>
      <c r="AK171" s="12">
        <v>7456</v>
      </c>
      <c r="AL171" s="12">
        <v>7456</v>
      </c>
      <c r="AM171" s="12">
        <v>7456</v>
      </c>
      <c r="AN171" s="12">
        <v>7456</v>
      </c>
      <c r="AO171" s="12">
        <v>7456</v>
      </c>
      <c r="AP171" s="12">
        <v>7456</v>
      </c>
      <c r="AQ171" s="12">
        <v>7456</v>
      </c>
      <c r="AR171" s="12">
        <v>7456</v>
      </c>
      <c r="AS171" s="12">
        <v>7456</v>
      </c>
      <c r="AT171" s="12">
        <v>7456</v>
      </c>
      <c r="AU171" s="12">
        <v>7456</v>
      </c>
      <c r="AV171" s="12">
        <v>7456</v>
      </c>
      <c r="AW171" s="12">
        <v>0</v>
      </c>
      <c r="AX171" s="12">
        <v>0</v>
      </c>
      <c r="AY171" s="12">
        <v>0</v>
      </c>
      <c r="AZ171" s="12">
        <v>0</v>
      </c>
      <c r="BA171" s="12">
        <v>0</v>
      </c>
    </row>
    <row r="172" spans="1:53" x14ac:dyDescent="0.3">
      <c r="A172" s="7">
        <f t="shared" si="38"/>
        <v>0</v>
      </c>
      <c r="B172" s="7">
        <f t="shared" si="39"/>
        <v>0</v>
      </c>
      <c r="C172" s="7">
        <f t="shared" si="40"/>
        <v>0</v>
      </c>
      <c r="D172" s="5"/>
      <c r="E172" s="5" t="str">
        <f t="shared" si="51"/>
        <v>0505-003418</v>
      </c>
      <c r="F172" s="5"/>
      <c r="G172" s="5"/>
      <c r="H172" s="11" t="s">
        <v>769</v>
      </c>
      <c r="I172" s="11" t="s">
        <v>770</v>
      </c>
      <c r="J172" s="12"/>
      <c r="K172" s="11" t="s">
        <v>918</v>
      </c>
      <c r="L172" s="12">
        <v>0</v>
      </c>
      <c r="M172" s="12">
        <v>0</v>
      </c>
      <c r="N172" s="12">
        <v>0</v>
      </c>
      <c r="O172" s="12">
        <v>0</v>
      </c>
      <c r="P172" s="12">
        <v>0</v>
      </c>
      <c r="Q172" s="12">
        <v>0</v>
      </c>
      <c r="R172" s="12">
        <v>0</v>
      </c>
      <c r="S172" s="12">
        <v>0</v>
      </c>
      <c r="T172" s="12">
        <v>0</v>
      </c>
      <c r="U172" s="12">
        <v>0</v>
      </c>
      <c r="V172" s="12">
        <v>0</v>
      </c>
      <c r="W172" s="12">
        <v>0</v>
      </c>
      <c r="X172" s="12">
        <v>0</v>
      </c>
      <c r="Y172" s="12">
        <v>0</v>
      </c>
      <c r="Z172" s="12">
        <v>0</v>
      </c>
      <c r="AA172" s="12">
        <v>0</v>
      </c>
      <c r="AB172" s="12">
        <v>0</v>
      </c>
      <c r="AC172" s="12">
        <v>0</v>
      </c>
      <c r="AD172" s="12">
        <v>0</v>
      </c>
      <c r="AE172" s="12">
        <v>0</v>
      </c>
      <c r="AF172" s="12">
        <v>0</v>
      </c>
      <c r="AG172" s="12">
        <v>0</v>
      </c>
      <c r="AH172" s="12">
        <v>0</v>
      </c>
      <c r="AI172" s="12">
        <v>0</v>
      </c>
      <c r="AJ172" s="12">
        <v>0</v>
      </c>
      <c r="AK172" s="12">
        <v>0</v>
      </c>
      <c r="AL172" s="12">
        <v>0</v>
      </c>
      <c r="AM172" s="12">
        <v>0</v>
      </c>
      <c r="AN172" s="12">
        <v>0</v>
      </c>
      <c r="AO172" s="12">
        <v>0</v>
      </c>
      <c r="AP172" s="12">
        <v>0</v>
      </c>
      <c r="AQ172" s="12">
        <v>0</v>
      </c>
      <c r="AR172" s="12">
        <v>0</v>
      </c>
      <c r="AS172" s="12">
        <v>0</v>
      </c>
      <c r="AT172" s="12">
        <v>0</v>
      </c>
      <c r="AU172" s="12">
        <v>0</v>
      </c>
      <c r="AV172" s="12">
        <v>0</v>
      </c>
      <c r="AW172" s="12">
        <v>0</v>
      </c>
      <c r="AX172" s="12">
        <v>0</v>
      </c>
      <c r="AY172" s="12">
        <v>0</v>
      </c>
      <c r="AZ172" s="12">
        <v>0</v>
      </c>
      <c r="BA172" s="12">
        <v>0</v>
      </c>
    </row>
    <row r="173" spans="1:53" x14ac:dyDescent="0.3">
      <c r="A173" s="7">
        <f t="shared" si="38"/>
        <v>0</v>
      </c>
      <c r="B173" s="7">
        <f t="shared" si="39"/>
        <v>0</v>
      </c>
      <c r="C173" s="7">
        <f t="shared" si="40"/>
        <v>0</v>
      </c>
      <c r="D173" s="5"/>
      <c r="E173" s="5" t="str">
        <f t="shared" si="51"/>
        <v>0505-003418</v>
      </c>
      <c r="F173" s="5"/>
      <c r="G173" s="5"/>
      <c r="H173" s="11" t="s">
        <v>49</v>
      </c>
      <c r="I173" s="11"/>
      <c r="J173" s="12">
        <v>0</v>
      </c>
      <c r="K173" s="11" t="s">
        <v>919</v>
      </c>
      <c r="L173" s="12">
        <v>0</v>
      </c>
      <c r="M173" s="12">
        <v>0</v>
      </c>
      <c r="N173" s="12">
        <v>0</v>
      </c>
      <c r="O173" s="12">
        <v>0</v>
      </c>
      <c r="P173" s="12">
        <v>0</v>
      </c>
      <c r="Q173" s="12">
        <v>0</v>
      </c>
      <c r="R173" s="12">
        <v>0</v>
      </c>
      <c r="S173" s="12">
        <v>0</v>
      </c>
      <c r="T173" s="12">
        <v>0</v>
      </c>
      <c r="U173" s="12">
        <v>0</v>
      </c>
      <c r="V173" s="12">
        <v>0</v>
      </c>
      <c r="W173" s="12">
        <v>0</v>
      </c>
      <c r="X173" s="12">
        <v>0</v>
      </c>
      <c r="Y173" s="12">
        <v>0</v>
      </c>
      <c r="Z173" s="12">
        <v>0</v>
      </c>
      <c r="AA173" s="12">
        <v>0</v>
      </c>
      <c r="AB173" s="12">
        <v>0</v>
      </c>
      <c r="AC173" s="12">
        <v>0</v>
      </c>
      <c r="AD173" s="12">
        <v>0</v>
      </c>
      <c r="AE173" s="12">
        <v>0</v>
      </c>
      <c r="AF173" s="12">
        <v>0</v>
      </c>
      <c r="AG173" s="12">
        <v>0</v>
      </c>
      <c r="AH173" s="12">
        <v>0</v>
      </c>
      <c r="AI173" s="12">
        <v>0</v>
      </c>
      <c r="AJ173" s="12">
        <v>0</v>
      </c>
      <c r="AK173" s="12">
        <v>0</v>
      </c>
      <c r="AL173" s="12">
        <v>0</v>
      </c>
      <c r="AM173" s="12">
        <v>0</v>
      </c>
      <c r="AN173" s="12">
        <v>0</v>
      </c>
      <c r="AO173" s="12">
        <v>0</v>
      </c>
      <c r="AP173" s="12">
        <v>0</v>
      </c>
      <c r="AQ173" s="12">
        <v>0</v>
      </c>
      <c r="AR173" s="12">
        <v>0</v>
      </c>
      <c r="AS173" s="12">
        <v>0</v>
      </c>
      <c r="AT173" s="12">
        <v>0</v>
      </c>
      <c r="AU173" s="12">
        <v>0</v>
      </c>
      <c r="AV173" s="12">
        <v>0</v>
      </c>
      <c r="AW173" s="12">
        <v>0</v>
      </c>
      <c r="AX173" s="12">
        <v>0</v>
      </c>
      <c r="AY173" s="12">
        <v>0</v>
      </c>
      <c r="AZ173" s="12">
        <v>0</v>
      </c>
      <c r="BA173" s="12">
        <v>0</v>
      </c>
    </row>
    <row r="174" spans="1:53" x14ac:dyDescent="0.3">
      <c r="A174" s="7">
        <f t="shared" si="38"/>
        <v>52192</v>
      </c>
      <c r="B174" s="7">
        <f t="shared" si="39"/>
        <v>52192</v>
      </c>
      <c r="C174" s="7">
        <f t="shared" si="40"/>
        <v>52192</v>
      </c>
      <c r="D174" s="5"/>
      <c r="E174" s="5" t="str">
        <f t="shared" si="51"/>
        <v>0505-003418</v>
      </c>
      <c r="F174" s="5"/>
      <c r="G174" s="6"/>
      <c r="H174" s="11" t="s">
        <v>920</v>
      </c>
      <c r="I174" s="11"/>
      <c r="J174" s="12">
        <v>0</v>
      </c>
      <c r="K174" s="11" t="s">
        <v>921</v>
      </c>
      <c r="L174" s="12">
        <v>0</v>
      </c>
      <c r="M174" s="12">
        <v>7456</v>
      </c>
      <c r="N174" s="12">
        <v>7456</v>
      </c>
      <c r="O174" s="12">
        <v>7456</v>
      </c>
      <c r="P174" s="12">
        <v>7456</v>
      </c>
      <c r="Q174" s="12">
        <v>7456</v>
      </c>
      <c r="R174" s="12">
        <v>7456</v>
      </c>
      <c r="S174" s="12">
        <v>7456</v>
      </c>
      <c r="T174" s="12">
        <v>7456</v>
      </c>
      <c r="U174" s="12">
        <v>7456</v>
      </c>
      <c r="V174" s="12">
        <v>7456</v>
      </c>
      <c r="W174" s="12">
        <v>7456</v>
      </c>
      <c r="X174" s="12">
        <v>7456</v>
      </c>
      <c r="Y174" s="12">
        <v>7456</v>
      </c>
      <c r="Z174" s="12">
        <v>7456</v>
      </c>
      <c r="AA174" s="12">
        <v>7456</v>
      </c>
      <c r="AB174" s="12">
        <v>7456</v>
      </c>
      <c r="AC174" s="12">
        <v>7456</v>
      </c>
      <c r="AD174" s="12">
        <v>7456</v>
      </c>
      <c r="AE174" s="12">
        <v>7456</v>
      </c>
      <c r="AF174" s="12">
        <v>7456</v>
      </c>
      <c r="AG174" s="12">
        <v>7456</v>
      </c>
      <c r="AH174" s="12">
        <v>7456</v>
      </c>
      <c r="AI174" s="12">
        <v>7456</v>
      </c>
      <c r="AJ174" s="12">
        <v>7456</v>
      </c>
      <c r="AK174" s="12">
        <v>7456</v>
      </c>
      <c r="AL174" s="12">
        <v>7456</v>
      </c>
      <c r="AM174" s="12">
        <v>7456</v>
      </c>
      <c r="AN174" s="12">
        <v>7456</v>
      </c>
      <c r="AO174" s="12">
        <v>7456</v>
      </c>
      <c r="AP174" s="12">
        <v>7456</v>
      </c>
      <c r="AQ174" s="12">
        <v>7456</v>
      </c>
      <c r="AR174" s="12">
        <v>7456</v>
      </c>
      <c r="AS174" s="12">
        <v>7456</v>
      </c>
      <c r="AT174" s="12">
        <v>7456</v>
      </c>
      <c r="AU174" s="12">
        <v>7456</v>
      </c>
      <c r="AV174" s="12">
        <v>7456</v>
      </c>
      <c r="AW174" s="12">
        <v>0</v>
      </c>
      <c r="AX174" s="12">
        <v>0</v>
      </c>
      <c r="AY174" s="12">
        <v>0</v>
      </c>
      <c r="AZ174" s="12">
        <v>0</v>
      </c>
      <c r="BA174" s="12">
        <v>0</v>
      </c>
    </row>
    <row r="175" spans="1:53" x14ac:dyDescent="0.3">
      <c r="A175" s="7">
        <f t="shared" si="38"/>
        <v>0</v>
      </c>
      <c r="B175" s="7">
        <f t="shared" si="39"/>
        <v>0</v>
      </c>
      <c r="C175" s="7">
        <f t="shared" si="40"/>
        <v>0</v>
      </c>
      <c r="D175" s="13"/>
      <c r="E175" s="13" t="s">
        <v>797</v>
      </c>
      <c r="F175" s="5"/>
      <c r="G175" s="13" t="s">
        <v>1006</v>
      </c>
      <c r="H175" s="13" t="s">
        <v>49</v>
      </c>
      <c r="I175" s="11" t="s">
        <v>49</v>
      </c>
      <c r="J175" s="12">
        <v>0</v>
      </c>
      <c r="K175" s="11" t="s">
        <v>916</v>
      </c>
      <c r="L175" s="12">
        <v>0</v>
      </c>
      <c r="M175" s="12">
        <v>0</v>
      </c>
      <c r="N175" s="12">
        <v>0</v>
      </c>
      <c r="O175" s="12">
        <v>0</v>
      </c>
      <c r="P175" s="12">
        <v>0</v>
      </c>
      <c r="Q175" s="12">
        <v>0</v>
      </c>
      <c r="R175" s="12">
        <v>0</v>
      </c>
      <c r="S175" s="12">
        <v>0</v>
      </c>
      <c r="T175" s="12">
        <v>0</v>
      </c>
      <c r="U175" s="12">
        <v>0</v>
      </c>
      <c r="V175" s="12">
        <v>0</v>
      </c>
      <c r="W175" s="12">
        <v>0</v>
      </c>
      <c r="X175" s="12">
        <v>0</v>
      </c>
      <c r="Y175" s="12">
        <v>0</v>
      </c>
      <c r="Z175" s="12">
        <v>0</v>
      </c>
      <c r="AA175" s="12">
        <v>0</v>
      </c>
      <c r="AB175" s="12">
        <v>0</v>
      </c>
      <c r="AC175" s="12">
        <v>0</v>
      </c>
      <c r="AD175" s="12">
        <v>0</v>
      </c>
      <c r="AE175" s="12">
        <v>0</v>
      </c>
      <c r="AF175" s="12">
        <v>0</v>
      </c>
      <c r="AG175" s="12">
        <v>0</v>
      </c>
      <c r="AH175" s="12">
        <v>0</v>
      </c>
      <c r="AI175" s="12">
        <v>0</v>
      </c>
      <c r="AJ175" s="12">
        <v>0</v>
      </c>
      <c r="AK175" s="12">
        <v>0</v>
      </c>
      <c r="AL175" s="12">
        <v>0</v>
      </c>
      <c r="AM175" s="12">
        <v>0</v>
      </c>
      <c r="AN175" s="12">
        <v>0</v>
      </c>
      <c r="AO175" s="12">
        <v>0</v>
      </c>
      <c r="AP175" s="12">
        <v>0</v>
      </c>
      <c r="AQ175" s="12">
        <v>0</v>
      </c>
      <c r="AR175" s="12">
        <v>0</v>
      </c>
      <c r="AS175" s="12">
        <v>0</v>
      </c>
      <c r="AT175" s="12">
        <v>0</v>
      </c>
      <c r="AU175" s="12">
        <v>0</v>
      </c>
      <c r="AV175" s="12">
        <v>0</v>
      </c>
      <c r="AW175" s="12">
        <v>0</v>
      </c>
      <c r="AX175" s="12">
        <v>0</v>
      </c>
      <c r="AY175" s="12">
        <v>0</v>
      </c>
      <c r="AZ175" s="12">
        <v>0</v>
      </c>
      <c r="BA175" s="12">
        <v>0</v>
      </c>
    </row>
    <row r="176" spans="1:53" x14ac:dyDescent="0.3">
      <c r="A176" s="7">
        <f t="shared" si="38"/>
        <v>72653</v>
      </c>
      <c r="B176" s="7">
        <f t="shared" si="39"/>
        <v>72653</v>
      </c>
      <c r="C176" s="7">
        <f t="shared" si="40"/>
        <v>72653</v>
      </c>
      <c r="D176" s="5"/>
      <c r="E176" s="5" t="str">
        <f t="shared" ref="E176:E179" si="52">E175</f>
        <v>0505A0100041</v>
      </c>
      <c r="F176" s="5"/>
      <c r="G176" s="5"/>
      <c r="H176" s="6"/>
      <c r="I176" s="11"/>
      <c r="J176" s="12">
        <v>0</v>
      </c>
      <c r="K176" s="11" t="s">
        <v>917</v>
      </c>
      <c r="L176" s="12">
        <v>10379</v>
      </c>
      <c r="M176" s="12">
        <v>10379</v>
      </c>
      <c r="N176" s="12">
        <v>10379</v>
      </c>
      <c r="O176" s="12">
        <v>10379</v>
      </c>
      <c r="P176" s="12">
        <v>10379</v>
      </c>
      <c r="Q176" s="12">
        <v>10379</v>
      </c>
      <c r="R176" s="12">
        <v>10379</v>
      </c>
      <c r="S176" s="12">
        <v>10379</v>
      </c>
      <c r="T176" s="12">
        <v>10379</v>
      </c>
      <c r="U176" s="12">
        <v>10379</v>
      </c>
      <c r="V176" s="12">
        <v>10379</v>
      </c>
      <c r="W176" s="12">
        <v>10379</v>
      </c>
      <c r="X176" s="12">
        <v>10379</v>
      </c>
      <c r="Y176" s="12">
        <v>10379</v>
      </c>
      <c r="Z176" s="12">
        <v>10379</v>
      </c>
      <c r="AA176" s="12">
        <v>10379</v>
      </c>
      <c r="AB176" s="12">
        <v>10379</v>
      </c>
      <c r="AC176" s="12">
        <v>10379</v>
      </c>
      <c r="AD176" s="12">
        <v>10379</v>
      </c>
      <c r="AE176" s="12">
        <v>10379</v>
      </c>
      <c r="AF176" s="12">
        <v>10379</v>
      </c>
      <c r="AG176" s="12">
        <v>10379</v>
      </c>
      <c r="AH176" s="12">
        <v>10379</v>
      </c>
      <c r="AI176" s="12">
        <v>10379</v>
      </c>
      <c r="AJ176" s="12">
        <v>10379</v>
      </c>
      <c r="AK176" s="12">
        <v>10379</v>
      </c>
      <c r="AL176" s="12">
        <v>10379</v>
      </c>
      <c r="AM176" s="12">
        <v>10379</v>
      </c>
      <c r="AN176" s="12">
        <v>10379</v>
      </c>
      <c r="AO176" s="12">
        <v>10379</v>
      </c>
      <c r="AP176" s="12">
        <v>10379</v>
      </c>
      <c r="AQ176" s="12">
        <v>10379</v>
      </c>
      <c r="AR176" s="12">
        <v>10379</v>
      </c>
      <c r="AS176" s="12">
        <v>10379</v>
      </c>
      <c r="AT176" s="12">
        <v>10379</v>
      </c>
      <c r="AU176" s="12">
        <v>10379</v>
      </c>
      <c r="AV176" s="12">
        <v>10379</v>
      </c>
      <c r="AW176" s="12">
        <v>0</v>
      </c>
      <c r="AX176" s="12">
        <v>0</v>
      </c>
      <c r="AY176" s="12">
        <v>0</v>
      </c>
      <c r="AZ176" s="12">
        <v>0</v>
      </c>
      <c r="BA176" s="12">
        <v>0</v>
      </c>
    </row>
    <row r="177" spans="1:53" x14ac:dyDescent="0.3">
      <c r="A177" s="7">
        <f t="shared" si="38"/>
        <v>0</v>
      </c>
      <c r="B177" s="7">
        <f t="shared" si="39"/>
        <v>0</v>
      </c>
      <c r="C177" s="7">
        <f t="shared" si="40"/>
        <v>0</v>
      </c>
      <c r="D177" s="5"/>
      <c r="E177" s="5" t="str">
        <f t="shared" si="52"/>
        <v>0505A0100041</v>
      </c>
      <c r="F177" s="5"/>
      <c r="G177" s="5"/>
      <c r="H177" s="11" t="s">
        <v>769</v>
      </c>
      <c r="I177" s="11" t="s">
        <v>770</v>
      </c>
      <c r="J177" s="12"/>
      <c r="K177" s="11" t="s">
        <v>918</v>
      </c>
      <c r="L177" s="12">
        <v>0</v>
      </c>
      <c r="M177" s="12">
        <v>0</v>
      </c>
      <c r="N177" s="12">
        <v>0</v>
      </c>
      <c r="O177" s="12">
        <v>0</v>
      </c>
      <c r="P177" s="12">
        <v>0</v>
      </c>
      <c r="Q177" s="12">
        <v>0</v>
      </c>
      <c r="R177" s="12">
        <v>0</v>
      </c>
      <c r="S177" s="12">
        <v>0</v>
      </c>
      <c r="T177" s="12">
        <v>0</v>
      </c>
      <c r="U177" s="12">
        <v>0</v>
      </c>
      <c r="V177" s="12">
        <v>0</v>
      </c>
      <c r="W177" s="12">
        <v>0</v>
      </c>
      <c r="X177" s="12">
        <v>0</v>
      </c>
      <c r="Y177" s="12">
        <v>0</v>
      </c>
      <c r="Z177" s="12">
        <v>0</v>
      </c>
      <c r="AA177" s="12">
        <v>0</v>
      </c>
      <c r="AB177" s="12">
        <v>0</v>
      </c>
      <c r="AC177" s="12">
        <v>0</v>
      </c>
      <c r="AD177" s="12">
        <v>0</v>
      </c>
      <c r="AE177" s="12">
        <v>0</v>
      </c>
      <c r="AF177" s="12">
        <v>0</v>
      </c>
      <c r="AG177" s="12">
        <v>0</v>
      </c>
      <c r="AH177" s="12">
        <v>0</v>
      </c>
      <c r="AI177" s="12">
        <v>0</v>
      </c>
      <c r="AJ177" s="12">
        <v>0</v>
      </c>
      <c r="AK177" s="12">
        <v>0</v>
      </c>
      <c r="AL177" s="12">
        <v>0</v>
      </c>
      <c r="AM177" s="12">
        <v>0</v>
      </c>
      <c r="AN177" s="12">
        <v>0</v>
      </c>
      <c r="AO177" s="12">
        <v>0</v>
      </c>
      <c r="AP177" s="12">
        <v>0</v>
      </c>
      <c r="AQ177" s="12">
        <v>0</v>
      </c>
      <c r="AR177" s="12">
        <v>0</v>
      </c>
      <c r="AS177" s="12">
        <v>0</v>
      </c>
      <c r="AT177" s="12">
        <v>0</v>
      </c>
      <c r="AU177" s="12">
        <v>0</v>
      </c>
      <c r="AV177" s="12">
        <v>0</v>
      </c>
      <c r="AW177" s="12">
        <v>0</v>
      </c>
      <c r="AX177" s="12">
        <v>0</v>
      </c>
      <c r="AY177" s="12">
        <v>0</v>
      </c>
      <c r="AZ177" s="12">
        <v>0</v>
      </c>
      <c r="BA177" s="12">
        <v>0</v>
      </c>
    </row>
    <row r="178" spans="1:53" x14ac:dyDescent="0.3">
      <c r="A178" s="7">
        <f t="shared" si="38"/>
        <v>0</v>
      </c>
      <c r="B178" s="7">
        <f t="shared" si="39"/>
        <v>0</v>
      </c>
      <c r="C178" s="7">
        <f t="shared" si="40"/>
        <v>0</v>
      </c>
      <c r="D178" s="5"/>
      <c r="E178" s="5" t="str">
        <f t="shared" si="52"/>
        <v>0505A0100041</v>
      </c>
      <c r="F178" s="5"/>
      <c r="G178" s="5"/>
      <c r="H178" s="11" t="s">
        <v>49</v>
      </c>
      <c r="I178" s="11"/>
      <c r="J178" s="12">
        <v>0</v>
      </c>
      <c r="K178" s="11" t="s">
        <v>919</v>
      </c>
      <c r="L178" s="12">
        <v>0</v>
      </c>
      <c r="M178" s="12">
        <v>0</v>
      </c>
      <c r="N178" s="12">
        <v>0</v>
      </c>
      <c r="O178" s="12">
        <v>0</v>
      </c>
      <c r="P178" s="12">
        <v>0</v>
      </c>
      <c r="Q178" s="12">
        <v>0</v>
      </c>
      <c r="R178" s="12">
        <v>0</v>
      </c>
      <c r="S178" s="12">
        <v>0</v>
      </c>
      <c r="T178" s="12">
        <v>0</v>
      </c>
      <c r="U178" s="12">
        <v>0</v>
      </c>
      <c r="V178" s="12">
        <v>0</v>
      </c>
      <c r="W178" s="12">
        <v>0</v>
      </c>
      <c r="X178" s="12">
        <v>0</v>
      </c>
      <c r="Y178" s="12">
        <v>0</v>
      </c>
      <c r="Z178" s="12">
        <v>0</v>
      </c>
      <c r="AA178" s="12">
        <v>0</v>
      </c>
      <c r="AB178" s="12">
        <v>0</v>
      </c>
      <c r="AC178" s="12">
        <v>0</v>
      </c>
      <c r="AD178" s="12">
        <v>0</v>
      </c>
      <c r="AE178" s="12">
        <v>0</v>
      </c>
      <c r="AF178" s="12">
        <v>0</v>
      </c>
      <c r="AG178" s="12">
        <v>0</v>
      </c>
      <c r="AH178" s="12">
        <v>0</v>
      </c>
      <c r="AI178" s="12">
        <v>0</v>
      </c>
      <c r="AJ178" s="12">
        <v>0</v>
      </c>
      <c r="AK178" s="12">
        <v>0</v>
      </c>
      <c r="AL178" s="12">
        <v>0</v>
      </c>
      <c r="AM178" s="12">
        <v>0</v>
      </c>
      <c r="AN178" s="12">
        <v>0</v>
      </c>
      <c r="AO178" s="12">
        <v>0</v>
      </c>
      <c r="AP178" s="12">
        <v>0</v>
      </c>
      <c r="AQ178" s="12">
        <v>0</v>
      </c>
      <c r="AR178" s="12">
        <v>0</v>
      </c>
      <c r="AS178" s="12">
        <v>0</v>
      </c>
      <c r="AT178" s="12">
        <v>0</v>
      </c>
      <c r="AU178" s="12">
        <v>0</v>
      </c>
      <c r="AV178" s="12">
        <v>0</v>
      </c>
      <c r="AW178" s="12">
        <v>0</v>
      </c>
      <c r="AX178" s="12">
        <v>0</v>
      </c>
      <c r="AY178" s="12">
        <v>0</v>
      </c>
      <c r="AZ178" s="12">
        <v>0</v>
      </c>
      <c r="BA178" s="12">
        <v>0</v>
      </c>
    </row>
    <row r="179" spans="1:53" x14ac:dyDescent="0.3">
      <c r="A179" s="7">
        <f t="shared" si="38"/>
        <v>72653</v>
      </c>
      <c r="B179" s="7">
        <f t="shared" si="39"/>
        <v>72653</v>
      </c>
      <c r="C179" s="7">
        <f t="shared" si="40"/>
        <v>72653</v>
      </c>
      <c r="D179" s="5"/>
      <c r="E179" s="5" t="str">
        <f t="shared" si="52"/>
        <v>0505A0100041</v>
      </c>
      <c r="F179" s="5"/>
      <c r="G179" s="6"/>
      <c r="H179" s="11" t="s">
        <v>920</v>
      </c>
      <c r="I179" s="11"/>
      <c r="J179" s="12">
        <v>0</v>
      </c>
      <c r="K179" s="11" t="s">
        <v>921</v>
      </c>
      <c r="L179" s="12">
        <v>0</v>
      </c>
      <c r="M179" s="12">
        <v>10379</v>
      </c>
      <c r="N179" s="12">
        <v>10379</v>
      </c>
      <c r="O179" s="12">
        <v>10379</v>
      </c>
      <c r="P179" s="12">
        <v>10379</v>
      </c>
      <c r="Q179" s="12">
        <v>10379</v>
      </c>
      <c r="R179" s="12">
        <v>10379</v>
      </c>
      <c r="S179" s="12">
        <v>10379</v>
      </c>
      <c r="T179" s="12">
        <v>10379</v>
      </c>
      <c r="U179" s="12">
        <v>10379</v>
      </c>
      <c r="V179" s="12">
        <v>10379</v>
      </c>
      <c r="W179" s="12">
        <v>10379</v>
      </c>
      <c r="X179" s="12">
        <v>10379</v>
      </c>
      <c r="Y179" s="12">
        <v>10379</v>
      </c>
      <c r="Z179" s="12">
        <v>10379</v>
      </c>
      <c r="AA179" s="12">
        <v>10379</v>
      </c>
      <c r="AB179" s="12">
        <v>10379</v>
      </c>
      <c r="AC179" s="12">
        <v>10379</v>
      </c>
      <c r="AD179" s="12">
        <v>10379</v>
      </c>
      <c r="AE179" s="12">
        <v>10379</v>
      </c>
      <c r="AF179" s="12">
        <v>10379</v>
      </c>
      <c r="AG179" s="12">
        <v>10379</v>
      </c>
      <c r="AH179" s="12">
        <v>10379</v>
      </c>
      <c r="AI179" s="12">
        <v>10379</v>
      </c>
      <c r="AJ179" s="12">
        <v>10379</v>
      </c>
      <c r="AK179" s="12">
        <v>10379</v>
      </c>
      <c r="AL179" s="12">
        <v>10379</v>
      </c>
      <c r="AM179" s="12">
        <v>10379</v>
      </c>
      <c r="AN179" s="12">
        <v>10379</v>
      </c>
      <c r="AO179" s="12">
        <v>10379</v>
      </c>
      <c r="AP179" s="12">
        <v>10379</v>
      </c>
      <c r="AQ179" s="12">
        <v>10379</v>
      </c>
      <c r="AR179" s="12">
        <v>10379</v>
      </c>
      <c r="AS179" s="12">
        <v>10379</v>
      </c>
      <c r="AT179" s="12">
        <v>10379</v>
      </c>
      <c r="AU179" s="12">
        <v>10379</v>
      </c>
      <c r="AV179" s="12">
        <v>10379</v>
      </c>
      <c r="AW179" s="12">
        <v>0</v>
      </c>
      <c r="AX179" s="12">
        <v>0</v>
      </c>
      <c r="AY179" s="12">
        <v>0</v>
      </c>
      <c r="AZ179" s="12">
        <v>0</v>
      </c>
      <c r="BA179" s="12">
        <v>0</v>
      </c>
    </row>
    <row r="180" spans="1:53" x14ac:dyDescent="0.3">
      <c r="A180" s="7">
        <f t="shared" si="38"/>
        <v>0</v>
      </c>
      <c r="B180" s="7">
        <f t="shared" si="39"/>
        <v>0</v>
      </c>
      <c r="C180" s="7">
        <f t="shared" si="40"/>
        <v>0</v>
      </c>
      <c r="D180" s="13"/>
      <c r="E180" s="13" t="s">
        <v>784</v>
      </c>
      <c r="F180" s="5"/>
      <c r="G180" s="13" t="s">
        <v>1007</v>
      </c>
      <c r="H180" s="13" t="s">
        <v>49</v>
      </c>
      <c r="I180" s="11" t="s">
        <v>49</v>
      </c>
      <c r="J180" s="12">
        <v>0</v>
      </c>
      <c r="K180" s="11" t="s">
        <v>916</v>
      </c>
      <c r="L180" s="12">
        <v>0</v>
      </c>
      <c r="M180" s="12">
        <v>0</v>
      </c>
      <c r="N180" s="12">
        <v>0</v>
      </c>
      <c r="O180" s="12">
        <v>0</v>
      </c>
      <c r="P180" s="12">
        <v>0</v>
      </c>
      <c r="Q180" s="12">
        <v>0</v>
      </c>
      <c r="R180" s="12">
        <v>0</v>
      </c>
      <c r="S180" s="12">
        <v>0</v>
      </c>
      <c r="T180" s="12">
        <v>0</v>
      </c>
      <c r="U180" s="12">
        <v>0</v>
      </c>
      <c r="V180" s="12">
        <v>0</v>
      </c>
      <c r="W180" s="12">
        <v>0</v>
      </c>
      <c r="X180" s="12">
        <v>0</v>
      </c>
      <c r="Y180" s="12">
        <v>0</v>
      </c>
      <c r="Z180" s="12">
        <v>0</v>
      </c>
      <c r="AA180" s="12">
        <v>0</v>
      </c>
      <c r="AB180" s="12">
        <v>0</v>
      </c>
      <c r="AC180" s="12">
        <v>0</v>
      </c>
      <c r="AD180" s="12">
        <v>0</v>
      </c>
      <c r="AE180" s="12">
        <v>0</v>
      </c>
      <c r="AF180" s="12">
        <v>0</v>
      </c>
      <c r="AG180" s="12">
        <v>0</v>
      </c>
      <c r="AH180" s="12">
        <v>0</v>
      </c>
      <c r="AI180" s="12">
        <v>0</v>
      </c>
      <c r="AJ180" s="12">
        <v>0</v>
      </c>
      <c r="AK180" s="12">
        <v>0</v>
      </c>
      <c r="AL180" s="12">
        <v>0</v>
      </c>
      <c r="AM180" s="12">
        <v>0</v>
      </c>
      <c r="AN180" s="12">
        <v>0</v>
      </c>
      <c r="AO180" s="12">
        <v>0</v>
      </c>
      <c r="AP180" s="12">
        <v>0</v>
      </c>
      <c r="AQ180" s="12">
        <v>0</v>
      </c>
      <c r="AR180" s="12">
        <v>0</v>
      </c>
      <c r="AS180" s="12">
        <v>0</v>
      </c>
      <c r="AT180" s="12">
        <v>0</v>
      </c>
      <c r="AU180" s="12">
        <v>0</v>
      </c>
      <c r="AV180" s="12">
        <v>0</v>
      </c>
      <c r="AW180" s="12">
        <v>0</v>
      </c>
      <c r="AX180" s="12">
        <v>0</v>
      </c>
      <c r="AY180" s="12">
        <v>0</v>
      </c>
      <c r="AZ180" s="12">
        <v>0</v>
      </c>
      <c r="BA180" s="12">
        <v>0</v>
      </c>
    </row>
    <row r="181" spans="1:53" x14ac:dyDescent="0.3">
      <c r="A181" s="7">
        <f t="shared" si="38"/>
        <v>51513</v>
      </c>
      <c r="B181" s="7">
        <f t="shared" si="39"/>
        <v>51513</v>
      </c>
      <c r="C181" s="7">
        <f t="shared" si="40"/>
        <v>51513</v>
      </c>
      <c r="D181" s="5"/>
      <c r="E181" s="5" t="str">
        <f t="shared" ref="E181:E184" si="53">E180</f>
        <v>0505A0100036</v>
      </c>
      <c r="F181" s="5"/>
      <c r="G181" s="5"/>
      <c r="H181" s="6"/>
      <c r="I181" s="11"/>
      <c r="J181" s="12">
        <v>0</v>
      </c>
      <c r="K181" s="11" t="s">
        <v>917</v>
      </c>
      <c r="L181" s="12">
        <v>7359</v>
      </c>
      <c r="M181" s="12">
        <v>7359</v>
      </c>
      <c r="N181" s="12">
        <v>7359</v>
      </c>
      <c r="O181" s="12">
        <v>7359</v>
      </c>
      <c r="P181" s="12">
        <v>7359</v>
      </c>
      <c r="Q181" s="12">
        <v>7359</v>
      </c>
      <c r="R181" s="12">
        <v>7359</v>
      </c>
      <c r="S181" s="12">
        <v>7359</v>
      </c>
      <c r="T181" s="12">
        <v>7359</v>
      </c>
      <c r="U181" s="12">
        <v>7359</v>
      </c>
      <c r="V181" s="12">
        <v>7359</v>
      </c>
      <c r="W181" s="12">
        <v>7359</v>
      </c>
      <c r="X181" s="12">
        <v>7359</v>
      </c>
      <c r="Y181" s="12">
        <v>7359</v>
      </c>
      <c r="Z181" s="12">
        <v>7359</v>
      </c>
      <c r="AA181" s="12">
        <v>7359</v>
      </c>
      <c r="AB181" s="12">
        <v>7359</v>
      </c>
      <c r="AC181" s="12">
        <v>7359</v>
      </c>
      <c r="AD181" s="12">
        <v>7359</v>
      </c>
      <c r="AE181" s="12">
        <v>7359</v>
      </c>
      <c r="AF181" s="12">
        <v>7359</v>
      </c>
      <c r="AG181" s="12">
        <v>7359</v>
      </c>
      <c r="AH181" s="12">
        <v>7359</v>
      </c>
      <c r="AI181" s="12">
        <v>7359</v>
      </c>
      <c r="AJ181" s="12">
        <v>7359</v>
      </c>
      <c r="AK181" s="12">
        <v>7359</v>
      </c>
      <c r="AL181" s="12">
        <v>7359</v>
      </c>
      <c r="AM181" s="12">
        <v>7359</v>
      </c>
      <c r="AN181" s="12">
        <v>7359</v>
      </c>
      <c r="AO181" s="12">
        <v>7359</v>
      </c>
      <c r="AP181" s="12">
        <v>7359</v>
      </c>
      <c r="AQ181" s="12">
        <v>7359</v>
      </c>
      <c r="AR181" s="12">
        <v>7359</v>
      </c>
      <c r="AS181" s="12">
        <v>7359</v>
      </c>
      <c r="AT181" s="12">
        <v>7359</v>
      </c>
      <c r="AU181" s="12">
        <v>7359</v>
      </c>
      <c r="AV181" s="12">
        <v>7359</v>
      </c>
      <c r="AW181" s="12">
        <v>0</v>
      </c>
      <c r="AX181" s="12">
        <v>0</v>
      </c>
      <c r="AY181" s="12">
        <v>0</v>
      </c>
      <c r="AZ181" s="12">
        <v>0</v>
      </c>
      <c r="BA181" s="12">
        <v>0</v>
      </c>
    </row>
    <row r="182" spans="1:53" x14ac:dyDescent="0.3">
      <c r="A182" s="7">
        <f t="shared" si="38"/>
        <v>0</v>
      </c>
      <c r="B182" s="7">
        <f t="shared" si="39"/>
        <v>0</v>
      </c>
      <c r="C182" s="7">
        <f t="shared" si="40"/>
        <v>0</v>
      </c>
      <c r="D182" s="5"/>
      <c r="E182" s="5" t="str">
        <f t="shared" si="53"/>
        <v>0505A0100036</v>
      </c>
      <c r="F182" s="5"/>
      <c r="G182" s="5"/>
      <c r="H182" s="11" t="s">
        <v>769</v>
      </c>
      <c r="I182" s="11" t="s">
        <v>770</v>
      </c>
      <c r="J182" s="12"/>
      <c r="K182" s="11" t="s">
        <v>918</v>
      </c>
      <c r="L182" s="12">
        <v>0</v>
      </c>
      <c r="M182" s="12">
        <v>0</v>
      </c>
      <c r="N182" s="12">
        <v>0</v>
      </c>
      <c r="O182" s="12">
        <v>0</v>
      </c>
      <c r="P182" s="12">
        <v>0</v>
      </c>
      <c r="Q182" s="12">
        <v>0</v>
      </c>
      <c r="R182" s="12">
        <v>0</v>
      </c>
      <c r="S182" s="12">
        <v>0</v>
      </c>
      <c r="T182" s="12">
        <v>0</v>
      </c>
      <c r="U182" s="12">
        <v>0</v>
      </c>
      <c r="V182" s="12">
        <v>0</v>
      </c>
      <c r="W182" s="12">
        <v>0</v>
      </c>
      <c r="X182" s="12">
        <v>0</v>
      </c>
      <c r="Y182" s="12">
        <v>0</v>
      </c>
      <c r="Z182" s="12">
        <v>0</v>
      </c>
      <c r="AA182" s="12">
        <v>0</v>
      </c>
      <c r="AB182" s="12">
        <v>0</v>
      </c>
      <c r="AC182" s="12">
        <v>0</v>
      </c>
      <c r="AD182" s="12">
        <v>0</v>
      </c>
      <c r="AE182" s="12">
        <v>0</v>
      </c>
      <c r="AF182" s="12">
        <v>0</v>
      </c>
      <c r="AG182" s="12">
        <v>0</v>
      </c>
      <c r="AH182" s="12">
        <v>0</v>
      </c>
      <c r="AI182" s="12">
        <v>0</v>
      </c>
      <c r="AJ182" s="12">
        <v>0</v>
      </c>
      <c r="AK182" s="12">
        <v>0</v>
      </c>
      <c r="AL182" s="12">
        <v>0</v>
      </c>
      <c r="AM182" s="12">
        <v>0</v>
      </c>
      <c r="AN182" s="12">
        <v>0</v>
      </c>
      <c r="AO182" s="12">
        <v>0</v>
      </c>
      <c r="AP182" s="12">
        <v>0</v>
      </c>
      <c r="AQ182" s="12">
        <v>0</v>
      </c>
      <c r="AR182" s="12">
        <v>0</v>
      </c>
      <c r="AS182" s="12">
        <v>0</v>
      </c>
      <c r="AT182" s="12">
        <v>0</v>
      </c>
      <c r="AU182" s="12">
        <v>0</v>
      </c>
      <c r="AV182" s="12">
        <v>0</v>
      </c>
      <c r="AW182" s="12">
        <v>0</v>
      </c>
      <c r="AX182" s="12">
        <v>0</v>
      </c>
      <c r="AY182" s="12">
        <v>0</v>
      </c>
      <c r="AZ182" s="12">
        <v>0</v>
      </c>
      <c r="BA182" s="12">
        <v>0</v>
      </c>
    </row>
    <row r="183" spans="1:53" x14ac:dyDescent="0.3">
      <c r="A183" s="7">
        <f t="shared" si="38"/>
        <v>0</v>
      </c>
      <c r="B183" s="7">
        <f t="shared" si="39"/>
        <v>0</v>
      </c>
      <c r="C183" s="7">
        <f t="shared" si="40"/>
        <v>0</v>
      </c>
      <c r="D183" s="5"/>
      <c r="E183" s="5" t="str">
        <f t="shared" si="53"/>
        <v>0505A0100036</v>
      </c>
      <c r="F183" s="5"/>
      <c r="G183" s="5"/>
      <c r="H183" s="11" t="s">
        <v>49</v>
      </c>
      <c r="I183" s="11"/>
      <c r="J183" s="12">
        <v>0</v>
      </c>
      <c r="K183" s="11" t="s">
        <v>919</v>
      </c>
      <c r="L183" s="12">
        <v>0</v>
      </c>
      <c r="M183" s="12">
        <v>0</v>
      </c>
      <c r="N183" s="12">
        <v>0</v>
      </c>
      <c r="O183" s="12">
        <v>0</v>
      </c>
      <c r="P183" s="12">
        <v>0</v>
      </c>
      <c r="Q183" s="12">
        <v>0</v>
      </c>
      <c r="R183" s="12">
        <v>0</v>
      </c>
      <c r="S183" s="12">
        <v>0</v>
      </c>
      <c r="T183" s="12">
        <v>0</v>
      </c>
      <c r="U183" s="12">
        <v>0</v>
      </c>
      <c r="V183" s="12">
        <v>0</v>
      </c>
      <c r="W183" s="12">
        <v>0</v>
      </c>
      <c r="X183" s="12">
        <v>0</v>
      </c>
      <c r="Y183" s="12">
        <v>0</v>
      </c>
      <c r="Z183" s="12">
        <v>0</v>
      </c>
      <c r="AA183" s="12">
        <v>0</v>
      </c>
      <c r="AB183" s="12">
        <v>0</v>
      </c>
      <c r="AC183" s="12">
        <v>0</v>
      </c>
      <c r="AD183" s="12">
        <v>0</v>
      </c>
      <c r="AE183" s="12">
        <v>0</v>
      </c>
      <c r="AF183" s="12">
        <v>0</v>
      </c>
      <c r="AG183" s="12">
        <v>0</v>
      </c>
      <c r="AH183" s="12">
        <v>0</v>
      </c>
      <c r="AI183" s="12">
        <v>0</v>
      </c>
      <c r="AJ183" s="12">
        <v>0</v>
      </c>
      <c r="AK183" s="12">
        <v>0</v>
      </c>
      <c r="AL183" s="12">
        <v>0</v>
      </c>
      <c r="AM183" s="12">
        <v>0</v>
      </c>
      <c r="AN183" s="12">
        <v>0</v>
      </c>
      <c r="AO183" s="12">
        <v>0</v>
      </c>
      <c r="AP183" s="12">
        <v>0</v>
      </c>
      <c r="AQ183" s="12">
        <v>0</v>
      </c>
      <c r="AR183" s="12">
        <v>0</v>
      </c>
      <c r="AS183" s="12">
        <v>0</v>
      </c>
      <c r="AT183" s="12">
        <v>0</v>
      </c>
      <c r="AU183" s="12">
        <v>0</v>
      </c>
      <c r="AV183" s="12">
        <v>0</v>
      </c>
      <c r="AW183" s="12">
        <v>0</v>
      </c>
      <c r="AX183" s="12">
        <v>0</v>
      </c>
      <c r="AY183" s="12">
        <v>0</v>
      </c>
      <c r="AZ183" s="12">
        <v>0</v>
      </c>
      <c r="BA183" s="12">
        <v>0</v>
      </c>
    </row>
    <row r="184" spans="1:53" x14ac:dyDescent="0.3">
      <c r="A184" s="7">
        <f t="shared" si="38"/>
        <v>51513</v>
      </c>
      <c r="B184" s="7">
        <f t="shared" si="39"/>
        <v>51513</v>
      </c>
      <c r="C184" s="7">
        <f t="shared" si="40"/>
        <v>51513</v>
      </c>
      <c r="D184" s="5"/>
      <c r="E184" s="5" t="str">
        <f t="shared" si="53"/>
        <v>0505A0100036</v>
      </c>
      <c r="F184" s="5"/>
      <c r="G184" s="6"/>
      <c r="H184" s="11" t="s">
        <v>920</v>
      </c>
      <c r="I184" s="11"/>
      <c r="J184" s="12">
        <v>0</v>
      </c>
      <c r="K184" s="11" t="s">
        <v>921</v>
      </c>
      <c r="L184" s="12">
        <v>0</v>
      </c>
      <c r="M184" s="12">
        <v>7359</v>
      </c>
      <c r="N184" s="12">
        <v>7359</v>
      </c>
      <c r="O184" s="12">
        <v>7359</v>
      </c>
      <c r="P184" s="12">
        <v>7359</v>
      </c>
      <c r="Q184" s="12">
        <v>7359</v>
      </c>
      <c r="R184" s="12">
        <v>7359</v>
      </c>
      <c r="S184" s="12">
        <v>7359</v>
      </c>
      <c r="T184" s="12">
        <v>7359</v>
      </c>
      <c r="U184" s="12">
        <v>7359</v>
      </c>
      <c r="V184" s="12">
        <v>7359</v>
      </c>
      <c r="W184" s="12">
        <v>7359</v>
      </c>
      <c r="X184" s="12">
        <v>7359</v>
      </c>
      <c r="Y184" s="12">
        <v>7359</v>
      </c>
      <c r="Z184" s="12">
        <v>7359</v>
      </c>
      <c r="AA184" s="12">
        <v>7359</v>
      </c>
      <c r="AB184" s="12">
        <v>7359</v>
      </c>
      <c r="AC184" s="12">
        <v>7359</v>
      </c>
      <c r="AD184" s="12">
        <v>7359</v>
      </c>
      <c r="AE184" s="12">
        <v>7359</v>
      </c>
      <c r="AF184" s="12">
        <v>7359</v>
      </c>
      <c r="AG184" s="12">
        <v>7359</v>
      </c>
      <c r="AH184" s="12">
        <v>7359</v>
      </c>
      <c r="AI184" s="12">
        <v>7359</v>
      </c>
      <c r="AJ184" s="12">
        <v>7359</v>
      </c>
      <c r="AK184" s="12">
        <v>7359</v>
      </c>
      <c r="AL184" s="12">
        <v>7359</v>
      </c>
      <c r="AM184" s="12">
        <v>7359</v>
      </c>
      <c r="AN184" s="12">
        <v>7359</v>
      </c>
      <c r="AO184" s="12">
        <v>7359</v>
      </c>
      <c r="AP184" s="12">
        <v>7359</v>
      </c>
      <c r="AQ184" s="12">
        <v>7359</v>
      </c>
      <c r="AR184" s="12">
        <v>7359</v>
      </c>
      <c r="AS184" s="12">
        <v>7359</v>
      </c>
      <c r="AT184" s="12">
        <v>7359</v>
      </c>
      <c r="AU184" s="12">
        <v>7359</v>
      </c>
      <c r="AV184" s="12">
        <v>7359</v>
      </c>
      <c r="AW184" s="12">
        <v>0</v>
      </c>
      <c r="AX184" s="12">
        <v>0</v>
      </c>
      <c r="AY184" s="12">
        <v>0</v>
      </c>
      <c r="AZ184" s="12">
        <v>0</v>
      </c>
      <c r="BA184" s="12">
        <v>0</v>
      </c>
    </row>
    <row r="185" spans="1:53" x14ac:dyDescent="0.3">
      <c r="A185" s="7">
        <f t="shared" si="38"/>
        <v>8088</v>
      </c>
      <c r="B185" s="7">
        <f t="shared" si="39"/>
        <v>0</v>
      </c>
      <c r="C185" s="7">
        <f t="shared" si="40"/>
        <v>625.6</v>
      </c>
      <c r="D185" s="13"/>
      <c r="E185" s="13" t="s">
        <v>808</v>
      </c>
      <c r="F185" s="5"/>
      <c r="G185" s="13" t="s">
        <v>1008</v>
      </c>
      <c r="H185" s="13" t="s">
        <v>49</v>
      </c>
      <c r="I185" s="11" t="s">
        <v>49</v>
      </c>
      <c r="J185" s="12">
        <v>0</v>
      </c>
      <c r="K185" s="11" t="s">
        <v>916</v>
      </c>
      <c r="L185" s="12">
        <v>0</v>
      </c>
      <c r="M185" s="12">
        <v>8713.6</v>
      </c>
      <c r="N185" s="12">
        <v>2720</v>
      </c>
      <c r="O185" s="12">
        <v>2720</v>
      </c>
      <c r="P185" s="12">
        <v>2648</v>
      </c>
      <c r="Q185" s="12">
        <v>0</v>
      </c>
      <c r="R185" s="12">
        <v>0</v>
      </c>
      <c r="S185" s="12">
        <v>0</v>
      </c>
      <c r="T185" s="12">
        <v>0</v>
      </c>
      <c r="U185" s="12">
        <v>0</v>
      </c>
      <c r="V185" s="12">
        <v>0</v>
      </c>
      <c r="W185" s="12">
        <v>0</v>
      </c>
      <c r="X185" s="12">
        <v>0</v>
      </c>
      <c r="Y185" s="12">
        <v>0</v>
      </c>
      <c r="Z185" s="12">
        <v>0</v>
      </c>
      <c r="AA185" s="12">
        <v>0</v>
      </c>
      <c r="AB185" s="12">
        <v>625.6</v>
      </c>
      <c r="AC185" s="12">
        <v>0</v>
      </c>
      <c r="AD185" s="12">
        <v>0</v>
      </c>
      <c r="AE185" s="12">
        <v>0</v>
      </c>
      <c r="AF185" s="12">
        <v>0</v>
      </c>
      <c r="AG185" s="12">
        <v>0</v>
      </c>
      <c r="AH185" s="12">
        <v>0</v>
      </c>
      <c r="AI185" s="12">
        <v>0</v>
      </c>
      <c r="AJ185" s="12">
        <v>0</v>
      </c>
      <c r="AK185" s="12">
        <v>0</v>
      </c>
      <c r="AL185" s="12">
        <v>0</v>
      </c>
      <c r="AM185" s="12">
        <v>0</v>
      </c>
      <c r="AN185" s="12">
        <v>0</v>
      </c>
      <c r="AO185" s="12">
        <v>0</v>
      </c>
      <c r="AP185" s="12">
        <v>0</v>
      </c>
      <c r="AQ185" s="12">
        <v>0</v>
      </c>
      <c r="AR185" s="12">
        <v>0</v>
      </c>
      <c r="AS185" s="12">
        <v>0</v>
      </c>
      <c r="AT185" s="12">
        <v>0</v>
      </c>
      <c r="AU185" s="12">
        <v>0</v>
      </c>
      <c r="AV185" s="12">
        <v>0</v>
      </c>
      <c r="AW185" s="12">
        <v>8088</v>
      </c>
      <c r="AX185" s="12">
        <v>625.6</v>
      </c>
      <c r="AY185" s="12">
        <v>0</v>
      </c>
      <c r="AZ185" s="12">
        <v>0</v>
      </c>
      <c r="BA185" s="12">
        <v>0</v>
      </c>
    </row>
    <row r="186" spans="1:53" x14ac:dyDescent="0.3">
      <c r="A186" s="7">
        <f t="shared" si="38"/>
        <v>195959</v>
      </c>
      <c r="B186" s="7">
        <f t="shared" si="39"/>
        <v>187943</v>
      </c>
      <c r="C186" s="7">
        <f t="shared" si="40"/>
        <v>183563.8</v>
      </c>
      <c r="D186" s="5"/>
      <c r="E186" s="5" t="str">
        <f t="shared" ref="E186:E189" si="54">E185</f>
        <v>0505A000027</v>
      </c>
      <c r="F186" s="5"/>
      <c r="G186" s="5"/>
      <c r="H186" s="6"/>
      <c r="I186" s="11"/>
      <c r="J186" s="12">
        <v>0</v>
      </c>
      <c r="K186" s="11" t="s">
        <v>917</v>
      </c>
      <c r="L186" s="12">
        <v>34937</v>
      </c>
      <c r="M186" s="12">
        <v>26223.4</v>
      </c>
      <c r="N186" s="12">
        <v>32217</v>
      </c>
      <c r="O186" s="12">
        <v>29497</v>
      </c>
      <c r="P186" s="12">
        <v>26849</v>
      </c>
      <c r="Q186" s="12">
        <v>26849</v>
      </c>
      <c r="R186" s="12">
        <v>26849</v>
      </c>
      <c r="S186" s="12">
        <v>26849</v>
      </c>
      <c r="T186" s="12">
        <v>26849</v>
      </c>
      <c r="U186" s="12">
        <v>26849</v>
      </c>
      <c r="V186" s="12">
        <v>26849</v>
      </c>
      <c r="W186" s="12">
        <v>26849</v>
      </c>
      <c r="X186" s="12">
        <v>26849</v>
      </c>
      <c r="Y186" s="12">
        <v>26849</v>
      </c>
      <c r="Z186" s="12">
        <v>26849</v>
      </c>
      <c r="AA186" s="12">
        <v>26849</v>
      </c>
      <c r="AB186" s="12">
        <v>26223.4</v>
      </c>
      <c r="AC186" s="12">
        <v>26223.4</v>
      </c>
      <c r="AD186" s="12">
        <v>26223.4</v>
      </c>
      <c r="AE186" s="12">
        <v>26223.4</v>
      </c>
      <c r="AF186" s="12">
        <v>26223.4</v>
      </c>
      <c r="AG186" s="12">
        <v>26223.4</v>
      </c>
      <c r="AH186" s="12">
        <v>26223.4</v>
      </c>
      <c r="AI186" s="12">
        <v>26223.4</v>
      </c>
      <c r="AJ186" s="12">
        <v>26223.4</v>
      </c>
      <c r="AK186" s="12">
        <v>26223.4</v>
      </c>
      <c r="AL186" s="12">
        <v>26223.4</v>
      </c>
      <c r="AM186" s="12">
        <v>26223.4</v>
      </c>
      <c r="AN186" s="12">
        <v>26223.4</v>
      </c>
      <c r="AO186" s="12">
        <v>26223.4</v>
      </c>
      <c r="AP186" s="12">
        <v>26223.4</v>
      </c>
      <c r="AQ186" s="12">
        <v>26223.4</v>
      </c>
      <c r="AR186" s="12">
        <v>26223.4</v>
      </c>
      <c r="AS186" s="12">
        <v>26223.4</v>
      </c>
      <c r="AT186" s="12">
        <v>26223.4</v>
      </c>
      <c r="AU186" s="12">
        <v>26223.4</v>
      </c>
      <c r="AV186" s="12">
        <v>26223.4</v>
      </c>
      <c r="AW186" s="12">
        <v>0</v>
      </c>
      <c r="AX186" s="12">
        <v>0</v>
      </c>
      <c r="AY186" s="12">
        <v>0</v>
      </c>
      <c r="AZ186" s="12">
        <v>0</v>
      </c>
      <c r="BA186" s="12">
        <v>0</v>
      </c>
    </row>
    <row r="187" spans="1:53" x14ac:dyDescent="0.3">
      <c r="A187" s="7">
        <f t="shared" si="38"/>
        <v>0</v>
      </c>
      <c r="B187" s="7">
        <f t="shared" si="39"/>
        <v>0</v>
      </c>
      <c r="C187" s="7">
        <f t="shared" si="40"/>
        <v>0</v>
      </c>
      <c r="D187" s="5"/>
      <c r="E187" s="5" t="str">
        <f t="shared" si="54"/>
        <v>0505A000027</v>
      </c>
      <c r="F187" s="5"/>
      <c r="G187" s="5"/>
      <c r="H187" s="11" t="s">
        <v>769</v>
      </c>
      <c r="I187" s="11" t="s">
        <v>770</v>
      </c>
      <c r="J187" s="12"/>
      <c r="K187" s="11" t="s">
        <v>918</v>
      </c>
      <c r="L187" s="12">
        <v>0</v>
      </c>
      <c r="M187" s="12">
        <v>0</v>
      </c>
      <c r="N187" s="12">
        <v>0</v>
      </c>
      <c r="O187" s="12">
        <v>0</v>
      </c>
      <c r="P187" s="12">
        <v>0</v>
      </c>
      <c r="Q187" s="12">
        <v>0</v>
      </c>
      <c r="R187" s="12">
        <v>0</v>
      </c>
      <c r="S187" s="12">
        <v>0</v>
      </c>
      <c r="T187" s="12">
        <v>0</v>
      </c>
      <c r="U187" s="12">
        <v>0</v>
      </c>
      <c r="V187" s="12">
        <v>0</v>
      </c>
      <c r="W187" s="12">
        <v>0</v>
      </c>
      <c r="X187" s="12">
        <v>0</v>
      </c>
      <c r="Y187" s="12">
        <v>0</v>
      </c>
      <c r="Z187" s="12">
        <v>0</v>
      </c>
      <c r="AA187" s="12">
        <v>0</v>
      </c>
      <c r="AB187" s="12">
        <v>0</v>
      </c>
      <c r="AC187" s="12">
        <v>0</v>
      </c>
      <c r="AD187" s="12">
        <v>0</v>
      </c>
      <c r="AE187" s="12">
        <v>0</v>
      </c>
      <c r="AF187" s="12">
        <v>0</v>
      </c>
      <c r="AG187" s="12">
        <v>0</v>
      </c>
      <c r="AH187" s="12">
        <v>0</v>
      </c>
      <c r="AI187" s="12">
        <v>0</v>
      </c>
      <c r="AJ187" s="12">
        <v>0</v>
      </c>
      <c r="AK187" s="12">
        <v>0</v>
      </c>
      <c r="AL187" s="12">
        <v>0</v>
      </c>
      <c r="AM187" s="12">
        <v>0</v>
      </c>
      <c r="AN187" s="12">
        <v>0</v>
      </c>
      <c r="AO187" s="12">
        <v>0</v>
      </c>
      <c r="AP187" s="12">
        <v>0</v>
      </c>
      <c r="AQ187" s="12">
        <v>0</v>
      </c>
      <c r="AR187" s="12">
        <v>0</v>
      </c>
      <c r="AS187" s="12">
        <v>0</v>
      </c>
      <c r="AT187" s="12">
        <v>0</v>
      </c>
      <c r="AU187" s="12">
        <v>0</v>
      </c>
      <c r="AV187" s="12">
        <v>0</v>
      </c>
      <c r="AW187" s="12">
        <v>0</v>
      </c>
      <c r="AX187" s="12">
        <v>0</v>
      </c>
      <c r="AY187" s="12">
        <v>0</v>
      </c>
      <c r="AZ187" s="12">
        <v>0</v>
      </c>
      <c r="BA187" s="12">
        <v>0</v>
      </c>
    </row>
    <row r="188" spans="1:53" x14ac:dyDescent="0.3">
      <c r="A188" s="7">
        <f t="shared" si="38"/>
        <v>0</v>
      </c>
      <c r="B188" s="7">
        <f t="shared" si="39"/>
        <v>0</v>
      </c>
      <c r="C188" s="7">
        <f t="shared" si="40"/>
        <v>0</v>
      </c>
      <c r="D188" s="5"/>
      <c r="E188" s="5" t="str">
        <f t="shared" si="54"/>
        <v>0505A000027</v>
      </c>
      <c r="F188" s="5"/>
      <c r="G188" s="5"/>
      <c r="H188" s="11" t="s">
        <v>49</v>
      </c>
      <c r="I188" s="11"/>
      <c r="J188" s="12">
        <v>0</v>
      </c>
      <c r="K188" s="11" t="s">
        <v>919</v>
      </c>
      <c r="L188" s="12">
        <v>0</v>
      </c>
      <c r="M188" s="12">
        <v>0</v>
      </c>
      <c r="N188" s="12">
        <v>0</v>
      </c>
      <c r="O188" s="12">
        <v>0</v>
      </c>
      <c r="P188" s="12">
        <v>0</v>
      </c>
      <c r="Q188" s="12">
        <v>0</v>
      </c>
      <c r="R188" s="12">
        <v>0</v>
      </c>
      <c r="S188" s="12">
        <v>0</v>
      </c>
      <c r="T188" s="12">
        <v>0</v>
      </c>
      <c r="U188" s="12">
        <v>0</v>
      </c>
      <c r="V188" s="12">
        <v>0</v>
      </c>
      <c r="W188" s="12">
        <v>0</v>
      </c>
      <c r="X188" s="12">
        <v>0</v>
      </c>
      <c r="Y188" s="12">
        <v>0</v>
      </c>
      <c r="Z188" s="12">
        <v>0</v>
      </c>
      <c r="AA188" s="12">
        <v>0</v>
      </c>
      <c r="AB188" s="12">
        <v>0</v>
      </c>
      <c r="AC188" s="12">
        <v>0</v>
      </c>
      <c r="AD188" s="12">
        <v>0</v>
      </c>
      <c r="AE188" s="12">
        <v>0</v>
      </c>
      <c r="AF188" s="12">
        <v>0</v>
      </c>
      <c r="AG188" s="12">
        <v>0</v>
      </c>
      <c r="AH188" s="12">
        <v>0</v>
      </c>
      <c r="AI188" s="12">
        <v>0</v>
      </c>
      <c r="AJ188" s="12">
        <v>0</v>
      </c>
      <c r="AK188" s="12">
        <v>0</v>
      </c>
      <c r="AL188" s="12">
        <v>0</v>
      </c>
      <c r="AM188" s="12">
        <v>0</v>
      </c>
      <c r="AN188" s="12">
        <v>0</v>
      </c>
      <c r="AO188" s="12">
        <v>0</v>
      </c>
      <c r="AP188" s="12">
        <v>0</v>
      </c>
      <c r="AQ188" s="12">
        <v>0</v>
      </c>
      <c r="AR188" s="12">
        <v>0</v>
      </c>
      <c r="AS188" s="12">
        <v>0</v>
      </c>
      <c r="AT188" s="12">
        <v>0</v>
      </c>
      <c r="AU188" s="12">
        <v>0</v>
      </c>
      <c r="AV188" s="12">
        <v>0</v>
      </c>
      <c r="AW188" s="12">
        <v>0</v>
      </c>
      <c r="AX188" s="12">
        <v>0</v>
      </c>
      <c r="AY188" s="12">
        <v>0</v>
      </c>
      <c r="AZ188" s="12">
        <v>0</v>
      </c>
      <c r="BA188" s="12">
        <v>0</v>
      </c>
    </row>
    <row r="189" spans="1:53" x14ac:dyDescent="0.3">
      <c r="A189" s="7">
        <f t="shared" si="38"/>
        <v>195959</v>
      </c>
      <c r="B189" s="7">
        <f t="shared" si="39"/>
        <v>187943</v>
      </c>
      <c r="C189" s="7">
        <f t="shared" si="40"/>
        <v>183563.8</v>
      </c>
      <c r="D189" s="5"/>
      <c r="E189" s="5" t="str">
        <f t="shared" si="54"/>
        <v>0505A000027</v>
      </c>
      <c r="F189" s="5"/>
      <c r="G189" s="6"/>
      <c r="H189" s="11" t="s">
        <v>920</v>
      </c>
      <c r="I189" s="11"/>
      <c r="J189" s="12">
        <v>0</v>
      </c>
      <c r="K189" s="11" t="s">
        <v>921</v>
      </c>
      <c r="L189" s="12">
        <v>0</v>
      </c>
      <c r="M189" s="12">
        <v>26223.4</v>
      </c>
      <c r="N189" s="12">
        <v>32217</v>
      </c>
      <c r="O189" s="12">
        <v>29497</v>
      </c>
      <c r="P189" s="12">
        <v>26849</v>
      </c>
      <c r="Q189" s="12">
        <v>26849</v>
      </c>
      <c r="R189" s="12">
        <v>26849</v>
      </c>
      <c r="S189" s="12">
        <v>26849</v>
      </c>
      <c r="T189" s="12">
        <v>26849</v>
      </c>
      <c r="U189" s="12">
        <v>26849</v>
      </c>
      <c r="V189" s="12">
        <v>26849</v>
      </c>
      <c r="W189" s="12">
        <v>26849</v>
      </c>
      <c r="X189" s="12">
        <v>26849</v>
      </c>
      <c r="Y189" s="12">
        <v>26849</v>
      </c>
      <c r="Z189" s="12">
        <v>26849</v>
      </c>
      <c r="AA189" s="12">
        <v>26849</v>
      </c>
      <c r="AB189" s="12">
        <v>26223.4</v>
      </c>
      <c r="AC189" s="12">
        <v>26223.4</v>
      </c>
      <c r="AD189" s="12">
        <v>26223.4</v>
      </c>
      <c r="AE189" s="12">
        <v>26223.4</v>
      </c>
      <c r="AF189" s="12">
        <v>26223.4</v>
      </c>
      <c r="AG189" s="12">
        <v>26223.4</v>
      </c>
      <c r="AH189" s="12">
        <v>26223.4</v>
      </c>
      <c r="AI189" s="12">
        <v>26223.4</v>
      </c>
      <c r="AJ189" s="12">
        <v>26223.4</v>
      </c>
      <c r="AK189" s="12">
        <v>26223.4</v>
      </c>
      <c r="AL189" s="12">
        <v>26223.4</v>
      </c>
      <c r="AM189" s="12">
        <v>26223.4</v>
      </c>
      <c r="AN189" s="12">
        <v>26223.4</v>
      </c>
      <c r="AO189" s="12">
        <v>26223.4</v>
      </c>
      <c r="AP189" s="12">
        <v>26223.4</v>
      </c>
      <c r="AQ189" s="12">
        <v>26223.4</v>
      </c>
      <c r="AR189" s="12">
        <v>26223.4</v>
      </c>
      <c r="AS189" s="12">
        <v>26223.4</v>
      </c>
      <c r="AT189" s="12">
        <v>26223.4</v>
      </c>
      <c r="AU189" s="12">
        <v>26223.4</v>
      </c>
      <c r="AV189" s="12">
        <v>26223.4</v>
      </c>
      <c r="AW189" s="12">
        <v>0</v>
      </c>
      <c r="AX189" s="12">
        <v>0</v>
      </c>
      <c r="AY189" s="12">
        <v>0</v>
      </c>
      <c r="AZ189" s="12">
        <v>0</v>
      </c>
      <c r="BA189" s="12">
        <v>0</v>
      </c>
    </row>
    <row r="190" spans="1:53" x14ac:dyDescent="0.3">
      <c r="A190" s="7">
        <f t="shared" si="38"/>
        <v>0</v>
      </c>
      <c r="B190" s="7">
        <f t="shared" si="39"/>
        <v>6000</v>
      </c>
      <c r="C190" s="7">
        <f t="shared" si="40"/>
        <v>4000</v>
      </c>
      <c r="D190" s="13"/>
      <c r="E190" s="13" t="s">
        <v>819</v>
      </c>
      <c r="F190" s="5"/>
      <c r="G190" s="13" t="s">
        <v>1009</v>
      </c>
      <c r="H190" s="13" t="s">
        <v>49</v>
      </c>
      <c r="I190" s="11" t="s">
        <v>49</v>
      </c>
      <c r="J190" s="12">
        <v>0</v>
      </c>
      <c r="K190" s="11" t="s">
        <v>916</v>
      </c>
      <c r="L190" s="12">
        <v>0</v>
      </c>
      <c r="M190" s="12">
        <v>13922</v>
      </c>
      <c r="N190" s="12">
        <v>0</v>
      </c>
      <c r="O190" s="12">
        <v>0</v>
      </c>
      <c r="P190" s="12">
        <v>0</v>
      </c>
      <c r="Q190" s="12">
        <v>0</v>
      </c>
      <c r="R190" s="12">
        <v>0</v>
      </c>
      <c r="S190" s="12">
        <v>0</v>
      </c>
      <c r="T190" s="12">
        <v>0</v>
      </c>
      <c r="U190" s="12">
        <v>6000</v>
      </c>
      <c r="V190" s="12">
        <v>0</v>
      </c>
      <c r="W190" s="12">
        <v>0</v>
      </c>
      <c r="X190" s="12">
        <v>0</v>
      </c>
      <c r="Y190" s="12">
        <v>0</v>
      </c>
      <c r="Z190" s="12">
        <v>0</v>
      </c>
      <c r="AA190" s="12">
        <v>0</v>
      </c>
      <c r="AB190" s="12">
        <v>4000</v>
      </c>
      <c r="AC190" s="12">
        <v>0</v>
      </c>
      <c r="AD190" s="12">
        <v>0</v>
      </c>
      <c r="AE190" s="12">
        <v>0</v>
      </c>
      <c r="AF190" s="12">
        <v>0</v>
      </c>
      <c r="AG190" s="12">
        <v>0</v>
      </c>
      <c r="AH190" s="12">
        <v>0</v>
      </c>
      <c r="AI190" s="12">
        <v>0</v>
      </c>
      <c r="AJ190" s="12">
        <v>0</v>
      </c>
      <c r="AK190" s="12">
        <v>0</v>
      </c>
      <c r="AL190" s="12">
        <v>0</v>
      </c>
      <c r="AM190" s="12">
        <v>2000</v>
      </c>
      <c r="AN190" s="12">
        <v>0</v>
      </c>
      <c r="AO190" s="12">
        <v>0</v>
      </c>
      <c r="AP190" s="12">
        <v>0</v>
      </c>
      <c r="AQ190" s="12">
        <v>1900</v>
      </c>
      <c r="AR190" s="12">
        <v>0</v>
      </c>
      <c r="AS190" s="12">
        <v>0</v>
      </c>
      <c r="AT190" s="12">
        <v>22</v>
      </c>
      <c r="AU190" s="12">
        <v>0</v>
      </c>
      <c r="AV190" s="12">
        <v>0</v>
      </c>
      <c r="AW190" s="12">
        <v>6000</v>
      </c>
      <c r="AX190" s="12">
        <v>4000</v>
      </c>
      <c r="AY190" s="12">
        <v>2000</v>
      </c>
      <c r="AZ190" s="12">
        <v>1922</v>
      </c>
      <c r="BA190" s="12">
        <v>0</v>
      </c>
    </row>
    <row r="191" spans="1:53" x14ac:dyDescent="0.3">
      <c r="A191" s="7">
        <f t="shared" si="38"/>
        <v>292264</v>
      </c>
      <c r="B191" s="7">
        <f t="shared" si="39"/>
        <v>250264</v>
      </c>
      <c r="C191" s="7">
        <f t="shared" si="40"/>
        <v>222264</v>
      </c>
      <c r="D191" s="5"/>
      <c r="E191" s="5" t="str">
        <f t="shared" ref="E191:E194" si="55">E190</f>
        <v>0505A000028</v>
      </c>
      <c r="F191" s="5"/>
      <c r="G191" s="5"/>
      <c r="H191" s="6"/>
      <c r="I191" s="11"/>
      <c r="J191" s="12">
        <v>0</v>
      </c>
      <c r="K191" s="11" t="s">
        <v>917</v>
      </c>
      <c r="L191" s="12">
        <v>41752</v>
      </c>
      <c r="M191" s="12">
        <v>27830</v>
      </c>
      <c r="N191" s="12">
        <v>41752</v>
      </c>
      <c r="O191" s="12">
        <v>41752</v>
      </c>
      <c r="P191" s="12">
        <v>41752</v>
      </c>
      <c r="Q191" s="12">
        <v>41752</v>
      </c>
      <c r="R191" s="12">
        <v>41752</v>
      </c>
      <c r="S191" s="12">
        <v>41752</v>
      </c>
      <c r="T191" s="12">
        <v>41752</v>
      </c>
      <c r="U191" s="12">
        <v>35752</v>
      </c>
      <c r="V191" s="12">
        <v>35752</v>
      </c>
      <c r="W191" s="12">
        <v>35752</v>
      </c>
      <c r="X191" s="12">
        <v>35752</v>
      </c>
      <c r="Y191" s="12">
        <v>35752</v>
      </c>
      <c r="Z191" s="12">
        <v>35752</v>
      </c>
      <c r="AA191" s="12">
        <v>35752</v>
      </c>
      <c r="AB191" s="12">
        <v>31752</v>
      </c>
      <c r="AC191" s="12">
        <v>31752</v>
      </c>
      <c r="AD191" s="12">
        <v>31752</v>
      </c>
      <c r="AE191" s="12">
        <v>31752</v>
      </c>
      <c r="AF191" s="12">
        <v>31752</v>
      </c>
      <c r="AG191" s="12">
        <v>31752</v>
      </c>
      <c r="AH191" s="12">
        <v>31752</v>
      </c>
      <c r="AI191" s="12">
        <v>31752</v>
      </c>
      <c r="AJ191" s="12">
        <v>31752</v>
      </c>
      <c r="AK191" s="12">
        <v>31752</v>
      </c>
      <c r="AL191" s="12">
        <v>31752</v>
      </c>
      <c r="AM191" s="12">
        <v>29752</v>
      </c>
      <c r="AN191" s="12">
        <v>29752</v>
      </c>
      <c r="AO191" s="12">
        <v>29752</v>
      </c>
      <c r="AP191" s="12">
        <v>29752</v>
      </c>
      <c r="AQ191" s="12">
        <v>27852</v>
      </c>
      <c r="AR191" s="12">
        <v>27852</v>
      </c>
      <c r="AS191" s="12">
        <v>27852</v>
      </c>
      <c r="AT191" s="12">
        <v>27830</v>
      </c>
      <c r="AU191" s="12">
        <v>27830</v>
      </c>
      <c r="AV191" s="12">
        <v>27830</v>
      </c>
      <c r="AW191" s="12">
        <v>0</v>
      </c>
      <c r="AX191" s="12">
        <v>0</v>
      </c>
      <c r="AY191" s="12">
        <v>0</v>
      </c>
      <c r="AZ191" s="12">
        <v>0</v>
      </c>
      <c r="BA191" s="12">
        <v>0</v>
      </c>
    </row>
    <row r="192" spans="1:53" x14ac:dyDescent="0.3">
      <c r="A192" s="7">
        <f t="shared" si="38"/>
        <v>0</v>
      </c>
      <c r="B192" s="7">
        <f t="shared" si="39"/>
        <v>0</v>
      </c>
      <c r="C192" s="7">
        <f t="shared" si="40"/>
        <v>0</v>
      </c>
      <c r="D192" s="5"/>
      <c r="E192" s="5" t="str">
        <f t="shared" si="55"/>
        <v>0505A000028</v>
      </c>
      <c r="F192" s="5"/>
      <c r="G192" s="5"/>
      <c r="H192" s="11" t="s">
        <v>769</v>
      </c>
      <c r="I192" s="11" t="s">
        <v>770</v>
      </c>
      <c r="J192" s="12"/>
      <c r="K192" s="11" t="s">
        <v>918</v>
      </c>
      <c r="L192" s="12">
        <v>0</v>
      </c>
      <c r="M192" s="12">
        <v>0</v>
      </c>
      <c r="N192" s="12">
        <v>0</v>
      </c>
      <c r="O192" s="12">
        <v>0</v>
      </c>
      <c r="P192" s="12">
        <v>0</v>
      </c>
      <c r="Q192" s="12">
        <v>0</v>
      </c>
      <c r="R192" s="12">
        <v>0</v>
      </c>
      <c r="S192" s="12">
        <v>0</v>
      </c>
      <c r="T192" s="12">
        <v>0</v>
      </c>
      <c r="U192" s="12">
        <v>0</v>
      </c>
      <c r="V192" s="12">
        <v>0</v>
      </c>
      <c r="W192" s="12">
        <v>0</v>
      </c>
      <c r="X192" s="12">
        <v>0</v>
      </c>
      <c r="Y192" s="12">
        <v>0</v>
      </c>
      <c r="Z192" s="12">
        <v>0</v>
      </c>
      <c r="AA192" s="12">
        <v>0</v>
      </c>
      <c r="AB192" s="12">
        <v>0</v>
      </c>
      <c r="AC192" s="12">
        <v>0</v>
      </c>
      <c r="AD192" s="12">
        <v>0</v>
      </c>
      <c r="AE192" s="12">
        <v>0</v>
      </c>
      <c r="AF192" s="12">
        <v>0</v>
      </c>
      <c r="AG192" s="12">
        <v>0</v>
      </c>
      <c r="AH192" s="12">
        <v>0</v>
      </c>
      <c r="AI192" s="12">
        <v>0</v>
      </c>
      <c r="AJ192" s="12">
        <v>0</v>
      </c>
      <c r="AK192" s="12">
        <v>0</v>
      </c>
      <c r="AL192" s="12">
        <v>0</v>
      </c>
      <c r="AM192" s="12">
        <v>0</v>
      </c>
      <c r="AN192" s="12">
        <v>0</v>
      </c>
      <c r="AO192" s="12">
        <v>0</v>
      </c>
      <c r="AP192" s="12">
        <v>0</v>
      </c>
      <c r="AQ192" s="12">
        <v>0</v>
      </c>
      <c r="AR192" s="12">
        <v>0</v>
      </c>
      <c r="AS192" s="12">
        <v>0</v>
      </c>
      <c r="AT192" s="12">
        <v>0</v>
      </c>
      <c r="AU192" s="12">
        <v>0</v>
      </c>
      <c r="AV192" s="12">
        <v>0</v>
      </c>
      <c r="AW192" s="12">
        <v>0</v>
      </c>
      <c r="AX192" s="12">
        <v>0</v>
      </c>
      <c r="AY192" s="12">
        <v>0</v>
      </c>
      <c r="AZ192" s="12">
        <v>0</v>
      </c>
      <c r="BA192" s="12">
        <v>0</v>
      </c>
    </row>
    <row r="193" spans="1:53" x14ac:dyDescent="0.3">
      <c r="A193" s="7">
        <f t="shared" si="38"/>
        <v>0</v>
      </c>
      <c r="B193" s="7">
        <f t="shared" si="39"/>
        <v>0</v>
      </c>
      <c r="C193" s="7">
        <f t="shared" si="40"/>
        <v>0</v>
      </c>
      <c r="D193" s="5"/>
      <c r="E193" s="5" t="str">
        <f t="shared" si="55"/>
        <v>0505A000028</v>
      </c>
      <c r="F193" s="5"/>
      <c r="G193" s="5"/>
      <c r="H193" s="11" t="s">
        <v>49</v>
      </c>
      <c r="I193" s="11"/>
      <c r="J193" s="12">
        <v>0</v>
      </c>
      <c r="K193" s="11" t="s">
        <v>919</v>
      </c>
      <c r="L193" s="12">
        <v>0</v>
      </c>
      <c r="M193" s="12">
        <v>0</v>
      </c>
      <c r="N193" s="12">
        <v>0</v>
      </c>
      <c r="O193" s="12">
        <v>0</v>
      </c>
      <c r="P193" s="12">
        <v>0</v>
      </c>
      <c r="Q193" s="12">
        <v>0</v>
      </c>
      <c r="R193" s="12">
        <v>0</v>
      </c>
      <c r="S193" s="12">
        <v>0</v>
      </c>
      <c r="T193" s="12">
        <v>0</v>
      </c>
      <c r="U193" s="12">
        <v>0</v>
      </c>
      <c r="V193" s="12">
        <v>0</v>
      </c>
      <c r="W193" s="12">
        <v>0</v>
      </c>
      <c r="X193" s="12">
        <v>0</v>
      </c>
      <c r="Y193" s="12">
        <v>0</v>
      </c>
      <c r="Z193" s="12">
        <v>0</v>
      </c>
      <c r="AA193" s="12">
        <v>0</v>
      </c>
      <c r="AB193" s="12">
        <v>0</v>
      </c>
      <c r="AC193" s="12">
        <v>0</v>
      </c>
      <c r="AD193" s="12">
        <v>0</v>
      </c>
      <c r="AE193" s="12">
        <v>0</v>
      </c>
      <c r="AF193" s="12">
        <v>0</v>
      </c>
      <c r="AG193" s="12">
        <v>0</v>
      </c>
      <c r="AH193" s="12">
        <v>0</v>
      </c>
      <c r="AI193" s="12">
        <v>0</v>
      </c>
      <c r="AJ193" s="12">
        <v>0</v>
      </c>
      <c r="AK193" s="12">
        <v>0</v>
      </c>
      <c r="AL193" s="12">
        <v>0</v>
      </c>
      <c r="AM193" s="12">
        <v>0</v>
      </c>
      <c r="AN193" s="12">
        <v>0</v>
      </c>
      <c r="AO193" s="12">
        <v>0</v>
      </c>
      <c r="AP193" s="12">
        <v>0</v>
      </c>
      <c r="AQ193" s="12">
        <v>0</v>
      </c>
      <c r="AR193" s="12">
        <v>0</v>
      </c>
      <c r="AS193" s="12">
        <v>0</v>
      </c>
      <c r="AT193" s="12">
        <v>0</v>
      </c>
      <c r="AU193" s="12">
        <v>0</v>
      </c>
      <c r="AV193" s="12">
        <v>0</v>
      </c>
      <c r="AW193" s="12">
        <v>0</v>
      </c>
      <c r="AX193" s="12">
        <v>0</v>
      </c>
      <c r="AY193" s="12">
        <v>0</v>
      </c>
      <c r="AZ193" s="12">
        <v>0</v>
      </c>
      <c r="BA193" s="12">
        <v>0</v>
      </c>
    </row>
    <row r="194" spans="1:53" x14ac:dyDescent="0.3">
      <c r="A194" s="7">
        <f t="shared" si="38"/>
        <v>292264</v>
      </c>
      <c r="B194" s="7">
        <f t="shared" si="39"/>
        <v>250264</v>
      </c>
      <c r="C194" s="7">
        <f t="shared" si="40"/>
        <v>222264</v>
      </c>
      <c r="D194" s="5"/>
      <c r="E194" s="5" t="str">
        <f t="shared" si="55"/>
        <v>0505A000028</v>
      </c>
      <c r="F194" s="5"/>
      <c r="G194" s="6"/>
      <c r="H194" s="11" t="s">
        <v>920</v>
      </c>
      <c r="I194" s="11"/>
      <c r="J194" s="12">
        <v>0</v>
      </c>
      <c r="K194" s="11" t="s">
        <v>921</v>
      </c>
      <c r="L194" s="12">
        <v>0</v>
      </c>
      <c r="M194" s="12">
        <v>27830</v>
      </c>
      <c r="N194" s="12">
        <v>41752</v>
      </c>
      <c r="O194" s="12">
        <v>41752</v>
      </c>
      <c r="P194" s="12">
        <v>41752</v>
      </c>
      <c r="Q194" s="12">
        <v>41752</v>
      </c>
      <c r="R194" s="12">
        <v>41752</v>
      </c>
      <c r="S194" s="12">
        <v>41752</v>
      </c>
      <c r="T194" s="12">
        <v>41752</v>
      </c>
      <c r="U194" s="12">
        <v>35752</v>
      </c>
      <c r="V194" s="12">
        <v>35752</v>
      </c>
      <c r="W194" s="12">
        <v>35752</v>
      </c>
      <c r="X194" s="12">
        <v>35752</v>
      </c>
      <c r="Y194" s="12">
        <v>35752</v>
      </c>
      <c r="Z194" s="12">
        <v>35752</v>
      </c>
      <c r="AA194" s="12">
        <v>35752</v>
      </c>
      <c r="AB194" s="12">
        <v>31752</v>
      </c>
      <c r="AC194" s="12">
        <v>31752</v>
      </c>
      <c r="AD194" s="12">
        <v>31752</v>
      </c>
      <c r="AE194" s="12">
        <v>31752</v>
      </c>
      <c r="AF194" s="12">
        <v>31752</v>
      </c>
      <c r="AG194" s="12">
        <v>31752</v>
      </c>
      <c r="AH194" s="12">
        <v>31752</v>
      </c>
      <c r="AI194" s="12">
        <v>31752</v>
      </c>
      <c r="AJ194" s="12">
        <v>31752</v>
      </c>
      <c r="AK194" s="12">
        <v>31752</v>
      </c>
      <c r="AL194" s="12">
        <v>31752</v>
      </c>
      <c r="AM194" s="12">
        <v>29752</v>
      </c>
      <c r="AN194" s="12">
        <v>29752</v>
      </c>
      <c r="AO194" s="12">
        <v>29752</v>
      </c>
      <c r="AP194" s="12">
        <v>29752</v>
      </c>
      <c r="AQ194" s="12">
        <v>27852</v>
      </c>
      <c r="AR194" s="12">
        <v>27852</v>
      </c>
      <c r="AS194" s="12">
        <v>27852</v>
      </c>
      <c r="AT194" s="12">
        <v>27830</v>
      </c>
      <c r="AU194" s="12">
        <v>27830</v>
      </c>
      <c r="AV194" s="12">
        <v>27830</v>
      </c>
      <c r="AW194" s="12">
        <v>0</v>
      </c>
      <c r="AX194" s="12">
        <v>0</v>
      </c>
      <c r="AY194" s="12">
        <v>0</v>
      </c>
      <c r="AZ194" s="12">
        <v>0</v>
      </c>
      <c r="BA194" s="12">
        <v>0</v>
      </c>
    </row>
    <row r="195" spans="1:53" x14ac:dyDescent="0.3">
      <c r="A195" s="7">
        <f t="shared" si="38"/>
        <v>888806</v>
      </c>
      <c r="B195" s="7">
        <f t="shared" si="39"/>
        <v>737778</v>
      </c>
      <c r="C195" s="7">
        <f t="shared" si="40"/>
        <v>491805</v>
      </c>
      <c r="D195" s="13"/>
      <c r="E195" s="13" t="s">
        <v>820</v>
      </c>
      <c r="F195" s="5"/>
      <c r="G195" s="13" t="s">
        <v>944</v>
      </c>
      <c r="H195" s="13" t="s">
        <v>49</v>
      </c>
      <c r="I195" s="11" t="s">
        <v>945</v>
      </c>
      <c r="J195" s="12">
        <v>0</v>
      </c>
      <c r="K195" s="11" t="s">
        <v>916</v>
      </c>
      <c r="L195" s="12">
        <v>0</v>
      </c>
      <c r="M195" s="12">
        <v>13140769</v>
      </c>
      <c r="N195" s="12">
        <v>245335</v>
      </c>
      <c r="O195" s="12">
        <v>113000</v>
      </c>
      <c r="P195" s="12">
        <v>130000</v>
      </c>
      <c r="Q195" s="12">
        <v>121000</v>
      </c>
      <c r="R195" s="12">
        <v>136000</v>
      </c>
      <c r="S195" s="12">
        <v>85051</v>
      </c>
      <c r="T195" s="12">
        <v>58420</v>
      </c>
      <c r="U195" s="12">
        <v>737778</v>
      </c>
      <c r="V195" s="12">
        <v>0</v>
      </c>
      <c r="W195" s="12">
        <v>0</v>
      </c>
      <c r="X195" s="12">
        <v>0</v>
      </c>
      <c r="Y195" s="12">
        <v>0</v>
      </c>
      <c r="Z195" s="12">
        <v>0</v>
      </c>
      <c r="AA195" s="12">
        <v>0</v>
      </c>
      <c r="AB195" s="12">
        <v>491805</v>
      </c>
      <c r="AC195" s="12">
        <v>0</v>
      </c>
      <c r="AD195" s="12">
        <v>0</v>
      </c>
      <c r="AE195" s="12">
        <v>0</v>
      </c>
      <c r="AF195" s="12">
        <v>0</v>
      </c>
      <c r="AG195" s="12">
        <v>0</v>
      </c>
      <c r="AH195" s="12">
        <v>0</v>
      </c>
      <c r="AI195" s="12">
        <v>823000</v>
      </c>
      <c r="AJ195" s="12">
        <v>777000</v>
      </c>
      <c r="AK195" s="12">
        <v>831000</v>
      </c>
      <c r="AL195" s="12">
        <v>5000</v>
      </c>
      <c r="AM195" s="12">
        <v>1119000</v>
      </c>
      <c r="AN195" s="12">
        <v>892500</v>
      </c>
      <c r="AO195" s="12">
        <v>864000</v>
      </c>
      <c r="AP195" s="12">
        <v>0</v>
      </c>
      <c r="AQ195" s="12">
        <v>928708</v>
      </c>
      <c r="AR195" s="12">
        <v>1046612</v>
      </c>
      <c r="AS195" s="12">
        <v>760000</v>
      </c>
      <c r="AT195" s="12">
        <v>2975560</v>
      </c>
      <c r="AU195" s="12">
        <v>0</v>
      </c>
      <c r="AV195" s="12">
        <v>0</v>
      </c>
      <c r="AW195" s="12">
        <v>1626584</v>
      </c>
      <c r="AX195" s="12">
        <v>2927805</v>
      </c>
      <c r="AY195" s="12">
        <v>2875500</v>
      </c>
      <c r="AZ195" s="12">
        <v>5710880</v>
      </c>
      <c r="BA195" s="12">
        <v>0</v>
      </c>
    </row>
    <row r="196" spans="1:53" x14ac:dyDescent="0.3">
      <c r="A196" s="7">
        <f t="shared" si="38"/>
        <v>-2790913</v>
      </c>
      <c r="B196" s="7">
        <f t="shared" si="39"/>
        <v>-10011134</v>
      </c>
      <c r="C196" s="7">
        <f t="shared" si="40"/>
        <v>-13453769</v>
      </c>
      <c r="D196" s="5"/>
      <c r="E196" s="5" t="str">
        <f t="shared" ref="E196:E199" si="56">E195</f>
        <v>0505A000033</v>
      </c>
      <c r="F196" s="5"/>
      <c r="G196" s="5"/>
      <c r="H196" s="6"/>
      <c r="I196" s="11"/>
      <c r="J196" s="12">
        <v>0</v>
      </c>
      <c r="K196" s="11" t="s">
        <v>917</v>
      </c>
      <c r="L196" s="12">
        <v>196422</v>
      </c>
      <c r="M196" s="12">
        <v>-12944347</v>
      </c>
      <c r="N196" s="12">
        <v>-48913</v>
      </c>
      <c r="O196" s="12">
        <v>-161913</v>
      </c>
      <c r="P196" s="12">
        <v>-291913</v>
      </c>
      <c r="Q196" s="12">
        <v>-412913</v>
      </c>
      <c r="R196" s="12">
        <v>-548913</v>
      </c>
      <c r="S196" s="12">
        <v>-633964</v>
      </c>
      <c r="T196" s="12">
        <v>-692384</v>
      </c>
      <c r="U196" s="12">
        <v>-1430162</v>
      </c>
      <c r="V196" s="12">
        <v>-1430162</v>
      </c>
      <c r="W196" s="12">
        <v>-1430162</v>
      </c>
      <c r="X196" s="12">
        <v>-1430162</v>
      </c>
      <c r="Y196" s="12">
        <v>-1430162</v>
      </c>
      <c r="Z196" s="12">
        <v>-1430162</v>
      </c>
      <c r="AA196" s="12">
        <v>-1430162</v>
      </c>
      <c r="AB196" s="12">
        <v>-1921967</v>
      </c>
      <c r="AC196" s="12">
        <v>-1921967</v>
      </c>
      <c r="AD196" s="12">
        <v>-1921967</v>
      </c>
      <c r="AE196" s="12">
        <v>-1921967</v>
      </c>
      <c r="AF196" s="12">
        <v>-1921967</v>
      </c>
      <c r="AG196" s="12">
        <v>-1921967</v>
      </c>
      <c r="AH196" s="12">
        <v>-1921967</v>
      </c>
      <c r="AI196" s="12">
        <v>-2744967</v>
      </c>
      <c r="AJ196" s="12">
        <v>-3521967</v>
      </c>
      <c r="AK196" s="12">
        <v>-4352967</v>
      </c>
      <c r="AL196" s="12">
        <v>-4357967</v>
      </c>
      <c r="AM196" s="12">
        <v>-5476967</v>
      </c>
      <c r="AN196" s="12">
        <v>-6369467</v>
      </c>
      <c r="AO196" s="12">
        <v>-7233467</v>
      </c>
      <c r="AP196" s="12">
        <v>-7233467</v>
      </c>
      <c r="AQ196" s="12">
        <v>-8162175</v>
      </c>
      <c r="AR196" s="12">
        <v>-9208787</v>
      </c>
      <c r="AS196" s="12">
        <v>-9968787</v>
      </c>
      <c r="AT196" s="12">
        <v>-12944347</v>
      </c>
      <c r="AU196" s="12">
        <v>-12944347</v>
      </c>
      <c r="AV196" s="12">
        <v>-12944347</v>
      </c>
      <c r="AW196" s="12">
        <v>0</v>
      </c>
      <c r="AX196" s="12">
        <v>0</v>
      </c>
      <c r="AY196" s="12">
        <v>0</v>
      </c>
      <c r="AZ196" s="12">
        <v>0</v>
      </c>
      <c r="BA196" s="12">
        <v>0</v>
      </c>
    </row>
    <row r="197" spans="1:53" x14ac:dyDescent="0.3">
      <c r="A197" s="7">
        <f t="shared" si="38"/>
        <v>96000</v>
      </c>
      <c r="B197" s="7">
        <f t="shared" si="39"/>
        <v>621000</v>
      </c>
      <c r="C197" s="7">
        <f t="shared" si="40"/>
        <v>777000</v>
      </c>
      <c r="D197" s="5"/>
      <c r="E197" s="5" t="str">
        <f t="shared" si="56"/>
        <v>0505A000033</v>
      </c>
      <c r="F197" s="5"/>
      <c r="G197" s="5"/>
      <c r="H197" s="11" t="s">
        <v>764</v>
      </c>
      <c r="I197" s="11" t="s">
        <v>765</v>
      </c>
      <c r="J197" s="12">
        <v>34173000</v>
      </c>
      <c r="K197" s="11" t="s">
        <v>918</v>
      </c>
      <c r="L197" s="12">
        <v>0</v>
      </c>
      <c r="M197" s="12">
        <v>8850000</v>
      </c>
      <c r="N197" s="12">
        <v>0</v>
      </c>
      <c r="O197" s="12">
        <v>96000</v>
      </c>
      <c r="P197" s="12">
        <v>0</v>
      </c>
      <c r="Q197" s="12">
        <v>0</v>
      </c>
      <c r="R197" s="12">
        <v>0</v>
      </c>
      <c r="S197" s="12">
        <v>0</v>
      </c>
      <c r="T197" s="12">
        <v>0</v>
      </c>
      <c r="U197" s="12">
        <v>0</v>
      </c>
      <c r="V197" s="12">
        <v>618000</v>
      </c>
      <c r="W197" s="12">
        <v>0</v>
      </c>
      <c r="X197" s="12">
        <v>0</v>
      </c>
      <c r="Y197" s="12">
        <v>0</v>
      </c>
      <c r="Z197" s="12">
        <v>3000</v>
      </c>
      <c r="AA197" s="12">
        <v>0</v>
      </c>
      <c r="AB197" s="12">
        <v>0</v>
      </c>
      <c r="AC197" s="12">
        <v>0</v>
      </c>
      <c r="AD197" s="12">
        <v>0</v>
      </c>
      <c r="AE197" s="12">
        <v>0</v>
      </c>
      <c r="AF197" s="12">
        <v>0</v>
      </c>
      <c r="AG197" s="12">
        <v>777000</v>
      </c>
      <c r="AH197" s="12">
        <v>0</v>
      </c>
      <c r="AI197" s="12">
        <v>720000</v>
      </c>
      <c r="AJ197" s="12">
        <v>807000</v>
      </c>
      <c r="AK197" s="12">
        <v>492000</v>
      </c>
      <c r="AL197" s="12">
        <v>0</v>
      </c>
      <c r="AM197" s="12">
        <v>60000</v>
      </c>
      <c r="AN197" s="12">
        <v>0</v>
      </c>
      <c r="AO197" s="12">
        <v>1269000</v>
      </c>
      <c r="AP197" s="12">
        <v>0</v>
      </c>
      <c r="AQ197" s="12">
        <v>795000</v>
      </c>
      <c r="AR197" s="12">
        <v>990000</v>
      </c>
      <c r="AS197" s="12">
        <v>1221000</v>
      </c>
      <c r="AT197" s="12">
        <v>1002000</v>
      </c>
      <c r="AU197" s="12">
        <v>0</v>
      </c>
      <c r="AV197" s="12">
        <v>0</v>
      </c>
      <c r="AW197" s="12">
        <v>717000</v>
      </c>
      <c r="AX197" s="12">
        <v>2796000</v>
      </c>
      <c r="AY197" s="12">
        <v>1329000</v>
      </c>
      <c r="AZ197" s="12">
        <v>4008000</v>
      </c>
      <c r="BA197" s="12">
        <v>0</v>
      </c>
    </row>
    <row r="198" spans="1:53" x14ac:dyDescent="0.3">
      <c r="A198" s="7">
        <f t="shared" ref="A198:A261" si="57">SUM(N198:T198)</f>
        <v>96000</v>
      </c>
      <c r="B198" s="7">
        <f t="shared" ref="B198:B261" si="58">SUM(U198:AA198)</f>
        <v>621000</v>
      </c>
      <c r="C198" s="7">
        <f t="shared" ref="C198:C261" si="59">SUM(AB198:AH198)</f>
        <v>777000</v>
      </c>
      <c r="D198" s="5"/>
      <c r="E198" s="5" t="str">
        <f t="shared" si="56"/>
        <v>0505A000033</v>
      </c>
      <c r="F198" s="5"/>
      <c r="G198" s="5"/>
      <c r="H198" s="11" t="s">
        <v>49</v>
      </c>
      <c r="I198" s="11"/>
      <c r="J198" s="12">
        <v>0</v>
      </c>
      <c r="K198" s="11" t="s">
        <v>919</v>
      </c>
      <c r="L198" s="12">
        <v>0</v>
      </c>
      <c r="M198" s="12">
        <v>8850000</v>
      </c>
      <c r="N198" s="12">
        <v>0</v>
      </c>
      <c r="O198" s="12">
        <v>96000</v>
      </c>
      <c r="P198" s="12">
        <v>0</v>
      </c>
      <c r="Q198" s="12">
        <v>0</v>
      </c>
      <c r="R198" s="12">
        <v>0</v>
      </c>
      <c r="S198" s="12">
        <v>0</v>
      </c>
      <c r="T198" s="12">
        <v>0</v>
      </c>
      <c r="U198" s="12">
        <v>0</v>
      </c>
      <c r="V198" s="12">
        <v>618000</v>
      </c>
      <c r="W198" s="12">
        <v>0</v>
      </c>
      <c r="X198" s="12">
        <v>0</v>
      </c>
      <c r="Y198" s="12">
        <v>0</v>
      </c>
      <c r="Z198" s="12">
        <v>3000</v>
      </c>
      <c r="AA198" s="12">
        <v>0</v>
      </c>
      <c r="AB198" s="12">
        <v>0</v>
      </c>
      <c r="AC198" s="12">
        <v>0</v>
      </c>
      <c r="AD198" s="12">
        <v>0</v>
      </c>
      <c r="AE198" s="12">
        <v>0</v>
      </c>
      <c r="AF198" s="12">
        <v>0</v>
      </c>
      <c r="AG198" s="12">
        <v>777000</v>
      </c>
      <c r="AH198" s="12">
        <v>0</v>
      </c>
      <c r="AI198" s="12">
        <v>720000</v>
      </c>
      <c r="AJ198" s="12">
        <v>807000</v>
      </c>
      <c r="AK198" s="12">
        <v>492000</v>
      </c>
      <c r="AL198" s="12">
        <v>0</v>
      </c>
      <c r="AM198" s="12">
        <v>60000</v>
      </c>
      <c r="AN198" s="12">
        <v>0</v>
      </c>
      <c r="AO198" s="12">
        <v>1269000</v>
      </c>
      <c r="AP198" s="12">
        <v>0</v>
      </c>
      <c r="AQ198" s="12">
        <v>795000</v>
      </c>
      <c r="AR198" s="12">
        <v>990000</v>
      </c>
      <c r="AS198" s="12">
        <v>1221000</v>
      </c>
      <c r="AT198" s="12">
        <v>1002000</v>
      </c>
      <c r="AU198" s="12">
        <v>0</v>
      </c>
      <c r="AV198" s="12">
        <v>0</v>
      </c>
      <c r="AW198" s="12">
        <v>717000</v>
      </c>
      <c r="AX198" s="12">
        <v>2796000</v>
      </c>
      <c r="AY198" s="12">
        <v>1329000</v>
      </c>
      <c r="AZ198" s="12">
        <v>4008000</v>
      </c>
      <c r="BA198" s="12">
        <v>0</v>
      </c>
    </row>
    <row r="199" spans="1:53" x14ac:dyDescent="0.3">
      <c r="A199" s="7">
        <f t="shared" si="57"/>
        <v>-2214913</v>
      </c>
      <c r="B199" s="7">
        <f t="shared" si="58"/>
        <v>-5625134</v>
      </c>
      <c r="C199" s="7">
        <f t="shared" si="59"/>
        <v>-6880769</v>
      </c>
      <c r="D199" s="5"/>
      <c r="E199" s="5" t="str">
        <f t="shared" si="56"/>
        <v>0505A000033</v>
      </c>
      <c r="F199" s="5"/>
      <c r="G199" s="6"/>
      <c r="H199" s="11" t="s">
        <v>920</v>
      </c>
      <c r="I199" s="11"/>
      <c r="J199" s="12">
        <v>0</v>
      </c>
      <c r="K199" s="11" t="s">
        <v>921</v>
      </c>
      <c r="L199" s="12">
        <v>0</v>
      </c>
      <c r="M199" s="12">
        <v>-4094347</v>
      </c>
      <c r="N199" s="12">
        <v>-48913</v>
      </c>
      <c r="O199" s="12">
        <v>-65913</v>
      </c>
      <c r="P199" s="12">
        <v>-195913</v>
      </c>
      <c r="Q199" s="12">
        <v>-316913</v>
      </c>
      <c r="R199" s="12">
        <v>-452913</v>
      </c>
      <c r="S199" s="12">
        <v>-537964</v>
      </c>
      <c r="T199" s="12">
        <v>-596384</v>
      </c>
      <c r="U199" s="12">
        <v>-1334162</v>
      </c>
      <c r="V199" s="12">
        <v>-716162</v>
      </c>
      <c r="W199" s="12">
        <v>-716162</v>
      </c>
      <c r="X199" s="12">
        <v>-716162</v>
      </c>
      <c r="Y199" s="12">
        <v>-716162</v>
      </c>
      <c r="Z199" s="12">
        <v>-713162</v>
      </c>
      <c r="AA199" s="12">
        <v>-713162</v>
      </c>
      <c r="AB199" s="12">
        <v>-1204967</v>
      </c>
      <c r="AC199" s="12">
        <v>-1204967</v>
      </c>
      <c r="AD199" s="12">
        <v>-1204967</v>
      </c>
      <c r="AE199" s="12">
        <v>-1204967</v>
      </c>
      <c r="AF199" s="12">
        <v>-1204967</v>
      </c>
      <c r="AG199" s="12">
        <v>-427967</v>
      </c>
      <c r="AH199" s="12">
        <v>-427967</v>
      </c>
      <c r="AI199" s="12">
        <v>-530967</v>
      </c>
      <c r="AJ199" s="12">
        <v>-500967</v>
      </c>
      <c r="AK199" s="12">
        <v>-839967</v>
      </c>
      <c r="AL199" s="12">
        <v>-844967</v>
      </c>
      <c r="AM199" s="12">
        <v>-1903967</v>
      </c>
      <c r="AN199" s="12">
        <v>-2796467</v>
      </c>
      <c r="AO199" s="12">
        <v>-2391467</v>
      </c>
      <c r="AP199" s="12">
        <v>-2391467</v>
      </c>
      <c r="AQ199" s="12">
        <v>-2525175</v>
      </c>
      <c r="AR199" s="12">
        <v>-2581787</v>
      </c>
      <c r="AS199" s="12">
        <v>-2120787</v>
      </c>
      <c r="AT199" s="12">
        <v>-4094347</v>
      </c>
      <c r="AU199" s="12">
        <v>-4094347</v>
      </c>
      <c r="AV199" s="12">
        <v>-4094347</v>
      </c>
      <c r="AW199" s="12">
        <v>0</v>
      </c>
      <c r="AX199" s="12">
        <v>0</v>
      </c>
      <c r="AY199" s="12">
        <v>0</v>
      </c>
      <c r="AZ199" s="12">
        <v>0</v>
      </c>
      <c r="BA199" s="12">
        <v>0</v>
      </c>
    </row>
    <row r="200" spans="1:53" x14ac:dyDescent="0.3">
      <c r="A200" s="7">
        <f t="shared" si="57"/>
        <v>15205</v>
      </c>
      <c r="B200" s="7">
        <f t="shared" si="58"/>
        <v>2715.4</v>
      </c>
      <c r="C200" s="7">
        <f t="shared" si="59"/>
        <v>10209.6</v>
      </c>
      <c r="D200" s="13"/>
      <c r="E200" s="13" t="s">
        <v>775</v>
      </c>
      <c r="F200" s="5"/>
      <c r="G200" s="13" t="s">
        <v>1010</v>
      </c>
      <c r="H200" s="13" t="s">
        <v>49</v>
      </c>
      <c r="I200" s="11" t="s">
        <v>49</v>
      </c>
      <c r="J200" s="12">
        <v>0</v>
      </c>
      <c r="K200" s="11" t="s">
        <v>916</v>
      </c>
      <c r="L200" s="12">
        <v>0</v>
      </c>
      <c r="M200" s="12">
        <v>56047.4</v>
      </c>
      <c r="N200" s="12">
        <v>4493.3999999999996</v>
      </c>
      <c r="O200" s="12">
        <v>3800</v>
      </c>
      <c r="P200" s="12">
        <v>2874</v>
      </c>
      <c r="Q200" s="12">
        <v>800</v>
      </c>
      <c r="R200" s="12">
        <v>800</v>
      </c>
      <c r="S200" s="12">
        <v>800</v>
      </c>
      <c r="T200" s="12">
        <v>1637.6</v>
      </c>
      <c r="U200" s="12">
        <v>2482.8000000000002</v>
      </c>
      <c r="V200" s="12">
        <v>0</v>
      </c>
      <c r="W200" s="12">
        <v>0</v>
      </c>
      <c r="X200" s="12">
        <v>0</v>
      </c>
      <c r="Y200" s="12">
        <v>0</v>
      </c>
      <c r="Z200" s="12">
        <v>0</v>
      </c>
      <c r="AA200" s="12">
        <v>232.6</v>
      </c>
      <c r="AB200" s="12">
        <v>10209.6</v>
      </c>
      <c r="AC200" s="12">
        <v>0</v>
      </c>
      <c r="AD200" s="12">
        <v>0</v>
      </c>
      <c r="AE200" s="12">
        <v>0</v>
      </c>
      <c r="AF200" s="12">
        <v>0</v>
      </c>
      <c r="AG200" s="12">
        <v>0</v>
      </c>
      <c r="AH200" s="12">
        <v>0</v>
      </c>
      <c r="AI200" s="12">
        <v>6000</v>
      </c>
      <c r="AJ200" s="12">
        <v>5600</v>
      </c>
      <c r="AK200" s="12">
        <v>5000</v>
      </c>
      <c r="AL200" s="12">
        <v>0</v>
      </c>
      <c r="AM200" s="12">
        <v>4628</v>
      </c>
      <c r="AN200" s="12">
        <v>1400</v>
      </c>
      <c r="AO200" s="12">
        <v>0</v>
      </c>
      <c r="AP200" s="12">
        <v>0</v>
      </c>
      <c r="AQ200" s="12">
        <v>2600</v>
      </c>
      <c r="AR200" s="12">
        <v>1000</v>
      </c>
      <c r="AS200" s="12">
        <v>0</v>
      </c>
      <c r="AT200" s="12">
        <v>1689.4</v>
      </c>
      <c r="AU200" s="12">
        <v>0</v>
      </c>
      <c r="AV200" s="12">
        <v>0</v>
      </c>
      <c r="AW200" s="12">
        <v>17687.8</v>
      </c>
      <c r="AX200" s="12">
        <v>27042.2</v>
      </c>
      <c r="AY200" s="12">
        <v>6028</v>
      </c>
      <c r="AZ200" s="12">
        <v>5289.4</v>
      </c>
      <c r="BA200" s="12">
        <v>0</v>
      </c>
    </row>
    <row r="201" spans="1:53" x14ac:dyDescent="0.3">
      <c r="A201" s="7">
        <f t="shared" si="57"/>
        <v>394415.6</v>
      </c>
      <c r="B201" s="7">
        <f t="shared" si="58"/>
        <v>347829.8</v>
      </c>
      <c r="C201" s="7">
        <f t="shared" si="59"/>
        <v>274967</v>
      </c>
      <c r="D201" s="5"/>
      <c r="E201" s="5" t="str">
        <f t="shared" ref="E201:E204" si="60">E200</f>
        <v>1201-003188</v>
      </c>
      <c r="F201" s="5"/>
      <c r="G201" s="5"/>
      <c r="H201" s="6"/>
      <c r="I201" s="11"/>
      <c r="J201" s="12">
        <v>0</v>
      </c>
      <c r="K201" s="11" t="s">
        <v>917</v>
      </c>
      <c r="L201" s="12">
        <v>67411</v>
      </c>
      <c r="M201" s="12">
        <v>11363.6</v>
      </c>
      <c r="N201" s="12">
        <v>62917.599999999999</v>
      </c>
      <c r="O201" s="12">
        <v>59117.599999999999</v>
      </c>
      <c r="P201" s="12">
        <v>56243.6</v>
      </c>
      <c r="Q201" s="12">
        <v>55443.6</v>
      </c>
      <c r="R201" s="12">
        <v>54643.6</v>
      </c>
      <c r="S201" s="12">
        <v>53843.6</v>
      </c>
      <c r="T201" s="12">
        <v>52206</v>
      </c>
      <c r="U201" s="12">
        <v>49723.199999999997</v>
      </c>
      <c r="V201" s="12">
        <v>49723.199999999997</v>
      </c>
      <c r="W201" s="12">
        <v>49723.199999999997</v>
      </c>
      <c r="X201" s="12">
        <v>49723.199999999997</v>
      </c>
      <c r="Y201" s="12">
        <v>49723.199999999997</v>
      </c>
      <c r="Z201" s="12">
        <v>49723.199999999997</v>
      </c>
      <c r="AA201" s="12">
        <v>49490.6</v>
      </c>
      <c r="AB201" s="12">
        <v>39281</v>
      </c>
      <c r="AC201" s="12">
        <v>39281</v>
      </c>
      <c r="AD201" s="12">
        <v>39281</v>
      </c>
      <c r="AE201" s="12">
        <v>39281</v>
      </c>
      <c r="AF201" s="12">
        <v>39281</v>
      </c>
      <c r="AG201" s="12">
        <v>39281</v>
      </c>
      <c r="AH201" s="12">
        <v>39281</v>
      </c>
      <c r="AI201" s="12">
        <v>33281</v>
      </c>
      <c r="AJ201" s="12">
        <v>27681</v>
      </c>
      <c r="AK201" s="12">
        <v>22681</v>
      </c>
      <c r="AL201" s="12">
        <v>22681</v>
      </c>
      <c r="AM201" s="12">
        <v>18053</v>
      </c>
      <c r="AN201" s="12">
        <v>16653</v>
      </c>
      <c r="AO201" s="12">
        <v>16653</v>
      </c>
      <c r="AP201" s="12">
        <v>16653</v>
      </c>
      <c r="AQ201" s="12">
        <v>14053</v>
      </c>
      <c r="AR201" s="12">
        <v>13053</v>
      </c>
      <c r="AS201" s="12">
        <v>13053</v>
      </c>
      <c r="AT201" s="12">
        <v>11363.6</v>
      </c>
      <c r="AU201" s="12">
        <v>11363.6</v>
      </c>
      <c r="AV201" s="12">
        <v>11363.6</v>
      </c>
      <c r="AW201" s="12">
        <v>0</v>
      </c>
      <c r="AX201" s="12">
        <v>0</v>
      </c>
      <c r="AY201" s="12">
        <v>0</v>
      </c>
      <c r="AZ201" s="12">
        <v>0</v>
      </c>
      <c r="BA201" s="12">
        <v>0</v>
      </c>
    </row>
    <row r="202" spans="1:53" x14ac:dyDescent="0.3">
      <c r="A202" s="7">
        <f t="shared" si="57"/>
        <v>0</v>
      </c>
      <c r="B202" s="7">
        <f t="shared" si="58"/>
        <v>0</v>
      </c>
      <c r="C202" s="7">
        <f t="shared" si="59"/>
        <v>0</v>
      </c>
      <c r="D202" s="5"/>
      <c r="E202" s="5" t="str">
        <f t="shared" si="60"/>
        <v>1201-003188</v>
      </c>
      <c r="F202" s="5"/>
      <c r="G202" s="5"/>
      <c r="H202" s="11" t="s">
        <v>766</v>
      </c>
      <c r="I202" s="11" t="s">
        <v>767</v>
      </c>
      <c r="J202" s="12">
        <v>80000</v>
      </c>
      <c r="K202" s="11" t="s">
        <v>918</v>
      </c>
      <c r="L202" s="12">
        <v>0</v>
      </c>
      <c r="M202" s="12">
        <v>0</v>
      </c>
      <c r="N202" s="12">
        <v>0</v>
      </c>
      <c r="O202" s="12">
        <v>0</v>
      </c>
      <c r="P202" s="12">
        <v>0</v>
      </c>
      <c r="Q202" s="12">
        <v>0</v>
      </c>
      <c r="R202" s="12">
        <v>0</v>
      </c>
      <c r="S202" s="12">
        <v>0</v>
      </c>
      <c r="T202" s="12">
        <v>0</v>
      </c>
      <c r="U202" s="12">
        <v>0</v>
      </c>
      <c r="V202" s="12">
        <v>0</v>
      </c>
      <c r="W202" s="12">
        <v>0</v>
      </c>
      <c r="X202" s="12">
        <v>0</v>
      </c>
      <c r="Y202" s="12">
        <v>0</v>
      </c>
      <c r="Z202" s="12">
        <v>0</v>
      </c>
      <c r="AA202" s="12">
        <v>0</v>
      </c>
      <c r="AB202" s="12">
        <v>0</v>
      </c>
      <c r="AC202" s="12">
        <v>0</v>
      </c>
      <c r="AD202" s="12">
        <v>0</v>
      </c>
      <c r="AE202" s="12">
        <v>0</v>
      </c>
      <c r="AF202" s="12">
        <v>0</v>
      </c>
      <c r="AG202" s="12">
        <v>0</v>
      </c>
      <c r="AH202" s="12">
        <v>0</v>
      </c>
      <c r="AI202" s="12">
        <v>0</v>
      </c>
      <c r="AJ202" s="12">
        <v>0</v>
      </c>
      <c r="AK202" s="12">
        <v>0</v>
      </c>
      <c r="AL202" s="12">
        <v>0</v>
      </c>
      <c r="AM202" s="12">
        <v>0</v>
      </c>
      <c r="AN202" s="12">
        <v>0</v>
      </c>
      <c r="AO202" s="12">
        <v>0</v>
      </c>
      <c r="AP202" s="12">
        <v>0</v>
      </c>
      <c r="AQ202" s="12">
        <v>0</v>
      </c>
      <c r="AR202" s="12">
        <v>0</v>
      </c>
      <c r="AS202" s="12">
        <v>0</v>
      </c>
      <c r="AT202" s="12">
        <v>0</v>
      </c>
      <c r="AU202" s="12">
        <v>0</v>
      </c>
      <c r="AV202" s="12">
        <v>0</v>
      </c>
      <c r="AW202" s="12">
        <v>0</v>
      </c>
      <c r="AX202" s="12">
        <v>0</v>
      </c>
      <c r="AY202" s="12">
        <v>0</v>
      </c>
      <c r="AZ202" s="12">
        <v>0</v>
      </c>
      <c r="BA202" s="12">
        <v>0</v>
      </c>
    </row>
    <row r="203" spans="1:53" x14ac:dyDescent="0.3">
      <c r="A203" s="7">
        <f t="shared" si="57"/>
        <v>0</v>
      </c>
      <c r="B203" s="7">
        <f t="shared" si="58"/>
        <v>0</v>
      </c>
      <c r="C203" s="7">
        <f t="shared" si="59"/>
        <v>0</v>
      </c>
      <c r="D203" s="5"/>
      <c r="E203" s="5" t="str">
        <f t="shared" si="60"/>
        <v>1201-003188</v>
      </c>
      <c r="F203" s="5"/>
      <c r="G203" s="5"/>
      <c r="H203" s="11" t="s">
        <v>49</v>
      </c>
      <c r="I203" s="11"/>
      <c r="J203" s="12">
        <v>0</v>
      </c>
      <c r="K203" s="11" t="s">
        <v>919</v>
      </c>
      <c r="L203" s="12">
        <v>0</v>
      </c>
      <c r="M203" s="12">
        <v>0</v>
      </c>
      <c r="N203" s="12">
        <v>0</v>
      </c>
      <c r="O203" s="12">
        <v>0</v>
      </c>
      <c r="P203" s="12">
        <v>0</v>
      </c>
      <c r="Q203" s="12">
        <v>0</v>
      </c>
      <c r="R203" s="12">
        <v>0</v>
      </c>
      <c r="S203" s="12">
        <v>0</v>
      </c>
      <c r="T203" s="12">
        <v>0</v>
      </c>
      <c r="U203" s="12">
        <v>0</v>
      </c>
      <c r="V203" s="12">
        <v>0</v>
      </c>
      <c r="W203" s="12">
        <v>0</v>
      </c>
      <c r="X203" s="12">
        <v>0</v>
      </c>
      <c r="Y203" s="12">
        <v>0</v>
      </c>
      <c r="Z203" s="12">
        <v>0</v>
      </c>
      <c r="AA203" s="12">
        <v>0</v>
      </c>
      <c r="AB203" s="12">
        <v>0</v>
      </c>
      <c r="AC203" s="12">
        <v>0</v>
      </c>
      <c r="AD203" s="12">
        <v>0</v>
      </c>
      <c r="AE203" s="12">
        <v>0</v>
      </c>
      <c r="AF203" s="12">
        <v>0</v>
      </c>
      <c r="AG203" s="12">
        <v>0</v>
      </c>
      <c r="AH203" s="12">
        <v>0</v>
      </c>
      <c r="AI203" s="12">
        <v>0</v>
      </c>
      <c r="AJ203" s="12">
        <v>0</v>
      </c>
      <c r="AK203" s="12">
        <v>0</v>
      </c>
      <c r="AL203" s="12">
        <v>0</v>
      </c>
      <c r="AM203" s="12">
        <v>0</v>
      </c>
      <c r="AN203" s="12">
        <v>0</v>
      </c>
      <c r="AO203" s="12">
        <v>0</v>
      </c>
      <c r="AP203" s="12">
        <v>0</v>
      </c>
      <c r="AQ203" s="12">
        <v>0</v>
      </c>
      <c r="AR203" s="12">
        <v>0</v>
      </c>
      <c r="AS203" s="12">
        <v>0</v>
      </c>
      <c r="AT203" s="12">
        <v>0</v>
      </c>
      <c r="AU203" s="12">
        <v>0</v>
      </c>
      <c r="AV203" s="12">
        <v>0</v>
      </c>
      <c r="AW203" s="12">
        <v>0</v>
      </c>
      <c r="AX203" s="12">
        <v>0</v>
      </c>
      <c r="AY203" s="12">
        <v>0</v>
      </c>
      <c r="AZ203" s="12">
        <v>0</v>
      </c>
      <c r="BA203" s="12">
        <v>0</v>
      </c>
    </row>
    <row r="204" spans="1:53" x14ac:dyDescent="0.3">
      <c r="A204" s="7">
        <f t="shared" si="57"/>
        <v>394415.6</v>
      </c>
      <c r="B204" s="7">
        <f t="shared" si="58"/>
        <v>347829.8</v>
      </c>
      <c r="C204" s="7">
        <f t="shared" si="59"/>
        <v>274967</v>
      </c>
      <c r="D204" s="5"/>
      <c r="E204" s="5" t="str">
        <f t="shared" si="60"/>
        <v>1201-003188</v>
      </c>
      <c r="F204" s="5"/>
      <c r="G204" s="6"/>
      <c r="H204" s="11" t="s">
        <v>920</v>
      </c>
      <c r="I204" s="11"/>
      <c r="J204" s="12">
        <v>0</v>
      </c>
      <c r="K204" s="11" t="s">
        <v>921</v>
      </c>
      <c r="L204" s="12">
        <v>0</v>
      </c>
      <c r="M204" s="12">
        <v>11363.6</v>
      </c>
      <c r="N204" s="12">
        <v>62917.599999999999</v>
      </c>
      <c r="O204" s="12">
        <v>59117.599999999999</v>
      </c>
      <c r="P204" s="12">
        <v>56243.6</v>
      </c>
      <c r="Q204" s="12">
        <v>55443.6</v>
      </c>
      <c r="R204" s="12">
        <v>54643.6</v>
      </c>
      <c r="S204" s="12">
        <v>53843.6</v>
      </c>
      <c r="T204" s="12">
        <v>52206</v>
      </c>
      <c r="U204" s="12">
        <v>49723.199999999997</v>
      </c>
      <c r="V204" s="12">
        <v>49723.199999999997</v>
      </c>
      <c r="W204" s="12">
        <v>49723.199999999997</v>
      </c>
      <c r="X204" s="12">
        <v>49723.199999999997</v>
      </c>
      <c r="Y204" s="12">
        <v>49723.199999999997</v>
      </c>
      <c r="Z204" s="12">
        <v>49723.199999999997</v>
      </c>
      <c r="AA204" s="12">
        <v>49490.6</v>
      </c>
      <c r="AB204" s="12">
        <v>39281</v>
      </c>
      <c r="AC204" s="12">
        <v>39281</v>
      </c>
      <c r="AD204" s="12">
        <v>39281</v>
      </c>
      <c r="AE204" s="12">
        <v>39281</v>
      </c>
      <c r="AF204" s="12">
        <v>39281</v>
      </c>
      <c r="AG204" s="12">
        <v>39281</v>
      </c>
      <c r="AH204" s="12">
        <v>39281</v>
      </c>
      <c r="AI204" s="12">
        <v>33281</v>
      </c>
      <c r="AJ204" s="12">
        <v>27681</v>
      </c>
      <c r="AK204" s="12">
        <v>22681</v>
      </c>
      <c r="AL204" s="12">
        <v>22681</v>
      </c>
      <c r="AM204" s="12">
        <v>18053</v>
      </c>
      <c r="AN204" s="12">
        <v>16653</v>
      </c>
      <c r="AO204" s="12">
        <v>16653</v>
      </c>
      <c r="AP204" s="12">
        <v>16653</v>
      </c>
      <c r="AQ204" s="12">
        <v>14053</v>
      </c>
      <c r="AR204" s="12">
        <v>13053</v>
      </c>
      <c r="AS204" s="12">
        <v>13053</v>
      </c>
      <c r="AT204" s="12">
        <v>11363.6</v>
      </c>
      <c r="AU204" s="12">
        <v>11363.6</v>
      </c>
      <c r="AV204" s="12">
        <v>11363.6</v>
      </c>
      <c r="AW204" s="12">
        <v>0</v>
      </c>
      <c r="AX204" s="12">
        <v>0</v>
      </c>
      <c r="AY204" s="12">
        <v>0</v>
      </c>
      <c r="AZ204" s="12">
        <v>0</v>
      </c>
      <c r="BA204" s="12">
        <v>0</v>
      </c>
    </row>
    <row r="205" spans="1:53" x14ac:dyDescent="0.3">
      <c r="A205" s="7">
        <f t="shared" si="57"/>
        <v>11580</v>
      </c>
      <c r="B205" s="7">
        <f t="shared" si="58"/>
        <v>9329.6</v>
      </c>
      <c r="C205" s="7">
        <f t="shared" si="59"/>
        <v>14000</v>
      </c>
      <c r="D205" s="13"/>
      <c r="E205" s="13" t="s">
        <v>812</v>
      </c>
      <c r="F205" s="5"/>
      <c r="G205" s="13" t="s">
        <v>1011</v>
      </c>
      <c r="H205" s="13" t="s">
        <v>49</v>
      </c>
      <c r="I205" s="11" t="s">
        <v>49</v>
      </c>
      <c r="J205" s="12">
        <v>0</v>
      </c>
      <c r="K205" s="11" t="s">
        <v>916</v>
      </c>
      <c r="L205" s="12">
        <v>0</v>
      </c>
      <c r="M205" s="12">
        <v>190976.6</v>
      </c>
      <c r="N205" s="12">
        <v>1980</v>
      </c>
      <c r="O205" s="12">
        <v>1600</v>
      </c>
      <c r="P205" s="12">
        <v>1600</v>
      </c>
      <c r="Q205" s="12">
        <v>1600</v>
      </c>
      <c r="R205" s="12">
        <v>1600</v>
      </c>
      <c r="S205" s="12">
        <v>1600</v>
      </c>
      <c r="T205" s="12">
        <v>1600</v>
      </c>
      <c r="U205" s="12">
        <v>8229.6</v>
      </c>
      <c r="V205" s="12">
        <v>0</v>
      </c>
      <c r="W205" s="12">
        <v>0</v>
      </c>
      <c r="X205" s="12">
        <v>0</v>
      </c>
      <c r="Y205" s="12">
        <v>0</v>
      </c>
      <c r="Z205" s="12">
        <v>0</v>
      </c>
      <c r="AA205" s="12">
        <v>1100</v>
      </c>
      <c r="AB205" s="12">
        <v>14000</v>
      </c>
      <c r="AC205" s="12">
        <v>0</v>
      </c>
      <c r="AD205" s="12">
        <v>0</v>
      </c>
      <c r="AE205" s="12">
        <v>0</v>
      </c>
      <c r="AF205" s="12">
        <v>0</v>
      </c>
      <c r="AG205" s="12">
        <v>0</v>
      </c>
      <c r="AH205" s="12">
        <v>0</v>
      </c>
      <c r="AI205" s="12">
        <v>12000</v>
      </c>
      <c r="AJ205" s="12">
        <v>12000</v>
      </c>
      <c r="AK205" s="12">
        <v>8000</v>
      </c>
      <c r="AL205" s="12">
        <v>0</v>
      </c>
      <c r="AM205" s="12">
        <v>22886</v>
      </c>
      <c r="AN205" s="12">
        <v>18300</v>
      </c>
      <c r="AO205" s="12">
        <v>16000</v>
      </c>
      <c r="AP205" s="12">
        <v>0</v>
      </c>
      <c r="AQ205" s="12">
        <v>17900</v>
      </c>
      <c r="AR205" s="12">
        <v>16959</v>
      </c>
      <c r="AS205" s="12">
        <v>0</v>
      </c>
      <c r="AT205" s="12">
        <v>32022</v>
      </c>
      <c r="AU205" s="12">
        <v>0</v>
      </c>
      <c r="AV205" s="12">
        <v>0</v>
      </c>
      <c r="AW205" s="12">
        <v>19809.599999999999</v>
      </c>
      <c r="AX205" s="12">
        <v>47100</v>
      </c>
      <c r="AY205" s="12">
        <v>57186</v>
      </c>
      <c r="AZ205" s="12">
        <v>66881</v>
      </c>
      <c r="BA205" s="12">
        <v>0</v>
      </c>
    </row>
    <row r="206" spans="1:53" x14ac:dyDescent="0.3">
      <c r="A206" s="7">
        <f t="shared" si="57"/>
        <v>1329923</v>
      </c>
      <c r="B206" s="7">
        <f t="shared" si="58"/>
        <v>1237615.7999999998</v>
      </c>
      <c r="C206" s="7">
        <f t="shared" si="59"/>
        <v>1133015.8</v>
      </c>
      <c r="D206" s="5"/>
      <c r="E206" s="5" t="str">
        <f t="shared" ref="E206:E209" si="61">E205</f>
        <v>1203-001785</v>
      </c>
      <c r="F206" s="5"/>
      <c r="G206" s="5"/>
      <c r="H206" s="6"/>
      <c r="I206" s="11"/>
      <c r="J206" s="12">
        <v>0</v>
      </c>
      <c r="K206" s="11" t="s">
        <v>917</v>
      </c>
      <c r="L206" s="12">
        <v>196769</v>
      </c>
      <c r="M206" s="12">
        <v>5792.4</v>
      </c>
      <c r="N206" s="12">
        <v>194789</v>
      </c>
      <c r="O206" s="12">
        <v>193189</v>
      </c>
      <c r="P206" s="12">
        <v>191589</v>
      </c>
      <c r="Q206" s="12">
        <v>189989</v>
      </c>
      <c r="R206" s="12">
        <v>188389</v>
      </c>
      <c r="S206" s="12">
        <v>186789</v>
      </c>
      <c r="T206" s="12">
        <v>185189</v>
      </c>
      <c r="U206" s="12">
        <v>176959.4</v>
      </c>
      <c r="V206" s="12">
        <v>176959.4</v>
      </c>
      <c r="W206" s="12">
        <v>176959.4</v>
      </c>
      <c r="X206" s="12">
        <v>176959.4</v>
      </c>
      <c r="Y206" s="12">
        <v>176959.4</v>
      </c>
      <c r="Z206" s="12">
        <v>176959.4</v>
      </c>
      <c r="AA206" s="12">
        <v>175859.4</v>
      </c>
      <c r="AB206" s="12">
        <v>161859.4</v>
      </c>
      <c r="AC206" s="12">
        <v>161859.4</v>
      </c>
      <c r="AD206" s="12">
        <v>161859.4</v>
      </c>
      <c r="AE206" s="12">
        <v>161859.4</v>
      </c>
      <c r="AF206" s="12">
        <v>161859.4</v>
      </c>
      <c r="AG206" s="12">
        <v>161859.4</v>
      </c>
      <c r="AH206" s="12">
        <v>161859.4</v>
      </c>
      <c r="AI206" s="12">
        <v>149859.4</v>
      </c>
      <c r="AJ206" s="12">
        <v>137859.4</v>
      </c>
      <c r="AK206" s="12">
        <v>129859.4</v>
      </c>
      <c r="AL206" s="12">
        <v>129859.4</v>
      </c>
      <c r="AM206" s="12">
        <v>106973.4</v>
      </c>
      <c r="AN206" s="12">
        <v>88673.4</v>
      </c>
      <c r="AO206" s="12">
        <v>72673.399999999994</v>
      </c>
      <c r="AP206" s="12">
        <v>72673.399999999994</v>
      </c>
      <c r="AQ206" s="12">
        <v>54773.4</v>
      </c>
      <c r="AR206" s="12">
        <v>37814.400000000001</v>
      </c>
      <c r="AS206" s="12">
        <v>37814.400000000001</v>
      </c>
      <c r="AT206" s="12">
        <v>5792.4</v>
      </c>
      <c r="AU206" s="12">
        <v>5792.4</v>
      </c>
      <c r="AV206" s="12">
        <v>5792.4</v>
      </c>
      <c r="AW206" s="12">
        <v>0</v>
      </c>
      <c r="AX206" s="12">
        <v>0</v>
      </c>
      <c r="AY206" s="12">
        <v>0</v>
      </c>
      <c r="AZ206" s="12">
        <v>0</v>
      </c>
      <c r="BA206" s="12">
        <v>0</v>
      </c>
    </row>
    <row r="207" spans="1:53" x14ac:dyDescent="0.3">
      <c r="A207" s="7">
        <f t="shared" si="57"/>
        <v>130000</v>
      </c>
      <c r="B207" s="7">
        <f t="shared" si="58"/>
        <v>0</v>
      </c>
      <c r="C207" s="7">
        <f t="shared" si="59"/>
        <v>0</v>
      </c>
      <c r="D207" s="5"/>
      <c r="E207" s="5" t="str">
        <f t="shared" si="61"/>
        <v>1203-001785</v>
      </c>
      <c r="F207" s="5"/>
      <c r="G207" s="5"/>
      <c r="H207" s="11" t="s">
        <v>766</v>
      </c>
      <c r="I207" s="11" t="s">
        <v>767</v>
      </c>
      <c r="J207" s="12">
        <v>12000</v>
      </c>
      <c r="K207" s="11" t="s">
        <v>918</v>
      </c>
      <c r="L207" s="12">
        <v>0</v>
      </c>
      <c r="M207" s="12">
        <v>130000</v>
      </c>
      <c r="N207" s="12">
        <v>0</v>
      </c>
      <c r="O207" s="12">
        <v>0</v>
      </c>
      <c r="P207" s="12">
        <v>130000</v>
      </c>
      <c r="Q207" s="12">
        <v>0</v>
      </c>
      <c r="R207" s="12">
        <v>0</v>
      </c>
      <c r="S207" s="12">
        <v>0</v>
      </c>
      <c r="T207" s="12">
        <v>0</v>
      </c>
      <c r="U207" s="12">
        <v>0</v>
      </c>
      <c r="V207" s="12">
        <v>0</v>
      </c>
      <c r="W207" s="12">
        <v>0</v>
      </c>
      <c r="X207" s="12">
        <v>0</v>
      </c>
      <c r="Y207" s="12">
        <v>0</v>
      </c>
      <c r="Z207" s="12">
        <v>0</v>
      </c>
      <c r="AA207" s="12">
        <v>0</v>
      </c>
      <c r="AB207" s="12">
        <v>0</v>
      </c>
      <c r="AC207" s="12">
        <v>0</v>
      </c>
      <c r="AD207" s="12">
        <v>0</v>
      </c>
      <c r="AE207" s="12">
        <v>0</v>
      </c>
      <c r="AF207" s="12">
        <v>0</v>
      </c>
      <c r="AG207" s="12">
        <v>0</v>
      </c>
      <c r="AH207" s="12">
        <v>0</v>
      </c>
      <c r="AI207" s="12">
        <v>0</v>
      </c>
      <c r="AJ207" s="12">
        <v>0</v>
      </c>
      <c r="AK207" s="12">
        <v>0</v>
      </c>
      <c r="AL207" s="12">
        <v>0</v>
      </c>
      <c r="AM207" s="12">
        <v>0</v>
      </c>
      <c r="AN207" s="12">
        <v>0</v>
      </c>
      <c r="AO207" s="12">
        <v>0</v>
      </c>
      <c r="AP207" s="12">
        <v>0</v>
      </c>
      <c r="AQ207" s="12">
        <v>0</v>
      </c>
      <c r="AR207" s="12">
        <v>0</v>
      </c>
      <c r="AS207" s="12">
        <v>0</v>
      </c>
      <c r="AT207" s="12">
        <v>0</v>
      </c>
      <c r="AU207" s="12">
        <v>0</v>
      </c>
      <c r="AV207" s="12">
        <v>0</v>
      </c>
      <c r="AW207" s="12">
        <v>130000</v>
      </c>
      <c r="AX207" s="12">
        <v>0</v>
      </c>
      <c r="AY207" s="12">
        <v>0</v>
      </c>
      <c r="AZ207" s="12">
        <v>0</v>
      </c>
      <c r="BA207" s="12">
        <v>0</v>
      </c>
    </row>
    <row r="208" spans="1:53" x14ac:dyDescent="0.3">
      <c r="A208" s="7">
        <f t="shared" si="57"/>
        <v>130000</v>
      </c>
      <c r="B208" s="7">
        <f t="shared" si="58"/>
        <v>0</v>
      </c>
      <c r="C208" s="7">
        <f t="shared" si="59"/>
        <v>0</v>
      </c>
      <c r="D208" s="5"/>
      <c r="E208" s="5" t="str">
        <f t="shared" si="61"/>
        <v>1203-001785</v>
      </c>
      <c r="F208" s="5"/>
      <c r="G208" s="5"/>
      <c r="H208" s="11" t="s">
        <v>49</v>
      </c>
      <c r="I208" s="11"/>
      <c r="J208" s="12">
        <v>0</v>
      </c>
      <c r="K208" s="11" t="s">
        <v>919</v>
      </c>
      <c r="L208" s="12">
        <v>0</v>
      </c>
      <c r="M208" s="12">
        <v>130000</v>
      </c>
      <c r="N208" s="12">
        <v>0</v>
      </c>
      <c r="O208" s="12">
        <v>0</v>
      </c>
      <c r="P208" s="12">
        <v>130000</v>
      </c>
      <c r="Q208" s="12">
        <v>0</v>
      </c>
      <c r="R208" s="12">
        <v>0</v>
      </c>
      <c r="S208" s="12">
        <v>0</v>
      </c>
      <c r="T208" s="12">
        <v>0</v>
      </c>
      <c r="U208" s="12">
        <v>0</v>
      </c>
      <c r="V208" s="12">
        <v>0</v>
      </c>
      <c r="W208" s="12">
        <v>0</v>
      </c>
      <c r="X208" s="12">
        <v>0</v>
      </c>
      <c r="Y208" s="12">
        <v>0</v>
      </c>
      <c r="Z208" s="12">
        <v>0</v>
      </c>
      <c r="AA208" s="12">
        <v>0</v>
      </c>
      <c r="AB208" s="12">
        <v>0</v>
      </c>
      <c r="AC208" s="12">
        <v>0</v>
      </c>
      <c r="AD208" s="12">
        <v>0</v>
      </c>
      <c r="AE208" s="12">
        <v>0</v>
      </c>
      <c r="AF208" s="12">
        <v>0</v>
      </c>
      <c r="AG208" s="12">
        <v>0</v>
      </c>
      <c r="AH208" s="12">
        <v>0</v>
      </c>
      <c r="AI208" s="12">
        <v>0</v>
      </c>
      <c r="AJ208" s="12">
        <v>0</v>
      </c>
      <c r="AK208" s="12">
        <v>0</v>
      </c>
      <c r="AL208" s="12">
        <v>0</v>
      </c>
      <c r="AM208" s="12">
        <v>0</v>
      </c>
      <c r="AN208" s="12">
        <v>0</v>
      </c>
      <c r="AO208" s="12">
        <v>0</v>
      </c>
      <c r="AP208" s="12">
        <v>0</v>
      </c>
      <c r="AQ208" s="12">
        <v>0</v>
      </c>
      <c r="AR208" s="12">
        <v>0</v>
      </c>
      <c r="AS208" s="12">
        <v>0</v>
      </c>
      <c r="AT208" s="12">
        <v>0</v>
      </c>
      <c r="AU208" s="12">
        <v>0</v>
      </c>
      <c r="AV208" s="12">
        <v>0</v>
      </c>
      <c r="AW208" s="12">
        <v>130000</v>
      </c>
      <c r="AX208" s="12">
        <v>0</v>
      </c>
      <c r="AY208" s="12">
        <v>0</v>
      </c>
      <c r="AZ208" s="12">
        <v>0</v>
      </c>
      <c r="BA208" s="12">
        <v>0</v>
      </c>
    </row>
    <row r="209" spans="1:53" x14ac:dyDescent="0.3">
      <c r="A209" s="7">
        <f t="shared" si="57"/>
        <v>1979923</v>
      </c>
      <c r="B209" s="7">
        <f t="shared" si="58"/>
        <v>2147615.7999999998</v>
      </c>
      <c r="C209" s="7">
        <f t="shared" si="59"/>
        <v>2043015.7999999998</v>
      </c>
      <c r="D209" s="5"/>
      <c r="E209" s="5" t="str">
        <f t="shared" si="61"/>
        <v>1203-001785</v>
      </c>
      <c r="F209" s="5"/>
      <c r="G209" s="6"/>
      <c r="H209" s="11" t="s">
        <v>920</v>
      </c>
      <c r="I209" s="11"/>
      <c r="J209" s="12">
        <v>0</v>
      </c>
      <c r="K209" s="11" t="s">
        <v>921</v>
      </c>
      <c r="L209" s="12">
        <v>0</v>
      </c>
      <c r="M209" s="12">
        <v>135792.4</v>
      </c>
      <c r="N209" s="12">
        <v>194789</v>
      </c>
      <c r="O209" s="12">
        <v>193189</v>
      </c>
      <c r="P209" s="12">
        <v>321589</v>
      </c>
      <c r="Q209" s="12">
        <v>319989</v>
      </c>
      <c r="R209" s="12">
        <v>318389</v>
      </c>
      <c r="S209" s="12">
        <v>316789</v>
      </c>
      <c r="T209" s="12">
        <v>315189</v>
      </c>
      <c r="U209" s="12">
        <v>306959.40000000002</v>
      </c>
      <c r="V209" s="12">
        <v>306959.40000000002</v>
      </c>
      <c r="W209" s="12">
        <v>306959.40000000002</v>
      </c>
      <c r="X209" s="12">
        <v>306959.40000000002</v>
      </c>
      <c r="Y209" s="12">
        <v>306959.40000000002</v>
      </c>
      <c r="Z209" s="12">
        <v>306959.40000000002</v>
      </c>
      <c r="AA209" s="12">
        <v>305859.40000000002</v>
      </c>
      <c r="AB209" s="12">
        <v>291859.40000000002</v>
      </c>
      <c r="AC209" s="12">
        <v>291859.40000000002</v>
      </c>
      <c r="AD209" s="12">
        <v>291859.40000000002</v>
      </c>
      <c r="AE209" s="12">
        <v>291859.40000000002</v>
      </c>
      <c r="AF209" s="12">
        <v>291859.40000000002</v>
      </c>
      <c r="AG209" s="12">
        <v>291859.40000000002</v>
      </c>
      <c r="AH209" s="12">
        <v>291859.40000000002</v>
      </c>
      <c r="AI209" s="12">
        <v>279859.40000000002</v>
      </c>
      <c r="AJ209" s="12">
        <v>267859.40000000002</v>
      </c>
      <c r="AK209" s="12">
        <v>259859.4</v>
      </c>
      <c r="AL209" s="12">
        <v>259859.4</v>
      </c>
      <c r="AM209" s="12">
        <v>236973.4</v>
      </c>
      <c r="AN209" s="12">
        <v>218673.4</v>
      </c>
      <c r="AO209" s="12">
        <v>202673.4</v>
      </c>
      <c r="AP209" s="12">
        <v>202673.4</v>
      </c>
      <c r="AQ209" s="12">
        <v>184773.4</v>
      </c>
      <c r="AR209" s="12">
        <v>167814.39999999999</v>
      </c>
      <c r="AS209" s="12">
        <v>167814.39999999999</v>
      </c>
      <c r="AT209" s="12">
        <v>135792.4</v>
      </c>
      <c r="AU209" s="12">
        <v>135792.4</v>
      </c>
      <c r="AV209" s="12">
        <v>135792.4</v>
      </c>
      <c r="AW209" s="12">
        <v>0</v>
      </c>
      <c r="AX209" s="12">
        <v>0</v>
      </c>
      <c r="AY209" s="12">
        <v>0</v>
      </c>
      <c r="AZ209" s="12">
        <v>0</v>
      </c>
      <c r="BA209" s="12">
        <v>0</v>
      </c>
    </row>
    <row r="210" spans="1:53" x14ac:dyDescent="0.3">
      <c r="A210" s="7">
        <f t="shared" si="57"/>
        <v>5428</v>
      </c>
      <c r="B210" s="7">
        <f t="shared" si="58"/>
        <v>3283</v>
      </c>
      <c r="C210" s="7">
        <f t="shared" si="59"/>
        <v>2866</v>
      </c>
      <c r="D210" s="13"/>
      <c r="E210" s="13" t="s">
        <v>854</v>
      </c>
      <c r="F210" s="5"/>
      <c r="G210" s="13" t="s">
        <v>946</v>
      </c>
      <c r="H210" s="13" t="s">
        <v>49</v>
      </c>
      <c r="I210" s="11" t="s">
        <v>49</v>
      </c>
      <c r="J210" s="12">
        <v>0</v>
      </c>
      <c r="K210" s="11" t="s">
        <v>916</v>
      </c>
      <c r="L210" s="12">
        <v>0</v>
      </c>
      <c r="M210" s="12">
        <v>68888</v>
      </c>
      <c r="N210" s="12">
        <v>0</v>
      </c>
      <c r="O210" s="12">
        <v>0</v>
      </c>
      <c r="P210" s="12">
        <v>0</v>
      </c>
      <c r="Q210" s="12">
        <v>0</v>
      </c>
      <c r="R210" s="12">
        <v>0</v>
      </c>
      <c r="S210" s="12">
        <v>0</v>
      </c>
      <c r="T210" s="12">
        <v>5428</v>
      </c>
      <c r="U210" s="12">
        <v>0</v>
      </c>
      <c r="V210" s="12">
        <v>0</v>
      </c>
      <c r="W210" s="12">
        <v>0</v>
      </c>
      <c r="X210" s="12">
        <v>0</v>
      </c>
      <c r="Y210" s="12">
        <v>0</v>
      </c>
      <c r="Z210" s="12">
        <v>0</v>
      </c>
      <c r="AA210" s="12">
        <v>3283</v>
      </c>
      <c r="AB210" s="12">
        <v>2866</v>
      </c>
      <c r="AC210" s="12">
        <v>0</v>
      </c>
      <c r="AD210" s="12">
        <v>0</v>
      </c>
      <c r="AE210" s="12">
        <v>0</v>
      </c>
      <c r="AF210" s="12">
        <v>0</v>
      </c>
      <c r="AG210" s="12">
        <v>0</v>
      </c>
      <c r="AH210" s="12">
        <v>0</v>
      </c>
      <c r="AI210" s="12">
        <v>7000</v>
      </c>
      <c r="AJ210" s="12">
        <v>4500</v>
      </c>
      <c r="AK210" s="12">
        <v>1000</v>
      </c>
      <c r="AL210" s="12">
        <v>0</v>
      </c>
      <c r="AM210" s="12">
        <v>6000</v>
      </c>
      <c r="AN210" s="12">
        <v>11200</v>
      </c>
      <c r="AO210" s="12">
        <v>0</v>
      </c>
      <c r="AP210" s="12">
        <v>0</v>
      </c>
      <c r="AQ210" s="12">
        <v>9894</v>
      </c>
      <c r="AR210" s="12">
        <v>10141</v>
      </c>
      <c r="AS210" s="12">
        <v>0</v>
      </c>
      <c r="AT210" s="12">
        <v>7576</v>
      </c>
      <c r="AU210" s="12">
        <v>0</v>
      </c>
      <c r="AV210" s="12">
        <v>0</v>
      </c>
      <c r="AW210" s="12">
        <v>5428</v>
      </c>
      <c r="AX210" s="12">
        <v>18649</v>
      </c>
      <c r="AY210" s="12">
        <v>17200</v>
      </c>
      <c r="AZ210" s="12">
        <v>27611</v>
      </c>
      <c r="BA210" s="12">
        <v>0</v>
      </c>
    </row>
    <row r="211" spans="1:53" x14ac:dyDescent="0.3">
      <c r="A211" s="7">
        <f t="shared" si="57"/>
        <v>129777</v>
      </c>
      <c r="B211" s="7">
        <f t="shared" si="58"/>
        <v>93926</v>
      </c>
      <c r="C211" s="7">
        <f t="shared" si="59"/>
        <v>54166</v>
      </c>
      <c r="D211" s="5"/>
      <c r="E211" s="5" t="str">
        <f t="shared" ref="E211:E214" si="62">E210</f>
        <v>1203-008428</v>
      </c>
      <c r="F211" s="5"/>
      <c r="G211" s="5"/>
      <c r="H211" s="6"/>
      <c r="I211" s="11"/>
      <c r="J211" s="12">
        <v>0</v>
      </c>
      <c r="K211" s="11" t="s">
        <v>917</v>
      </c>
      <c r="L211" s="12">
        <v>19315</v>
      </c>
      <c r="M211" s="12">
        <v>-49573</v>
      </c>
      <c r="N211" s="12">
        <v>19315</v>
      </c>
      <c r="O211" s="12">
        <v>19315</v>
      </c>
      <c r="P211" s="12">
        <v>19315</v>
      </c>
      <c r="Q211" s="12">
        <v>19315</v>
      </c>
      <c r="R211" s="12">
        <v>19315</v>
      </c>
      <c r="S211" s="12">
        <v>19315</v>
      </c>
      <c r="T211" s="12">
        <v>13887</v>
      </c>
      <c r="U211" s="12">
        <v>13887</v>
      </c>
      <c r="V211" s="12">
        <v>13887</v>
      </c>
      <c r="W211" s="12">
        <v>13887</v>
      </c>
      <c r="X211" s="12">
        <v>13887</v>
      </c>
      <c r="Y211" s="12">
        <v>13887</v>
      </c>
      <c r="Z211" s="12">
        <v>13887</v>
      </c>
      <c r="AA211" s="12">
        <v>10604</v>
      </c>
      <c r="AB211" s="12">
        <v>7738</v>
      </c>
      <c r="AC211" s="12">
        <v>7738</v>
      </c>
      <c r="AD211" s="12">
        <v>7738</v>
      </c>
      <c r="AE211" s="12">
        <v>7738</v>
      </c>
      <c r="AF211" s="12">
        <v>7738</v>
      </c>
      <c r="AG211" s="12">
        <v>7738</v>
      </c>
      <c r="AH211" s="12">
        <v>7738</v>
      </c>
      <c r="AI211" s="12">
        <v>738</v>
      </c>
      <c r="AJ211" s="12">
        <v>-3762</v>
      </c>
      <c r="AK211" s="12">
        <v>-4762</v>
      </c>
      <c r="AL211" s="12">
        <v>-4762</v>
      </c>
      <c r="AM211" s="12">
        <v>-10762</v>
      </c>
      <c r="AN211" s="12">
        <v>-21962</v>
      </c>
      <c r="AO211" s="12">
        <v>-21962</v>
      </c>
      <c r="AP211" s="12">
        <v>-21962</v>
      </c>
      <c r="AQ211" s="12">
        <v>-31856</v>
      </c>
      <c r="AR211" s="12">
        <v>-41997</v>
      </c>
      <c r="AS211" s="12">
        <v>-41997</v>
      </c>
      <c r="AT211" s="12">
        <v>-49573</v>
      </c>
      <c r="AU211" s="12">
        <v>-49573</v>
      </c>
      <c r="AV211" s="12">
        <v>-49573</v>
      </c>
      <c r="AW211" s="12">
        <v>0</v>
      </c>
      <c r="AX211" s="12">
        <v>0</v>
      </c>
      <c r="AY211" s="12">
        <v>0</v>
      </c>
      <c r="AZ211" s="12">
        <v>0</v>
      </c>
      <c r="BA211" s="12">
        <v>0</v>
      </c>
    </row>
    <row r="212" spans="1:53" x14ac:dyDescent="0.3">
      <c r="A212" s="7">
        <f t="shared" si="57"/>
        <v>0</v>
      </c>
      <c r="B212" s="7">
        <f t="shared" si="58"/>
        <v>0</v>
      </c>
      <c r="C212" s="7">
        <f t="shared" si="59"/>
        <v>0</v>
      </c>
      <c r="D212" s="5"/>
      <c r="E212" s="5" t="str">
        <f t="shared" si="62"/>
        <v>1203-008428</v>
      </c>
      <c r="F212" s="5"/>
      <c r="G212" s="5"/>
      <c r="H212" s="11" t="s">
        <v>769</v>
      </c>
      <c r="I212" s="11" t="s">
        <v>770</v>
      </c>
      <c r="J212" s="12">
        <v>35000</v>
      </c>
      <c r="K212" s="11" t="s">
        <v>918</v>
      </c>
      <c r="L212" s="12">
        <v>0</v>
      </c>
      <c r="M212" s="12">
        <v>17500</v>
      </c>
      <c r="N212" s="12">
        <v>0</v>
      </c>
      <c r="O212" s="12">
        <v>0</v>
      </c>
      <c r="P212" s="12">
        <v>0</v>
      </c>
      <c r="Q212" s="12">
        <v>0</v>
      </c>
      <c r="R212" s="12">
        <v>0</v>
      </c>
      <c r="S212" s="12">
        <v>0</v>
      </c>
      <c r="T212" s="12">
        <v>0</v>
      </c>
      <c r="U212" s="12">
        <v>0</v>
      </c>
      <c r="V212" s="12">
        <v>0</v>
      </c>
      <c r="W212" s="12">
        <v>0</v>
      </c>
      <c r="X212" s="12">
        <v>0</v>
      </c>
      <c r="Y212" s="12">
        <v>0</v>
      </c>
      <c r="Z212" s="12">
        <v>0</v>
      </c>
      <c r="AA212" s="12">
        <v>0</v>
      </c>
      <c r="AB212" s="12">
        <v>0</v>
      </c>
      <c r="AC212" s="12">
        <v>0</v>
      </c>
      <c r="AD212" s="12">
        <v>0</v>
      </c>
      <c r="AE212" s="12">
        <v>0</v>
      </c>
      <c r="AF212" s="12">
        <v>0</v>
      </c>
      <c r="AG212" s="12">
        <v>0</v>
      </c>
      <c r="AH212" s="12">
        <v>0</v>
      </c>
      <c r="AI212" s="12">
        <v>0</v>
      </c>
      <c r="AJ212" s="12">
        <v>0</v>
      </c>
      <c r="AK212" s="12">
        <v>0</v>
      </c>
      <c r="AL212" s="12">
        <v>0</v>
      </c>
      <c r="AM212" s="12">
        <v>2500</v>
      </c>
      <c r="AN212" s="12">
        <v>0</v>
      </c>
      <c r="AO212" s="12">
        <v>0</v>
      </c>
      <c r="AP212" s="12">
        <v>15000</v>
      </c>
      <c r="AQ212" s="12">
        <v>0</v>
      </c>
      <c r="AR212" s="12">
        <v>0</v>
      </c>
      <c r="AS212" s="12">
        <v>0</v>
      </c>
      <c r="AT212" s="12">
        <v>0</v>
      </c>
      <c r="AU212" s="12">
        <v>0</v>
      </c>
      <c r="AV212" s="12">
        <v>0</v>
      </c>
      <c r="AW212" s="12">
        <v>0</v>
      </c>
      <c r="AX212" s="12">
        <v>0</v>
      </c>
      <c r="AY212" s="12">
        <v>2500</v>
      </c>
      <c r="AZ212" s="12">
        <v>15000</v>
      </c>
      <c r="BA212" s="12">
        <v>0</v>
      </c>
    </row>
    <row r="213" spans="1:53" x14ac:dyDescent="0.3">
      <c r="A213" s="7">
        <f t="shared" si="57"/>
        <v>0</v>
      </c>
      <c r="B213" s="7">
        <f t="shared" si="58"/>
        <v>0</v>
      </c>
      <c r="C213" s="7">
        <f t="shared" si="59"/>
        <v>0</v>
      </c>
      <c r="D213" s="5"/>
      <c r="E213" s="5" t="str">
        <f t="shared" si="62"/>
        <v>1203-008428</v>
      </c>
      <c r="F213" s="5"/>
      <c r="G213" s="5"/>
      <c r="H213" s="11" t="s">
        <v>49</v>
      </c>
      <c r="I213" s="11"/>
      <c r="J213" s="12">
        <v>0</v>
      </c>
      <c r="K213" s="11" t="s">
        <v>919</v>
      </c>
      <c r="L213" s="12">
        <v>0</v>
      </c>
      <c r="M213" s="12">
        <v>17500</v>
      </c>
      <c r="N213" s="12">
        <v>0</v>
      </c>
      <c r="O213" s="12">
        <v>0</v>
      </c>
      <c r="P213" s="12">
        <v>0</v>
      </c>
      <c r="Q213" s="12">
        <v>0</v>
      </c>
      <c r="R213" s="12">
        <v>0</v>
      </c>
      <c r="S213" s="12">
        <v>0</v>
      </c>
      <c r="T213" s="12">
        <v>0</v>
      </c>
      <c r="U213" s="12">
        <v>0</v>
      </c>
      <c r="V213" s="12">
        <v>0</v>
      </c>
      <c r="W213" s="12">
        <v>0</v>
      </c>
      <c r="X213" s="12">
        <v>0</v>
      </c>
      <c r="Y213" s="12">
        <v>0</v>
      </c>
      <c r="Z213" s="12">
        <v>0</v>
      </c>
      <c r="AA213" s="12">
        <v>0</v>
      </c>
      <c r="AB213" s="12">
        <v>0</v>
      </c>
      <c r="AC213" s="12">
        <v>0</v>
      </c>
      <c r="AD213" s="12">
        <v>0</v>
      </c>
      <c r="AE213" s="12">
        <v>0</v>
      </c>
      <c r="AF213" s="12">
        <v>0</v>
      </c>
      <c r="AG213" s="12">
        <v>0</v>
      </c>
      <c r="AH213" s="12">
        <v>0</v>
      </c>
      <c r="AI213" s="12">
        <v>0</v>
      </c>
      <c r="AJ213" s="12">
        <v>0</v>
      </c>
      <c r="AK213" s="12">
        <v>0</v>
      </c>
      <c r="AL213" s="12">
        <v>0</v>
      </c>
      <c r="AM213" s="12">
        <v>2500</v>
      </c>
      <c r="AN213" s="12">
        <v>0</v>
      </c>
      <c r="AO213" s="12">
        <v>0</v>
      </c>
      <c r="AP213" s="12">
        <v>15000</v>
      </c>
      <c r="AQ213" s="12">
        <v>0</v>
      </c>
      <c r="AR213" s="12">
        <v>0</v>
      </c>
      <c r="AS213" s="12">
        <v>0</v>
      </c>
      <c r="AT213" s="12">
        <v>0</v>
      </c>
      <c r="AU213" s="12">
        <v>0</v>
      </c>
      <c r="AV213" s="12">
        <v>0</v>
      </c>
      <c r="AW213" s="12">
        <v>0</v>
      </c>
      <c r="AX213" s="12">
        <v>0</v>
      </c>
      <c r="AY213" s="12">
        <v>2500</v>
      </c>
      <c r="AZ213" s="12">
        <v>15000</v>
      </c>
      <c r="BA213" s="12">
        <v>0</v>
      </c>
    </row>
    <row r="214" spans="1:53" x14ac:dyDescent="0.3">
      <c r="A214" s="7">
        <f t="shared" si="57"/>
        <v>129777</v>
      </c>
      <c r="B214" s="7">
        <f t="shared" si="58"/>
        <v>93926</v>
      </c>
      <c r="C214" s="7">
        <f t="shared" si="59"/>
        <v>54166</v>
      </c>
      <c r="D214" s="5"/>
      <c r="E214" s="5" t="str">
        <f t="shared" si="62"/>
        <v>1203-008428</v>
      </c>
      <c r="F214" s="5"/>
      <c r="G214" s="6"/>
      <c r="H214" s="11" t="s">
        <v>920</v>
      </c>
      <c r="I214" s="11"/>
      <c r="J214" s="12">
        <v>0</v>
      </c>
      <c r="K214" s="11" t="s">
        <v>921</v>
      </c>
      <c r="L214" s="12">
        <v>0</v>
      </c>
      <c r="M214" s="12">
        <v>-32073</v>
      </c>
      <c r="N214" s="12">
        <v>19315</v>
      </c>
      <c r="O214" s="12">
        <v>19315</v>
      </c>
      <c r="P214" s="12">
        <v>19315</v>
      </c>
      <c r="Q214" s="12">
        <v>19315</v>
      </c>
      <c r="R214" s="12">
        <v>19315</v>
      </c>
      <c r="S214" s="12">
        <v>19315</v>
      </c>
      <c r="T214" s="12">
        <v>13887</v>
      </c>
      <c r="U214" s="12">
        <v>13887</v>
      </c>
      <c r="V214" s="12">
        <v>13887</v>
      </c>
      <c r="W214" s="12">
        <v>13887</v>
      </c>
      <c r="X214" s="12">
        <v>13887</v>
      </c>
      <c r="Y214" s="12">
        <v>13887</v>
      </c>
      <c r="Z214" s="12">
        <v>13887</v>
      </c>
      <c r="AA214" s="12">
        <v>10604</v>
      </c>
      <c r="AB214" s="12">
        <v>7738</v>
      </c>
      <c r="AC214" s="12">
        <v>7738</v>
      </c>
      <c r="AD214" s="12">
        <v>7738</v>
      </c>
      <c r="AE214" s="12">
        <v>7738</v>
      </c>
      <c r="AF214" s="12">
        <v>7738</v>
      </c>
      <c r="AG214" s="12">
        <v>7738</v>
      </c>
      <c r="AH214" s="12">
        <v>7738</v>
      </c>
      <c r="AI214" s="12">
        <v>738</v>
      </c>
      <c r="AJ214" s="12">
        <v>-3762</v>
      </c>
      <c r="AK214" s="12">
        <v>-4762</v>
      </c>
      <c r="AL214" s="12">
        <v>-4762</v>
      </c>
      <c r="AM214" s="12">
        <v>-8262</v>
      </c>
      <c r="AN214" s="12">
        <v>-19462</v>
      </c>
      <c r="AO214" s="12">
        <v>-19462</v>
      </c>
      <c r="AP214" s="12">
        <v>-4462</v>
      </c>
      <c r="AQ214" s="12">
        <v>-14356</v>
      </c>
      <c r="AR214" s="12">
        <v>-24497</v>
      </c>
      <c r="AS214" s="12">
        <v>-24497</v>
      </c>
      <c r="AT214" s="12">
        <v>-32073</v>
      </c>
      <c r="AU214" s="12">
        <v>-32073</v>
      </c>
      <c r="AV214" s="12">
        <v>-32073</v>
      </c>
      <c r="AW214" s="12">
        <v>0</v>
      </c>
      <c r="AX214" s="12">
        <v>0</v>
      </c>
      <c r="AY214" s="12">
        <v>0</v>
      </c>
      <c r="AZ214" s="12">
        <v>0</v>
      </c>
      <c r="BA214" s="12">
        <v>0</v>
      </c>
    </row>
    <row r="215" spans="1:53" x14ac:dyDescent="0.3">
      <c r="A215" s="7">
        <f t="shared" si="57"/>
        <v>0</v>
      </c>
      <c r="B215" s="7">
        <f t="shared" si="58"/>
        <v>0</v>
      </c>
      <c r="C215" s="7">
        <f t="shared" si="59"/>
        <v>0</v>
      </c>
      <c r="D215" s="13"/>
      <c r="E215" s="13" t="s">
        <v>857</v>
      </c>
      <c r="F215" s="5"/>
      <c r="G215" s="13" t="s">
        <v>1012</v>
      </c>
      <c r="H215" s="13" t="s">
        <v>49</v>
      </c>
      <c r="I215" s="11" t="s">
        <v>49</v>
      </c>
      <c r="J215" s="12">
        <v>0</v>
      </c>
      <c r="K215" s="11" t="s">
        <v>916</v>
      </c>
      <c r="L215" s="12">
        <v>0</v>
      </c>
      <c r="M215" s="12">
        <v>0</v>
      </c>
      <c r="N215" s="12">
        <v>0</v>
      </c>
      <c r="O215" s="12">
        <v>0</v>
      </c>
      <c r="P215" s="12">
        <v>0</v>
      </c>
      <c r="Q215" s="12">
        <v>0</v>
      </c>
      <c r="R215" s="12">
        <v>0</v>
      </c>
      <c r="S215" s="12">
        <v>0</v>
      </c>
      <c r="T215" s="12">
        <v>0</v>
      </c>
      <c r="U215" s="12">
        <v>0</v>
      </c>
      <c r="V215" s="12">
        <v>0</v>
      </c>
      <c r="W215" s="12">
        <v>0</v>
      </c>
      <c r="X215" s="12">
        <v>0</v>
      </c>
      <c r="Y215" s="12">
        <v>0</v>
      </c>
      <c r="Z215" s="12">
        <v>0</v>
      </c>
      <c r="AA215" s="12">
        <v>0</v>
      </c>
      <c r="AB215" s="12">
        <v>0</v>
      </c>
      <c r="AC215" s="12">
        <v>0</v>
      </c>
      <c r="AD215" s="12">
        <v>0</v>
      </c>
      <c r="AE215" s="12">
        <v>0</v>
      </c>
      <c r="AF215" s="12">
        <v>0</v>
      </c>
      <c r="AG215" s="12">
        <v>0</v>
      </c>
      <c r="AH215" s="12">
        <v>0</v>
      </c>
      <c r="AI215" s="12">
        <v>0</v>
      </c>
      <c r="AJ215" s="12">
        <v>0</v>
      </c>
      <c r="AK215" s="12">
        <v>0</v>
      </c>
      <c r="AL215" s="12">
        <v>0</v>
      </c>
      <c r="AM215" s="12">
        <v>0</v>
      </c>
      <c r="AN215" s="12">
        <v>0</v>
      </c>
      <c r="AO215" s="12">
        <v>0</v>
      </c>
      <c r="AP215" s="12">
        <v>0</v>
      </c>
      <c r="AQ215" s="12">
        <v>0</v>
      </c>
      <c r="AR215" s="12">
        <v>0</v>
      </c>
      <c r="AS215" s="12">
        <v>0</v>
      </c>
      <c r="AT215" s="12">
        <v>0</v>
      </c>
      <c r="AU215" s="12">
        <v>0</v>
      </c>
      <c r="AV215" s="12">
        <v>0</v>
      </c>
      <c r="AW215" s="12">
        <v>0</v>
      </c>
      <c r="AX215" s="12">
        <v>0</v>
      </c>
      <c r="AY215" s="12">
        <v>0</v>
      </c>
      <c r="AZ215" s="12">
        <v>0</v>
      </c>
      <c r="BA215" s="12">
        <v>0</v>
      </c>
    </row>
    <row r="216" spans="1:53" x14ac:dyDescent="0.3">
      <c r="A216" s="7">
        <f t="shared" si="57"/>
        <v>59108</v>
      </c>
      <c r="B216" s="7">
        <f t="shared" si="58"/>
        <v>59108</v>
      </c>
      <c r="C216" s="7">
        <f t="shared" si="59"/>
        <v>59108</v>
      </c>
      <c r="D216" s="5"/>
      <c r="E216" s="5" t="str">
        <f t="shared" ref="E216:E219" si="63">E215</f>
        <v>0402-001825</v>
      </c>
      <c r="F216" s="5"/>
      <c r="G216" s="5"/>
      <c r="H216" s="6"/>
      <c r="I216" s="11"/>
      <c r="J216" s="12">
        <v>0</v>
      </c>
      <c r="K216" s="11" t="s">
        <v>917</v>
      </c>
      <c r="L216" s="12">
        <v>8444</v>
      </c>
      <c r="M216" s="12">
        <v>8444</v>
      </c>
      <c r="N216" s="12">
        <v>8444</v>
      </c>
      <c r="O216" s="12">
        <v>8444</v>
      </c>
      <c r="P216" s="12">
        <v>8444</v>
      </c>
      <c r="Q216" s="12">
        <v>8444</v>
      </c>
      <c r="R216" s="12">
        <v>8444</v>
      </c>
      <c r="S216" s="12">
        <v>8444</v>
      </c>
      <c r="T216" s="12">
        <v>8444</v>
      </c>
      <c r="U216" s="12">
        <v>8444</v>
      </c>
      <c r="V216" s="12">
        <v>8444</v>
      </c>
      <c r="W216" s="12">
        <v>8444</v>
      </c>
      <c r="X216" s="12">
        <v>8444</v>
      </c>
      <c r="Y216" s="12">
        <v>8444</v>
      </c>
      <c r="Z216" s="12">
        <v>8444</v>
      </c>
      <c r="AA216" s="12">
        <v>8444</v>
      </c>
      <c r="AB216" s="12">
        <v>8444</v>
      </c>
      <c r="AC216" s="12">
        <v>8444</v>
      </c>
      <c r="AD216" s="12">
        <v>8444</v>
      </c>
      <c r="AE216" s="12">
        <v>8444</v>
      </c>
      <c r="AF216" s="12">
        <v>8444</v>
      </c>
      <c r="AG216" s="12">
        <v>8444</v>
      </c>
      <c r="AH216" s="12">
        <v>8444</v>
      </c>
      <c r="AI216" s="12">
        <v>8444</v>
      </c>
      <c r="AJ216" s="12">
        <v>8444</v>
      </c>
      <c r="AK216" s="12">
        <v>8444</v>
      </c>
      <c r="AL216" s="12">
        <v>8444</v>
      </c>
      <c r="AM216" s="12">
        <v>8444</v>
      </c>
      <c r="AN216" s="12">
        <v>8444</v>
      </c>
      <c r="AO216" s="12">
        <v>8444</v>
      </c>
      <c r="AP216" s="12">
        <v>8444</v>
      </c>
      <c r="AQ216" s="12">
        <v>8444</v>
      </c>
      <c r="AR216" s="12">
        <v>8444</v>
      </c>
      <c r="AS216" s="12">
        <v>8444</v>
      </c>
      <c r="AT216" s="12">
        <v>8444</v>
      </c>
      <c r="AU216" s="12">
        <v>8444</v>
      </c>
      <c r="AV216" s="12">
        <v>8444</v>
      </c>
      <c r="AW216" s="12">
        <v>0</v>
      </c>
      <c r="AX216" s="12">
        <v>0</v>
      </c>
      <c r="AY216" s="12">
        <v>0</v>
      </c>
      <c r="AZ216" s="12">
        <v>0</v>
      </c>
      <c r="BA216" s="12">
        <v>0</v>
      </c>
    </row>
    <row r="217" spans="1:53" x14ac:dyDescent="0.3">
      <c r="A217" s="7">
        <f t="shared" si="57"/>
        <v>0</v>
      </c>
      <c r="B217" s="7">
        <f t="shared" si="58"/>
        <v>0</v>
      </c>
      <c r="C217" s="7">
        <f t="shared" si="59"/>
        <v>0</v>
      </c>
      <c r="D217" s="5"/>
      <c r="E217" s="5" t="str">
        <f t="shared" si="63"/>
        <v>0402-001825</v>
      </c>
      <c r="F217" s="5"/>
      <c r="G217" s="5"/>
      <c r="H217" s="11" t="s">
        <v>762</v>
      </c>
      <c r="I217" s="11" t="s">
        <v>763</v>
      </c>
      <c r="J217" s="12"/>
      <c r="K217" s="11" t="s">
        <v>918</v>
      </c>
      <c r="L217" s="12">
        <v>0</v>
      </c>
      <c r="M217" s="12">
        <v>0</v>
      </c>
      <c r="N217" s="12">
        <v>0</v>
      </c>
      <c r="O217" s="12">
        <v>0</v>
      </c>
      <c r="P217" s="12">
        <v>0</v>
      </c>
      <c r="Q217" s="12">
        <v>0</v>
      </c>
      <c r="R217" s="12">
        <v>0</v>
      </c>
      <c r="S217" s="12">
        <v>0</v>
      </c>
      <c r="T217" s="12">
        <v>0</v>
      </c>
      <c r="U217" s="12">
        <v>0</v>
      </c>
      <c r="V217" s="12">
        <v>0</v>
      </c>
      <c r="W217" s="12">
        <v>0</v>
      </c>
      <c r="X217" s="12">
        <v>0</v>
      </c>
      <c r="Y217" s="12">
        <v>0</v>
      </c>
      <c r="Z217" s="12">
        <v>0</v>
      </c>
      <c r="AA217" s="12">
        <v>0</v>
      </c>
      <c r="AB217" s="12">
        <v>0</v>
      </c>
      <c r="AC217" s="12">
        <v>0</v>
      </c>
      <c r="AD217" s="12">
        <v>0</v>
      </c>
      <c r="AE217" s="12">
        <v>0</v>
      </c>
      <c r="AF217" s="12">
        <v>0</v>
      </c>
      <c r="AG217" s="12">
        <v>0</v>
      </c>
      <c r="AH217" s="12">
        <v>0</v>
      </c>
      <c r="AI217" s="12">
        <v>0</v>
      </c>
      <c r="AJ217" s="12">
        <v>0</v>
      </c>
      <c r="AK217" s="12">
        <v>0</v>
      </c>
      <c r="AL217" s="12">
        <v>0</v>
      </c>
      <c r="AM217" s="12">
        <v>0</v>
      </c>
      <c r="AN217" s="12">
        <v>0</v>
      </c>
      <c r="AO217" s="12">
        <v>0</v>
      </c>
      <c r="AP217" s="12">
        <v>0</v>
      </c>
      <c r="AQ217" s="12">
        <v>0</v>
      </c>
      <c r="AR217" s="12">
        <v>0</v>
      </c>
      <c r="AS217" s="12">
        <v>0</v>
      </c>
      <c r="AT217" s="12">
        <v>0</v>
      </c>
      <c r="AU217" s="12">
        <v>0</v>
      </c>
      <c r="AV217" s="12">
        <v>0</v>
      </c>
      <c r="AW217" s="12">
        <v>0</v>
      </c>
      <c r="AX217" s="12">
        <v>0</v>
      </c>
      <c r="AY217" s="12">
        <v>0</v>
      </c>
      <c r="AZ217" s="12">
        <v>0</v>
      </c>
      <c r="BA217" s="12">
        <v>0</v>
      </c>
    </row>
    <row r="218" spans="1:53" x14ac:dyDescent="0.3">
      <c r="A218" s="7">
        <f t="shared" si="57"/>
        <v>0</v>
      </c>
      <c r="B218" s="7">
        <f t="shared" si="58"/>
        <v>0</v>
      </c>
      <c r="C218" s="7">
        <f t="shared" si="59"/>
        <v>0</v>
      </c>
      <c r="D218" s="5"/>
      <c r="E218" s="5" t="str">
        <f t="shared" si="63"/>
        <v>0402-001825</v>
      </c>
      <c r="F218" s="5"/>
      <c r="G218" s="5"/>
      <c r="H218" s="11" t="s">
        <v>49</v>
      </c>
      <c r="I218" s="11"/>
      <c r="J218" s="12">
        <v>0</v>
      </c>
      <c r="K218" s="11" t="s">
        <v>919</v>
      </c>
      <c r="L218" s="12">
        <v>0</v>
      </c>
      <c r="M218" s="12">
        <v>0</v>
      </c>
      <c r="N218" s="12">
        <v>0</v>
      </c>
      <c r="O218" s="12">
        <v>0</v>
      </c>
      <c r="P218" s="12">
        <v>0</v>
      </c>
      <c r="Q218" s="12">
        <v>0</v>
      </c>
      <c r="R218" s="12">
        <v>0</v>
      </c>
      <c r="S218" s="12">
        <v>0</v>
      </c>
      <c r="T218" s="12">
        <v>0</v>
      </c>
      <c r="U218" s="12">
        <v>0</v>
      </c>
      <c r="V218" s="12">
        <v>0</v>
      </c>
      <c r="W218" s="12">
        <v>0</v>
      </c>
      <c r="X218" s="12">
        <v>0</v>
      </c>
      <c r="Y218" s="12">
        <v>0</v>
      </c>
      <c r="Z218" s="12">
        <v>0</v>
      </c>
      <c r="AA218" s="12">
        <v>0</v>
      </c>
      <c r="AB218" s="12">
        <v>0</v>
      </c>
      <c r="AC218" s="12">
        <v>0</v>
      </c>
      <c r="AD218" s="12">
        <v>0</v>
      </c>
      <c r="AE218" s="12">
        <v>0</v>
      </c>
      <c r="AF218" s="12">
        <v>0</v>
      </c>
      <c r="AG218" s="12">
        <v>0</v>
      </c>
      <c r="AH218" s="12">
        <v>0</v>
      </c>
      <c r="AI218" s="12">
        <v>0</v>
      </c>
      <c r="AJ218" s="12">
        <v>0</v>
      </c>
      <c r="AK218" s="12">
        <v>0</v>
      </c>
      <c r="AL218" s="12">
        <v>0</v>
      </c>
      <c r="AM218" s="12">
        <v>0</v>
      </c>
      <c r="AN218" s="12">
        <v>0</v>
      </c>
      <c r="AO218" s="12">
        <v>0</v>
      </c>
      <c r="AP218" s="12">
        <v>0</v>
      </c>
      <c r="AQ218" s="12">
        <v>0</v>
      </c>
      <c r="AR218" s="12">
        <v>0</v>
      </c>
      <c r="AS218" s="12">
        <v>0</v>
      </c>
      <c r="AT218" s="12">
        <v>0</v>
      </c>
      <c r="AU218" s="12">
        <v>0</v>
      </c>
      <c r="AV218" s="12">
        <v>0</v>
      </c>
      <c r="AW218" s="12">
        <v>0</v>
      </c>
      <c r="AX218" s="12">
        <v>0</v>
      </c>
      <c r="AY218" s="12">
        <v>0</v>
      </c>
      <c r="AZ218" s="12">
        <v>0</v>
      </c>
      <c r="BA218" s="12">
        <v>0</v>
      </c>
    </row>
    <row r="219" spans="1:53" x14ac:dyDescent="0.3">
      <c r="A219" s="7">
        <f t="shared" si="57"/>
        <v>59108</v>
      </c>
      <c r="B219" s="7">
        <f t="shared" si="58"/>
        <v>59108</v>
      </c>
      <c r="C219" s="7">
        <f t="shared" si="59"/>
        <v>59108</v>
      </c>
      <c r="D219" s="5"/>
      <c r="E219" s="5" t="str">
        <f t="shared" si="63"/>
        <v>0402-001825</v>
      </c>
      <c r="F219" s="5"/>
      <c r="G219" s="6"/>
      <c r="H219" s="11" t="s">
        <v>920</v>
      </c>
      <c r="I219" s="11"/>
      <c r="J219" s="12">
        <v>0</v>
      </c>
      <c r="K219" s="11" t="s">
        <v>921</v>
      </c>
      <c r="L219" s="12">
        <v>0</v>
      </c>
      <c r="M219" s="12">
        <v>8444</v>
      </c>
      <c r="N219" s="12">
        <v>8444</v>
      </c>
      <c r="O219" s="12">
        <v>8444</v>
      </c>
      <c r="P219" s="12">
        <v>8444</v>
      </c>
      <c r="Q219" s="12">
        <v>8444</v>
      </c>
      <c r="R219" s="12">
        <v>8444</v>
      </c>
      <c r="S219" s="12">
        <v>8444</v>
      </c>
      <c r="T219" s="12">
        <v>8444</v>
      </c>
      <c r="U219" s="12">
        <v>8444</v>
      </c>
      <c r="V219" s="12">
        <v>8444</v>
      </c>
      <c r="W219" s="12">
        <v>8444</v>
      </c>
      <c r="X219" s="12">
        <v>8444</v>
      </c>
      <c r="Y219" s="12">
        <v>8444</v>
      </c>
      <c r="Z219" s="12">
        <v>8444</v>
      </c>
      <c r="AA219" s="12">
        <v>8444</v>
      </c>
      <c r="AB219" s="12">
        <v>8444</v>
      </c>
      <c r="AC219" s="12">
        <v>8444</v>
      </c>
      <c r="AD219" s="12">
        <v>8444</v>
      </c>
      <c r="AE219" s="12">
        <v>8444</v>
      </c>
      <c r="AF219" s="12">
        <v>8444</v>
      </c>
      <c r="AG219" s="12">
        <v>8444</v>
      </c>
      <c r="AH219" s="12">
        <v>8444</v>
      </c>
      <c r="AI219" s="12">
        <v>8444</v>
      </c>
      <c r="AJ219" s="12">
        <v>8444</v>
      </c>
      <c r="AK219" s="12">
        <v>8444</v>
      </c>
      <c r="AL219" s="12">
        <v>8444</v>
      </c>
      <c r="AM219" s="12">
        <v>8444</v>
      </c>
      <c r="AN219" s="12">
        <v>8444</v>
      </c>
      <c r="AO219" s="12">
        <v>8444</v>
      </c>
      <c r="AP219" s="12">
        <v>8444</v>
      </c>
      <c r="AQ219" s="12">
        <v>8444</v>
      </c>
      <c r="AR219" s="12">
        <v>8444</v>
      </c>
      <c r="AS219" s="12">
        <v>8444</v>
      </c>
      <c r="AT219" s="12">
        <v>8444</v>
      </c>
      <c r="AU219" s="12">
        <v>8444</v>
      </c>
      <c r="AV219" s="12">
        <v>8444</v>
      </c>
      <c r="AW219" s="12">
        <v>0</v>
      </c>
      <c r="AX219" s="12">
        <v>0</v>
      </c>
      <c r="AY219" s="12">
        <v>0</v>
      </c>
      <c r="AZ219" s="12">
        <v>0</v>
      </c>
      <c r="BA219" s="12">
        <v>0</v>
      </c>
    </row>
    <row r="220" spans="1:53" x14ac:dyDescent="0.3">
      <c r="A220" s="7">
        <f t="shared" si="57"/>
        <v>0</v>
      </c>
      <c r="B220" s="7">
        <f t="shared" si="58"/>
        <v>934.8</v>
      </c>
      <c r="C220" s="7">
        <f t="shared" si="59"/>
        <v>2000</v>
      </c>
      <c r="D220" s="13"/>
      <c r="E220" s="13" t="s">
        <v>786</v>
      </c>
      <c r="F220" s="5"/>
      <c r="G220" s="13" t="s">
        <v>1013</v>
      </c>
      <c r="H220" s="13" t="s">
        <v>49</v>
      </c>
      <c r="I220" s="11" t="s">
        <v>49</v>
      </c>
      <c r="J220" s="12">
        <v>0</v>
      </c>
      <c r="K220" s="11" t="s">
        <v>916</v>
      </c>
      <c r="L220" s="12">
        <v>0</v>
      </c>
      <c r="M220" s="12">
        <v>2954.8</v>
      </c>
      <c r="N220" s="12">
        <v>0</v>
      </c>
      <c r="O220" s="12">
        <v>0</v>
      </c>
      <c r="P220" s="12">
        <v>0</v>
      </c>
      <c r="Q220" s="12">
        <v>0</v>
      </c>
      <c r="R220" s="12">
        <v>0</v>
      </c>
      <c r="S220" s="12">
        <v>0</v>
      </c>
      <c r="T220" s="12">
        <v>0</v>
      </c>
      <c r="U220" s="12">
        <v>934.8</v>
      </c>
      <c r="V220" s="12">
        <v>0</v>
      </c>
      <c r="W220" s="12">
        <v>0</v>
      </c>
      <c r="X220" s="12">
        <v>0</v>
      </c>
      <c r="Y220" s="12">
        <v>0</v>
      </c>
      <c r="Z220" s="12">
        <v>0</v>
      </c>
      <c r="AA220" s="12">
        <v>0</v>
      </c>
      <c r="AB220" s="12">
        <v>2000</v>
      </c>
      <c r="AC220" s="12">
        <v>0</v>
      </c>
      <c r="AD220" s="12">
        <v>0</v>
      </c>
      <c r="AE220" s="12">
        <v>0</v>
      </c>
      <c r="AF220" s="12">
        <v>0</v>
      </c>
      <c r="AG220" s="12">
        <v>0</v>
      </c>
      <c r="AH220" s="12">
        <v>0</v>
      </c>
      <c r="AI220" s="12">
        <v>0</v>
      </c>
      <c r="AJ220" s="12">
        <v>0</v>
      </c>
      <c r="AK220" s="12">
        <v>0</v>
      </c>
      <c r="AL220" s="12">
        <v>0</v>
      </c>
      <c r="AM220" s="12">
        <v>20</v>
      </c>
      <c r="AN220" s="12">
        <v>0</v>
      </c>
      <c r="AO220" s="12">
        <v>0</v>
      </c>
      <c r="AP220" s="12">
        <v>0</v>
      </c>
      <c r="AQ220" s="12">
        <v>0</v>
      </c>
      <c r="AR220" s="12">
        <v>0</v>
      </c>
      <c r="AS220" s="12">
        <v>0</v>
      </c>
      <c r="AT220" s="12">
        <v>0</v>
      </c>
      <c r="AU220" s="12">
        <v>0</v>
      </c>
      <c r="AV220" s="12">
        <v>0</v>
      </c>
      <c r="AW220" s="12">
        <v>934.8</v>
      </c>
      <c r="AX220" s="12">
        <v>2000</v>
      </c>
      <c r="AY220" s="12">
        <v>20</v>
      </c>
      <c r="AZ220" s="12">
        <v>0</v>
      </c>
      <c r="BA220" s="12">
        <v>0</v>
      </c>
    </row>
    <row r="221" spans="1:53" x14ac:dyDescent="0.3">
      <c r="A221" s="7">
        <f t="shared" si="57"/>
        <v>408674</v>
      </c>
      <c r="B221" s="7">
        <f t="shared" si="58"/>
        <v>402130.4</v>
      </c>
      <c r="C221" s="7">
        <f t="shared" si="59"/>
        <v>388130.4</v>
      </c>
      <c r="D221" s="5"/>
      <c r="E221" s="5" t="str">
        <f t="shared" ref="E221:E224" si="64">E220</f>
        <v>0402-001848</v>
      </c>
      <c r="F221" s="5"/>
      <c r="G221" s="5"/>
      <c r="H221" s="6"/>
      <c r="I221" s="11"/>
      <c r="J221" s="12">
        <v>0</v>
      </c>
      <c r="K221" s="11" t="s">
        <v>917</v>
      </c>
      <c r="L221" s="12">
        <v>58382</v>
      </c>
      <c r="M221" s="12">
        <v>55427.199999999997</v>
      </c>
      <c r="N221" s="12">
        <v>58382</v>
      </c>
      <c r="O221" s="12">
        <v>58382</v>
      </c>
      <c r="P221" s="12">
        <v>58382</v>
      </c>
      <c r="Q221" s="12">
        <v>58382</v>
      </c>
      <c r="R221" s="12">
        <v>58382</v>
      </c>
      <c r="S221" s="12">
        <v>58382</v>
      </c>
      <c r="T221" s="12">
        <v>58382</v>
      </c>
      <c r="U221" s="12">
        <v>57447.199999999997</v>
      </c>
      <c r="V221" s="12">
        <v>57447.199999999997</v>
      </c>
      <c r="W221" s="12">
        <v>57447.199999999997</v>
      </c>
      <c r="X221" s="12">
        <v>57447.199999999997</v>
      </c>
      <c r="Y221" s="12">
        <v>57447.199999999997</v>
      </c>
      <c r="Z221" s="12">
        <v>57447.199999999997</v>
      </c>
      <c r="AA221" s="12">
        <v>57447.199999999997</v>
      </c>
      <c r="AB221" s="12">
        <v>55447.199999999997</v>
      </c>
      <c r="AC221" s="12">
        <v>55447.199999999997</v>
      </c>
      <c r="AD221" s="12">
        <v>55447.199999999997</v>
      </c>
      <c r="AE221" s="12">
        <v>55447.199999999997</v>
      </c>
      <c r="AF221" s="12">
        <v>55447.199999999997</v>
      </c>
      <c r="AG221" s="12">
        <v>55447.199999999997</v>
      </c>
      <c r="AH221" s="12">
        <v>55447.199999999997</v>
      </c>
      <c r="AI221" s="12">
        <v>55447.199999999997</v>
      </c>
      <c r="AJ221" s="12">
        <v>55447.199999999997</v>
      </c>
      <c r="AK221" s="12">
        <v>55447.199999999997</v>
      </c>
      <c r="AL221" s="12">
        <v>55447.199999999997</v>
      </c>
      <c r="AM221" s="12">
        <v>55427.199999999997</v>
      </c>
      <c r="AN221" s="12">
        <v>55427.199999999997</v>
      </c>
      <c r="AO221" s="12">
        <v>55427.199999999997</v>
      </c>
      <c r="AP221" s="12">
        <v>55427.199999999997</v>
      </c>
      <c r="AQ221" s="12">
        <v>55427.199999999997</v>
      </c>
      <c r="AR221" s="12">
        <v>55427.199999999997</v>
      </c>
      <c r="AS221" s="12">
        <v>55427.199999999997</v>
      </c>
      <c r="AT221" s="12">
        <v>55427.199999999997</v>
      </c>
      <c r="AU221" s="12">
        <v>55427.199999999997</v>
      </c>
      <c r="AV221" s="12">
        <v>55427.199999999997</v>
      </c>
      <c r="AW221" s="12">
        <v>0</v>
      </c>
      <c r="AX221" s="12">
        <v>0</v>
      </c>
      <c r="AY221" s="12">
        <v>0</v>
      </c>
      <c r="AZ221" s="12">
        <v>0</v>
      </c>
      <c r="BA221" s="12">
        <v>0</v>
      </c>
    </row>
    <row r="222" spans="1:53" x14ac:dyDescent="0.3">
      <c r="A222" s="7">
        <f t="shared" si="57"/>
        <v>0</v>
      </c>
      <c r="B222" s="7">
        <f t="shared" si="58"/>
        <v>0</v>
      </c>
      <c r="C222" s="7">
        <f t="shared" si="59"/>
        <v>0</v>
      </c>
      <c r="D222" s="5"/>
      <c r="E222" s="5" t="str">
        <f t="shared" si="64"/>
        <v>0402-001848</v>
      </c>
      <c r="F222" s="5"/>
      <c r="G222" s="5"/>
      <c r="H222" s="11" t="s">
        <v>762</v>
      </c>
      <c r="I222" s="11" t="s">
        <v>763</v>
      </c>
      <c r="J222" s="12"/>
      <c r="K222" s="11" t="s">
        <v>918</v>
      </c>
      <c r="L222" s="12">
        <v>0</v>
      </c>
      <c r="M222" s="12">
        <v>0</v>
      </c>
      <c r="N222" s="12">
        <v>0</v>
      </c>
      <c r="O222" s="12">
        <v>0</v>
      </c>
      <c r="P222" s="12">
        <v>0</v>
      </c>
      <c r="Q222" s="12">
        <v>0</v>
      </c>
      <c r="R222" s="12">
        <v>0</v>
      </c>
      <c r="S222" s="12">
        <v>0</v>
      </c>
      <c r="T222" s="12">
        <v>0</v>
      </c>
      <c r="U222" s="12">
        <v>0</v>
      </c>
      <c r="V222" s="12">
        <v>0</v>
      </c>
      <c r="W222" s="12">
        <v>0</v>
      </c>
      <c r="X222" s="12">
        <v>0</v>
      </c>
      <c r="Y222" s="12">
        <v>0</v>
      </c>
      <c r="Z222" s="12">
        <v>0</v>
      </c>
      <c r="AA222" s="12">
        <v>0</v>
      </c>
      <c r="AB222" s="12">
        <v>0</v>
      </c>
      <c r="AC222" s="12">
        <v>0</v>
      </c>
      <c r="AD222" s="12">
        <v>0</v>
      </c>
      <c r="AE222" s="12">
        <v>0</v>
      </c>
      <c r="AF222" s="12">
        <v>0</v>
      </c>
      <c r="AG222" s="12">
        <v>0</v>
      </c>
      <c r="AH222" s="12">
        <v>0</v>
      </c>
      <c r="AI222" s="12">
        <v>0</v>
      </c>
      <c r="AJ222" s="12">
        <v>0</v>
      </c>
      <c r="AK222" s="12">
        <v>0</v>
      </c>
      <c r="AL222" s="12">
        <v>0</v>
      </c>
      <c r="AM222" s="12">
        <v>0</v>
      </c>
      <c r="AN222" s="12">
        <v>0</v>
      </c>
      <c r="AO222" s="12">
        <v>0</v>
      </c>
      <c r="AP222" s="12">
        <v>0</v>
      </c>
      <c r="AQ222" s="12">
        <v>0</v>
      </c>
      <c r="AR222" s="12">
        <v>0</v>
      </c>
      <c r="AS222" s="12">
        <v>0</v>
      </c>
      <c r="AT222" s="12">
        <v>0</v>
      </c>
      <c r="AU222" s="12">
        <v>0</v>
      </c>
      <c r="AV222" s="12">
        <v>0</v>
      </c>
      <c r="AW222" s="12">
        <v>0</v>
      </c>
      <c r="AX222" s="12">
        <v>0</v>
      </c>
      <c r="AY222" s="12">
        <v>0</v>
      </c>
      <c r="AZ222" s="12">
        <v>0</v>
      </c>
      <c r="BA222" s="12">
        <v>0</v>
      </c>
    </row>
    <row r="223" spans="1:53" x14ac:dyDescent="0.3">
      <c r="A223" s="7">
        <f t="shared" si="57"/>
        <v>0</v>
      </c>
      <c r="B223" s="7">
        <f t="shared" si="58"/>
        <v>0</v>
      </c>
      <c r="C223" s="7">
        <f t="shared" si="59"/>
        <v>0</v>
      </c>
      <c r="D223" s="5"/>
      <c r="E223" s="5" t="str">
        <f t="shared" si="64"/>
        <v>0402-001848</v>
      </c>
      <c r="F223" s="5"/>
      <c r="G223" s="5"/>
      <c r="H223" s="11" t="s">
        <v>49</v>
      </c>
      <c r="I223" s="11"/>
      <c r="J223" s="12">
        <v>0</v>
      </c>
      <c r="K223" s="11" t="s">
        <v>919</v>
      </c>
      <c r="L223" s="12">
        <v>0</v>
      </c>
      <c r="M223" s="12">
        <v>0</v>
      </c>
      <c r="N223" s="12">
        <v>0</v>
      </c>
      <c r="O223" s="12">
        <v>0</v>
      </c>
      <c r="P223" s="12">
        <v>0</v>
      </c>
      <c r="Q223" s="12">
        <v>0</v>
      </c>
      <c r="R223" s="12">
        <v>0</v>
      </c>
      <c r="S223" s="12">
        <v>0</v>
      </c>
      <c r="T223" s="12">
        <v>0</v>
      </c>
      <c r="U223" s="12">
        <v>0</v>
      </c>
      <c r="V223" s="12">
        <v>0</v>
      </c>
      <c r="W223" s="12">
        <v>0</v>
      </c>
      <c r="X223" s="12">
        <v>0</v>
      </c>
      <c r="Y223" s="12">
        <v>0</v>
      </c>
      <c r="Z223" s="12">
        <v>0</v>
      </c>
      <c r="AA223" s="12">
        <v>0</v>
      </c>
      <c r="AB223" s="12">
        <v>0</v>
      </c>
      <c r="AC223" s="12">
        <v>0</v>
      </c>
      <c r="AD223" s="12">
        <v>0</v>
      </c>
      <c r="AE223" s="12">
        <v>0</v>
      </c>
      <c r="AF223" s="12">
        <v>0</v>
      </c>
      <c r="AG223" s="12">
        <v>0</v>
      </c>
      <c r="AH223" s="12">
        <v>0</v>
      </c>
      <c r="AI223" s="12">
        <v>0</v>
      </c>
      <c r="AJ223" s="12">
        <v>0</v>
      </c>
      <c r="AK223" s="12">
        <v>0</v>
      </c>
      <c r="AL223" s="12">
        <v>0</v>
      </c>
      <c r="AM223" s="12">
        <v>0</v>
      </c>
      <c r="AN223" s="12">
        <v>0</v>
      </c>
      <c r="AO223" s="12">
        <v>0</v>
      </c>
      <c r="AP223" s="12">
        <v>0</v>
      </c>
      <c r="AQ223" s="12">
        <v>0</v>
      </c>
      <c r="AR223" s="12">
        <v>0</v>
      </c>
      <c r="AS223" s="12">
        <v>0</v>
      </c>
      <c r="AT223" s="12">
        <v>0</v>
      </c>
      <c r="AU223" s="12">
        <v>0</v>
      </c>
      <c r="AV223" s="12">
        <v>0</v>
      </c>
      <c r="AW223" s="12">
        <v>0</v>
      </c>
      <c r="AX223" s="12">
        <v>0</v>
      </c>
      <c r="AY223" s="12">
        <v>0</v>
      </c>
      <c r="AZ223" s="12">
        <v>0</v>
      </c>
      <c r="BA223" s="12">
        <v>0</v>
      </c>
    </row>
    <row r="224" spans="1:53" x14ac:dyDescent="0.3">
      <c r="A224" s="7">
        <f t="shared" si="57"/>
        <v>408674</v>
      </c>
      <c r="B224" s="7">
        <f t="shared" si="58"/>
        <v>402130.4</v>
      </c>
      <c r="C224" s="7">
        <f t="shared" si="59"/>
        <v>388130.4</v>
      </c>
      <c r="D224" s="5"/>
      <c r="E224" s="5" t="str">
        <f t="shared" si="64"/>
        <v>0402-001848</v>
      </c>
      <c r="F224" s="5"/>
      <c r="G224" s="6"/>
      <c r="H224" s="11" t="s">
        <v>920</v>
      </c>
      <c r="I224" s="11"/>
      <c r="J224" s="12">
        <v>0</v>
      </c>
      <c r="K224" s="11" t="s">
        <v>921</v>
      </c>
      <c r="L224" s="12">
        <v>0</v>
      </c>
      <c r="M224" s="12">
        <v>55427.199999999997</v>
      </c>
      <c r="N224" s="12">
        <v>58382</v>
      </c>
      <c r="O224" s="12">
        <v>58382</v>
      </c>
      <c r="P224" s="12">
        <v>58382</v>
      </c>
      <c r="Q224" s="12">
        <v>58382</v>
      </c>
      <c r="R224" s="12">
        <v>58382</v>
      </c>
      <c r="S224" s="12">
        <v>58382</v>
      </c>
      <c r="T224" s="12">
        <v>58382</v>
      </c>
      <c r="U224" s="12">
        <v>57447.199999999997</v>
      </c>
      <c r="V224" s="12">
        <v>57447.199999999997</v>
      </c>
      <c r="W224" s="12">
        <v>57447.199999999997</v>
      </c>
      <c r="X224" s="12">
        <v>57447.199999999997</v>
      </c>
      <c r="Y224" s="12">
        <v>57447.199999999997</v>
      </c>
      <c r="Z224" s="12">
        <v>57447.199999999997</v>
      </c>
      <c r="AA224" s="12">
        <v>57447.199999999997</v>
      </c>
      <c r="AB224" s="12">
        <v>55447.199999999997</v>
      </c>
      <c r="AC224" s="12">
        <v>55447.199999999997</v>
      </c>
      <c r="AD224" s="12">
        <v>55447.199999999997</v>
      </c>
      <c r="AE224" s="12">
        <v>55447.199999999997</v>
      </c>
      <c r="AF224" s="12">
        <v>55447.199999999997</v>
      </c>
      <c r="AG224" s="12">
        <v>55447.199999999997</v>
      </c>
      <c r="AH224" s="12">
        <v>55447.199999999997</v>
      </c>
      <c r="AI224" s="12">
        <v>55447.199999999997</v>
      </c>
      <c r="AJ224" s="12">
        <v>55447.199999999997</v>
      </c>
      <c r="AK224" s="12">
        <v>55447.199999999997</v>
      </c>
      <c r="AL224" s="12">
        <v>55447.199999999997</v>
      </c>
      <c r="AM224" s="12">
        <v>55427.199999999997</v>
      </c>
      <c r="AN224" s="12">
        <v>55427.199999999997</v>
      </c>
      <c r="AO224" s="12">
        <v>55427.199999999997</v>
      </c>
      <c r="AP224" s="12">
        <v>55427.199999999997</v>
      </c>
      <c r="AQ224" s="12">
        <v>55427.199999999997</v>
      </c>
      <c r="AR224" s="12">
        <v>55427.199999999997</v>
      </c>
      <c r="AS224" s="12">
        <v>55427.199999999997</v>
      </c>
      <c r="AT224" s="12">
        <v>55427.199999999997</v>
      </c>
      <c r="AU224" s="12">
        <v>55427.199999999997</v>
      </c>
      <c r="AV224" s="12">
        <v>55427.199999999997</v>
      </c>
      <c r="AW224" s="12">
        <v>0</v>
      </c>
      <c r="AX224" s="12">
        <v>0</v>
      </c>
      <c r="AY224" s="12">
        <v>0</v>
      </c>
      <c r="AZ224" s="12">
        <v>0</v>
      </c>
      <c r="BA224" s="12">
        <v>0</v>
      </c>
    </row>
    <row r="225" spans="1:53" x14ac:dyDescent="0.3">
      <c r="A225" s="7">
        <f t="shared" si="57"/>
        <v>0</v>
      </c>
      <c r="B225" s="7">
        <f t="shared" si="58"/>
        <v>934.8</v>
      </c>
      <c r="C225" s="7">
        <f t="shared" si="59"/>
        <v>2000</v>
      </c>
      <c r="D225" s="13"/>
      <c r="E225" s="13" t="s">
        <v>785</v>
      </c>
      <c r="F225" s="5"/>
      <c r="G225" s="13" t="s">
        <v>1014</v>
      </c>
      <c r="H225" s="13" t="s">
        <v>49</v>
      </c>
      <c r="I225" s="11" t="s">
        <v>49</v>
      </c>
      <c r="J225" s="12">
        <v>0</v>
      </c>
      <c r="K225" s="11" t="s">
        <v>916</v>
      </c>
      <c r="L225" s="12">
        <v>0</v>
      </c>
      <c r="M225" s="12">
        <v>2954.8</v>
      </c>
      <c r="N225" s="12">
        <v>0</v>
      </c>
      <c r="O225" s="12">
        <v>0</v>
      </c>
      <c r="P225" s="12">
        <v>0</v>
      </c>
      <c r="Q225" s="12">
        <v>0</v>
      </c>
      <c r="R225" s="12">
        <v>0</v>
      </c>
      <c r="S225" s="12">
        <v>0</v>
      </c>
      <c r="T225" s="12">
        <v>0</v>
      </c>
      <c r="U225" s="12">
        <v>934.8</v>
      </c>
      <c r="V225" s="12">
        <v>0</v>
      </c>
      <c r="W225" s="12">
        <v>0</v>
      </c>
      <c r="X225" s="12">
        <v>0</v>
      </c>
      <c r="Y225" s="12">
        <v>0</v>
      </c>
      <c r="Z225" s="12">
        <v>0</v>
      </c>
      <c r="AA225" s="12">
        <v>0</v>
      </c>
      <c r="AB225" s="12">
        <v>2000</v>
      </c>
      <c r="AC225" s="12">
        <v>0</v>
      </c>
      <c r="AD225" s="12">
        <v>0</v>
      </c>
      <c r="AE225" s="12">
        <v>0</v>
      </c>
      <c r="AF225" s="12">
        <v>0</v>
      </c>
      <c r="AG225" s="12">
        <v>0</v>
      </c>
      <c r="AH225" s="12">
        <v>0</v>
      </c>
      <c r="AI225" s="12">
        <v>0</v>
      </c>
      <c r="AJ225" s="12">
        <v>0</v>
      </c>
      <c r="AK225" s="12">
        <v>0</v>
      </c>
      <c r="AL225" s="12">
        <v>0</v>
      </c>
      <c r="AM225" s="12">
        <v>20</v>
      </c>
      <c r="AN225" s="12">
        <v>0</v>
      </c>
      <c r="AO225" s="12">
        <v>0</v>
      </c>
      <c r="AP225" s="12">
        <v>0</v>
      </c>
      <c r="AQ225" s="12">
        <v>0</v>
      </c>
      <c r="AR225" s="12">
        <v>0</v>
      </c>
      <c r="AS225" s="12">
        <v>0</v>
      </c>
      <c r="AT225" s="12">
        <v>0</v>
      </c>
      <c r="AU225" s="12">
        <v>0</v>
      </c>
      <c r="AV225" s="12">
        <v>0</v>
      </c>
      <c r="AW225" s="12">
        <v>934.8</v>
      </c>
      <c r="AX225" s="12">
        <v>2000</v>
      </c>
      <c r="AY225" s="12">
        <v>20</v>
      </c>
      <c r="AZ225" s="12">
        <v>0</v>
      </c>
      <c r="BA225" s="12">
        <v>0</v>
      </c>
    </row>
    <row r="226" spans="1:53" x14ac:dyDescent="0.3">
      <c r="A226" s="7">
        <f t="shared" si="57"/>
        <v>376922</v>
      </c>
      <c r="B226" s="7">
        <f t="shared" si="58"/>
        <v>370378.4</v>
      </c>
      <c r="C226" s="7">
        <f t="shared" si="59"/>
        <v>356378.4</v>
      </c>
      <c r="D226" s="5"/>
      <c r="E226" s="5" t="str">
        <f t="shared" ref="E226:E229" si="65">E225</f>
        <v>0402-001909</v>
      </c>
      <c r="F226" s="5"/>
      <c r="G226" s="5"/>
      <c r="H226" s="6"/>
      <c r="I226" s="11"/>
      <c r="J226" s="12">
        <v>0</v>
      </c>
      <c r="K226" s="11" t="s">
        <v>917</v>
      </c>
      <c r="L226" s="12">
        <v>53846</v>
      </c>
      <c r="M226" s="12">
        <v>50891.199999999997</v>
      </c>
      <c r="N226" s="12">
        <v>53846</v>
      </c>
      <c r="O226" s="12">
        <v>53846</v>
      </c>
      <c r="P226" s="12">
        <v>53846</v>
      </c>
      <c r="Q226" s="12">
        <v>53846</v>
      </c>
      <c r="R226" s="12">
        <v>53846</v>
      </c>
      <c r="S226" s="12">
        <v>53846</v>
      </c>
      <c r="T226" s="12">
        <v>53846</v>
      </c>
      <c r="U226" s="12">
        <v>52911.199999999997</v>
      </c>
      <c r="V226" s="12">
        <v>52911.199999999997</v>
      </c>
      <c r="W226" s="12">
        <v>52911.199999999997</v>
      </c>
      <c r="X226" s="12">
        <v>52911.199999999997</v>
      </c>
      <c r="Y226" s="12">
        <v>52911.199999999997</v>
      </c>
      <c r="Z226" s="12">
        <v>52911.199999999997</v>
      </c>
      <c r="AA226" s="12">
        <v>52911.199999999997</v>
      </c>
      <c r="AB226" s="12">
        <v>50911.199999999997</v>
      </c>
      <c r="AC226" s="12">
        <v>50911.199999999997</v>
      </c>
      <c r="AD226" s="12">
        <v>50911.199999999997</v>
      </c>
      <c r="AE226" s="12">
        <v>50911.199999999997</v>
      </c>
      <c r="AF226" s="12">
        <v>50911.199999999997</v>
      </c>
      <c r="AG226" s="12">
        <v>50911.199999999997</v>
      </c>
      <c r="AH226" s="12">
        <v>50911.199999999997</v>
      </c>
      <c r="AI226" s="12">
        <v>50911.199999999997</v>
      </c>
      <c r="AJ226" s="12">
        <v>50911.199999999997</v>
      </c>
      <c r="AK226" s="12">
        <v>50911.199999999997</v>
      </c>
      <c r="AL226" s="12">
        <v>50911.199999999997</v>
      </c>
      <c r="AM226" s="12">
        <v>50891.199999999997</v>
      </c>
      <c r="AN226" s="12">
        <v>50891.199999999997</v>
      </c>
      <c r="AO226" s="12">
        <v>50891.199999999997</v>
      </c>
      <c r="AP226" s="12">
        <v>50891.199999999997</v>
      </c>
      <c r="AQ226" s="12">
        <v>50891.199999999997</v>
      </c>
      <c r="AR226" s="12">
        <v>50891.199999999997</v>
      </c>
      <c r="AS226" s="12">
        <v>50891.199999999997</v>
      </c>
      <c r="AT226" s="12">
        <v>50891.199999999997</v>
      </c>
      <c r="AU226" s="12">
        <v>50891.199999999997</v>
      </c>
      <c r="AV226" s="12">
        <v>50891.199999999997</v>
      </c>
      <c r="AW226" s="12">
        <v>0</v>
      </c>
      <c r="AX226" s="12">
        <v>0</v>
      </c>
      <c r="AY226" s="12">
        <v>0</v>
      </c>
      <c r="AZ226" s="12">
        <v>0</v>
      </c>
      <c r="BA226" s="12">
        <v>0</v>
      </c>
    </row>
    <row r="227" spans="1:53" x14ac:dyDescent="0.3">
      <c r="A227" s="7">
        <f t="shared" si="57"/>
        <v>0</v>
      </c>
      <c r="B227" s="7">
        <f t="shared" si="58"/>
        <v>0</v>
      </c>
      <c r="C227" s="7">
        <f t="shared" si="59"/>
        <v>0</v>
      </c>
      <c r="D227" s="5"/>
      <c r="E227" s="5" t="str">
        <f t="shared" si="65"/>
        <v>0402-001909</v>
      </c>
      <c r="F227" s="5"/>
      <c r="G227" s="5"/>
      <c r="H227" s="11" t="s">
        <v>762</v>
      </c>
      <c r="I227" s="11" t="s">
        <v>763</v>
      </c>
      <c r="J227" s="12"/>
      <c r="K227" s="11" t="s">
        <v>918</v>
      </c>
      <c r="L227" s="12">
        <v>0</v>
      </c>
      <c r="M227" s="12">
        <v>0</v>
      </c>
      <c r="N227" s="12">
        <v>0</v>
      </c>
      <c r="O227" s="12">
        <v>0</v>
      </c>
      <c r="P227" s="12">
        <v>0</v>
      </c>
      <c r="Q227" s="12">
        <v>0</v>
      </c>
      <c r="R227" s="12">
        <v>0</v>
      </c>
      <c r="S227" s="12">
        <v>0</v>
      </c>
      <c r="T227" s="12">
        <v>0</v>
      </c>
      <c r="U227" s="12">
        <v>0</v>
      </c>
      <c r="V227" s="12">
        <v>0</v>
      </c>
      <c r="W227" s="12">
        <v>0</v>
      </c>
      <c r="X227" s="12">
        <v>0</v>
      </c>
      <c r="Y227" s="12">
        <v>0</v>
      </c>
      <c r="Z227" s="12">
        <v>0</v>
      </c>
      <c r="AA227" s="12">
        <v>0</v>
      </c>
      <c r="AB227" s="12">
        <v>0</v>
      </c>
      <c r="AC227" s="12">
        <v>0</v>
      </c>
      <c r="AD227" s="12">
        <v>0</v>
      </c>
      <c r="AE227" s="12">
        <v>0</v>
      </c>
      <c r="AF227" s="12">
        <v>0</v>
      </c>
      <c r="AG227" s="12">
        <v>0</v>
      </c>
      <c r="AH227" s="12">
        <v>0</v>
      </c>
      <c r="AI227" s="12">
        <v>0</v>
      </c>
      <c r="AJ227" s="12">
        <v>0</v>
      </c>
      <c r="AK227" s="12">
        <v>0</v>
      </c>
      <c r="AL227" s="12">
        <v>0</v>
      </c>
      <c r="AM227" s="12">
        <v>0</v>
      </c>
      <c r="AN227" s="12">
        <v>0</v>
      </c>
      <c r="AO227" s="12">
        <v>0</v>
      </c>
      <c r="AP227" s="12">
        <v>0</v>
      </c>
      <c r="AQ227" s="12">
        <v>0</v>
      </c>
      <c r="AR227" s="12">
        <v>0</v>
      </c>
      <c r="AS227" s="12">
        <v>0</v>
      </c>
      <c r="AT227" s="12">
        <v>0</v>
      </c>
      <c r="AU227" s="12">
        <v>0</v>
      </c>
      <c r="AV227" s="12">
        <v>0</v>
      </c>
      <c r="AW227" s="12">
        <v>0</v>
      </c>
      <c r="AX227" s="12">
        <v>0</v>
      </c>
      <c r="AY227" s="12">
        <v>0</v>
      </c>
      <c r="AZ227" s="12">
        <v>0</v>
      </c>
      <c r="BA227" s="12">
        <v>0</v>
      </c>
    </row>
    <row r="228" spans="1:53" x14ac:dyDescent="0.3">
      <c r="A228" s="7">
        <f t="shared" si="57"/>
        <v>0</v>
      </c>
      <c r="B228" s="7">
        <f t="shared" si="58"/>
        <v>0</v>
      </c>
      <c r="C228" s="7">
        <f t="shared" si="59"/>
        <v>0</v>
      </c>
      <c r="D228" s="5"/>
      <c r="E228" s="5" t="str">
        <f t="shared" si="65"/>
        <v>0402-001909</v>
      </c>
      <c r="F228" s="5"/>
      <c r="G228" s="5"/>
      <c r="H228" s="11" t="s">
        <v>49</v>
      </c>
      <c r="I228" s="11"/>
      <c r="J228" s="12">
        <v>0</v>
      </c>
      <c r="K228" s="11" t="s">
        <v>919</v>
      </c>
      <c r="L228" s="12">
        <v>0</v>
      </c>
      <c r="M228" s="12">
        <v>0</v>
      </c>
      <c r="N228" s="12">
        <v>0</v>
      </c>
      <c r="O228" s="12">
        <v>0</v>
      </c>
      <c r="P228" s="12">
        <v>0</v>
      </c>
      <c r="Q228" s="12">
        <v>0</v>
      </c>
      <c r="R228" s="12">
        <v>0</v>
      </c>
      <c r="S228" s="12">
        <v>0</v>
      </c>
      <c r="T228" s="12">
        <v>0</v>
      </c>
      <c r="U228" s="12">
        <v>0</v>
      </c>
      <c r="V228" s="12">
        <v>0</v>
      </c>
      <c r="W228" s="12">
        <v>0</v>
      </c>
      <c r="X228" s="12">
        <v>0</v>
      </c>
      <c r="Y228" s="12">
        <v>0</v>
      </c>
      <c r="Z228" s="12">
        <v>0</v>
      </c>
      <c r="AA228" s="12">
        <v>0</v>
      </c>
      <c r="AB228" s="12">
        <v>0</v>
      </c>
      <c r="AC228" s="12">
        <v>0</v>
      </c>
      <c r="AD228" s="12">
        <v>0</v>
      </c>
      <c r="AE228" s="12">
        <v>0</v>
      </c>
      <c r="AF228" s="12">
        <v>0</v>
      </c>
      <c r="AG228" s="12">
        <v>0</v>
      </c>
      <c r="AH228" s="12">
        <v>0</v>
      </c>
      <c r="AI228" s="12">
        <v>0</v>
      </c>
      <c r="AJ228" s="12">
        <v>0</v>
      </c>
      <c r="AK228" s="12">
        <v>0</v>
      </c>
      <c r="AL228" s="12">
        <v>0</v>
      </c>
      <c r="AM228" s="12">
        <v>0</v>
      </c>
      <c r="AN228" s="12">
        <v>0</v>
      </c>
      <c r="AO228" s="12">
        <v>0</v>
      </c>
      <c r="AP228" s="12">
        <v>0</v>
      </c>
      <c r="AQ228" s="12">
        <v>0</v>
      </c>
      <c r="AR228" s="12">
        <v>0</v>
      </c>
      <c r="AS228" s="12">
        <v>0</v>
      </c>
      <c r="AT228" s="12">
        <v>0</v>
      </c>
      <c r="AU228" s="12">
        <v>0</v>
      </c>
      <c r="AV228" s="12">
        <v>0</v>
      </c>
      <c r="AW228" s="12">
        <v>0</v>
      </c>
      <c r="AX228" s="12">
        <v>0</v>
      </c>
      <c r="AY228" s="12">
        <v>0</v>
      </c>
      <c r="AZ228" s="12">
        <v>0</v>
      </c>
      <c r="BA228" s="12">
        <v>0</v>
      </c>
    </row>
    <row r="229" spans="1:53" x14ac:dyDescent="0.3">
      <c r="A229" s="7">
        <f t="shared" si="57"/>
        <v>376922</v>
      </c>
      <c r="B229" s="7">
        <f t="shared" si="58"/>
        <v>370378.4</v>
      </c>
      <c r="C229" s="7">
        <f t="shared" si="59"/>
        <v>356378.4</v>
      </c>
      <c r="D229" s="5"/>
      <c r="E229" s="5" t="str">
        <f t="shared" si="65"/>
        <v>0402-001909</v>
      </c>
      <c r="F229" s="5"/>
      <c r="G229" s="6"/>
      <c r="H229" s="11" t="s">
        <v>920</v>
      </c>
      <c r="I229" s="11"/>
      <c r="J229" s="12">
        <v>0</v>
      </c>
      <c r="K229" s="11" t="s">
        <v>921</v>
      </c>
      <c r="L229" s="12">
        <v>0</v>
      </c>
      <c r="M229" s="12">
        <v>50891.199999999997</v>
      </c>
      <c r="N229" s="12">
        <v>53846</v>
      </c>
      <c r="O229" s="12">
        <v>53846</v>
      </c>
      <c r="P229" s="12">
        <v>53846</v>
      </c>
      <c r="Q229" s="12">
        <v>53846</v>
      </c>
      <c r="R229" s="12">
        <v>53846</v>
      </c>
      <c r="S229" s="12">
        <v>53846</v>
      </c>
      <c r="T229" s="12">
        <v>53846</v>
      </c>
      <c r="U229" s="12">
        <v>52911.199999999997</v>
      </c>
      <c r="V229" s="12">
        <v>52911.199999999997</v>
      </c>
      <c r="W229" s="12">
        <v>52911.199999999997</v>
      </c>
      <c r="X229" s="12">
        <v>52911.199999999997</v>
      </c>
      <c r="Y229" s="12">
        <v>52911.199999999997</v>
      </c>
      <c r="Z229" s="12">
        <v>52911.199999999997</v>
      </c>
      <c r="AA229" s="12">
        <v>52911.199999999997</v>
      </c>
      <c r="AB229" s="12">
        <v>50911.199999999997</v>
      </c>
      <c r="AC229" s="12">
        <v>50911.199999999997</v>
      </c>
      <c r="AD229" s="12">
        <v>50911.199999999997</v>
      </c>
      <c r="AE229" s="12">
        <v>50911.199999999997</v>
      </c>
      <c r="AF229" s="12">
        <v>50911.199999999997</v>
      </c>
      <c r="AG229" s="12">
        <v>50911.199999999997</v>
      </c>
      <c r="AH229" s="12">
        <v>50911.199999999997</v>
      </c>
      <c r="AI229" s="12">
        <v>50911.199999999997</v>
      </c>
      <c r="AJ229" s="12">
        <v>50911.199999999997</v>
      </c>
      <c r="AK229" s="12">
        <v>50911.199999999997</v>
      </c>
      <c r="AL229" s="12">
        <v>50911.199999999997</v>
      </c>
      <c r="AM229" s="12">
        <v>50891.199999999997</v>
      </c>
      <c r="AN229" s="12">
        <v>50891.199999999997</v>
      </c>
      <c r="AO229" s="12">
        <v>50891.199999999997</v>
      </c>
      <c r="AP229" s="12">
        <v>50891.199999999997</v>
      </c>
      <c r="AQ229" s="12">
        <v>50891.199999999997</v>
      </c>
      <c r="AR229" s="12">
        <v>50891.199999999997</v>
      </c>
      <c r="AS229" s="12">
        <v>50891.199999999997</v>
      </c>
      <c r="AT229" s="12">
        <v>50891.199999999997</v>
      </c>
      <c r="AU229" s="12">
        <v>50891.199999999997</v>
      </c>
      <c r="AV229" s="12">
        <v>50891.199999999997</v>
      </c>
      <c r="AW229" s="12">
        <v>0</v>
      </c>
      <c r="AX229" s="12">
        <v>0</v>
      </c>
      <c r="AY229" s="12">
        <v>0</v>
      </c>
      <c r="AZ229" s="12">
        <v>0</v>
      </c>
      <c r="BA229" s="12">
        <v>0</v>
      </c>
    </row>
    <row r="230" spans="1:53" x14ac:dyDescent="0.3">
      <c r="A230" s="7">
        <f t="shared" si="57"/>
        <v>0</v>
      </c>
      <c r="B230" s="7">
        <f t="shared" si="58"/>
        <v>0</v>
      </c>
      <c r="C230" s="7">
        <f t="shared" si="59"/>
        <v>0</v>
      </c>
      <c r="D230" s="13"/>
      <c r="E230" s="13" t="s">
        <v>798</v>
      </c>
      <c r="F230" s="5"/>
      <c r="G230" s="13" t="s">
        <v>1015</v>
      </c>
      <c r="H230" s="13" t="s">
        <v>49</v>
      </c>
      <c r="I230" s="11" t="s">
        <v>49</v>
      </c>
      <c r="J230" s="12">
        <v>0</v>
      </c>
      <c r="K230" s="11" t="s">
        <v>916</v>
      </c>
      <c r="L230" s="12">
        <v>0</v>
      </c>
      <c r="M230" s="12">
        <v>0</v>
      </c>
      <c r="N230" s="12">
        <v>0</v>
      </c>
      <c r="O230" s="12">
        <v>0</v>
      </c>
      <c r="P230" s="12">
        <v>0</v>
      </c>
      <c r="Q230" s="12">
        <v>0</v>
      </c>
      <c r="R230" s="12">
        <v>0</v>
      </c>
      <c r="S230" s="12">
        <v>0</v>
      </c>
      <c r="T230" s="12">
        <v>0</v>
      </c>
      <c r="U230" s="12">
        <v>0</v>
      </c>
      <c r="V230" s="12">
        <v>0</v>
      </c>
      <c r="W230" s="12">
        <v>0</v>
      </c>
      <c r="X230" s="12">
        <v>0</v>
      </c>
      <c r="Y230" s="12">
        <v>0</v>
      </c>
      <c r="Z230" s="12">
        <v>0</v>
      </c>
      <c r="AA230" s="12">
        <v>0</v>
      </c>
      <c r="AB230" s="12">
        <v>0</v>
      </c>
      <c r="AC230" s="12">
        <v>0</v>
      </c>
      <c r="AD230" s="12">
        <v>0</v>
      </c>
      <c r="AE230" s="12">
        <v>0</v>
      </c>
      <c r="AF230" s="12">
        <v>0</v>
      </c>
      <c r="AG230" s="12">
        <v>0</v>
      </c>
      <c r="AH230" s="12">
        <v>0</v>
      </c>
      <c r="AI230" s="12">
        <v>0</v>
      </c>
      <c r="AJ230" s="12">
        <v>0</v>
      </c>
      <c r="AK230" s="12">
        <v>0</v>
      </c>
      <c r="AL230" s="12">
        <v>0</v>
      </c>
      <c r="AM230" s="12">
        <v>0</v>
      </c>
      <c r="AN230" s="12">
        <v>0</v>
      </c>
      <c r="AO230" s="12">
        <v>0</v>
      </c>
      <c r="AP230" s="12">
        <v>0</v>
      </c>
      <c r="AQ230" s="12">
        <v>0</v>
      </c>
      <c r="AR230" s="12">
        <v>0</v>
      </c>
      <c r="AS230" s="12">
        <v>0</v>
      </c>
      <c r="AT230" s="12">
        <v>0</v>
      </c>
      <c r="AU230" s="12">
        <v>0</v>
      </c>
      <c r="AV230" s="12">
        <v>0</v>
      </c>
      <c r="AW230" s="12">
        <v>0</v>
      </c>
      <c r="AX230" s="12">
        <v>0</v>
      </c>
      <c r="AY230" s="12">
        <v>0</v>
      </c>
      <c r="AZ230" s="12">
        <v>0</v>
      </c>
      <c r="BA230" s="12">
        <v>0</v>
      </c>
    </row>
    <row r="231" spans="1:53" x14ac:dyDescent="0.3">
      <c r="A231" s="7">
        <f t="shared" si="57"/>
        <v>53417</v>
      </c>
      <c r="B231" s="7">
        <f t="shared" si="58"/>
        <v>53417</v>
      </c>
      <c r="C231" s="7">
        <f t="shared" si="59"/>
        <v>53417</v>
      </c>
      <c r="D231" s="5"/>
      <c r="E231" s="5" t="str">
        <f t="shared" ref="E231:E234" si="66">E230</f>
        <v>0402-001936</v>
      </c>
      <c r="F231" s="5"/>
      <c r="G231" s="5"/>
      <c r="H231" s="6"/>
      <c r="I231" s="11"/>
      <c r="J231" s="12">
        <v>0</v>
      </c>
      <c r="K231" s="11" t="s">
        <v>917</v>
      </c>
      <c r="L231" s="12">
        <v>7631</v>
      </c>
      <c r="M231" s="12">
        <v>7631</v>
      </c>
      <c r="N231" s="12">
        <v>7631</v>
      </c>
      <c r="O231" s="12">
        <v>7631</v>
      </c>
      <c r="P231" s="12">
        <v>7631</v>
      </c>
      <c r="Q231" s="12">
        <v>7631</v>
      </c>
      <c r="R231" s="12">
        <v>7631</v>
      </c>
      <c r="S231" s="12">
        <v>7631</v>
      </c>
      <c r="T231" s="12">
        <v>7631</v>
      </c>
      <c r="U231" s="12">
        <v>7631</v>
      </c>
      <c r="V231" s="12">
        <v>7631</v>
      </c>
      <c r="W231" s="12">
        <v>7631</v>
      </c>
      <c r="X231" s="12">
        <v>7631</v>
      </c>
      <c r="Y231" s="12">
        <v>7631</v>
      </c>
      <c r="Z231" s="12">
        <v>7631</v>
      </c>
      <c r="AA231" s="12">
        <v>7631</v>
      </c>
      <c r="AB231" s="12">
        <v>7631</v>
      </c>
      <c r="AC231" s="12">
        <v>7631</v>
      </c>
      <c r="AD231" s="12">
        <v>7631</v>
      </c>
      <c r="AE231" s="12">
        <v>7631</v>
      </c>
      <c r="AF231" s="12">
        <v>7631</v>
      </c>
      <c r="AG231" s="12">
        <v>7631</v>
      </c>
      <c r="AH231" s="12">
        <v>7631</v>
      </c>
      <c r="AI231" s="12">
        <v>7631</v>
      </c>
      <c r="AJ231" s="12">
        <v>7631</v>
      </c>
      <c r="AK231" s="12">
        <v>7631</v>
      </c>
      <c r="AL231" s="12">
        <v>7631</v>
      </c>
      <c r="AM231" s="12">
        <v>7631</v>
      </c>
      <c r="AN231" s="12">
        <v>7631</v>
      </c>
      <c r="AO231" s="12">
        <v>7631</v>
      </c>
      <c r="AP231" s="12">
        <v>7631</v>
      </c>
      <c r="AQ231" s="12">
        <v>7631</v>
      </c>
      <c r="AR231" s="12">
        <v>7631</v>
      </c>
      <c r="AS231" s="12">
        <v>7631</v>
      </c>
      <c r="AT231" s="12">
        <v>7631</v>
      </c>
      <c r="AU231" s="12">
        <v>7631</v>
      </c>
      <c r="AV231" s="12">
        <v>7631</v>
      </c>
      <c r="AW231" s="12">
        <v>0</v>
      </c>
      <c r="AX231" s="12">
        <v>0</v>
      </c>
      <c r="AY231" s="12">
        <v>0</v>
      </c>
      <c r="AZ231" s="12">
        <v>0</v>
      </c>
      <c r="BA231" s="12">
        <v>0</v>
      </c>
    </row>
    <row r="232" spans="1:53" x14ac:dyDescent="0.3">
      <c r="A232" s="7">
        <f t="shared" si="57"/>
        <v>0</v>
      </c>
      <c r="B232" s="7">
        <f t="shared" si="58"/>
        <v>0</v>
      </c>
      <c r="C232" s="7">
        <f t="shared" si="59"/>
        <v>0</v>
      </c>
      <c r="D232" s="5"/>
      <c r="E232" s="5" t="str">
        <f t="shared" si="66"/>
        <v>0402-001936</v>
      </c>
      <c r="F232" s="5"/>
      <c r="G232" s="5"/>
      <c r="H232" s="11" t="s">
        <v>762</v>
      </c>
      <c r="I232" s="11" t="s">
        <v>763</v>
      </c>
      <c r="J232" s="12"/>
      <c r="K232" s="11" t="s">
        <v>918</v>
      </c>
      <c r="L232" s="12">
        <v>0</v>
      </c>
      <c r="M232" s="12">
        <v>0</v>
      </c>
      <c r="N232" s="12">
        <v>0</v>
      </c>
      <c r="O232" s="12">
        <v>0</v>
      </c>
      <c r="P232" s="12">
        <v>0</v>
      </c>
      <c r="Q232" s="12">
        <v>0</v>
      </c>
      <c r="R232" s="12">
        <v>0</v>
      </c>
      <c r="S232" s="12">
        <v>0</v>
      </c>
      <c r="T232" s="12">
        <v>0</v>
      </c>
      <c r="U232" s="12">
        <v>0</v>
      </c>
      <c r="V232" s="12">
        <v>0</v>
      </c>
      <c r="W232" s="12">
        <v>0</v>
      </c>
      <c r="X232" s="12">
        <v>0</v>
      </c>
      <c r="Y232" s="12">
        <v>0</v>
      </c>
      <c r="Z232" s="12">
        <v>0</v>
      </c>
      <c r="AA232" s="12">
        <v>0</v>
      </c>
      <c r="AB232" s="12">
        <v>0</v>
      </c>
      <c r="AC232" s="12">
        <v>0</v>
      </c>
      <c r="AD232" s="12">
        <v>0</v>
      </c>
      <c r="AE232" s="12">
        <v>0</v>
      </c>
      <c r="AF232" s="12">
        <v>0</v>
      </c>
      <c r="AG232" s="12">
        <v>0</v>
      </c>
      <c r="AH232" s="12">
        <v>0</v>
      </c>
      <c r="AI232" s="12">
        <v>0</v>
      </c>
      <c r="AJ232" s="12">
        <v>0</v>
      </c>
      <c r="AK232" s="12">
        <v>0</v>
      </c>
      <c r="AL232" s="12">
        <v>0</v>
      </c>
      <c r="AM232" s="12">
        <v>0</v>
      </c>
      <c r="AN232" s="12">
        <v>0</v>
      </c>
      <c r="AO232" s="12">
        <v>0</v>
      </c>
      <c r="AP232" s="12">
        <v>0</v>
      </c>
      <c r="AQ232" s="12">
        <v>0</v>
      </c>
      <c r="AR232" s="12">
        <v>0</v>
      </c>
      <c r="AS232" s="12">
        <v>0</v>
      </c>
      <c r="AT232" s="12">
        <v>0</v>
      </c>
      <c r="AU232" s="12">
        <v>0</v>
      </c>
      <c r="AV232" s="12">
        <v>0</v>
      </c>
      <c r="AW232" s="12">
        <v>0</v>
      </c>
      <c r="AX232" s="12">
        <v>0</v>
      </c>
      <c r="AY232" s="12">
        <v>0</v>
      </c>
      <c r="AZ232" s="12">
        <v>0</v>
      </c>
      <c r="BA232" s="12">
        <v>0</v>
      </c>
    </row>
    <row r="233" spans="1:53" x14ac:dyDescent="0.3">
      <c r="A233" s="7">
        <f t="shared" si="57"/>
        <v>0</v>
      </c>
      <c r="B233" s="7">
        <f t="shared" si="58"/>
        <v>0</v>
      </c>
      <c r="C233" s="7">
        <f t="shared" si="59"/>
        <v>0</v>
      </c>
      <c r="D233" s="5"/>
      <c r="E233" s="5" t="str">
        <f t="shared" si="66"/>
        <v>0402-001936</v>
      </c>
      <c r="F233" s="5"/>
      <c r="G233" s="5"/>
      <c r="H233" s="11" t="s">
        <v>49</v>
      </c>
      <c r="I233" s="11"/>
      <c r="J233" s="12">
        <v>0</v>
      </c>
      <c r="K233" s="11" t="s">
        <v>919</v>
      </c>
      <c r="L233" s="12">
        <v>0</v>
      </c>
      <c r="M233" s="12">
        <v>0</v>
      </c>
      <c r="N233" s="12">
        <v>0</v>
      </c>
      <c r="O233" s="12">
        <v>0</v>
      </c>
      <c r="P233" s="12">
        <v>0</v>
      </c>
      <c r="Q233" s="12">
        <v>0</v>
      </c>
      <c r="R233" s="12">
        <v>0</v>
      </c>
      <c r="S233" s="12">
        <v>0</v>
      </c>
      <c r="T233" s="12">
        <v>0</v>
      </c>
      <c r="U233" s="12">
        <v>0</v>
      </c>
      <c r="V233" s="12">
        <v>0</v>
      </c>
      <c r="W233" s="12">
        <v>0</v>
      </c>
      <c r="X233" s="12">
        <v>0</v>
      </c>
      <c r="Y233" s="12">
        <v>0</v>
      </c>
      <c r="Z233" s="12">
        <v>0</v>
      </c>
      <c r="AA233" s="12">
        <v>0</v>
      </c>
      <c r="AB233" s="12">
        <v>0</v>
      </c>
      <c r="AC233" s="12">
        <v>0</v>
      </c>
      <c r="AD233" s="12">
        <v>0</v>
      </c>
      <c r="AE233" s="12">
        <v>0</v>
      </c>
      <c r="AF233" s="12">
        <v>0</v>
      </c>
      <c r="AG233" s="12">
        <v>0</v>
      </c>
      <c r="AH233" s="12">
        <v>0</v>
      </c>
      <c r="AI233" s="12">
        <v>0</v>
      </c>
      <c r="AJ233" s="12">
        <v>0</v>
      </c>
      <c r="AK233" s="12">
        <v>0</v>
      </c>
      <c r="AL233" s="12">
        <v>0</v>
      </c>
      <c r="AM233" s="12">
        <v>0</v>
      </c>
      <c r="AN233" s="12">
        <v>0</v>
      </c>
      <c r="AO233" s="12">
        <v>0</v>
      </c>
      <c r="AP233" s="12">
        <v>0</v>
      </c>
      <c r="AQ233" s="12">
        <v>0</v>
      </c>
      <c r="AR233" s="12">
        <v>0</v>
      </c>
      <c r="AS233" s="12">
        <v>0</v>
      </c>
      <c r="AT233" s="12">
        <v>0</v>
      </c>
      <c r="AU233" s="12">
        <v>0</v>
      </c>
      <c r="AV233" s="12">
        <v>0</v>
      </c>
      <c r="AW233" s="12">
        <v>0</v>
      </c>
      <c r="AX233" s="12">
        <v>0</v>
      </c>
      <c r="AY233" s="12">
        <v>0</v>
      </c>
      <c r="AZ233" s="12">
        <v>0</v>
      </c>
      <c r="BA233" s="12">
        <v>0</v>
      </c>
    </row>
    <row r="234" spans="1:53" x14ac:dyDescent="0.3">
      <c r="A234" s="7">
        <f t="shared" si="57"/>
        <v>53417</v>
      </c>
      <c r="B234" s="7">
        <f t="shared" si="58"/>
        <v>53417</v>
      </c>
      <c r="C234" s="7">
        <f t="shared" si="59"/>
        <v>53417</v>
      </c>
      <c r="D234" s="5"/>
      <c r="E234" s="5" t="str">
        <f t="shared" si="66"/>
        <v>0402-001936</v>
      </c>
      <c r="F234" s="5"/>
      <c r="G234" s="6"/>
      <c r="H234" s="11" t="s">
        <v>920</v>
      </c>
      <c r="I234" s="11"/>
      <c r="J234" s="12">
        <v>0</v>
      </c>
      <c r="K234" s="11" t="s">
        <v>921</v>
      </c>
      <c r="L234" s="12">
        <v>0</v>
      </c>
      <c r="M234" s="12">
        <v>7631</v>
      </c>
      <c r="N234" s="12">
        <v>7631</v>
      </c>
      <c r="O234" s="12">
        <v>7631</v>
      </c>
      <c r="P234" s="12">
        <v>7631</v>
      </c>
      <c r="Q234" s="12">
        <v>7631</v>
      </c>
      <c r="R234" s="12">
        <v>7631</v>
      </c>
      <c r="S234" s="12">
        <v>7631</v>
      </c>
      <c r="T234" s="12">
        <v>7631</v>
      </c>
      <c r="U234" s="12">
        <v>7631</v>
      </c>
      <c r="V234" s="12">
        <v>7631</v>
      </c>
      <c r="W234" s="12">
        <v>7631</v>
      </c>
      <c r="X234" s="12">
        <v>7631</v>
      </c>
      <c r="Y234" s="12">
        <v>7631</v>
      </c>
      <c r="Z234" s="12">
        <v>7631</v>
      </c>
      <c r="AA234" s="12">
        <v>7631</v>
      </c>
      <c r="AB234" s="12">
        <v>7631</v>
      </c>
      <c r="AC234" s="12">
        <v>7631</v>
      </c>
      <c r="AD234" s="12">
        <v>7631</v>
      </c>
      <c r="AE234" s="12">
        <v>7631</v>
      </c>
      <c r="AF234" s="12">
        <v>7631</v>
      </c>
      <c r="AG234" s="12">
        <v>7631</v>
      </c>
      <c r="AH234" s="12">
        <v>7631</v>
      </c>
      <c r="AI234" s="12">
        <v>7631</v>
      </c>
      <c r="AJ234" s="12">
        <v>7631</v>
      </c>
      <c r="AK234" s="12">
        <v>7631</v>
      </c>
      <c r="AL234" s="12">
        <v>7631</v>
      </c>
      <c r="AM234" s="12">
        <v>7631</v>
      </c>
      <c r="AN234" s="12">
        <v>7631</v>
      </c>
      <c r="AO234" s="12">
        <v>7631</v>
      </c>
      <c r="AP234" s="12">
        <v>7631</v>
      </c>
      <c r="AQ234" s="12">
        <v>7631</v>
      </c>
      <c r="AR234" s="12">
        <v>7631</v>
      </c>
      <c r="AS234" s="12">
        <v>7631</v>
      </c>
      <c r="AT234" s="12">
        <v>7631</v>
      </c>
      <c r="AU234" s="12">
        <v>7631</v>
      </c>
      <c r="AV234" s="12">
        <v>7631</v>
      </c>
      <c r="AW234" s="12">
        <v>0</v>
      </c>
      <c r="AX234" s="12">
        <v>0</v>
      </c>
      <c r="AY234" s="12">
        <v>0</v>
      </c>
      <c r="AZ234" s="12">
        <v>0</v>
      </c>
      <c r="BA234" s="12">
        <v>0</v>
      </c>
    </row>
    <row r="235" spans="1:53" x14ac:dyDescent="0.3">
      <c r="A235" s="7">
        <f t="shared" si="57"/>
        <v>0</v>
      </c>
      <c r="B235" s="7">
        <f t="shared" si="58"/>
        <v>2500</v>
      </c>
      <c r="C235" s="7">
        <f t="shared" si="59"/>
        <v>0</v>
      </c>
      <c r="D235" s="13"/>
      <c r="E235" s="13" t="s">
        <v>871</v>
      </c>
      <c r="F235" s="5"/>
      <c r="G235" s="13" t="s">
        <v>1016</v>
      </c>
      <c r="H235" s="13" t="s">
        <v>49</v>
      </c>
      <c r="I235" s="11" t="s">
        <v>49</v>
      </c>
      <c r="J235" s="12">
        <v>0</v>
      </c>
      <c r="K235" s="11" t="s">
        <v>916</v>
      </c>
      <c r="L235" s="12">
        <v>0</v>
      </c>
      <c r="M235" s="12">
        <v>5416</v>
      </c>
      <c r="N235" s="12">
        <v>0</v>
      </c>
      <c r="O235" s="12">
        <v>0</v>
      </c>
      <c r="P235" s="12">
        <v>0</v>
      </c>
      <c r="Q235" s="12">
        <v>0</v>
      </c>
      <c r="R235" s="12">
        <v>0</v>
      </c>
      <c r="S235" s="12">
        <v>0</v>
      </c>
      <c r="T235" s="12">
        <v>0</v>
      </c>
      <c r="U235" s="12">
        <v>0</v>
      </c>
      <c r="V235" s="12">
        <v>0</v>
      </c>
      <c r="W235" s="12">
        <v>0</v>
      </c>
      <c r="X235" s="12">
        <v>0</v>
      </c>
      <c r="Y235" s="12">
        <v>0</v>
      </c>
      <c r="Z235" s="12">
        <v>0</v>
      </c>
      <c r="AA235" s="12">
        <v>2500</v>
      </c>
      <c r="AB235" s="12">
        <v>0</v>
      </c>
      <c r="AC235" s="12">
        <v>0</v>
      </c>
      <c r="AD235" s="12">
        <v>0</v>
      </c>
      <c r="AE235" s="12">
        <v>0</v>
      </c>
      <c r="AF235" s="12">
        <v>0</v>
      </c>
      <c r="AG235" s="12">
        <v>0</v>
      </c>
      <c r="AH235" s="12">
        <v>0</v>
      </c>
      <c r="AI235" s="12">
        <v>500</v>
      </c>
      <c r="AJ235" s="12">
        <v>0</v>
      </c>
      <c r="AK235" s="12">
        <v>0</v>
      </c>
      <c r="AL235" s="12">
        <v>0</v>
      </c>
      <c r="AM235" s="12">
        <v>0</v>
      </c>
      <c r="AN235" s="12">
        <v>1500</v>
      </c>
      <c r="AO235" s="12">
        <v>0</v>
      </c>
      <c r="AP235" s="12">
        <v>0</v>
      </c>
      <c r="AQ235" s="12">
        <v>916</v>
      </c>
      <c r="AR235" s="12">
        <v>0</v>
      </c>
      <c r="AS235" s="12">
        <v>0</v>
      </c>
      <c r="AT235" s="12">
        <v>0</v>
      </c>
      <c r="AU235" s="12">
        <v>0</v>
      </c>
      <c r="AV235" s="12">
        <v>0</v>
      </c>
      <c r="AW235" s="12">
        <v>0</v>
      </c>
      <c r="AX235" s="12">
        <v>3000</v>
      </c>
      <c r="AY235" s="12">
        <v>1500</v>
      </c>
      <c r="AZ235" s="12">
        <v>916</v>
      </c>
      <c r="BA235" s="12">
        <v>0</v>
      </c>
    </row>
    <row r="236" spans="1:53" x14ac:dyDescent="0.3">
      <c r="A236" s="7">
        <f t="shared" si="57"/>
        <v>181244</v>
      </c>
      <c r="B236" s="7">
        <f t="shared" si="58"/>
        <v>178744</v>
      </c>
      <c r="C236" s="7">
        <f t="shared" si="59"/>
        <v>163744</v>
      </c>
      <c r="D236" s="5"/>
      <c r="E236" s="5" t="str">
        <f t="shared" ref="E236:E239" si="67">E235</f>
        <v>0402-001975</v>
      </c>
      <c r="F236" s="5"/>
      <c r="G236" s="5"/>
      <c r="H236" s="6"/>
      <c r="I236" s="11"/>
      <c r="J236" s="12">
        <v>0</v>
      </c>
      <c r="K236" s="11" t="s">
        <v>917</v>
      </c>
      <c r="L236" s="12">
        <v>25892</v>
      </c>
      <c r="M236" s="12">
        <v>20476</v>
      </c>
      <c r="N236" s="12">
        <v>25892</v>
      </c>
      <c r="O236" s="12">
        <v>25892</v>
      </c>
      <c r="P236" s="12">
        <v>25892</v>
      </c>
      <c r="Q236" s="12">
        <v>25892</v>
      </c>
      <c r="R236" s="12">
        <v>25892</v>
      </c>
      <c r="S236" s="12">
        <v>25892</v>
      </c>
      <c r="T236" s="12">
        <v>25892</v>
      </c>
      <c r="U236" s="12">
        <v>25892</v>
      </c>
      <c r="V236" s="12">
        <v>25892</v>
      </c>
      <c r="W236" s="12">
        <v>25892</v>
      </c>
      <c r="X236" s="12">
        <v>25892</v>
      </c>
      <c r="Y236" s="12">
        <v>25892</v>
      </c>
      <c r="Z236" s="12">
        <v>25892</v>
      </c>
      <c r="AA236" s="12">
        <v>23392</v>
      </c>
      <c r="AB236" s="12">
        <v>23392</v>
      </c>
      <c r="AC236" s="12">
        <v>23392</v>
      </c>
      <c r="AD236" s="12">
        <v>23392</v>
      </c>
      <c r="AE236" s="12">
        <v>23392</v>
      </c>
      <c r="AF236" s="12">
        <v>23392</v>
      </c>
      <c r="AG236" s="12">
        <v>23392</v>
      </c>
      <c r="AH236" s="12">
        <v>23392</v>
      </c>
      <c r="AI236" s="12">
        <v>22892</v>
      </c>
      <c r="AJ236" s="12">
        <v>22892</v>
      </c>
      <c r="AK236" s="12">
        <v>22892</v>
      </c>
      <c r="AL236" s="12">
        <v>22892</v>
      </c>
      <c r="AM236" s="12">
        <v>22892</v>
      </c>
      <c r="AN236" s="12">
        <v>21392</v>
      </c>
      <c r="AO236" s="12">
        <v>21392</v>
      </c>
      <c r="AP236" s="12">
        <v>21392</v>
      </c>
      <c r="AQ236" s="12">
        <v>20476</v>
      </c>
      <c r="AR236" s="12">
        <v>20476</v>
      </c>
      <c r="AS236" s="12">
        <v>20476</v>
      </c>
      <c r="AT236" s="12">
        <v>20476</v>
      </c>
      <c r="AU236" s="12">
        <v>20476</v>
      </c>
      <c r="AV236" s="12">
        <v>20476</v>
      </c>
      <c r="AW236" s="12">
        <v>0</v>
      </c>
      <c r="AX236" s="12">
        <v>0</v>
      </c>
      <c r="AY236" s="12">
        <v>0</v>
      </c>
      <c r="AZ236" s="12">
        <v>0</v>
      </c>
      <c r="BA236" s="12">
        <v>0</v>
      </c>
    </row>
    <row r="237" spans="1:53" x14ac:dyDescent="0.3">
      <c r="A237" s="7">
        <f t="shared" si="57"/>
        <v>0</v>
      </c>
      <c r="B237" s="7">
        <f t="shared" si="58"/>
        <v>0</v>
      </c>
      <c r="C237" s="7">
        <f t="shared" si="59"/>
        <v>0</v>
      </c>
      <c r="D237" s="5"/>
      <c r="E237" s="5" t="str">
        <f t="shared" si="67"/>
        <v>0402-001975</v>
      </c>
      <c r="F237" s="5"/>
      <c r="G237" s="5"/>
      <c r="H237" s="11" t="s">
        <v>762</v>
      </c>
      <c r="I237" s="11" t="s">
        <v>763</v>
      </c>
      <c r="J237" s="12"/>
      <c r="K237" s="11" t="s">
        <v>918</v>
      </c>
      <c r="L237" s="12">
        <v>0</v>
      </c>
      <c r="M237" s="12">
        <v>0</v>
      </c>
      <c r="N237" s="12">
        <v>0</v>
      </c>
      <c r="O237" s="12">
        <v>0</v>
      </c>
      <c r="P237" s="12">
        <v>0</v>
      </c>
      <c r="Q237" s="12">
        <v>0</v>
      </c>
      <c r="R237" s="12">
        <v>0</v>
      </c>
      <c r="S237" s="12">
        <v>0</v>
      </c>
      <c r="T237" s="12">
        <v>0</v>
      </c>
      <c r="U237" s="12">
        <v>0</v>
      </c>
      <c r="V237" s="12">
        <v>0</v>
      </c>
      <c r="W237" s="12">
        <v>0</v>
      </c>
      <c r="X237" s="12">
        <v>0</v>
      </c>
      <c r="Y237" s="12">
        <v>0</v>
      </c>
      <c r="Z237" s="12">
        <v>0</v>
      </c>
      <c r="AA237" s="12">
        <v>0</v>
      </c>
      <c r="AB237" s="12">
        <v>0</v>
      </c>
      <c r="AC237" s="12">
        <v>0</v>
      </c>
      <c r="AD237" s="12">
        <v>0</v>
      </c>
      <c r="AE237" s="12">
        <v>0</v>
      </c>
      <c r="AF237" s="12">
        <v>0</v>
      </c>
      <c r="AG237" s="12">
        <v>0</v>
      </c>
      <c r="AH237" s="12">
        <v>0</v>
      </c>
      <c r="AI237" s="12">
        <v>0</v>
      </c>
      <c r="AJ237" s="12">
        <v>0</v>
      </c>
      <c r="AK237" s="12">
        <v>0</v>
      </c>
      <c r="AL237" s="12">
        <v>0</v>
      </c>
      <c r="AM237" s="12">
        <v>0</v>
      </c>
      <c r="AN237" s="12">
        <v>0</v>
      </c>
      <c r="AO237" s="12">
        <v>0</v>
      </c>
      <c r="AP237" s="12">
        <v>0</v>
      </c>
      <c r="AQ237" s="12">
        <v>0</v>
      </c>
      <c r="AR237" s="12">
        <v>0</v>
      </c>
      <c r="AS237" s="12">
        <v>0</v>
      </c>
      <c r="AT237" s="12">
        <v>0</v>
      </c>
      <c r="AU237" s="12">
        <v>0</v>
      </c>
      <c r="AV237" s="12">
        <v>0</v>
      </c>
      <c r="AW237" s="12">
        <v>0</v>
      </c>
      <c r="AX237" s="12">
        <v>0</v>
      </c>
      <c r="AY237" s="12">
        <v>0</v>
      </c>
      <c r="AZ237" s="12">
        <v>0</v>
      </c>
      <c r="BA237" s="12">
        <v>0</v>
      </c>
    </row>
    <row r="238" spans="1:53" x14ac:dyDescent="0.3">
      <c r="A238" s="7">
        <f t="shared" si="57"/>
        <v>0</v>
      </c>
      <c r="B238" s="7">
        <f t="shared" si="58"/>
        <v>0</v>
      </c>
      <c r="C238" s="7">
        <f t="shared" si="59"/>
        <v>0</v>
      </c>
      <c r="D238" s="5"/>
      <c r="E238" s="5" t="str">
        <f t="shared" si="67"/>
        <v>0402-001975</v>
      </c>
      <c r="F238" s="5"/>
      <c r="G238" s="5"/>
      <c r="H238" s="11" t="s">
        <v>49</v>
      </c>
      <c r="I238" s="11"/>
      <c r="J238" s="12">
        <v>0</v>
      </c>
      <c r="K238" s="11" t="s">
        <v>919</v>
      </c>
      <c r="L238" s="12">
        <v>0</v>
      </c>
      <c r="M238" s="12">
        <v>0</v>
      </c>
      <c r="N238" s="12">
        <v>0</v>
      </c>
      <c r="O238" s="12">
        <v>0</v>
      </c>
      <c r="P238" s="12">
        <v>0</v>
      </c>
      <c r="Q238" s="12">
        <v>0</v>
      </c>
      <c r="R238" s="12">
        <v>0</v>
      </c>
      <c r="S238" s="12">
        <v>0</v>
      </c>
      <c r="T238" s="12">
        <v>0</v>
      </c>
      <c r="U238" s="12">
        <v>0</v>
      </c>
      <c r="V238" s="12">
        <v>0</v>
      </c>
      <c r="W238" s="12">
        <v>0</v>
      </c>
      <c r="X238" s="12">
        <v>0</v>
      </c>
      <c r="Y238" s="12">
        <v>0</v>
      </c>
      <c r="Z238" s="12">
        <v>0</v>
      </c>
      <c r="AA238" s="12">
        <v>0</v>
      </c>
      <c r="AB238" s="12">
        <v>0</v>
      </c>
      <c r="AC238" s="12">
        <v>0</v>
      </c>
      <c r="AD238" s="12">
        <v>0</v>
      </c>
      <c r="AE238" s="12">
        <v>0</v>
      </c>
      <c r="AF238" s="12">
        <v>0</v>
      </c>
      <c r="AG238" s="12">
        <v>0</v>
      </c>
      <c r="AH238" s="12">
        <v>0</v>
      </c>
      <c r="AI238" s="12">
        <v>0</v>
      </c>
      <c r="AJ238" s="12">
        <v>0</v>
      </c>
      <c r="AK238" s="12">
        <v>0</v>
      </c>
      <c r="AL238" s="12">
        <v>0</v>
      </c>
      <c r="AM238" s="12">
        <v>0</v>
      </c>
      <c r="AN238" s="12">
        <v>0</v>
      </c>
      <c r="AO238" s="12">
        <v>0</v>
      </c>
      <c r="AP238" s="12">
        <v>0</v>
      </c>
      <c r="AQ238" s="12">
        <v>0</v>
      </c>
      <c r="AR238" s="12">
        <v>0</v>
      </c>
      <c r="AS238" s="12">
        <v>0</v>
      </c>
      <c r="AT238" s="12">
        <v>0</v>
      </c>
      <c r="AU238" s="12">
        <v>0</v>
      </c>
      <c r="AV238" s="12">
        <v>0</v>
      </c>
      <c r="AW238" s="12">
        <v>0</v>
      </c>
      <c r="AX238" s="12">
        <v>0</v>
      </c>
      <c r="AY238" s="12">
        <v>0</v>
      </c>
      <c r="AZ238" s="12">
        <v>0</v>
      </c>
      <c r="BA238" s="12">
        <v>0</v>
      </c>
    </row>
    <row r="239" spans="1:53" x14ac:dyDescent="0.3">
      <c r="A239" s="7">
        <f t="shared" si="57"/>
        <v>181244</v>
      </c>
      <c r="B239" s="7">
        <f t="shared" si="58"/>
        <v>178744</v>
      </c>
      <c r="C239" s="7">
        <f t="shared" si="59"/>
        <v>163744</v>
      </c>
      <c r="D239" s="5"/>
      <c r="E239" s="5" t="str">
        <f t="shared" si="67"/>
        <v>0402-001975</v>
      </c>
      <c r="F239" s="5"/>
      <c r="G239" s="6"/>
      <c r="H239" s="11" t="s">
        <v>920</v>
      </c>
      <c r="I239" s="11"/>
      <c r="J239" s="12">
        <v>0</v>
      </c>
      <c r="K239" s="11" t="s">
        <v>921</v>
      </c>
      <c r="L239" s="12">
        <v>0</v>
      </c>
      <c r="M239" s="12">
        <v>20476</v>
      </c>
      <c r="N239" s="12">
        <v>25892</v>
      </c>
      <c r="O239" s="12">
        <v>25892</v>
      </c>
      <c r="P239" s="12">
        <v>25892</v>
      </c>
      <c r="Q239" s="12">
        <v>25892</v>
      </c>
      <c r="R239" s="12">
        <v>25892</v>
      </c>
      <c r="S239" s="12">
        <v>25892</v>
      </c>
      <c r="T239" s="12">
        <v>25892</v>
      </c>
      <c r="U239" s="12">
        <v>25892</v>
      </c>
      <c r="V239" s="12">
        <v>25892</v>
      </c>
      <c r="W239" s="12">
        <v>25892</v>
      </c>
      <c r="X239" s="12">
        <v>25892</v>
      </c>
      <c r="Y239" s="12">
        <v>25892</v>
      </c>
      <c r="Z239" s="12">
        <v>25892</v>
      </c>
      <c r="AA239" s="12">
        <v>23392</v>
      </c>
      <c r="AB239" s="12">
        <v>23392</v>
      </c>
      <c r="AC239" s="12">
        <v>23392</v>
      </c>
      <c r="AD239" s="12">
        <v>23392</v>
      </c>
      <c r="AE239" s="12">
        <v>23392</v>
      </c>
      <c r="AF239" s="12">
        <v>23392</v>
      </c>
      <c r="AG239" s="12">
        <v>23392</v>
      </c>
      <c r="AH239" s="12">
        <v>23392</v>
      </c>
      <c r="AI239" s="12">
        <v>22892</v>
      </c>
      <c r="AJ239" s="12">
        <v>22892</v>
      </c>
      <c r="AK239" s="12">
        <v>22892</v>
      </c>
      <c r="AL239" s="12">
        <v>22892</v>
      </c>
      <c r="AM239" s="12">
        <v>22892</v>
      </c>
      <c r="AN239" s="12">
        <v>21392</v>
      </c>
      <c r="AO239" s="12">
        <v>21392</v>
      </c>
      <c r="AP239" s="12">
        <v>21392</v>
      </c>
      <c r="AQ239" s="12">
        <v>20476</v>
      </c>
      <c r="AR239" s="12">
        <v>20476</v>
      </c>
      <c r="AS239" s="12">
        <v>20476</v>
      </c>
      <c r="AT239" s="12">
        <v>20476</v>
      </c>
      <c r="AU239" s="12">
        <v>20476</v>
      </c>
      <c r="AV239" s="12">
        <v>20476</v>
      </c>
      <c r="AW239" s="12">
        <v>0</v>
      </c>
      <c r="AX239" s="12">
        <v>0</v>
      </c>
      <c r="AY239" s="12">
        <v>0</v>
      </c>
      <c r="AZ239" s="12">
        <v>0</v>
      </c>
      <c r="BA239" s="12">
        <v>0</v>
      </c>
    </row>
    <row r="240" spans="1:53" x14ac:dyDescent="0.3">
      <c r="A240" s="7">
        <f t="shared" si="57"/>
        <v>0</v>
      </c>
      <c r="B240" s="7">
        <f t="shared" si="58"/>
        <v>0</v>
      </c>
      <c r="C240" s="7">
        <f t="shared" si="59"/>
        <v>0</v>
      </c>
      <c r="D240" s="13"/>
      <c r="E240" s="13" t="s">
        <v>852</v>
      </c>
      <c r="F240" s="5"/>
      <c r="G240" s="13" t="s">
        <v>1017</v>
      </c>
      <c r="H240" s="13" t="s">
        <v>49</v>
      </c>
      <c r="I240" s="11" t="s">
        <v>49</v>
      </c>
      <c r="J240" s="12">
        <v>0</v>
      </c>
      <c r="K240" s="11" t="s">
        <v>916</v>
      </c>
      <c r="L240" s="12">
        <v>0</v>
      </c>
      <c r="M240" s="12">
        <v>0</v>
      </c>
      <c r="N240" s="12">
        <v>0</v>
      </c>
      <c r="O240" s="12">
        <v>0</v>
      </c>
      <c r="P240" s="12">
        <v>0</v>
      </c>
      <c r="Q240" s="12">
        <v>0</v>
      </c>
      <c r="R240" s="12">
        <v>0</v>
      </c>
      <c r="S240" s="12">
        <v>0</v>
      </c>
      <c r="T240" s="12">
        <v>0</v>
      </c>
      <c r="U240" s="12">
        <v>0</v>
      </c>
      <c r="V240" s="12">
        <v>0</v>
      </c>
      <c r="W240" s="12">
        <v>0</v>
      </c>
      <c r="X240" s="12">
        <v>0</v>
      </c>
      <c r="Y240" s="12">
        <v>0</v>
      </c>
      <c r="Z240" s="12">
        <v>0</v>
      </c>
      <c r="AA240" s="12">
        <v>0</v>
      </c>
      <c r="AB240" s="12">
        <v>0</v>
      </c>
      <c r="AC240" s="12">
        <v>0</v>
      </c>
      <c r="AD240" s="12">
        <v>0</v>
      </c>
      <c r="AE240" s="12">
        <v>0</v>
      </c>
      <c r="AF240" s="12">
        <v>0</v>
      </c>
      <c r="AG240" s="12">
        <v>0</v>
      </c>
      <c r="AH240" s="12">
        <v>0</v>
      </c>
      <c r="AI240" s="12">
        <v>0</v>
      </c>
      <c r="AJ240" s="12">
        <v>0</v>
      </c>
      <c r="AK240" s="12">
        <v>0</v>
      </c>
      <c r="AL240" s="12">
        <v>0</v>
      </c>
      <c r="AM240" s="12">
        <v>0</v>
      </c>
      <c r="AN240" s="12">
        <v>0</v>
      </c>
      <c r="AO240" s="12">
        <v>0</v>
      </c>
      <c r="AP240" s="12">
        <v>0</v>
      </c>
      <c r="AQ240" s="12">
        <v>0</v>
      </c>
      <c r="AR240" s="12">
        <v>0</v>
      </c>
      <c r="AS240" s="12">
        <v>0</v>
      </c>
      <c r="AT240" s="12">
        <v>0</v>
      </c>
      <c r="AU240" s="12">
        <v>0</v>
      </c>
      <c r="AV240" s="12">
        <v>0</v>
      </c>
      <c r="AW240" s="12">
        <v>0</v>
      </c>
      <c r="AX240" s="12">
        <v>0</v>
      </c>
      <c r="AY240" s="12">
        <v>0</v>
      </c>
      <c r="AZ240" s="12">
        <v>0</v>
      </c>
      <c r="BA240" s="12">
        <v>0</v>
      </c>
    </row>
    <row r="241" spans="1:53" x14ac:dyDescent="0.3">
      <c r="A241" s="7">
        <f t="shared" si="57"/>
        <v>182945</v>
      </c>
      <c r="B241" s="7">
        <f t="shared" si="58"/>
        <v>182945</v>
      </c>
      <c r="C241" s="7">
        <f t="shared" si="59"/>
        <v>182945</v>
      </c>
      <c r="D241" s="5"/>
      <c r="E241" s="5" t="str">
        <f t="shared" ref="E241:E244" si="68">E240</f>
        <v>0402-001998</v>
      </c>
      <c r="F241" s="5"/>
      <c r="G241" s="5"/>
      <c r="H241" s="6"/>
      <c r="I241" s="11"/>
      <c r="J241" s="12">
        <v>0</v>
      </c>
      <c r="K241" s="11" t="s">
        <v>917</v>
      </c>
      <c r="L241" s="12">
        <v>26135</v>
      </c>
      <c r="M241" s="12">
        <v>26135</v>
      </c>
      <c r="N241" s="12">
        <v>26135</v>
      </c>
      <c r="O241" s="12">
        <v>26135</v>
      </c>
      <c r="P241" s="12">
        <v>26135</v>
      </c>
      <c r="Q241" s="12">
        <v>26135</v>
      </c>
      <c r="R241" s="12">
        <v>26135</v>
      </c>
      <c r="S241" s="12">
        <v>26135</v>
      </c>
      <c r="T241" s="12">
        <v>26135</v>
      </c>
      <c r="U241" s="12">
        <v>26135</v>
      </c>
      <c r="V241" s="12">
        <v>26135</v>
      </c>
      <c r="W241" s="12">
        <v>26135</v>
      </c>
      <c r="X241" s="12">
        <v>26135</v>
      </c>
      <c r="Y241" s="12">
        <v>26135</v>
      </c>
      <c r="Z241" s="12">
        <v>26135</v>
      </c>
      <c r="AA241" s="12">
        <v>26135</v>
      </c>
      <c r="AB241" s="12">
        <v>26135</v>
      </c>
      <c r="AC241" s="12">
        <v>26135</v>
      </c>
      <c r="AD241" s="12">
        <v>26135</v>
      </c>
      <c r="AE241" s="12">
        <v>26135</v>
      </c>
      <c r="AF241" s="12">
        <v>26135</v>
      </c>
      <c r="AG241" s="12">
        <v>26135</v>
      </c>
      <c r="AH241" s="12">
        <v>26135</v>
      </c>
      <c r="AI241" s="12">
        <v>26135</v>
      </c>
      <c r="AJ241" s="12">
        <v>26135</v>
      </c>
      <c r="AK241" s="12">
        <v>26135</v>
      </c>
      <c r="AL241" s="12">
        <v>26135</v>
      </c>
      <c r="AM241" s="12">
        <v>26135</v>
      </c>
      <c r="AN241" s="12">
        <v>26135</v>
      </c>
      <c r="AO241" s="12">
        <v>26135</v>
      </c>
      <c r="AP241" s="12">
        <v>26135</v>
      </c>
      <c r="AQ241" s="12">
        <v>26135</v>
      </c>
      <c r="AR241" s="12">
        <v>26135</v>
      </c>
      <c r="AS241" s="12">
        <v>26135</v>
      </c>
      <c r="AT241" s="12">
        <v>26135</v>
      </c>
      <c r="AU241" s="12">
        <v>26135</v>
      </c>
      <c r="AV241" s="12">
        <v>26135</v>
      </c>
      <c r="AW241" s="12">
        <v>0</v>
      </c>
      <c r="AX241" s="12">
        <v>0</v>
      </c>
      <c r="AY241" s="12">
        <v>0</v>
      </c>
      <c r="AZ241" s="12">
        <v>0</v>
      </c>
      <c r="BA241" s="12">
        <v>0</v>
      </c>
    </row>
    <row r="242" spans="1:53" x14ac:dyDescent="0.3">
      <c r="A242" s="7">
        <f t="shared" si="57"/>
        <v>0</v>
      </c>
      <c r="B242" s="7">
        <f t="shared" si="58"/>
        <v>0</v>
      </c>
      <c r="C242" s="7">
        <f t="shared" si="59"/>
        <v>0</v>
      </c>
      <c r="D242" s="5"/>
      <c r="E242" s="5" t="str">
        <f t="shared" si="68"/>
        <v>0402-001998</v>
      </c>
      <c r="F242" s="5"/>
      <c r="G242" s="5"/>
      <c r="H242" s="11" t="s">
        <v>762</v>
      </c>
      <c r="I242" s="11" t="s">
        <v>763</v>
      </c>
      <c r="J242" s="12"/>
      <c r="K242" s="11" t="s">
        <v>918</v>
      </c>
      <c r="L242" s="12">
        <v>0</v>
      </c>
      <c r="M242" s="12">
        <v>0</v>
      </c>
      <c r="N242" s="12">
        <v>0</v>
      </c>
      <c r="O242" s="12">
        <v>0</v>
      </c>
      <c r="P242" s="12">
        <v>0</v>
      </c>
      <c r="Q242" s="12">
        <v>0</v>
      </c>
      <c r="R242" s="12">
        <v>0</v>
      </c>
      <c r="S242" s="12">
        <v>0</v>
      </c>
      <c r="T242" s="12">
        <v>0</v>
      </c>
      <c r="U242" s="12">
        <v>0</v>
      </c>
      <c r="V242" s="12">
        <v>0</v>
      </c>
      <c r="W242" s="12">
        <v>0</v>
      </c>
      <c r="X242" s="12">
        <v>0</v>
      </c>
      <c r="Y242" s="12">
        <v>0</v>
      </c>
      <c r="Z242" s="12">
        <v>0</v>
      </c>
      <c r="AA242" s="12">
        <v>0</v>
      </c>
      <c r="AB242" s="12">
        <v>0</v>
      </c>
      <c r="AC242" s="12">
        <v>0</v>
      </c>
      <c r="AD242" s="12">
        <v>0</v>
      </c>
      <c r="AE242" s="12">
        <v>0</v>
      </c>
      <c r="AF242" s="12">
        <v>0</v>
      </c>
      <c r="AG242" s="12">
        <v>0</v>
      </c>
      <c r="AH242" s="12">
        <v>0</v>
      </c>
      <c r="AI242" s="12">
        <v>0</v>
      </c>
      <c r="AJ242" s="12">
        <v>0</v>
      </c>
      <c r="AK242" s="12">
        <v>0</v>
      </c>
      <c r="AL242" s="12">
        <v>0</v>
      </c>
      <c r="AM242" s="12">
        <v>0</v>
      </c>
      <c r="AN242" s="12">
        <v>0</v>
      </c>
      <c r="AO242" s="12">
        <v>0</v>
      </c>
      <c r="AP242" s="12">
        <v>0</v>
      </c>
      <c r="AQ242" s="12">
        <v>0</v>
      </c>
      <c r="AR242" s="12">
        <v>0</v>
      </c>
      <c r="AS242" s="12">
        <v>0</v>
      </c>
      <c r="AT242" s="12">
        <v>0</v>
      </c>
      <c r="AU242" s="12">
        <v>0</v>
      </c>
      <c r="AV242" s="12">
        <v>0</v>
      </c>
      <c r="AW242" s="12">
        <v>0</v>
      </c>
      <c r="AX242" s="12">
        <v>0</v>
      </c>
      <c r="AY242" s="12">
        <v>0</v>
      </c>
      <c r="AZ242" s="12">
        <v>0</v>
      </c>
      <c r="BA242" s="12">
        <v>0</v>
      </c>
    </row>
    <row r="243" spans="1:53" x14ac:dyDescent="0.3">
      <c r="A243" s="7">
        <f t="shared" si="57"/>
        <v>0</v>
      </c>
      <c r="B243" s="7">
        <f t="shared" si="58"/>
        <v>0</v>
      </c>
      <c r="C243" s="7">
        <f t="shared" si="59"/>
        <v>0</v>
      </c>
      <c r="D243" s="5"/>
      <c r="E243" s="5" t="str">
        <f t="shared" si="68"/>
        <v>0402-001998</v>
      </c>
      <c r="F243" s="5"/>
      <c r="G243" s="5"/>
      <c r="H243" s="11" t="s">
        <v>49</v>
      </c>
      <c r="I243" s="11"/>
      <c r="J243" s="12">
        <v>0</v>
      </c>
      <c r="K243" s="11" t="s">
        <v>919</v>
      </c>
      <c r="L243" s="12">
        <v>0</v>
      </c>
      <c r="M243" s="12">
        <v>0</v>
      </c>
      <c r="N243" s="12">
        <v>0</v>
      </c>
      <c r="O243" s="12">
        <v>0</v>
      </c>
      <c r="P243" s="12">
        <v>0</v>
      </c>
      <c r="Q243" s="12">
        <v>0</v>
      </c>
      <c r="R243" s="12">
        <v>0</v>
      </c>
      <c r="S243" s="12">
        <v>0</v>
      </c>
      <c r="T243" s="12">
        <v>0</v>
      </c>
      <c r="U243" s="12">
        <v>0</v>
      </c>
      <c r="V243" s="12">
        <v>0</v>
      </c>
      <c r="W243" s="12">
        <v>0</v>
      </c>
      <c r="X243" s="12">
        <v>0</v>
      </c>
      <c r="Y243" s="12">
        <v>0</v>
      </c>
      <c r="Z243" s="12">
        <v>0</v>
      </c>
      <c r="AA243" s="12">
        <v>0</v>
      </c>
      <c r="AB243" s="12">
        <v>0</v>
      </c>
      <c r="AC243" s="12">
        <v>0</v>
      </c>
      <c r="AD243" s="12">
        <v>0</v>
      </c>
      <c r="AE243" s="12">
        <v>0</v>
      </c>
      <c r="AF243" s="12">
        <v>0</v>
      </c>
      <c r="AG243" s="12">
        <v>0</v>
      </c>
      <c r="AH243" s="12">
        <v>0</v>
      </c>
      <c r="AI243" s="12">
        <v>0</v>
      </c>
      <c r="AJ243" s="12">
        <v>0</v>
      </c>
      <c r="AK243" s="12">
        <v>0</v>
      </c>
      <c r="AL243" s="12">
        <v>0</v>
      </c>
      <c r="AM243" s="12">
        <v>0</v>
      </c>
      <c r="AN243" s="12">
        <v>0</v>
      </c>
      <c r="AO243" s="12">
        <v>0</v>
      </c>
      <c r="AP243" s="12">
        <v>0</v>
      </c>
      <c r="AQ243" s="12">
        <v>0</v>
      </c>
      <c r="AR243" s="12">
        <v>0</v>
      </c>
      <c r="AS243" s="12">
        <v>0</v>
      </c>
      <c r="AT243" s="12">
        <v>0</v>
      </c>
      <c r="AU243" s="12">
        <v>0</v>
      </c>
      <c r="AV243" s="12">
        <v>0</v>
      </c>
      <c r="AW243" s="12">
        <v>0</v>
      </c>
      <c r="AX243" s="12">
        <v>0</v>
      </c>
      <c r="AY243" s="12">
        <v>0</v>
      </c>
      <c r="AZ243" s="12">
        <v>0</v>
      </c>
      <c r="BA243" s="12">
        <v>0</v>
      </c>
    </row>
    <row r="244" spans="1:53" x14ac:dyDescent="0.3">
      <c r="A244" s="7">
        <f t="shared" si="57"/>
        <v>182945</v>
      </c>
      <c r="B244" s="7">
        <f t="shared" si="58"/>
        <v>182945</v>
      </c>
      <c r="C244" s="7">
        <f t="shared" si="59"/>
        <v>182945</v>
      </c>
      <c r="D244" s="5"/>
      <c r="E244" s="5" t="str">
        <f t="shared" si="68"/>
        <v>0402-001998</v>
      </c>
      <c r="F244" s="5"/>
      <c r="G244" s="6"/>
      <c r="H244" s="11" t="s">
        <v>920</v>
      </c>
      <c r="I244" s="11"/>
      <c r="J244" s="12">
        <v>0</v>
      </c>
      <c r="K244" s="11" t="s">
        <v>921</v>
      </c>
      <c r="L244" s="12">
        <v>0</v>
      </c>
      <c r="M244" s="12">
        <v>26135</v>
      </c>
      <c r="N244" s="12">
        <v>26135</v>
      </c>
      <c r="O244" s="12">
        <v>26135</v>
      </c>
      <c r="P244" s="12">
        <v>26135</v>
      </c>
      <c r="Q244" s="12">
        <v>26135</v>
      </c>
      <c r="R244" s="12">
        <v>26135</v>
      </c>
      <c r="S244" s="12">
        <v>26135</v>
      </c>
      <c r="T244" s="12">
        <v>26135</v>
      </c>
      <c r="U244" s="12">
        <v>26135</v>
      </c>
      <c r="V244" s="12">
        <v>26135</v>
      </c>
      <c r="W244" s="12">
        <v>26135</v>
      </c>
      <c r="X244" s="12">
        <v>26135</v>
      </c>
      <c r="Y244" s="12">
        <v>26135</v>
      </c>
      <c r="Z244" s="12">
        <v>26135</v>
      </c>
      <c r="AA244" s="12">
        <v>26135</v>
      </c>
      <c r="AB244" s="12">
        <v>26135</v>
      </c>
      <c r="AC244" s="12">
        <v>26135</v>
      </c>
      <c r="AD244" s="12">
        <v>26135</v>
      </c>
      <c r="AE244" s="12">
        <v>26135</v>
      </c>
      <c r="AF244" s="12">
        <v>26135</v>
      </c>
      <c r="AG244" s="12">
        <v>26135</v>
      </c>
      <c r="AH244" s="12">
        <v>26135</v>
      </c>
      <c r="AI244" s="12">
        <v>26135</v>
      </c>
      <c r="AJ244" s="12">
        <v>26135</v>
      </c>
      <c r="AK244" s="12">
        <v>26135</v>
      </c>
      <c r="AL244" s="12">
        <v>26135</v>
      </c>
      <c r="AM244" s="12">
        <v>26135</v>
      </c>
      <c r="AN244" s="12">
        <v>26135</v>
      </c>
      <c r="AO244" s="12">
        <v>26135</v>
      </c>
      <c r="AP244" s="12">
        <v>26135</v>
      </c>
      <c r="AQ244" s="12">
        <v>26135</v>
      </c>
      <c r="AR244" s="12">
        <v>26135</v>
      </c>
      <c r="AS244" s="12">
        <v>26135</v>
      </c>
      <c r="AT244" s="12">
        <v>26135</v>
      </c>
      <c r="AU244" s="12">
        <v>26135</v>
      </c>
      <c r="AV244" s="12">
        <v>26135</v>
      </c>
      <c r="AW244" s="12">
        <v>0</v>
      </c>
      <c r="AX244" s="12">
        <v>0</v>
      </c>
      <c r="AY244" s="12">
        <v>0</v>
      </c>
      <c r="AZ244" s="12">
        <v>0</v>
      </c>
      <c r="BA244" s="12">
        <v>0</v>
      </c>
    </row>
    <row r="245" spans="1:53" x14ac:dyDescent="0.3">
      <c r="A245" s="7">
        <f t="shared" si="57"/>
        <v>0</v>
      </c>
      <c r="B245" s="7">
        <f t="shared" si="58"/>
        <v>0</v>
      </c>
      <c r="C245" s="7">
        <f t="shared" si="59"/>
        <v>0</v>
      </c>
      <c r="D245" s="13"/>
      <c r="E245" s="13" t="s">
        <v>840</v>
      </c>
      <c r="F245" s="5"/>
      <c r="G245" s="13" t="s">
        <v>1018</v>
      </c>
      <c r="H245" s="13" t="s">
        <v>49</v>
      </c>
      <c r="I245" s="11" t="s">
        <v>49</v>
      </c>
      <c r="J245" s="12">
        <v>0</v>
      </c>
      <c r="K245" s="11" t="s">
        <v>916</v>
      </c>
      <c r="L245" s="12">
        <v>0</v>
      </c>
      <c r="M245" s="12">
        <v>0</v>
      </c>
      <c r="N245" s="12">
        <v>0</v>
      </c>
      <c r="O245" s="12">
        <v>0</v>
      </c>
      <c r="P245" s="12">
        <v>0</v>
      </c>
      <c r="Q245" s="12">
        <v>0</v>
      </c>
      <c r="R245" s="12">
        <v>0</v>
      </c>
      <c r="S245" s="12">
        <v>0</v>
      </c>
      <c r="T245" s="12">
        <v>0</v>
      </c>
      <c r="U245" s="12">
        <v>0</v>
      </c>
      <c r="V245" s="12">
        <v>0</v>
      </c>
      <c r="W245" s="12">
        <v>0</v>
      </c>
      <c r="X245" s="12">
        <v>0</v>
      </c>
      <c r="Y245" s="12">
        <v>0</v>
      </c>
      <c r="Z245" s="12">
        <v>0</v>
      </c>
      <c r="AA245" s="12">
        <v>0</v>
      </c>
      <c r="AB245" s="12">
        <v>0</v>
      </c>
      <c r="AC245" s="12">
        <v>0</v>
      </c>
      <c r="AD245" s="12">
        <v>0</v>
      </c>
      <c r="AE245" s="12">
        <v>0</v>
      </c>
      <c r="AF245" s="12">
        <v>0</v>
      </c>
      <c r="AG245" s="12">
        <v>0</v>
      </c>
      <c r="AH245" s="12">
        <v>0</v>
      </c>
      <c r="AI245" s="12">
        <v>0</v>
      </c>
      <c r="AJ245" s="12">
        <v>0</v>
      </c>
      <c r="AK245" s="12">
        <v>0</v>
      </c>
      <c r="AL245" s="12">
        <v>0</v>
      </c>
      <c r="AM245" s="12">
        <v>0</v>
      </c>
      <c r="AN245" s="12">
        <v>0</v>
      </c>
      <c r="AO245" s="12">
        <v>0</v>
      </c>
      <c r="AP245" s="12">
        <v>0</v>
      </c>
      <c r="AQ245" s="12">
        <v>0</v>
      </c>
      <c r="AR245" s="12">
        <v>0</v>
      </c>
      <c r="AS245" s="12">
        <v>0</v>
      </c>
      <c r="AT245" s="12">
        <v>0</v>
      </c>
      <c r="AU245" s="12">
        <v>0</v>
      </c>
      <c r="AV245" s="12">
        <v>0</v>
      </c>
      <c r="AW245" s="12">
        <v>0</v>
      </c>
      <c r="AX245" s="12">
        <v>0</v>
      </c>
      <c r="AY245" s="12">
        <v>0</v>
      </c>
      <c r="AZ245" s="12">
        <v>0</v>
      </c>
      <c r="BA245" s="12">
        <v>0</v>
      </c>
    </row>
    <row r="246" spans="1:53" x14ac:dyDescent="0.3">
      <c r="A246" s="7">
        <f t="shared" si="57"/>
        <v>209993</v>
      </c>
      <c r="B246" s="7">
        <f t="shared" si="58"/>
        <v>209993</v>
      </c>
      <c r="C246" s="7">
        <f t="shared" si="59"/>
        <v>209993</v>
      </c>
      <c r="D246" s="5"/>
      <c r="E246" s="5" t="str">
        <f t="shared" ref="E246:E249" si="69">E245</f>
        <v>0402-002025</v>
      </c>
      <c r="F246" s="5"/>
      <c r="G246" s="5"/>
      <c r="H246" s="6"/>
      <c r="I246" s="11"/>
      <c r="J246" s="12">
        <v>0</v>
      </c>
      <c r="K246" s="11" t="s">
        <v>917</v>
      </c>
      <c r="L246" s="12">
        <v>29999</v>
      </c>
      <c r="M246" s="12">
        <v>29999</v>
      </c>
      <c r="N246" s="12">
        <v>29999</v>
      </c>
      <c r="O246" s="12">
        <v>29999</v>
      </c>
      <c r="P246" s="12">
        <v>29999</v>
      </c>
      <c r="Q246" s="12">
        <v>29999</v>
      </c>
      <c r="R246" s="12">
        <v>29999</v>
      </c>
      <c r="S246" s="12">
        <v>29999</v>
      </c>
      <c r="T246" s="12">
        <v>29999</v>
      </c>
      <c r="U246" s="12">
        <v>29999</v>
      </c>
      <c r="V246" s="12">
        <v>29999</v>
      </c>
      <c r="W246" s="12">
        <v>29999</v>
      </c>
      <c r="X246" s="12">
        <v>29999</v>
      </c>
      <c r="Y246" s="12">
        <v>29999</v>
      </c>
      <c r="Z246" s="12">
        <v>29999</v>
      </c>
      <c r="AA246" s="12">
        <v>29999</v>
      </c>
      <c r="AB246" s="12">
        <v>29999</v>
      </c>
      <c r="AC246" s="12">
        <v>29999</v>
      </c>
      <c r="AD246" s="12">
        <v>29999</v>
      </c>
      <c r="AE246" s="12">
        <v>29999</v>
      </c>
      <c r="AF246" s="12">
        <v>29999</v>
      </c>
      <c r="AG246" s="12">
        <v>29999</v>
      </c>
      <c r="AH246" s="12">
        <v>29999</v>
      </c>
      <c r="AI246" s="12">
        <v>29999</v>
      </c>
      <c r="AJ246" s="12">
        <v>29999</v>
      </c>
      <c r="AK246" s="12">
        <v>29999</v>
      </c>
      <c r="AL246" s="12">
        <v>29999</v>
      </c>
      <c r="AM246" s="12">
        <v>29999</v>
      </c>
      <c r="AN246" s="12">
        <v>29999</v>
      </c>
      <c r="AO246" s="12">
        <v>29999</v>
      </c>
      <c r="AP246" s="12">
        <v>29999</v>
      </c>
      <c r="AQ246" s="12">
        <v>29999</v>
      </c>
      <c r="AR246" s="12">
        <v>29999</v>
      </c>
      <c r="AS246" s="12">
        <v>29999</v>
      </c>
      <c r="AT246" s="12">
        <v>29999</v>
      </c>
      <c r="AU246" s="12">
        <v>29999</v>
      </c>
      <c r="AV246" s="12">
        <v>29999</v>
      </c>
      <c r="AW246" s="12">
        <v>0</v>
      </c>
      <c r="AX246" s="12">
        <v>0</v>
      </c>
      <c r="AY246" s="12">
        <v>0</v>
      </c>
      <c r="AZ246" s="12">
        <v>0</v>
      </c>
      <c r="BA246" s="12">
        <v>0</v>
      </c>
    </row>
    <row r="247" spans="1:53" x14ac:dyDescent="0.3">
      <c r="A247" s="7">
        <f t="shared" si="57"/>
        <v>0</v>
      </c>
      <c r="B247" s="7">
        <f t="shared" si="58"/>
        <v>0</v>
      </c>
      <c r="C247" s="7">
        <f t="shared" si="59"/>
        <v>0</v>
      </c>
      <c r="D247" s="5"/>
      <c r="E247" s="5" t="str">
        <f t="shared" si="69"/>
        <v>0402-002025</v>
      </c>
      <c r="F247" s="5"/>
      <c r="G247" s="5"/>
      <c r="H247" s="11" t="s">
        <v>762</v>
      </c>
      <c r="I247" s="11" t="s">
        <v>763</v>
      </c>
      <c r="J247" s="12"/>
      <c r="K247" s="11" t="s">
        <v>918</v>
      </c>
      <c r="L247" s="12">
        <v>0</v>
      </c>
      <c r="M247" s="12">
        <v>0</v>
      </c>
      <c r="N247" s="12">
        <v>0</v>
      </c>
      <c r="O247" s="12">
        <v>0</v>
      </c>
      <c r="P247" s="12">
        <v>0</v>
      </c>
      <c r="Q247" s="12">
        <v>0</v>
      </c>
      <c r="R247" s="12">
        <v>0</v>
      </c>
      <c r="S247" s="12">
        <v>0</v>
      </c>
      <c r="T247" s="12">
        <v>0</v>
      </c>
      <c r="U247" s="12">
        <v>0</v>
      </c>
      <c r="V247" s="12">
        <v>0</v>
      </c>
      <c r="W247" s="12">
        <v>0</v>
      </c>
      <c r="X247" s="12">
        <v>0</v>
      </c>
      <c r="Y247" s="12">
        <v>0</v>
      </c>
      <c r="Z247" s="12">
        <v>0</v>
      </c>
      <c r="AA247" s="12">
        <v>0</v>
      </c>
      <c r="AB247" s="12">
        <v>0</v>
      </c>
      <c r="AC247" s="12">
        <v>0</v>
      </c>
      <c r="AD247" s="12">
        <v>0</v>
      </c>
      <c r="AE247" s="12">
        <v>0</v>
      </c>
      <c r="AF247" s="12">
        <v>0</v>
      </c>
      <c r="AG247" s="12">
        <v>0</v>
      </c>
      <c r="AH247" s="12">
        <v>0</v>
      </c>
      <c r="AI247" s="12">
        <v>0</v>
      </c>
      <c r="AJ247" s="12">
        <v>0</v>
      </c>
      <c r="AK247" s="12">
        <v>0</v>
      </c>
      <c r="AL247" s="12">
        <v>0</v>
      </c>
      <c r="AM247" s="12">
        <v>0</v>
      </c>
      <c r="AN247" s="12">
        <v>0</v>
      </c>
      <c r="AO247" s="12">
        <v>0</v>
      </c>
      <c r="AP247" s="12">
        <v>0</v>
      </c>
      <c r="AQ247" s="12">
        <v>0</v>
      </c>
      <c r="AR247" s="12">
        <v>0</v>
      </c>
      <c r="AS247" s="12">
        <v>0</v>
      </c>
      <c r="AT247" s="12">
        <v>0</v>
      </c>
      <c r="AU247" s="12">
        <v>0</v>
      </c>
      <c r="AV247" s="12">
        <v>0</v>
      </c>
      <c r="AW247" s="12">
        <v>0</v>
      </c>
      <c r="AX247" s="12">
        <v>0</v>
      </c>
      <c r="AY247" s="12">
        <v>0</v>
      </c>
      <c r="AZ247" s="12">
        <v>0</v>
      </c>
      <c r="BA247" s="12">
        <v>0</v>
      </c>
    </row>
    <row r="248" spans="1:53" x14ac:dyDescent="0.3">
      <c r="A248" s="7">
        <f t="shared" si="57"/>
        <v>0</v>
      </c>
      <c r="B248" s="7">
        <f t="shared" si="58"/>
        <v>0</v>
      </c>
      <c r="C248" s="7">
        <f t="shared" si="59"/>
        <v>0</v>
      </c>
      <c r="D248" s="5"/>
      <c r="E248" s="5" t="str">
        <f t="shared" si="69"/>
        <v>0402-002025</v>
      </c>
      <c r="F248" s="5"/>
      <c r="G248" s="5"/>
      <c r="H248" s="11" t="s">
        <v>49</v>
      </c>
      <c r="I248" s="11"/>
      <c r="J248" s="12">
        <v>0</v>
      </c>
      <c r="K248" s="11" t="s">
        <v>919</v>
      </c>
      <c r="L248" s="12">
        <v>0</v>
      </c>
      <c r="M248" s="12">
        <v>0</v>
      </c>
      <c r="N248" s="12">
        <v>0</v>
      </c>
      <c r="O248" s="12">
        <v>0</v>
      </c>
      <c r="P248" s="12">
        <v>0</v>
      </c>
      <c r="Q248" s="12">
        <v>0</v>
      </c>
      <c r="R248" s="12">
        <v>0</v>
      </c>
      <c r="S248" s="12">
        <v>0</v>
      </c>
      <c r="T248" s="12">
        <v>0</v>
      </c>
      <c r="U248" s="12">
        <v>0</v>
      </c>
      <c r="V248" s="12">
        <v>0</v>
      </c>
      <c r="W248" s="12">
        <v>0</v>
      </c>
      <c r="X248" s="12">
        <v>0</v>
      </c>
      <c r="Y248" s="12">
        <v>0</v>
      </c>
      <c r="Z248" s="12">
        <v>0</v>
      </c>
      <c r="AA248" s="12">
        <v>0</v>
      </c>
      <c r="AB248" s="12">
        <v>0</v>
      </c>
      <c r="AC248" s="12">
        <v>0</v>
      </c>
      <c r="AD248" s="12">
        <v>0</v>
      </c>
      <c r="AE248" s="12">
        <v>0</v>
      </c>
      <c r="AF248" s="12">
        <v>0</v>
      </c>
      <c r="AG248" s="12">
        <v>0</v>
      </c>
      <c r="AH248" s="12">
        <v>0</v>
      </c>
      <c r="AI248" s="12">
        <v>0</v>
      </c>
      <c r="AJ248" s="12">
        <v>0</v>
      </c>
      <c r="AK248" s="12">
        <v>0</v>
      </c>
      <c r="AL248" s="12">
        <v>0</v>
      </c>
      <c r="AM248" s="12">
        <v>0</v>
      </c>
      <c r="AN248" s="12">
        <v>0</v>
      </c>
      <c r="AO248" s="12">
        <v>0</v>
      </c>
      <c r="AP248" s="12">
        <v>0</v>
      </c>
      <c r="AQ248" s="12">
        <v>0</v>
      </c>
      <c r="AR248" s="12">
        <v>0</v>
      </c>
      <c r="AS248" s="12">
        <v>0</v>
      </c>
      <c r="AT248" s="12">
        <v>0</v>
      </c>
      <c r="AU248" s="12">
        <v>0</v>
      </c>
      <c r="AV248" s="12">
        <v>0</v>
      </c>
      <c r="AW248" s="12">
        <v>0</v>
      </c>
      <c r="AX248" s="12">
        <v>0</v>
      </c>
      <c r="AY248" s="12">
        <v>0</v>
      </c>
      <c r="AZ248" s="12">
        <v>0</v>
      </c>
      <c r="BA248" s="12">
        <v>0</v>
      </c>
    </row>
    <row r="249" spans="1:53" x14ac:dyDescent="0.3">
      <c r="A249" s="7">
        <f t="shared" si="57"/>
        <v>209993</v>
      </c>
      <c r="B249" s="7">
        <f t="shared" si="58"/>
        <v>209993</v>
      </c>
      <c r="C249" s="7">
        <f t="shared" si="59"/>
        <v>209993</v>
      </c>
      <c r="D249" s="5"/>
      <c r="E249" s="5" t="str">
        <f t="shared" si="69"/>
        <v>0402-002025</v>
      </c>
      <c r="F249" s="5"/>
      <c r="G249" s="6"/>
      <c r="H249" s="11" t="s">
        <v>920</v>
      </c>
      <c r="I249" s="11"/>
      <c r="J249" s="12">
        <v>0</v>
      </c>
      <c r="K249" s="11" t="s">
        <v>921</v>
      </c>
      <c r="L249" s="12">
        <v>0</v>
      </c>
      <c r="M249" s="12">
        <v>29999</v>
      </c>
      <c r="N249" s="12">
        <v>29999</v>
      </c>
      <c r="O249" s="12">
        <v>29999</v>
      </c>
      <c r="P249" s="12">
        <v>29999</v>
      </c>
      <c r="Q249" s="12">
        <v>29999</v>
      </c>
      <c r="R249" s="12">
        <v>29999</v>
      </c>
      <c r="S249" s="12">
        <v>29999</v>
      </c>
      <c r="T249" s="12">
        <v>29999</v>
      </c>
      <c r="U249" s="12">
        <v>29999</v>
      </c>
      <c r="V249" s="12">
        <v>29999</v>
      </c>
      <c r="W249" s="12">
        <v>29999</v>
      </c>
      <c r="X249" s="12">
        <v>29999</v>
      </c>
      <c r="Y249" s="12">
        <v>29999</v>
      </c>
      <c r="Z249" s="12">
        <v>29999</v>
      </c>
      <c r="AA249" s="12">
        <v>29999</v>
      </c>
      <c r="AB249" s="12">
        <v>29999</v>
      </c>
      <c r="AC249" s="12">
        <v>29999</v>
      </c>
      <c r="AD249" s="12">
        <v>29999</v>
      </c>
      <c r="AE249" s="12">
        <v>29999</v>
      </c>
      <c r="AF249" s="12">
        <v>29999</v>
      </c>
      <c r="AG249" s="12">
        <v>29999</v>
      </c>
      <c r="AH249" s="12">
        <v>29999</v>
      </c>
      <c r="AI249" s="12">
        <v>29999</v>
      </c>
      <c r="AJ249" s="12">
        <v>29999</v>
      </c>
      <c r="AK249" s="12">
        <v>29999</v>
      </c>
      <c r="AL249" s="12">
        <v>29999</v>
      </c>
      <c r="AM249" s="12">
        <v>29999</v>
      </c>
      <c r="AN249" s="12">
        <v>29999</v>
      </c>
      <c r="AO249" s="12">
        <v>29999</v>
      </c>
      <c r="AP249" s="12">
        <v>29999</v>
      </c>
      <c r="AQ249" s="12">
        <v>29999</v>
      </c>
      <c r="AR249" s="12">
        <v>29999</v>
      </c>
      <c r="AS249" s="12">
        <v>29999</v>
      </c>
      <c r="AT249" s="12">
        <v>29999</v>
      </c>
      <c r="AU249" s="12">
        <v>29999</v>
      </c>
      <c r="AV249" s="12">
        <v>29999</v>
      </c>
      <c r="AW249" s="12">
        <v>0</v>
      </c>
      <c r="AX249" s="12">
        <v>0</v>
      </c>
      <c r="AY249" s="12">
        <v>0</v>
      </c>
      <c r="AZ249" s="12">
        <v>0</v>
      </c>
      <c r="BA249" s="12">
        <v>0</v>
      </c>
    </row>
    <row r="250" spans="1:53" x14ac:dyDescent="0.3">
      <c r="A250" s="7">
        <f t="shared" si="57"/>
        <v>660</v>
      </c>
      <c r="B250" s="7">
        <f t="shared" si="58"/>
        <v>3636</v>
      </c>
      <c r="C250" s="7">
        <f t="shared" si="59"/>
        <v>3638</v>
      </c>
      <c r="D250" s="13"/>
      <c r="E250" s="13" t="s">
        <v>860</v>
      </c>
      <c r="F250" s="5"/>
      <c r="G250" s="13" t="s">
        <v>947</v>
      </c>
      <c r="H250" s="13" t="s">
        <v>49</v>
      </c>
      <c r="I250" s="11" t="s">
        <v>49</v>
      </c>
      <c r="J250" s="12">
        <v>0</v>
      </c>
      <c r="K250" s="11" t="s">
        <v>916</v>
      </c>
      <c r="L250" s="12">
        <v>0</v>
      </c>
      <c r="M250" s="12">
        <v>22049</v>
      </c>
      <c r="N250" s="12">
        <v>400</v>
      </c>
      <c r="O250" s="12">
        <v>0</v>
      </c>
      <c r="P250" s="12">
        <v>0</v>
      </c>
      <c r="Q250" s="12">
        <v>0</v>
      </c>
      <c r="R250" s="12">
        <v>0</v>
      </c>
      <c r="S250" s="12">
        <v>0</v>
      </c>
      <c r="T250" s="12">
        <v>260</v>
      </c>
      <c r="U250" s="12">
        <v>0</v>
      </c>
      <c r="V250" s="12">
        <v>0</v>
      </c>
      <c r="W250" s="12">
        <v>0</v>
      </c>
      <c r="X250" s="12">
        <v>0</v>
      </c>
      <c r="Y250" s="12">
        <v>0</v>
      </c>
      <c r="Z250" s="12">
        <v>0</v>
      </c>
      <c r="AA250" s="12">
        <v>3636</v>
      </c>
      <c r="AB250" s="12">
        <v>3638</v>
      </c>
      <c r="AC250" s="12">
        <v>0</v>
      </c>
      <c r="AD250" s="12">
        <v>0</v>
      </c>
      <c r="AE250" s="12">
        <v>0</v>
      </c>
      <c r="AF250" s="12">
        <v>0</v>
      </c>
      <c r="AG250" s="12">
        <v>0</v>
      </c>
      <c r="AH250" s="12">
        <v>0</v>
      </c>
      <c r="AI250" s="12">
        <v>2500</v>
      </c>
      <c r="AJ250" s="12">
        <v>0</v>
      </c>
      <c r="AK250" s="12">
        <v>0</v>
      </c>
      <c r="AL250" s="12">
        <v>0</v>
      </c>
      <c r="AM250" s="12">
        <v>1940</v>
      </c>
      <c r="AN250" s="12">
        <v>3800</v>
      </c>
      <c r="AO250" s="12">
        <v>0</v>
      </c>
      <c r="AP250" s="12">
        <v>0</v>
      </c>
      <c r="AQ250" s="12">
        <v>2916</v>
      </c>
      <c r="AR250" s="12">
        <v>959</v>
      </c>
      <c r="AS250" s="12">
        <v>0</v>
      </c>
      <c r="AT250" s="12">
        <v>2000</v>
      </c>
      <c r="AU250" s="12">
        <v>0</v>
      </c>
      <c r="AV250" s="12">
        <v>0</v>
      </c>
      <c r="AW250" s="12">
        <v>660</v>
      </c>
      <c r="AX250" s="12">
        <v>9774</v>
      </c>
      <c r="AY250" s="12">
        <v>5740</v>
      </c>
      <c r="AZ250" s="12">
        <v>5875</v>
      </c>
      <c r="BA250" s="12">
        <v>0</v>
      </c>
    </row>
    <row r="251" spans="1:53" x14ac:dyDescent="0.3">
      <c r="A251" s="7">
        <f t="shared" si="57"/>
        <v>145032</v>
      </c>
      <c r="B251" s="7">
        <f t="shared" si="58"/>
        <v>139836</v>
      </c>
      <c r="C251" s="7">
        <f t="shared" si="59"/>
        <v>92554</v>
      </c>
      <c r="D251" s="5"/>
      <c r="E251" s="5" t="str">
        <f t="shared" ref="E251:E254" si="70">E250</f>
        <v>0402-002031</v>
      </c>
      <c r="F251" s="5"/>
      <c r="G251" s="5"/>
      <c r="H251" s="6"/>
      <c r="I251" s="11"/>
      <c r="J251" s="12">
        <v>0</v>
      </c>
      <c r="K251" s="11" t="s">
        <v>917</v>
      </c>
      <c r="L251" s="12">
        <v>21156</v>
      </c>
      <c r="M251" s="12">
        <v>-893</v>
      </c>
      <c r="N251" s="12">
        <v>20756</v>
      </c>
      <c r="O251" s="12">
        <v>20756</v>
      </c>
      <c r="P251" s="12">
        <v>20756</v>
      </c>
      <c r="Q251" s="12">
        <v>20756</v>
      </c>
      <c r="R251" s="12">
        <v>20756</v>
      </c>
      <c r="S251" s="12">
        <v>20756</v>
      </c>
      <c r="T251" s="12">
        <v>20496</v>
      </c>
      <c r="U251" s="12">
        <v>20496</v>
      </c>
      <c r="V251" s="12">
        <v>20496</v>
      </c>
      <c r="W251" s="12">
        <v>20496</v>
      </c>
      <c r="X251" s="12">
        <v>20496</v>
      </c>
      <c r="Y251" s="12">
        <v>20496</v>
      </c>
      <c r="Z251" s="12">
        <v>20496</v>
      </c>
      <c r="AA251" s="12">
        <v>16860</v>
      </c>
      <c r="AB251" s="12">
        <v>13222</v>
      </c>
      <c r="AC251" s="12">
        <v>13222</v>
      </c>
      <c r="AD251" s="12">
        <v>13222</v>
      </c>
      <c r="AE251" s="12">
        <v>13222</v>
      </c>
      <c r="AF251" s="12">
        <v>13222</v>
      </c>
      <c r="AG251" s="12">
        <v>13222</v>
      </c>
      <c r="AH251" s="12">
        <v>13222</v>
      </c>
      <c r="AI251" s="12">
        <v>10722</v>
      </c>
      <c r="AJ251" s="12">
        <v>10722</v>
      </c>
      <c r="AK251" s="12">
        <v>10722</v>
      </c>
      <c r="AL251" s="12">
        <v>10722</v>
      </c>
      <c r="AM251" s="12">
        <v>8782</v>
      </c>
      <c r="AN251" s="12">
        <v>4982</v>
      </c>
      <c r="AO251" s="12">
        <v>4982</v>
      </c>
      <c r="AP251" s="12">
        <v>4982</v>
      </c>
      <c r="AQ251" s="12">
        <v>2066</v>
      </c>
      <c r="AR251" s="12">
        <v>1107</v>
      </c>
      <c r="AS251" s="12">
        <v>1107</v>
      </c>
      <c r="AT251" s="12">
        <v>-893</v>
      </c>
      <c r="AU251" s="12">
        <v>-893</v>
      </c>
      <c r="AV251" s="12">
        <v>-893</v>
      </c>
      <c r="AW251" s="12">
        <v>0</v>
      </c>
      <c r="AX251" s="12">
        <v>0</v>
      </c>
      <c r="AY251" s="12">
        <v>0</v>
      </c>
      <c r="AZ251" s="12">
        <v>0</v>
      </c>
      <c r="BA251" s="12">
        <v>0</v>
      </c>
    </row>
    <row r="252" spans="1:53" x14ac:dyDescent="0.3">
      <c r="A252" s="7">
        <f t="shared" si="57"/>
        <v>0</v>
      </c>
      <c r="B252" s="7">
        <f t="shared" si="58"/>
        <v>0</v>
      </c>
      <c r="C252" s="7">
        <f t="shared" si="59"/>
        <v>0</v>
      </c>
      <c r="D252" s="5"/>
      <c r="E252" s="5" t="str">
        <f t="shared" si="70"/>
        <v>0402-002031</v>
      </c>
      <c r="F252" s="5"/>
      <c r="G252" s="5"/>
      <c r="H252" s="11" t="s">
        <v>762</v>
      </c>
      <c r="I252" s="11" t="s">
        <v>763</v>
      </c>
      <c r="J252" s="12">
        <v>30000</v>
      </c>
      <c r="K252" s="11" t="s">
        <v>918</v>
      </c>
      <c r="L252" s="12">
        <v>0</v>
      </c>
      <c r="M252" s="12">
        <v>0</v>
      </c>
      <c r="N252" s="12">
        <v>0</v>
      </c>
      <c r="O252" s="12">
        <v>0</v>
      </c>
      <c r="P252" s="12">
        <v>0</v>
      </c>
      <c r="Q252" s="12">
        <v>0</v>
      </c>
      <c r="R252" s="12">
        <v>0</v>
      </c>
      <c r="S252" s="12">
        <v>0</v>
      </c>
      <c r="T252" s="12">
        <v>0</v>
      </c>
      <c r="U252" s="12">
        <v>0</v>
      </c>
      <c r="V252" s="12">
        <v>0</v>
      </c>
      <c r="W252" s="12">
        <v>0</v>
      </c>
      <c r="X252" s="12">
        <v>0</v>
      </c>
      <c r="Y252" s="12">
        <v>0</v>
      </c>
      <c r="Z252" s="12">
        <v>0</v>
      </c>
      <c r="AA252" s="12">
        <v>0</v>
      </c>
      <c r="AB252" s="12">
        <v>0</v>
      </c>
      <c r="AC252" s="12">
        <v>0</v>
      </c>
      <c r="AD252" s="12">
        <v>0</v>
      </c>
      <c r="AE252" s="12">
        <v>0</v>
      </c>
      <c r="AF252" s="12">
        <v>0</v>
      </c>
      <c r="AG252" s="12">
        <v>0</v>
      </c>
      <c r="AH252" s="12">
        <v>0</v>
      </c>
      <c r="AI252" s="12">
        <v>0</v>
      </c>
      <c r="AJ252" s="12">
        <v>0</v>
      </c>
      <c r="AK252" s="12">
        <v>0</v>
      </c>
      <c r="AL252" s="12">
        <v>0</v>
      </c>
      <c r="AM252" s="12">
        <v>0</v>
      </c>
      <c r="AN252" s="12">
        <v>0</v>
      </c>
      <c r="AO252" s="12">
        <v>0</v>
      </c>
      <c r="AP252" s="12">
        <v>0</v>
      </c>
      <c r="AQ252" s="12">
        <v>0</v>
      </c>
      <c r="AR252" s="12">
        <v>0</v>
      </c>
      <c r="AS252" s="12">
        <v>0</v>
      </c>
      <c r="AT252" s="12">
        <v>0</v>
      </c>
      <c r="AU252" s="12">
        <v>0</v>
      </c>
      <c r="AV252" s="12">
        <v>0</v>
      </c>
      <c r="AW252" s="12">
        <v>0</v>
      </c>
      <c r="AX252" s="12">
        <v>0</v>
      </c>
      <c r="AY252" s="12">
        <v>0</v>
      </c>
      <c r="AZ252" s="12">
        <v>0</v>
      </c>
      <c r="BA252" s="12">
        <v>0</v>
      </c>
    </row>
    <row r="253" spans="1:53" x14ac:dyDescent="0.3">
      <c r="A253" s="7">
        <f t="shared" si="57"/>
        <v>0</v>
      </c>
      <c r="B253" s="7">
        <f t="shared" si="58"/>
        <v>0</v>
      </c>
      <c r="C253" s="7">
        <f t="shared" si="59"/>
        <v>0</v>
      </c>
      <c r="D253" s="5"/>
      <c r="E253" s="5" t="str">
        <f t="shared" si="70"/>
        <v>0402-002031</v>
      </c>
      <c r="F253" s="5"/>
      <c r="G253" s="5"/>
      <c r="H253" s="11" t="s">
        <v>49</v>
      </c>
      <c r="I253" s="11"/>
      <c r="J253" s="12">
        <v>0</v>
      </c>
      <c r="K253" s="11" t="s">
        <v>919</v>
      </c>
      <c r="L253" s="12">
        <v>0</v>
      </c>
      <c r="M253" s="12">
        <v>0</v>
      </c>
      <c r="N253" s="12">
        <v>0</v>
      </c>
      <c r="O253" s="12">
        <v>0</v>
      </c>
      <c r="P253" s="12">
        <v>0</v>
      </c>
      <c r="Q253" s="12">
        <v>0</v>
      </c>
      <c r="R253" s="12">
        <v>0</v>
      </c>
      <c r="S253" s="12">
        <v>0</v>
      </c>
      <c r="T253" s="12">
        <v>0</v>
      </c>
      <c r="U253" s="12">
        <v>0</v>
      </c>
      <c r="V253" s="12">
        <v>0</v>
      </c>
      <c r="W253" s="12">
        <v>0</v>
      </c>
      <c r="X253" s="12">
        <v>0</v>
      </c>
      <c r="Y253" s="12">
        <v>0</v>
      </c>
      <c r="Z253" s="12">
        <v>0</v>
      </c>
      <c r="AA253" s="12">
        <v>0</v>
      </c>
      <c r="AB253" s="12">
        <v>0</v>
      </c>
      <c r="AC253" s="12">
        <v>0</v>
      </c>
      <c r="AD253" s="12">
        <v>0</v>
      </c>
      <c r="AE253" s="12">
        <v>0</v>
      </c>
      <c r="AF253" s="12">
        <v>0</v>
      </c>
      <c r="AG253" s="12">
        <v>0</v>
      </c>
      <c r="AH253" s="12">
        <v>0</v>
      </c>
      <c r="AI253" s="12">
        <v>0</v>
      </c>
      <c r="AJ253" s="12">
        <v>0</v>
      </c>
      <c r="AK253" s="12">
        <v>0</v>
      </c>
      <c r="AL253" s="12">
        <v>0</v>
      </c>
      <c r="AM253" s="12">
        <v>0</v>
      </c>
      <c r="AN253" s="12">
        <v>0</v>
      </c>
      <c r="AO253" s="12">
        <v>0</v>
      </c>
      <c r="AP253" s="12">
        <v>0</v>
      </c>
      <c r="AQ253" s="12">
        <v>0</v>
      </c>
      <c r="AR253" s="12">
        <v>0</v>
      </c>
      <c r="AS253" s="12">
        <v>0</v>
      </c>
      <c r="AT253" s="12">
        <v>0</v>
      </c>
      <c r="AU253" s="12">
        <v>0</v>
      </c>
      <c r="AV253" s="12">
        <v>0</v>
      </c>
      <c r="AW253" s="12">
        <v>0</v>
      </c>
      <c r="AX253" s="12">
        <v>0</v>
      </c>
      <c r="AY253" s="12">
        <v>0</v>
      </c>
      <c r="AZ253" s="12">
        <v>0</v>
      </c>
      <c r="BA253" s="12">
        <v>0</v>
      </c>
    </row>
    <row r="254" spans="1:53" x14ac:dyDescent="0.3">
      <c r="A254" s="7">
        <f t="shared" si="57"/>
        <v>145032</v>
      </c>
      <c r="B254" s="7">
        <f t="shared" si="58"/>
        <v>139836</v>
      </c>
      <c r="C254" s="7">
        <f t="shared" si="59"/>
        <v>92554</v>
      </c>
      <c r="D254" s="5"/>
      <c r="E254" s="5" t="str">
        <f t="shared" si="70"/>
        <v>0402-002031</v>
      </c>
      <c r="F254" s="5"/>
      <c r="G254" s="6"/>
      <c r="H254" s="11" t="s">
        <v>920</v>
      </c>
      <c r="I254" s="11"/>
      <c r="J254" s="12">
        <v>0</v>
      </c>
      <c r="K254" s="11" t="s">
        <v>921</v>
      </c>
      <c r="L254" s="12">
        <v>0</v>
      </c>
      <c r="M254" s="12">
        <v>-893</v>
      </c>
      <c r="N254" s="12">
        <v>20756</v>
      </c>
      <c r="O254" s="12">
        <v>20756</v>
      </c>
      <c r="P254" s="12">
        <v>20756</v>
      </c>
      <c r="Q254" s="12">
        <v>20756</v>
      </c>
      <c r="R254" s="12">
        <v>20756</v>
      </c>
      <c r="S254" s="12">
        <v>20756</v>
      </c>
      <c r="T254" s="12">
        <v>20496</v>
      </c>
      <c r="U254" s="12">
        <v>20496</v>
      </c>
      <c r="V254" s="12">
        <v>20496</v>
      </c>
      <c r="W254" s="12">
        <v>20496</v>
      </c>
      <c r="X254" s="12">
        <v>20496</v>
      </c>
      <c r="Y254" s="12">
        <v>20496</v>
      </c>
      <c r="Z254" s="12">
        <v>20496</v>
      </c>
      <c r="AA254" s="12">
        <v>16860</v>
      </c>
      <c r="AB254" s="12">
        <v>13222</v>
      </c>
      <c r="AC254" s="12">
        <v>13222</v>
      </c>
      <c r="AD254" s="12">
        <v>13222</v>
      </c>
      <c r="AE254" s="12">
        <v>13222</v>
      </c>
      <c r="AF254" s="12">
        <v>13222</v>
      </c>
      <c r="AG254" s="12">
        <v>13222</v>
      </c>
      <c r="AH254" s="12">
        <v>13222</v>
      </c>
      <c r="AI254" s="12">
        <v>10722</v>
      </c>
      <c r="AJ254" s="12">
        <v>10722</v>
      </c>
      <c r="AK254" s="12">
        <v>10722</v>
      </c>
      <c r="AL254" s="12">
        <v>10722</v>
      </c>
      <c r="AM254" s="12">
        <v>8782</v>
      </c>
      <c r="AN254" s="12">
        <v>4982</v>
      </c>
      <c r="AO254" s="12">
        <v>4982</v>
      </c>
      <c r="AP254" s="12">
        <v>4982</v>
      </c>
      <c r="AQ254" s="12">
        <v>2066</v>
      </c>
      <c r="AR254" s="12">
        <v>1107</v>
      </c>
      <c r="AS254" s="12">
        <v>1107</v>
      </c>
      <c r="AT254" s="12">
        <v>-893</v>
      </c>
      <c r="AU254" s="12">
        <v>-893</v>
      </c>
      <c r="AV254" s="12">
        <v>-893</v>
      </c>
      <c r="AW254" s="12">
        <v>0</v>
      </c>
      <c r="AX254" s="12">
        <v>0</v>
      </c>
      <c r="AY254" s="12">
        <v>0</v>
      </c>
      <c r="AZ254" s="12">
        <v>0</v>
      </c>
      <c r="BA254" s="12">
        <v>0</v>
      </c>
    </row>
    <row r="255" spans="1:53" x14ac:dyDescent="0.3">
      <c r="A255" s="7">
        <f t="shared" si="57"/>
        <v>392</v>
      </c>
      <c r="B255" s="7">
        <f t="shared" si="58"/>
        <v>0</v>
      </c>
      <c r="C255" s="7">
        <f t="shared" si="59"/>
        <v>340</v>
      </c>
      <c r="D255" s="13"/>
      <c r="E255" s="13" t="s">
        <v>850</v>
      </c>
      <c r="F255" s="5"/>
      <c r="G255" s="13" t="s">
        <v>1019</v>
      </c>
      <c r="H255" s="13" t="s">
        <v>49</v>
      </c>
      <c r="I255" s="11" t="s">
        <v>49</v>
      </c>
      <c r="J255" s="12">
        <v>0</v>
      </c>
      <c r="K255" s="11" t="s">
        <v>916</v>
      </c>
      <c r="L255" s="12">
        <v>0</v>
      </c>
      <c r="M255" s="12">
        <v>13556</v>
      </c>
      <c r="N255" s="12">
        <v>0</v>
      </c>
      <c r="O255" s="12">
        <v>0</v>
      </c>
      <c r="P255" s="12">
        <v>0</v>
      </c>
      <c r="Q255" s="12">
        <v>0</v>
      </c>
      <c r="R255" s="12">
        <v>0</v>
      </c>
      <c r="S255" s="12">
        <v>0</v>
      </c>
      <c r="T255" s="12">
        <v>392</v>
      </c>
      <c r="U255" s="12">
        <v>0</v>
      </c>
      <c r="V255" s="12">
        <v>0</v>
      </c>
      <c r="W255" s="12">
        <v>0</v>
      </c>
      <c r="X255" s="12">
        <v>0</v>
      </c>
      <c r="Y255" s="12">
        <v>0</v>
      </c>
      <c r="Z255" s="12">
        <v>0</v>
      </c>
      <c r="AA255" s="12">
        <v>0</v>
      </c>
      <c r="AB255" s="12">
        <v>340</v>
      </c>
      <c r="AC255" s="12">
        <v>0</v>
      </c>
      <c r="AD255" s="12">
        <v>0</v>
      </c>
      <c r="AE255" s="12">
        <v>0</v>
      </c>
      <c r="AF255" s="12">
        <v>0</v>
      </c>
      <c r="AG255" s="12">
        <v>0</v>
      </c>
      <c r="AH255" s="12">
        <v>0</v>
      </c>
      <c r="AI255" s="12">
        <v>0</v>
      </c>
      <c r="AJ255" s="12">
        <v>0</v>
      </c>
      <c r="AK255" s="12">
        <v>600</v>
      </c>
      <c r="AL255" s="12">
        <v>0</v>
      </c>
      <c r="AM255" s="12">
        <v>2800</v>
      </c>
      <c r="AN255" s="12">
        <v>0</v>
      </c>
      <c r="AO255" s="12">
        <v>300</v>
      </c>
      <c r="AP255" s="12">
        <v>0</v>
      </c>
      <c r="AQ255" s="12">
        <v>3170.8</v>
      </c>
      <c r="AR255" s="12">
        <v>2400</v>
      </c>
      <c r="AS255" s="12">
        <v>0</v>
      </c>
      <c r="AT255" s="12">
        <v>3553.2</v>
      </c>
      <c r="AU255" s="12">
        <v>0</v>
      </c>
      <c r="AV255" s="12">
        <v>0</v>
      </c>
      <c r="AW255" s="12">
        <v>392</v>
      </c>
      <c r="AX255" s="12">
        <v>940</v>
      </c>
      <c r="AY255" s="12">
        <v>3100</v>
      </c>
      <c r="AZ255" s="12">
        <v>9124</v>
      </c>
      <c r="BA255" s="12">
        <v>0</v>
      </c>
    </row>
    <row r="256" spans="1:53" x14ac:dyDescent="0.3">
      <c r="A256" s="7">
        <f t="shared" si="57"/>
        <v>1102108</v>
      </c>
      <c r="B256" s="7">
        <f t="shared" si="58"/>
        <v>1099756</v>
      </c>
      <c r="C256" s="7">
        <f t="shared" si="59"/>
        <v>1097376</v>
      </c>
      <c r="D256" s="5"/>
      <c r="E256" s="5" t="str">
        <f t="shared" ref="E256:E259" si="71">E255</f>
        <v>0402-002042</v>
      </c>
      <c r="F256" s="5"/>
      <c r="G256" s="5"/>
      <c r="H256" s="6"/>
      <c r="I256" s="11"/>
      <c r="J256" s="12">
        <v>0</v>
      </c>
      <c r="K256" s="11" t="s">
        <v>917</v>
      </c>
      <c r="L256" s="12">
        <v>157500</v>
      </c>
      <c r="M256" s="12">
        <v>143944</v>
      </c>
      <c r="N256" s="12">
        <v>157500</v>
      </c>
      <c r="O256" s="12">
        <v>157500</v>
      </c>
      <c r="P256" s="12">
        <v>157500</v>
      </c>
      <c r="Q256" s="12">
        <v>157500</v>
      </c>
      <c r="R256" s="12">
        <v>157500</v>
      </c>
      <c r="S256" s="12">
        <v>157500</v>
      </c>
      <c r="T256" s="12">
        <v>157108</v>
      </c>
      <c r="U256" s="12">
        <v>157108</v>
      </c>
      <c r="V256" s="12">
        <v>157108</v>
      </c>
      <c r="W256" s="12">
        <v>157108</v>
      </c>
      <c r="X256" s="12">
        <v>157108</v>
      </c>
      <c r="Y256" s="12">
        <v>157108</v>
      </c>
      <c r="Z256" s="12">
        <v>157108</v>
      </c>
      <c r="AA256" s="12">
        <v>157108</v>
      </c>
      <c r="AB256" s="12">
        <v>156768</v>
      </c>
      <c r="AC256" s="12">
        <v>156768</v>
      </c>
      <c r="AD256" s="12">
        <v>156768</v>
      </c>
      <c r="AE256" s="12">
        <v>156768</v>
      </c>
      <c r="AF256" s="12">
        <v>156768</v>
      </c>
      <c r="AG256" s="12">
        <v>156768</v>
      </c>
      <c r="AH256" s="12">
        <v>156768</v>
      </c>
      <c r="AI256" s="12">
        <v>156768</v>
      </c>
      <c r="AJ256" s="12">
        <v>156768</v>
      </c>
      <c r="AK256" s="12">
        <v>156168</v>
      </c>
      <c r="AL256" s="12">
        <v>156168</v>
      </c>
      <c r="AM256" s="12">
        <v>153368</v>
      </c>
      <c r="AN256" s="12">
        <v>153368</v>
      </c>
      <c r="AO256" s="12">
        <v>153068</v>
      </c>
      <c r="AP256" s="12">
        <v>153068</v>
      </c>
      <c r="AQ256" s="12">
        <v>149897.20000000001</v>
      </c>
      <c r="AR256" s="12">
        <v>147497.20000000001</v>
      </c>
      <c r="AS256" s="12">
        <v>147497.20000000001</v>
      </c>
      <c r="AT256" s="12">
        <v>143944</v>
      </c>
      <c r="AU256" s="12">
        <v>143944</v>
      </c>
      <c r="AV256" s="12">
        <v>143944</v>
      </c>
      <c r="AW256" s="12">
        <v>0</v>
      </c>
      <c r="AX256" s="12">
        <v>0</v>
      </c>
      <c r="AY256" s="12">
        <v>0</v>
      </c>
      <c r="AZ256" s="12">
        <v>0</v>
      </c>
      <c r="BA256" s="12">
        <v>0</v>
      </c>
    </row>
    <row r="257" spans="1:53" x14ac:dyDescent="0.3">
      <c r="A257" s="7">
        <f t="shared" si="57"/>
        <v>0</v>
      </c>
      <c r="B257" s="7">
        <f t="shared" si="58"/>
        <v>0</v>
      </c>
      <c r="C257" s="7">
        <f t="shared" si="59"/>
        <v>0</v>
      </c>
      <c r="D257" s="5"/>
      <c r="E257" s="5" t="str">
        <f t="shared" si="71"/>
        <v>0402-002042</v>
      </c>
      <c r="F257" s="5"/>
      <c r="G257" s="5"/>
      <c r="H257" s="11" t="s">
        <v>762</v>
      </c>
      <c r="I257" s="11" t="s">
        <v>763</v>
      </c>
      <c r="J257" s="12"/>
      <c r="K257" s="11" t="s">
        <v>918</v>
      </c>
      <c r="L257" s="12">
        <v>0</v>
      </c>
      <c r="M257" s="12">
        <v>0</v>
      </c>
      <c r="N257" s="12">
        <v>0</v>
      </c>
      <c r="O257" s="12">
        <v>0</v>
      </c>
      <c r="P257" s="12">
        <v>0</v>
      </c>
      <c r="Q257" s="12">
        <v>0</v>
      </c>
      <c r="R257" s="12">
        <v>0</v>
      </c>
      <c r="S257" s="12">
        <v>0</v>
      </c>
      <c r="T257" s="12">
        <v>0</v>
      </c>
      <c r="U257" s="12">
        <v>0</v>
      </c>
      <c r="V257" s="12">
        <v>0</v>
      </c>
      <c r="W257" s="12">
        <v>0</v>
      </c>
      <c r="X257" s="12">
        <v>0</v>
      </c>
      <c r="Y257" s="12">
        <v>0</v>
      </c>
      <c r="Z257" s="12">
        <v>0</v>
      </c>
      <c r="AA257" s="12">
        <v>0</v>
      </c>
      <c r="AB257" s="12">
        <v>0</v>
      </c>
      <c r="AC257" s="12">
        <v>0</v>
      </c>
      <c r="AD257" s="12">
        <v>0</v>
      </c>
      <c r="AE257" s="12">
        <v>0</v>
      </c>
      <c r="AF257" s="12">
        <v>0</v>
      </c>
      <c r="AG257" s="12">
        <v>0</v>
      </c>
      <c r="AH257" s="12">
        <v>0</v>
      </c>
      <c r="AI257" s="12">
        <v>0</v>
      </c>
      <c r="AJ257" s="12">
        <v>0</v>
      </c>
      <c r="AK257" s="12">
        <v>0</v>
      </c>
      <c r="AL257" s="12">
        <v>0</v>
      </c>
      <c r="AM257" s="12">
        <v>0</v>
      </c>
      <c r="AN257" s="12">
        <v>0</v>
      </c>
      <c r="AO257" s="12">
        <v>0</v>
      </c>
      <c r="AP257" s="12">
        <v>0</v>
      </c>
      <c r="AQ257" s="12">
        <v>0</v>
      </c>
      <c r="AR257" s="12">
        <v>0</v>
      </c>
      <c r="AS257" s="12">
        <v>0</v>
      </c>
      <c r="AT257" s="12">
        <v>0</v>
      </c>
      <c r="AU257" s="12">
        <v>0</v>
      </c>
      <c r="AV257" s="12">
        <v>0</v>
      </c>
      <c r="AW257" s="12">
        <v>0</v>
      </c>
      <c r="AX257" s="12">
        <v>0</v>
      </c>
      <c r="AY257" s="12">
        <v>0</v>
      </c>
      <c r="AZ257" s="12">
        <v>0</v>
      </c>
      <c r="BA257" s="12">
        <v>0</v>
      </c>
    </row>
    <row r="258" spans="1:53" x14ac:dyDescent="0.3">
      <c r="A258" s="7">
        <f t="shared" si="57"/>
        <v>0</v>
      </c>
      <c r="B258" s="7">
        <f t="shared" si="58"/>
        <v>0</v>
      </c>
      <c r="C258" s="7">
        <f t="shared" si="59"/>
        <v>0</v>
      </c>
      <c r="D258" s="5"/>
      <c r="E258" s="5" t="str">
        <f t="shared" si="71"/>
        <v>0402-002042</v>
      </c>
      <c r="F258" s="5"/>
      <c r="G258" s="5"/>
      <c r="H258" s="11" t="s">
        <v>49</v>
      </c>
      <c r="I258" s="11"/>
      <c r="J258" s="12">
        <v>0</v>
      </c>
      <c r="K258" s="11" t="s">
        <v>919</v>
      </c>
      <c r="L258" s="12">
        <v>0</v>
      </c>
      <c r="M258" s="12">
        <v>0</v>
      </c>
      <c r="N258" s="12">
        <v>0</v>
      </c>
      <c r="O258" s="12">
        <v>0</v>
      </c>
      <c r="P258" s="12">
        <v>0</v>
      </c>
      <c r="Q258" s="12">
        <v>0</v>
      </c>
      <c r="R258" s="12">
        <v>0</v>
      </c>
      <c r="S258" s="12">
        <v>0</v>
      </c>
      <c r="T258" s="12">
        <v>0</v>
      </c>
      <c r="U258" s="12">
        <v>0</v>
      </c>
      <c r="V258" s="12">
        <v>0</v>
      </c>
      <c r="W258" s="12">
        <v>0</v>
      </c>
      <c r="X258" s="12">
        <v>0</v>
      </c>
      <c r="Y258" s="12">
        <v>0</v>
      </c>
      <c r="Z258" s="12">
        <v>0</v>
      </c>
      <c r="AA258" s="12">
        <v>0</v>
      </c>
      <c r="AB258" s="12">
        <v>0</v>
      </c>
      <c r="AC258" s="12">
        <v>0</v>
      </c>
      <c r="AD258" s="12">
        <v>0</v>
      </c>
      <c r="AE258" s="12">
        <v>0</v>
      </c>
      <c r="AF258" s="12">
        <v>0</v>
      </c>
      <c r="AG258" s="12">
        <v>0</v>
      </c>
      <c r="AH258" s="12">
        <v>0</v>
      </c>
      <c r="AI258" s="12">
        <v>0</v>
      </c>
      <c r="AJ258" s="12">
        <v>0</v>
      </c>
      <c r="AK258" s="12">
        <v>0</v>
      </c>
      <c r="AL258" s="12">
        <v>0</v>
      </c>
      <c r="AM258" s="12">
        <v>0</v>
      </c>
      <c r="AN258" s="12">
        <v>0</v>
      </c>
      <c r="AO258" s="12">
        <v>0</v>
      </c>
      <c r="AP258" s="12">
        <v>0</v>
      </c>
      <c r="AQ258" s="12">
        <v>0</v>
      </c>
      <c r="AR258" s="12">
        <v>0</v>
      </c>
      <c r="AS258" s="12">
        <v>0</v>
      </c>
      <c r="AT258" s="12">
        <v>0</v>
      </c>
      <c r="AU258" s="12">
        <v>0</v>
      </c>
      <c r="AV258" s="12">
        <v>0</v>
      </c>
      <c r="AW258" s="12">
        <v>0</v>
      </c>
      <c r="AX258" s="12">
        <v>0</v>
      </c>
      <c r="AY258" s="12">
        <v>0</v>
      </c>
      <c r="AZ258" s="12">
        <v>0</v>
      </c>
      <c r="BA258" s="12">
        <v>0</v>
      </c>
    </row>
    <row r="259" spans="1:53" x14ac:dyDescent="0.3">
      <c r="A259" s="7">
        <f t="shared" si="57"/>
        <v>1102108</v>
      </c>
      <c r="B259" s="7">
        <f t="shared" si="58"/>
        <v>1099756</v>
      </c>
      <c r="C259" s="7">
        <f t="shared" si="59"/>
        <v>1097376</v>
      </c>
      <c r="D259" s="5"/>
      <c r="E259" s="5" t="str">
        <f t="shared" si="71"/>
        <v>0402-002042</v>
      </c>
      <c r="F259" s="5"/>
      <c r="G259" s="6"/>
      <c r="H259" s="11" t="s">
        <v>920</v>
      </c>
      <c r="I259" s="11"/>
      <c r="J259" s="12">
        <v>0</v>
      </c>
      <c r="K259" s="11" t="s">
        <v>921</v>
      </c>
      <c r="L259" s="12">
        <v>0</v>
      </c>
      <c r="M259" s="12">
        <v>143944</v>
      </c>
      <c r="N259" s="12">
        <v>157500</v>
      </c>
      <c r="O259" s="12">
        <v>157500</v>
      </c>
      <c r="P259" s="12">
        <v>157500</v>
      </c>
      <c r="Q259" s="12">
        <v>157500</v>
      </c>
      <c r="R259" s="12">
        <v>157500</v>
      </c>
      <c r="S259" s="12">
        <v>157500</v>
      </c>
      <c r="T259" s="12">
        <v>157108</v>
      </c>
      <c r="U259" s="12">
        <v>157108</v>
      </c>
      <c r="V259" s="12">
        <v>157108</v>
      </c>
      <c r="W259" s="12">
        <v>157108</v>
      </c>
      <c r="X259" s="12">
        <v>157108</v>
      </c>
      <c r="Y259" s="12">
        <v>157108</v>
      </c>
      <c r="Z259" s="12">
        <v>157108</v>
      </c>
      <c r="AA259" s="12">
        <v>157108</v>
      </c>
      <c r="AB259" s="12">
        <v>156768</v>
      </c>
      <c r="AC259" s="12">
        <v>156768</v>
      </c>
      <c r="AD259" s="12">
        <v>156768</v>
      </c>
      <c r="AE259" s="12">
        <v>156768</v>
      </c>
      <c r="AF259" s="12">
        <v>156768</v>
      </c>
      <c r="AG259" s="12">
        <v>156768</v>
      </c>
      <c r="AH259" s="12">
        <v>156768</v>
      </c>
      <c r="AI259" s="12">
        <v>156768</v>
      </c>
      <c r="AJ259" s="12">
        <v>156768</v>
      </c>
      <c r="AK259" s="12">
        <v>156168</v>
      </c>
      <c r="AL259" s="12">
        <v>156168</v>
      </c>
      <c r="AM259" s="12">
        <v>153368</v>
      </c>
      <c r="AN259" s="12">
        <v>153368</v>
      </c>
      <c r="AO259" s="12">
        <v>153068</v>
      </c>
      <c r="AP259" s="12">
        <v>153068</v>
      </c>
      <c r="AQ259" s="12">
        <v>149897.20000000001</v>
      </c>
      <c r="AR259" s="12">
        <v>147497.20000000001</v>
      </c>
      <c r="AS259" s="12">
        <v>147497.20000000001</v>
      </c>
      <c r="AT259" s="12">
        <v>143944</v>
      </c>
      <c r="AU259" s="12">
        <v>143944</v>
      </c>
      <c r="AV259" s="12">
        <v>143944</v>
      </c>
      <c r="AW259" s="12">
        <v>0</v>
      </c>
      <c r="AX259" s="12">
        <v>0</v>
      </c>
      <c r="AY259" s="12">
        <v>0</v>
      </c>
      <c r="AZ259" s="12">
        <v>0</v>
      </c>
      <c r="BA259" s="12">
        <v>0</v>
      </c>
    </row>
    <row r="260" spans="1:53" x14ac:dyDescent="0.3">
      <c r="A260" s="7">
        <f t="shared" si="57"/>
        <v>32776</v>
      </c>
      <c r="B260" s="7">
        <f t="shared" si="58"/>
        <v>20972</v>
      </c>
      <c r="C260" s="7">
        <f t="shared" si="59"/>
        <v>35996</v>
      </c>
      <c r="D260" s="13"/>
      <c r="E260" s="13" t="s">
        <v>837</v>
      </c>
      <c r="F260" s="5"/>
      <c r="G260" s="13" t="s">
        <v>948</v>
      </c>
      <c r="H260" s="13" t="s">
        <v>49</v>
      </c>
      <c r="I260" s="11" t="s">
        <v>49</v>
      </c>
      <c r="J260" s="12">
        <v>0</v>
      </c>
      <c r="K260" s="11" t="s">
        <v>916</v>
      </c>
      <c r="L260" s="12">
        <v>0</v>
      </c>
      <c r="M260" s="12">
        <v>379120.2</v>
      </c>
      <c r="N260" s="12">
        <v>10400</v>
      </c>
      <c r="O260" s="12">
        <v>0</v>
      </c>
      <c r="P260" s="12">
        <v>0</v>
      </c>
      <c r="Q260" s="12">
        <v>0</v>
      </c>
      <c r="R260" s="12">
        <v>0</v>
      </c>
      <c r="S260" s="12">
        <v>0</v>
      </c>
      <c r="T260" s="12">
        <v>22376</v>
      </c>
      <c r="U260" s="12">
        <v>0</v>
      </c>
      <c r="V260" s="12">
        <v>0</v>
      </c>
      <c r="W260" s="12">
        <v>0</v>
      </c>
      <c r="X260" s="12">
        <v>0</v>
      </c>
      <c r="Y260" s="12">
        <v>0</v>
      </c>
      <c r="Z260" s="12">
        <v>0</v>
      </c>
      <c r="AA260" s="12">
        <v>20972</v>
      </c>
      <c r="AB260" s="12">
        <v>35996</v>
      </c>
      <c r="AC260" s="12">
        <v>0</v>
      </c>
      <c r="AD260" s="12">
        <v>0</v>
      </c>
      <c r="AE260" s="12">
        <v>0</v>
      </c>
      <c r="AF260" s="12">
        <v>0</v>
      </c>
      <c r="AG260" s="12">
        <v>0</v>
      </c>
      <c r="AH260" s="12">
        <v>0</v>
      </c>
      <c r="AI260" s="12">
        <v>47206</v>
      </c>
      <c r="AJ260" s="12">
        <v>27500</v>
      </c>
      <c r="AK260" s="12">
        <v>11000</v>
      </c>
      <c r="AL260" s="12">
        <v>0</v>
      </c>
      <c r="AM260" s="12">
        <v>38100</v>
      </c>
      <c r="AN260" s="12">
        <v>31200</v>
      </c>
      <c r="AO260" s="12">
        <v>2000</v>
      </c>
      <c r="AP260" s="12">
        <v>10000</v>
      </c>
      <c r="AQ260" s="12">
        <v>59561.2</v>
      </c>
      <c r="AR260" s="12">
        <v>24141</v>
      </c>
      <c r="AS260" s="12">
        <v>0</v>
      </c>
      <c r="AT260" s="12">
        <v>38668</v>
      </c>
      <c r="AU260" s="12">
        <v>0</v>
      </c>
      <c r="AV260" s="12">
        <v>0</v>
      </c>
      <c r="AW260" s="12">
        <v>32776</v>
      </c>
      <c r="AX260" s="12">
        <v>142674</v>
      </c>
      <c r="AY260" s="12">
        <v>81300</v>
      </c>
      <c r="AZ260" s="12">
        <v>122370.2</v>
      </c>
      <c r="BA260" s="12">
        <v>0</v>
      </c>
    </row>
    <row r="261" spans="1:53" x14ac:dyDescent="0.3">
      <c r="A261" s="7">
        <f t="shared" si="57"/>
        <v>864251</v>
      </c>
      <c r="B261" s="7">
        <f t="shared" si="58"/>
        <v>709023</v>
      </c>
      <c r="C261" s="7">
        <f t="shared" si="59"/>
        <v>331219</v>
      </c>
      <c r="D261" s="5"/>
      <c r="E261" s="5" t="str">
        <f t="shared" ref="E261:E264" si="72">E260</f>
        <v>0402-002045</v>
      </c>
      <c r="F261" s="5"/>
      <c r="G261" s="5"/>
      <c r="H261" s="6"/>
      <c r="I261" s="11"/>
      <c r="J261" s="12">
        <v>0</v>
      </c>
      <c r="K261" s="11" t="s">
        <v>917</v>
      </c>
      <c r="L261" s="12">
        <v>137061</v>
      </c>
      <c r="M261" s="12">
        <v>-242059.2</v>
      </c>
      <c r="N261" s="12">
        <v>126661</v>
      </c>
      <c r="O261" s="12">
        <v>126661</v>
      </c>
      <c r="P261" s="12">
        <v>126661</v>
      </c>
      <c r="Q261" s="12">
        <v>126661</v>
      </c>
      <c r="R261" s="12">
        <v>126661</v>
      </c>
      <c r="S261" s="12">
        <v>126661</v>
      </c>
      <c r="T261" s="12">
        <v>104285</v>
      </c>
      <c r="U261" s="12">
        <v>104285</v>
      </c>
      <c r="V261" s="12">
        <v>104285</v>
      </c>
      <c r="W261" s="12">
        <v>104285</v>
      </c>
      <c r="X261" s="12">
        <v>104285</v>
      </c>
      <c r="Y261" s="12">
        <v>104285</v>
      </c>
      <c r="Z261" s="12">
        <v>104285</v>
      </c>
      <c r="AA261" s="12">
        <v>83313</v>
      </c>
      <c r="AB261" s="12">
        <v>47317</v>
      </c>
      <c r="AC261" s="12">
        <v>47317</v>
      </c>
      <c r="AD261" s="12">
        <v>47317</v>
      </c>
      <c r="AE261" s="12">
        <v>47317</v>
      </c>
      <c r="AF261" s="12">
        <v>47317</v>
      </c>
      <c r="AG261" s="12">
        <v>47317</v>
      </c>
      <c r="AH261" s="12">
        <v>47317</v>
      </c>
      <c r="AI261" s="12">
        <v>111</v>
      </c>
      <c r="AJ261" s="12">
        <v>-27389</v>
      </c>
      <c r="AK261" s="12">
        <v>-38389</v>
      </c>
      <c r="AL261" s="12">
        <v>-38389</v>
      </c>
      <c r="AM261" s="12">
        <v>-76489</v>
      </c>
      <c r="AN261" s="12">
        <v>-107689</v>
      </c>
      <c r="AO261" s="12">
        <v>-109689</v>
      </c>
      <c r="AP261" s="12">
        <v>-119689</v>
      </c>
      <c r="AQ261" s="12">
        <v>-179250.2</v>
      </c>
      <c r="AR261" s="12">
        <v>-203391.2</v>
      </c>
      <c r="AS261" s="12">
        <v>-203391.2</v>
      </c>
      <c r="AT261" s="12">
        <v>-242059.2</v>
      </c>
      <c r="AU261" s="12">
        <v>-242059.2</v>
      </c>
      <c r="AV261" s="12">
        <v>-242059.2</v>
      </c>
      <c r="AW261" s="12">
        <v>0</v>
      </c>
      <c r="AX261" s="12">
        <v>0</v>
      </c>
      <c r="AY261" s="12">
        <v>0</v>
      </c>
      <c r="AZ261" s="12">
        <v>0</v>
      </c>
      <c r="BA261" s="12">
        <v>0</v>
      </c>
    </row>
    <row r="262" spans="1:53" x14ac:dyDescent="0.3">
      <c r="A262" s="7">
        <f t="shared" ref="A262:A325" si="73">SUM(N262:T262)</f>
        <v>0</v>
      </c>
      <c r="B262" s="7">
        <f t="shared" ref="B262:B325" si="74">SUM(U262:AA262)</f>
        <v>0</v>
      </c>
      <c r="C262" s="7">
        <f t="shared" ref="C262:C325" si="75">SUM(AB262:AH262)</f>
        <v>100000</v>
      </c>
      <c r="D262" s="5"/>
      <c r="E262" s="5" t="str">
        <f t="shared" si="72"/>
        <v>0402-002045</v>
      </c>
      <c r="F262" s="5"/>
      <c r="G262" s="5"/>
      <c r="H262" s="11" t="s">
        <v>762</v>
      </c>
      <c r="I262" s="11" t="s">
        <v>763</v>
      </c>
      <c r="J262" s="12">
        <v>300000</v>
      </c>
      <c r="K262" s="11" t="s">
        <v>918</v>
      </c>
      <c r="L262" s="12">
        <v>0</v>
      </c>
      <c r="M262" s="12">
        <v>200000</v>
      </c>
      <c r="N262" s="12">
        <v>0</v>
      </c>
      <c r="O262" s="12">
        <v>0</v>
      </c>
      <c r="P262" s="12">
        <v>0</v>
      </c>
      <c r="Q262" s="12">
        <v>0</v>
      </c>
      <c r="R262" s="12">
        <v>0</v>
      </c>
      <c r="S262" s="12">
        <v>0</v>
      </c>
      <c r="T262" s="12">
        <v>0</v>
      </c>
      <c r="U262" s="12">
        <v>0</v>
      </c>
      <c r="V262" s="12">
        <v>0</v>
      </c>
      <c r="W262" s="12">
        <v>0</v>
      </c>
      <c r="X262" s="12">
        <v>0</v>
      </c>
      <c r="Y262" s="12">
        <v>0</v>
      </c>
      <c r="Z262" s="12">
        <v>0</v>
      </c>
      <c r="AA262" s="12">
        <v>0</v>
      </c>
      <c r="AB262" s="12">
        <v>0</v>
      </c>
      <c r="AC262" s="12">
        <v>0</v>
      </c>
      <c r="AD262" s="12">
        <v>0</v>
      </c>
      <c r="AE262" s="12">
        <v>0</v>
      </c>
      <c r="AF262" s="12">
        <v>0</v>
      </c>
      <c r="AG262" s="12">
        <v>100000</v>
      </c>
      <c r="AH262" s="12">
        <v>0</v>
      </c>
      <c r="AI262" s="12">
        <v>0</v>
      </c>
      <c r="AJ262" s="12">
        <v>0</v>
      </c>
      <c r="AK262" s="12">
        <v>0</v>
      </c>
      <c r="AL262" s="12">
        <v>100000</v>
      </c>
      <c r="AM262" s="12">
        <v>0</v>
      </c>
      <c r="AN262" s="12">
        <v>0</v>
      </c>
      <c r="AO262" s="12">
        <v>0</v>
      </c>
      <c r="AP262" s="12">
        <v>0</v>
      </c>
      <c r="AQ262" s="12">
        <v>0</v>
      </c>
      <c r="AR262" s="12">
        <v>0</v>
      </c>
      <c r="AS262" s="12">
        <v>0</v>
      </c>
      <c r="AT262" s="12">
        <v>0</v>
      </c>
      <c r="AU262" s="12">
        <v>0</v>
      </c>
      <c r="AV262" s="12">
        <v>0</v>
      </c>
      <c r="AW262" s="12">
        <v>0</v>
      </c>
      <c r="AX262" s="12">
        <v>100000</v>
      </c>
      <c r="AY262" s="12">
        <v>100000</v>
      </c>
      <c r="AZ262" s="12">
        <v>0</v>
      </c>
      <c r="BA262" s="12">
        <v>0</v>
      </c>
    </row>
    <row r="263" spans="1:53" x14ac:dyDescent="0.3">
      <c r="A263" s="7">
        <f t="shared" si="73"/>
        <v>0</v>
      </c>
      <c r="B263" s="7">
        <f t="shared" si="74"/>
        <v>0</v>
      </c>
      <c r="C263" s="7">
        <f t="shared" si="75"/>
        <v>100000</v>
      </c>
      <c r="D263" s="5"/>
      <c r="E263" s="5" t="str">
        <f t="shared" si="72"/>
        <v>0402-002045</v>
      </c>
      <c r="F263" s="5"/>
      <c r="G263" s="5"/>
      <c r="H263" s="11" t="s">
        <v>49</v>
      </c>
      <c r="I263" s="11"/>
      <c r="J263" s="12">
        <v>0</v>
      </c>
      <c r="K263" s="11" t="s">
        <v>919</v>
      </c>
      <c r="L263" s="12">
        <v>0</v>
      </c>
      <c r="M263" s="12">
        <v>200000</v>
      </c>
      <c r="N263" s="12">
        <v>0</v>
      </c>
      <c r="O263" s="12">
        <v>0</v>
      </c>
      <c r="P263" s="12">
        <v>0</v>
      </c>
      <c r="Q263" s="12">
        <v>0</v>
      </c>
      <c r="R263" s="12">
        <v>0</v>
      </c>
      <c r="S263" s="12">
        <v>0</v>
      </c>
      <c r="T263" s="12">
        <v>0</v>
      </c>
      <c r="U263" s="12">
        <v>0</v>
      </c>
      <c r="V263" s="12">
        <v>0</v>
      </c>
      <c r="W263" s="12">
        <v>0</v>
      </c>
      <c r="X263" s="12">
        <v>0</v>
      </c>
      <c r="Y263" s="12">
        <v>0</v>
      </c>
      <c r="Z263" s="12">
        <v>0</v>
      </c>
      <c r="AA263" s="12">
        <v>0</v>
      </c>
      <c r="AB263" s="12">
        <v>0</v>
      </c>
      <c r="AC263" s="12">
        <v>0</v>
      </c>
      <c r="AD263" s="12">
        <v>0</v>
      </c>
      <c r="AE263" s="12">
        <v>0</v>
      </c>
      <c r="AF263" s="12">
        <v>0</v>
      </c>
      <c r="AG263" s="12">
        <v>100000</v>
      </c>
      <c r="AH263" s="12">
        <v>0</v>
      </c>
      <c r="AI263" s="12">
        <v>0</v>
      </c>
      <c r="AJ263" s="12">
        <v>0</v>
      </c>
      <c r="AK263" s="12">
        <v>0</v>
      </c>
      <c r="AL263" s="12">
        <v>100000</v>
      </c>
      <c r="AM263" s="12">
        <v>0</v>
      </c>
      <c r="AN263" s="12">
        <v>0</v>
      </c>
      <c r="AO263" s="12">
        <v>0</v>
      </c>
      <c r="AP263" s="12">
        <v>0</v>
      </c>
      <c r="AQ263" s="12">
        <v>0</v>
      </c>
      <c r="AR263" s="12">
        <v>0</v>
      </c>
      <c r="AS263" s="12">
        <v>0</v>
      </c>
      <c r="AT263" s="12">
        <v>0</v>
      </c>
      <c r="AU263" s="12">
        <v>0</v>
      </c>
      <c r="AV263" s="12">
        <v>0</v>
      </c>
      <c r="AW263" s="12">
        <v>0</v>
      </c>
      <c r="AX263" s="12">
        <v>100000</v>
      </c>
      <c r="AY263" s="12">
        <v>100000</v>
      </c>
      <c r="AZ263" s="12">
        <v>0</v>
      </c>
      <c r="BA263" s="12">
        <v>0</v>
      </c>
    </row>
    <row r="264" spans="1:53" x14ac:dyDescent="0.3">
      <c r="A264" s="7">
        <f t="shared" si="73"/>
        <v>864251</v>
      </c>
      <c r="B264" s="7">
        <f t="shared" si="74"/>
        <v>709023</v>
      </c>
      <c r="C264" s="7">
        <f t="shared" si="75"/>
        <v>531219</v>
      </c>
      <c r="D264" s="5"/>
      <c r="E264" s="5" t="str">
        <f t="shared" si="72"/>
        <v>0402-002045</v>
      </c>
      <c r="F264" s="5"/>
      <c r="G264" s="6"/>
      <c r="H264" s="11" t="s">
        <v>920</v>
      </c>
      <c r="I264" s="11"/>
      <c r="J264" s="12">
        <v>0</v>
      </c>
      <c r="K264" s="11" t="s">
        <v>921</v>
      </c>
      <c r="L264" s="12">
        <v>0</v>
      </c>
      <c r="M264" s="12">
        <v>-42059.199999999997</v>
      </c>
      <c r="N264" s="12">
        <v>126661</v>
      </c>
      <c r="O264" s="12">
        <v>126661</v>
      </c>
      <c r="P264" s="12">
        <v>126661</v>
      </c>
      <c r="Q264" s="12">
        <v>126661</v>
      </c>
      <c r="R264" s="12">
        <v>126661</v>
      </c>
      <c r="S264" s="12">
        <v>126661</v>
      </c>
      <c r="T264" s="12">
        <v>104285</v>
      </c>
      <c r="U264" s="12">
        <v>104285</v>
      </c>
      <c r="V264" s="12">
        <v>104285</v>
      </c>
      <c r="W264" s="12">
        <v>104285</v>
      </c>
      <c r="X264" s="12">
        <v>104285</v>
      </c>
      <c r="Y264" s="12">
        <v>104285</v>
      </c>
      <c r="Z264" s="12">
        <v>104285</v>
      </c>
      <c r="AA264" s="12">
        <v>83313</v>
      </c>
      <c r="AB264" s="12">
        <v>47317</v>
      </c>
      <c r="AC264" s="12">
        <v>47317</v>
      </c>
      <c r="AD264" s="12">
        <v>47317</v>
      </c>
      <c r="AE264" s="12">
        <v>47317</v>
      </c>
      <c r="AF264" s="12">
        <v>47317</v>
      </c>
      <c r="AG264" s="12">
        <v>147317</v>
      </c>
      <c r="AH264" s="12">
        <v>147317</v>
      </c>
      <c r="AI264" s="12">
        <v>100111</v>
      </c>
      <c r="AJ264" s="12">
        <v>72611</v>
      </c>
      <c r="AK264" s="12">
        <v>61611</v>
      </c>
      <c r="AL264" s="12">
        <v>161611</v>
      </c>
      <c r="AM264" s="12">
        <v>123511</v>
      </c>
      <c r="AN264" s="12">
        <v>92311</v>
      </c>
      <c r="AO264" s="12">
        <v>90311</v>
      </c>
      <c r="AP264" s="12">
        <v>80311</v>
      </c>
      <c r="AQ264" s="12">
        <v>20749.8</v>
      </c>
      <c r="AR264" s="12">
        <v>-3391.2</v>
      </c>
      <c r="AS264" s="12">
        <v>-3391.2</v>
      </c>
      <c r="AT264" s="12">
        <v>-42059.199999999997</v>
      </c>
      <c r="AU264" s="12">
        <v>-42059.199999999997</v>
      </c>
      <c r="AV264" s="12">
        <v>-42059.199999999997</v>
      </c>
      <c r="AW264" s="12">
        <v>0</v>
      </c>
      <c r="AX264" s="12">
        <v>0</v>
      </c>
      <c r="AY264" s="12">
        <v>0</v>
      </c>
      <c r="AZ264" s="12">
        <v>0</v>
      </c>
      <c r="BA264" s="12">
        <v>0</v>
      </c>
    </row>
    <row r="265" spans="1:53" x14ac:dyDescent="0.3">
      <c r="A265" s="7">
        <f t="shared" si="73"/>
        <v>19200</v>
      </c>
      <c r="B265" s="7">
        <f t="shared" si="74"/>
        <v>3547.2</v>
      </c>
      <c r="C265" s="7">
        <f t="shared" si="75"/>
        <v>20000</v>
      </c>
      <c r="D265" s="13"/>
      <c r="E265" s="13" t="s">
        <v>792</v>
      </c>
      <c r="F265" s="5"/>
      <c r="G265" s="13" t="s">
        <v>1020</v>
      </c>
      <c r="H265" s="13" t="s">
        <v>49</v>
      </c>
      <c r="I265" s="11" t="s">
        <v>49</v>
      </c>
      <c r="J265" s="12">
        <v>0</v>
      </c>
      <c r="K265" s="11" t="s">
        <v>916</v>
      </c>
      <c r="L265" s="12">
        <v>0</v>
      </c>
      <c r="M265" s="12">
        <v>126747.2</v>
      </c>
      <c r="N265" s="12">
        <v>3200</v>
      </c>
      <c r="O265" s="12">
        <v>3200</v>
      </c>
      <c r="P265" s="12">
        <v>3200</v>
      </c>
      <c r="Q265" s="12">
        <v>3200</v>
      </c>
      <c r="R265" s="12">
        <v>3200</v>
      </c>
      <c r="S265" s="12">
        <v>3200</v>
      </c>
      <c r="T265" s="12">
        <v>0</v>
      </c>
      <c r="U265" s="12">
        <v>3547.2</v>
      </c>
      <c r="V265" s="12">
        <v>0</v>
      </c>
      <c r="W265" s="12">
        <v>0</v>
      </c>
      <c r="X265" s="12">
        <v>0</v>
      </c>
      <c r="Y265" s="12">
        <v>0</v>
      </c>
      <c r="Z265" s="12">
        <v>0</v>
      </c>
      <c r="AA265" s="12">
        <v>0</v>
      </c>
      <c r="AB265" s="12">
        <v>20000</v>
      </c>
      <c r="AC265" s="12">
        <v>0</v>
      </c>
      <c r="AD265" s="12">
        <v>0</v>
      </c>
      <c r="AE265" s="12">
        <v>0</v>
      </c>
      <c r="AF265" s="12">
        <v>0</v>
      </c>
      <c r="AG265" s="12">
        <v>0</v>
      </c>
      <c r="AH265" s="12">
        <v>0</v>
      </c>
      <c r="AI265" s="12">
        <v>20000</v>
      </c>
      <c r="AJ265" s="12">
        <v>20000</v>
      </c>
      <c r="AK265" s="12">
        <v>20000</v>
      </c>
      <c r="AL265" s="12">
        <v>0</v>
      </c>
      <c r="AM265" s="12">
        <v>16000</v>
      </c>
      <c r="AN265" s="12">
        <v>0</v>
      </c>
      <c r="AO265" s="12">
        <v>0</v>
      </c>
      <c r="AP265" s="12">
        <v>0</v>
      </c>
      <c r="AQ265" s="12">
        <v>4800</v>
      </c>
      <c r="AR265" s="12">
        <v>0</v>
      </c>
      <c r="AS265" s="12">
        <v>0</v>
      </c>
      <c r="AT265" s="12">
        <v>3200</v>
      </c>
      <c r="AU265" s="12">
        <v>0</v>
      </c>
      <c r="AV265" s="12">
        <v>0</v>
      </c>
      <c r="AW265" s="12">
        <v>22747.200000000001</v>
      </c>
      <c r="AX265" s="12">
        <v>80000</v>
      </c>
      <c r="AY265" s="12">
        <v>16000</v>
      </c>
      <c r="AZ265" s="12">
        <v>8000</v>
      </c>
      <c r="BA265" s="12">
        <v>0</v>
      </c>
    </row>
    <row r="266" spans="1:53" x14ac:dyDescent="0.3">
      <c r="A266" s="7">
        <f t="shared" si="73"/>
        <v>4737797</v>
      </c>
      <c r="B266" s="7">
        <f t="shared" si="74"/>
        <v>4664966.5999999996</v>
      </c>
      <c r="C266" s="7">
        <f t="shared" si="75"/>
        <v>4524966.5999999996</v>
      </c>
      <c r="D266" s="5"/>
      <c r="E266" s="5" t="str">
        <f t="shared" ref="E266:E269" si="76">E265</f>
        <v>0402-002144</v>
      </c>
      <c r="F266" s="5"/>
      <c r="G266" s="5"/>
      <c r="H266" s="6"/>
      <c r="I266" s="11"/>
      <c r="J266" s="12">
        <v>0</v>
      </c>
      <c r="K266" s="11" t="s">
        <v>917</v>
      </c>
      <c r="L266" s="12">
        <v>689171</v>
      </c>
      <c r="M266" s="12">
        <v>562423.80000000005</v>
      </c>
      <c r="N266" s="12">
        <v>685971</v>
      </c>
      <c r="O266" s="12">
        <v>682771</v>
      </c>
      <c r="P266" s="12">
        <v>679571</v>
      </c>
      <c r="Q266" s="12">
        <v>676371</v>
      </c>
      <c r="R266" s="12">
        <v>673171</v>
      </c>
      <c r="S266" s="12">
        <v>669971</v>
      </c>
      <c r="T266" s="12">
        <v>669971</v>
      </c>
      <c r="U266" s="12">
        <v>666423.80000000005</v>
      </c>
      <c r="V266" s="12">
        <v>666423.80000000005</v>
      </c>
      <c r="W266" s="12">
        <v>666423.80000000005</v>
      </c>
      <c r="X266" s="12">
        <v>666423.80000000005</v>
      </c>
      <c r="Y266" s="12">
        <v>666423.80000000005</v>
      </c>
      <c r="Z266" s="12">
        <v>666423.80000000005</v>
      </c>
      <c r="AA266" s="12">
        <v>666423.80000000005</v>
      </c>
      <c r="AB266" s="12">
        <v>646423.80000000005</v>
      </c>
      <c r="AC266" s="12">
        <v>646423.80000000005</v>
      </c>
      <c r="AD266" s="12">
        <v>646423.80000000005</v>
      </c>
      <c r="AE266" s="12">
        <v>646423.80000000005</v>
      </c>
      <c r="AF266" s="12">
        <v>646423.80000000005</v>
      </c>
      <c r="AG266" s="12">
        <v>646423.80000000005</v>
      </c>
      <c r="AH266" s="12">
        <v>646423.80000000005</v>
      </c>
      <c r="AI266" s="12">
        <v>626423.80000000005</v>
      </c>
      <c r="AJ266" s="12">
        <v>606423.80000000005</v>
      </c>
      <c r="AK266" s="12">
        <v>586423.80000000005</v>
      </c>
      <c r="AL266" s="12">
        <v>586423.80000000005</v>
      </c>
      <c r="AM266" s="12">
        <v>570423.80000000005</v>
      </c>
      <c r="AN266" s="12">
        <v>570423.80000000005</v>
      </c>
      <c r="AO266" s="12">
        <v>570423.80000000005</v>
      </c>
      <c r="AP266" s="12">
        <v>570423.80000000005</v>
      </c>
      <c r="AQ266" s="12">
        <v>565623.80000000005</v>
      </c>
      <c r="AR266" s="12">
        <v>565623.80000000005</v>
      </c>
      <c r="AS266" s="12">
        <v>565623.80000000005</v>
      </c>
      <c r="AT266" s="12">
        <v>562423.80000000005</v>
      </c>
      <c r="AU266" s="12">
        <v>562423.80000000005</v>
      </c>
      <c r="AV266" s="12">
        <v>562423.80000000005</v>
      </c>
      <c r="AW266" s="12">
        <v>0</v>
      </c>
      <c r="AX266" s="12">
        <v>0</v>
      </c>
      <c r="AY266" s="12">
        <v>0</v>
      </c>
      <c r="AZ266" s="12">
        <v>0</v>
      </c>
      <c r="BA266" s="12">
        <v>0</v>
      </c>
    </row>
    <row r="267" spans="1:53" x14ac:dyDescent="0.3">
      <c r="A267" s="7">
        <f t="shared" si="73"/>
        <v>0</v>
      </c>
      <c r="B267" s="7">
        <f t="shared" si="74"/>
        <v>90000</v>
      </c>
      <c r="C267" s="7">
        <f t="shared" si="75"/>
        <v>0</v>
      </c>
      <c r="D267" s="5"/>
      <c r="E267" s="5" t="str">
        <f t="shared" si="76"/>
        <v>0402-002144</v>
      </c>
      <c r="F267" s="5"/>
      <c r="G267" s="5"/>
      <c r="H267" s="11" t="s">
        <v>762</v>
      </c>
      <c r="I267" s="11" t="s">
        <v>763</v>
      </c>
      <c r="J267" s="12">
        <v>90000</v>
      </c>
      <c r="K267" s="11" t="s">
        <v>918</v>
      </c>
      <c r="L267" s="12">
        <v>0</v>
      </c>
      <c r="M267" s="12">
        <v>90000</v>
      </c>
      <c r="N267" s="12">
        <v>0</v>
      </c>
      <c r="O267" s="12">
        <v>0</v>
      </c>
      <c r="P267" s="12">
        <v>0</v>
      </c>
      <c r="Q267" s="12">
        <v>0</v>
      </c>
      <c r="R267" s="12">
        <v>0</v>
      </c>
      <c r="S267" s="12">
        <v>0</v>
      </c>
      <c r="T267" s="12">
        <v>0</v>
      </c>
      <c r="U267" s="12">
        <v>0</v>
      </c>
      <c r="V267" s="12">
        <v>0</v>
      </c>
      <c r="W267" s="12">
        <v>90000</v>
      </c>
      <c r="X267" s="12">
        <v>0</v>
      </c>
      <c r="Y267" s="12">
        <v>0</v>
      </c>
      <c r="Z267" s="12">
        <v>0</v>
      </c>
      <c r="AA267" s="12">
        <v>0</v>
      </c>
      <c r="AB267" s="12">
        <v>0</v>
      </c>
      <c r="AC267" s="12">
        <v>0</v>
      </c>
      <c r="AD267" s="12">
        <v>0</v>
      </c>
      <c r="AE267" s="12">
        <v>0</v>
      </c>
      <c r="AF267" s="12">
        <v>0</v>
      </c>
      <c r="AG267" s="12">
        <v>0</v>
      </c>
      <c r="AH267" s="12">
        <v>0</v>
      </c>
      <c r="AI267" s="12">
        <v>0</v>
      </c>
      <c r="AJ267" s="12">
        <v>0</v>
      </c>
      <c r="AK267" s="12">
        <v>0</v>
      </c>
      <c r="AL267" s="12">
        <v>0</v>
      </c>
      <c r="AM267" s="12">
        <v>0</v>
      </c>
      <c r="AN267" s="12">
        <v>0</v>
      </c>
      <c r="AO267" s="12">
        <v>0</v>
      </c>
      <c r="AP267" s="12">
        <v>0</v>
      </c>
      <c r="AQ267" s="12">
        <v>0</v>
      </c>
      <c r="AR267" s="12">
        <v>0</v>
      </c>
      <c r="AS267" s="12">
        <v>0</v>
      </c>
      <c r="AT267" s="12">
        <v>0</v>
      </c>
      <c r="AU267" s="12">
        <v>0</v>
      </c>
      <c r="AV267" s="12">
        <v>0</v>
      </c>
      <c r="AW267" s="12">
        <v>90000</v>
      </c>
      <c r="AX267" s="12">
        <v>0</v>
      </c>
      <c r="AY267" s="12">
        <v>0</v>
      </c>
      <c r="AZ267" s="12">
        <v>0</v>
      </c>
      <c r="BA267" s="12">
        <v>0</v>
      </c>
    </row>
    <row r="268" spans="1:53" x14ac:dyDescent="0.3">
      <c r="A268" s="7">
        <f t="shared" si="73"/>
        <v>0</v>
      </c>
      <c r="B268" s="7">
        <f t="shared" si="74"/>
        <v>90000</v>
      </c>
      <c r="C268" s="7">
        <f t="shared" si="75"/>
        <v>0</v>
      </c>
      <c r="D268" s="5"/>
      <c r="E268" s="5" t="str">
        <f t="shared" si="76"/>
        <v>0402-002144</v>
      </c>
      <c r="F268" s="5"/>
      <c r="G268" s="5"/>
      <c r="H268" s="11" t="s">
        <v>49</v>
      </c>
      <c r="I268" s="11"/>
      <c r="J268" s="12">
        <v>0</v>
      </c>
      <c r="K268" s="11" t="s">
        <v>919</v>
      </c>
      <c r="L268" s="12">
        <v>0</v>
      </c>
      <c r="M268" s="12">
        <v>90000</v>
      </c>
      <c r="N268" s="12">
        <v>0</v>
      </c>
      <c r="O268" s="12">
        <v>0</v>
      </c>
      <c r="P268" s="12">
        <v>0</v>
      </c>
      <c r="Q268" s="12">
        <v>0</v>
      </c>
      <c r="R268" s="12">
        <v>0</v>
      </c>
      <c r="S268" s="12">
        <v>0</v>
      </c>
      <c r="T268" s="12">
        <v>0</v>
      </c>
      <c r="U268" s="12">
        <v>0</v>
      </c>
      <c r="V268" s="12">
        <v>0</v>
      </c>
      <c r="W268" s="12">
        <v>90000</v>
      </c>
      <c r="X268" s="12">
        <v>0</v>
      </c>
      <c r="Y268" s="12">
        <v>0</v>
      </c>
      <c r="Z268" s="12">
        <v>0</v>
      </c>
      <c r="AA268" s="12">
        <v>0</v>
      </c>
      <c r="AB268" s="12">
        <v>0</v>
      </c>
      <c r="AC268" s="12">
        <v>0</v>
      </c>
      <c r="AD268" s="12">
        <v>0</v>
      </c>
      <c r="AE268" s="12">
        <v>0</v>
      </c>
      <c r="AF268" s="12">
        <v>0</v>
      </c>
      <c r="AG268" s="12">
        <v>0</v>
      </c>
      <c r="AH268" s="12">
        <v>0</v>
      </c>
      <c r="AI268" s="12">
        <v>0</v>
      </c>
      <c r="AJ268" s="12">
        <v>0</v>
      </c>
      <c r="AK268" s="12">
        <v>0</v>
      </c>
      <c r="AL268" s="12">
        <v>0</v>
      </c>
      <c r="AM268" s="12">
        <v>0</v>
      </c>
      <c r="AN268" s="12">
        <v>0</v>
      </c>
      <c r="AO268" s="12">
        <v>0</v>
      </c>
      <c r="AP268" s="12">
        <v>0</v>
      </c>
      <c r="AQ268" s="12">
        <v>0</v>
      </c>
      <c r="AR268" s="12">
        <v>0</v>
      </c>
      <c r="AS268" s="12">
        <v>0</v>
      </c>
      <c r="AT268" s="12">
        <v>0</v>
      </c>
      <c r="AU268" s="12">
        <v>0</v>
      </c>
      <c r="AV268" s="12">
        <v>0</v>
      </c>
      <c r="AW268" s="12">
        <v>90000</v>
      </c>
      <c r="AX268" s="12">
        <v>0</v>
      </c>
      <c r="AY268" s="12">
        <v>0</v>
      </c>
      <c r="AZ268" s="12">
        <v>0</v>
      </c>
      <c r="BA268" s="12">
        <v>0</v>
      </c>
    </row>
    <row r="269" spans="1:53" x14ac:dyDescent="0.3">
      <c r="A269" s="7">
        <f t="shared" si="73"/>
        <v>4737797</v>
      </c>
      <c r="B269" s="7">
        <f t="shared" si="74"/>
        <v>5114966.5999999996</v>
      </c>
      <c r="C269" s="7">
        <f t="shared" si="75"/>
        <v>5154966.5999999996</v>
      </c>
      <c r="D269" s="5"/>
      <c r="E269" s="5" t="str">
        <f t="shared" si="76"/>
        <v>0402-002144</v>
      </c>
      <c r="F269" s="5"/>
      <c r="G269" s="6"/>
      <c r="H269" s="11" t="s">
        <v>920</v>
      </c>
      <c r="I269" s="11"/>
      <c r="J269" s="12">
        <v>0</v>
      </c>
      <c r="K269" s="11" t="s">
        <v>921</v>
      </c>
      <c r="L269" s="12">
        <v>0</v>
      </c>
      <c r="M269" s="12">
        <v>652423.80000000005</v>
      </c>
      <c r="N269" s="12">
        <v>685971</v>
      </c>
      <c r="O269" s="12">
        <v>682771</v>
      </c>
      <c r="P269" s="12">
        <v>679571</v>
      </c>
      <c r="Q269" s="12">
        <v>676371</v>
      </c>
      <c r="R269" s="12">
        <v>673171</v>
      </c>
      <c r="S269" s="12">
        <v>669971</v>
      </c>
      <c r="T269" s="12">
        <v>669971</v>
      </c>
      <c r="U269" s="12">
        <v>666423.80000000005</v>
      </c>
      <c r="V269" s="12">
        <v>666423.80000000005</v>
      </c>
      <c r="W269" s="12">
        <v>756423.8</v>
      </c>
      <c r="X269" s="12">
        <v>756423.8</v>
      </c>
      <c r="Y269" s="12">
        <v>756423.8</v>
      </c>
      <c r="Z269" s="12">
        <v>756423.8</v>
      </c>
      <c r="AA269" s="12">
        <v>756423.8</v>
      </c>
      <c r="AB269" s="12">
        <v>736423.8</v>
      </c>
      <c r="AC269" s="12">
        <v>736423.8</v>
      </c>
      <c r="AD269" s="12">
        <v>736423.8</v>
      </c>
      <c r="AE269" s="12">
        <v>736423.8</v>
      </c>
      <c r="AF269" s="12">
        <v>736423.8</v>
      </c>
      <c r="AG269" s="12">
        <v>736423.8</v>
      </c>
      <c r="AH269" s="12">
        <v>736423.8</v>
      </c>
      <c r="AI269" s="12">
        <v>716423.8</v>
      </c>
      <c r="AJ269" s="12">
        <v>696423.8</v>
      </c>
      <c r="AK269" s="12">
        <v>676423.8</v>
      </c>
      <c r="AL269" s="12">
        <v>676423.8</v>
      </c>
      <c r="AM269" s="12">
        <v>660423.80000000005</v>
      </c>
      <c r="AN269" s="12">
        <v>660423.80000000005</v>
      </c>
      <c r="AO269" s="12">
        <v>660423.80000000005</v>
      </c>
      <c r="AP269" s="12">
        <v>660423.80000000005</v>
      </c>
      <c r="AQ269" s="12">
        <v>655623.80000000005</v>
      </c>
      <c r="AR269" s="12">
        <v>655623.80000000005</v>
      </c>
      <c r="AS269" s="12">
        <v>655623.80000000005</v>
      </c>
      <c r="AT269" s="12">
        <v>652423.80000000005</v>
      </c>
      <c r="AU269" s="12">
        <v>652423.80000000005</v>
      </c>
      <c r="AV269" s="12">
        <v>652423.80000000005</v>
      </c>
      <c r="AW269" s="12">
        <v>0</v>
      </c>
      <c r="AX269" s="12">
        <v>0</v>
      </c>
      <c r="AY269" s="12">
        <v>0</v>
      </c>
      <c r="AZ269" s="12">
        <v>0</v>
      </c>
      <c r="BA269" s="12">
        <v>0</v>
      </c>
    </row>
    <row r="270" spans="1:53" x14ac:dyDescent="0.3">
      <c r="A270" s="7">
        <f t="shared" si="73"/>
        <v>59804</v>
      </c>
      <c r="B270" s="7">
        <f t="shared" si="74"/>
        <v>65944</v>
      </c>
      <c r="C270" s="7">
        <f t="shared" si="75"/>
        <v>60332.800000000003</v>
      </c>
      <c r="D270" s="13"/>
      <c r="E270" s="13" t="s">
        <v>774</v>
      </c>
      <c r="F270" s="5"/>
      <c r="G270" s="13" t="s">
        <v>949</v>
      </c>
      <c r="H270" s="13" t="s">
        <v>49</v>
      </c>
      <c r="I270" s="11" t="s">
        <v>49</v>
      </c>
      <c r="J270" s="12">
        <v>0</v>
      </c>
      <c r="K270" s="11" t="s">
        <v>916</v>
      </c>
      <c r="L270" s="12">
        <v>0</v>
      </c>
      <c r="M270" s="12">
        <v>1004455.2</v>
      </c>
      <c r="N270" s="12">
        <v>10544.8</v>
      </c>
      <c r="O270" s="12">
        <v>8800</v>
      </c>
      <c r="P270" s="12">
        <v>8459.2000000000007</v>
      </c>
      <c r="Q270" s="12">
        <v>8000</v>
      </c>
      <c r="R270" s="12">
        <v>8000</v>
      </c>
      <c r="S270" s="12">
        <v>8000</v>
      </c>
      <c r="T270" s="12">
        <v>8000</v>
      </c>
      <c r="U270" s="12">
        <v>65944</v>
      </c>
      <c r="V270" s="12">
        <v>0</v>
      </c>
      <c r="W270" s="12">
        <v>0</v>
      </c>
      <c r="X270" s="12">
        <v>0</v>
      </c>
      <c r="Y270" s="12">
        <v>0</v>
      </c>
      <c r="Z270" s="12">
        <v>0</v>
      </c>
      <c r="AA270" s="12">
        <v>0</v>
      </c>
      <c r="AB270" s="12">
        <v>60332.800000000003</v>
      </c>
      <c r="AC270" s="12">
        <v>0</v>
      </c>
      <c r="AD270" s="12">
        <v>0</v>
      </c>
      <c r="AE270" s="12">
        <v>0</v>
      </c>
      <c r="AF270" s="12">
        <v>0</v>
      </c>
      <c r="AG270" s="12">
        <v>0</v>
      </c>
      <c r="AH270" s="12">
        <v>0</v>
      </c>
      <c r="AI270" s="12">
        <v>61600</v>
      </c>
      <c r="AJ270" s="12">
        <v>59200</v>
      </c>
      <c r="AK270" s="12">
        <v>53600</v>
      </c>
      <c r="AL270" s="12">
        <v>0</v>
      </c>
      <c r="AM270" s="12">
        <v>104836.8</v>
      </c>
      <c r="AN270" s="12">
        <v>64000</v>
      </c>
      <c r="AO270" s="12">
        <v>64000</v>
      </c>
      <c r="AP270" s="12">
        <v>0</v>
      </c>
      <c r="AQ270" s="12">
        <v>87203.199999999997</v>
      </c>
      <c r="AR270" s="12">
        <v>72000</v>
      </c>
      <c r="AS270" s="12">
        <v>40000</v>
      </c>
      <c r="AT270" s="12">
        <v>211934.4</v>
      </c>
      <c r="AU270" s="12">
        <v>0</v>
      </c>
      <c r="AV270" s="12">
        <v>0</v>
      </c>
      <c r="AW270" s="12">
        <v>125748</v>
      </c>
      <c r="AX270" s="12">
        <v>234732.79999999999</v>
      </c>
      <c r="AY270" s="12">
        <v>232836.8</v>
      </c>
      <c r="AZ270" s="12">
        <v>411137.6</v>
      </c>
      <c r="BA270" s="12">
        <v>0</v>
      </c>
    </row>
    <row r="271" spans="1:53" x14ac:dyDescent="0.3">
      <c r="A271" s="7">
        <f t="shared" si="73"/>
        <v>4230026.4000000004</v>
      </c>
      <c r="B271" s="7">
        <f t="shared" si="74"/>
        <v>3598700</v>
      </c>
      <c r="C271" s="7">
        <f t="shared" si="75"/>
        <v>3176370.4000000004</v>
      </c>
      <c r="D271" s="5"/>
      <c r="E271" s="5" t="str">
        <f t="shared" ref="E271:E274" si="77">E270</f>
        <v>0403-001165</v>
      </c>
      <c r="F271" s="5"/>
      <c r="G271" s="5"/>
      <c r="H271" s="6"/>
      <c r="I271" s="11"/>
      <c r="J271" s="12">
        <v>0</v>
      </c>
      <c r="K271" s="11" t="s">
        <v>917</v>
      </c>
      <c r="L271" s="12">
        <v>639848</v>
      </c>
      <c r="M271" s="12">
        <v>-364607.2</v>
      </c>
      <c r="N271" s="12">
        <v>629303.19999999995</v>
      </c>
      <c r="O271" s="12">
        <v>620503.19999999995</v>
      </c>
      <c r="P271" s="12">
        <v>612044</v>
      </c>
      <c r="Q271" s="12">
        <v>604044</v>
      </c>
      <c r="R271" s="12">
        <v>596044</v>
      </c>
      <c r="S271" s="12">
        <v>588044</v>
      </c>
      <c r="T271" s="12">
        <v>580044</v>
      </c>
      <c r="U271" s="12">
        <v>514100</v>
      </c>
      <c r="V271" s="12">
        <v>514100</v>
      </c>
      <c r="W271" s="12">
        <v>514100</v>
      </c>
      <c r="X271" s="12">
        <v>514100</v>
      </c>
      <c r="Y271" s="12">
        <v>514100</v>
      </c>
      <c r="Z271" s="12">
        <v>514100</v>
      </c>
      <c r="AA271" s="12">
        <v>514100</v>
      </c>
      <c r="AB271" s="12">
        <v>453767.2</v>
      </c>
      <c r="AC271" s="12">
        <v>453767.2</v>
      </c>
      <c r="AD271" s="12">
        <v>453767.2</v>
      </c>
      <c r="AE271" s="12">
        <v>453767.2</v>
      </c>
      <c r="AF271" s="12">
        <v>453767.2</v>
      </c>
      <c r="AG271" s="12">
        <v>453767.2</v>
      </c>
      <c r="AH271" s="12">
        <v>453767.2</v>
      </c>
      <c r="AI271" s="12">
        <v>392167.2</v>
      </c>
      <c r="AJ271" s="12">
        <v>332967.2</v>
      </c>
      <c r="AK271" s="12">
        <v>279367.2</v>
      </c>
      <c r="AL271" s="12">
        <v>279367.2</v>
      </c>
      <c r="AM271" s="12">
        <v>174530.4</v>
      </c>
      <c r="AN271" s="12">
        <v>110530.4</v>
      </c>
      <c r="AO271" s="12">
        <v>46530.400000000001</v>
      </c>
      <c r="AP271" s="12">
        <v>46530.400000000001</v>
      </c>
      <c r="AQ271" s="12">
        <v>-40672.800000000003</v>
      </c>
      <c r="AR271" s="12">
        <v>-112672.8</v>
      </c>
      <c r="AS271" s="12">
        <v>-152672.79999999999</v>
      </c>
      <c r="AT271" s="12">
        <v>-364607.2</v>
      </c>
      <c r="AU271" s="12">
        <v>-364607.2</v>
      </c>
      <c r="AV271" s="12">
        <v>-364607.2</v>
      </c>
      <c r="AW271" s="12">
        <v>0</v>
      </c>
      <c r="AX271" s="12">
        <v>0</v>
      </c>
      <c r="AY271" s="12">
        <v>0</v>
      </c>
      <c r="AZ271" s="12">
        <v>0</v>
      </c>
      <c r="BA271" s="12">
        <v>0</v>
      </c>
    </row>
    <row r="272" spans="1:53" x14ac:dyDescent="0.3">
      <c r="A272" s="7">
        <f t="shared" si="73"/>
        <v>0</v>
      </c>
      <c r="B272" s="7">
        <f t="shared" si="74"/>
        <v>0</v>
      </c>
      <c r="C272" s="7">
        <f t="shared" si="75"/>
        <v>0</v>
      </c>
      <c r="D272" s="5"/>
      <c r="E272" s="5" t="str">
        <f t="shared" si="77"/>
        <v>0403-001165</v>
      </c>
      <c r="F272" s="5"/>
      <c r="G272" s="5"/>
      <c r="H272" s="11" t="s">
        <v>772</v>
      </c>
      <c r="I272" s="11" t="s">
        <v>773</v>
      </c>
      <c r="J272" s="12">
        <v>830000</v>
      </c>
      <c r="K272" s="11" t="s">
        <v>918</v>
      </c>
      <c r="L272" s="12">
        <v>0</v>
      </c>
      <c r="M272" s="12">
        <v>0</v>
      </c>
      <c r="N272" s="12">
        <v>0</v>
      </c>
      <c r="O272" s="12">
        <v>0</v>
      </c>
      <c r="P272" s="12">
        <v>0</v>
      </c>
      <c r="Q272" s="12">
        <v>0</v>
      </c>
      <c r="R272" s="12">
        <v>0</v>
      </c>
      <c r="S272" s="12">
        <v>0</v>
      </c>
      <c r="T272" s="12">
        <v>0</v>
      </c>
      <c r="U272" s="12">
        <v>0</v>
      </c>
      <c r="V272" s="12">
        <v>0</v>
      </c>
      <c r="W272" s="12">
        <v>0</v>
      </c>
      <c r="X272" s="12">
        <v>0</v>
      </c>
      <c r="Y272" s="12">
        <v>0</v>
      </c>
      <c r="Z272" s="12">
        <v>0</v>
      </c>
      <c r="AA272" s="12">
        <v>0</v>
      </c>
      <c r="AB272" s="12">
        <v>0</v>
      </c>
      <c r="AC272" s="12">
        <v>0</v>
      </c>
      <c r="AD272" s="12">
        <v>0</v>
      </c>
      <c r="AE272" s="12">
        <v>0</v>
      </c>
      <c r="AF272" s="12">
        <v>0</v>
      </c>
      <c r="AG272" s="12">
        <v>0</v>
      </c>
      <c r="AH272" s="12">
        <v>0</v>
      </c>
      <c r="AI272" s="12">
        <v>0</v>
      </c>
      <c r="AJ272" s="12">
        <v>0</v>
      </c>
      <c r="AK272" s="12">
        <v>0</v>
      </c>
      <c r="AL272" s="12">
        <v>0</v>
      </c>
      <c r="AM272" s="12">
        <v>0</v>
      </c>
      <c r="AN272" s="12">
        <v>0</v>
      </c>
      <c r="AO272" s="12">
        <v>0</v>
      </c>
      <c r="AP272" s="12">
        <v>0</v>
      </c>
      <c r="AQ272" s="12">
        <v>0</v>
      </c>
      <c r="AR272" s="12">
        <v>0</v>
      </c>
      <c r="AS272" s="12">
        <v>0</v>
      </c>
      <c r="AT272" s="12">
        <v>0</v>
      </c>
      <c r="AU272" s="12">
        <v>0</v>
      </c>
      <c r="AV272" s="12">
        <v>0</v>
      </c>
      <c r="AW272" s="12">
        <v>0</v>
      </c>
      <c r="AX272" s="12">
        <v>0</v>
      </c>
      <c r="AY272" s="12">
        <v>0</v>
      </c>
      <c r="AZ272" s="12">
        <v>0</v>
      </c>
      <c r="BA272" s="12">
        <v>0</v>
      </c>
    </row>
    <row r="273" spans="1:53" x14ac:dyDescent="0.3">
      <c r="A273" s="7">
        <f t="shared" si="73"/>
        <v>0</v>
      </c>
      <c r="B273" s="7">
        <f t="shared" si="74"/>
        <v>0</v>
      </c>
      <c r="C273" s="7">
        <f t="shared" si="75"/>
        <v>0</v>
      </c>
      <c r="D273" s="5"/>
      <c r="E273" s="5" t="str">
        <f t="shared" si="77"/>
        <v>0403-001165</v>
      </c>
      <c r="F273" s="5"/>
      <c r="G273" s="5"/>
      <c r="H273" s="11" t="s">
        <v>49</v>
      </c>
      <c r="I273" s="11"/>
      <c r="J273" s="12">
        <v>0</v>
      </c>
      <c r="K273" s="11" t="s">
        <v>919</v>
      </c>
      <c r="L273" s="12">
        <v>0</v>
      </c>
      <c r="M273" s="12">
        <v>0</v>
      </c>
      <c r="N273" s="12">
        <v>0</v>
      </c>
      <c r="O273" s="12">
        <v>0</v>
      </c>
      <c r="P273" s="12">
        <v>0</v>
      </c>
      <c r="Q273" s="12">
        <v>0</v>
      </c>
      <c r="R273" s="12">
        <v>0</v>
      </c>
      <c r="S273" s="12">
        <v>0</v>
      </c>
      <c r="T273" s="12">
        <v>0</v>
      </c>
      <c r="U273" s="12">
        <v>0</v>
      </c>
      <c r="V273" s="12">
        <v>0</v>
      </c>
      <c r="W273" s="12">
        <v>0</v>
      </c>
      <c r="X273" s="12">
        <v>0</v>
      </c>
      <c r="Y273" s="12">
        <v>0</v>
      </c>
      <c r="Z273" s="12">
        <v>0</v>
      </c>
      <c r="AA273" s="12">
        <v>0</v>
      </c>
      <c r="AB273" s="12">
        <v>0</v>
      </c>
      <c r="AC273" s="12">
        <v>0</v>
      </c>
      <c r="AD273" s="12">
        <v>0</v>
      </c>
      <c r="AE273" s="12">
        <v>0</v>
      </c>
      <c r="AF273" s="12">
        <v>0</v>
      </c>
      <c r="AG273" s="12">
        <v>0</v>
      </c>
      <c r="AH273" s="12">
        <v>0</v>
      </c>
      <c r="AI273" s="12">
        <v>0</v>
      </c>
      <c r="AJ273" s="12">
        <v>0</v>
      </c>
      <c r="AK273" s="12">
        <v>0</v>
      </c>
      <c r="AL273" s="12">
        <v>0</v>
      </c>
      <c r="AM273" s="12">
        <v>0</v>
      </c>
      <c r="AN273" s="12">
        <v>0</v>
      </c>
      <c r="AO273" s="12">
        <v>0</v>
      </c>
      <c r="AP273" s="12">
        <v>0</v>
      </c>
      <c r="AQ273" s="12">
        <v>0</v>
      </c>
      <c r="AR273" s="12">
        <v>0</v>
      </c>
      <c r="AS273" s="12">
        <v>0</v>
      </c>
      <c r="AT273" s="12">
        <v>0</v>
      </c>
      <c r="AU273" s="12">
        <v>0</v>
      </c>
      <c r="AV273" s="12">
        <v>0</v>
      </c>
      <c r="AW273" s="12">
        <v>0</v>
      </c>
      <c r="AX273" s="12">
        <v>0</v>
      </c>
      <c r="AY273" s="12">
        <v>0</v>
      </c>
      <c r="AZ273" s="12">
        <v>0</v>
      </c>
      <c r="BA273" s="12">
        <v>0</v>
      </c>
    </row>
    <row r="274" spans="1:53" x14ac:dyDescent="0.3">
      <c r="A274" s="7">
        <f t="shared" si="73"/>
        <v>4230026.4000000004</v>
      </c>
      <c r="B274" s="7">
        <f t="shared" si="74"/>
        <v>3598700</v>
      </c>
      <c r="C274" s="7">
        <f t="shared" si="75"/>
        <v>3176370.4000000004</v>
      </c>
      <c r="D274" s="5"/>
      <c r="E274" s="5" t="str">
        <f t="shared" si="77"/>
        <v>0403-001165</v>
      </c>
      <c r="F274" s="5"/>
      <c r="G274" s="6"/>
      <c r="H274" s="11" t="s">
        <v>920</v>
      </c>
      <c r="I274" s="11"/>
      <c r="J274" s="12">
        <v>0</v>
      </c>
      <c r="K274" s="11" t="s">
        <v>921</v>
      </c>
      <c r="L274" s="12">
        <v>0</v>
      </c>
      <c r="M274" s="12">
        <v>-364607.2</v>
      </c>
      <c r="N274" s="12">
        <v>629303.19999999995</v>
      </c>
      <c r="O274" s="12">
        <v>620503.19999999995</v>
      </c>
      <c r="P274" s="12">
        <v>612044</v>
      </c>
      <c r="Q274" s="12">
        <v>604044</v>
      </c>
      <c r="R274" s="12">
        <v>596044</v>
      </c>
      <c r="S274" s="12">
        <v>588044</v>
      </c>
      <c r="T274" s="12">
        <v>580044</v>
      </c>
      <c r="U274" s="12">
        <v>514100</v>
      </c>
      <c r="V274" s="12">
        <v>514100</v>
      </c>
      <c r="W274" s="12">
        <v>514100</v>
      </c>
      <c r="X274" s="12">
        <v>514100</v>
      </c>
      <c r="Y274" s="12">
        <v>514100</v>
      </c>
      <c r="Z274" s="12">
        <v>514100</v>
      </c>
      <c r="AA274" s="12">
        <v>514100</v>
      </c>
      <c r="AB274" s="12">
        <v>453767.2</v>
      </c>
      <c r="AC274" s="12">
        <v>453767.2</v>
      </c>
      <c r="AD274" s="12">
        <v>453767.2</v>
      </c>
      <c r="AE274" s="12">
        <v>453767.2</v>
      </c>
      <c r="AF274" s="12">
        <v>453767.2</v>
      </c>
      <c r="AG274" s="12">
        <v>453767.2</v>
      </c>
      <c r="AH274" s="12">
        <v>453767.2</v>
      </c>
      <c r="AI274" s="12">
        <v>392167.2</v>
      </c>
      <c r="AJ274" s="12">
        <v>332967.2</v>
      </c>
      <c r="AK274" s="12">
        <v>279367.2</v>
      </c>
      <c r="AL274" s="12">
        <v>279367.2</v>
      </c>
      <c r="AM274" s="12">
        <v>174530.4</v>
      </c>
      <c r="AN274" s="12">
        <v>110530.4</v>
      </c>
      <c r="AO274" s="12">
        <v>46530.400000000001</v>
      </c>
      <c r="AP274" s="12">
        <v>46530.400000000001</v>
      </c>
      <c r="AQ274" s="12">
        <v>-40672.800000000003</v>
      </c>
      <c r="AR274" s="12">
        <v>-112672.8</v>
      </c>
      <c r="AS274" s="12">
        <v>-152672.79999999999</v>
      </c>
      <c r="AT274" s="12">
        <v>-364607.2</v>
      </c>
      <c r="AU274" s="12">
        <v>-364607.2</v>
      </c>
      <c r="AV274" s="12">
        <v>-364607.2</v>
      </c>
      <c r="AW274" s="12">
        <v>0</v>
      </c>
      <c r="AX274" s="12">
        <v>0</v>
      </c>
      <c r="AY274" s="12">
        <v>0</v>
      </c>
      <c r="AZ274" s="12">
        <v>0</v>
      </c>
      <c r="BA274" s="12">
        <v>0</v>
      </c>
    </row>
    <row r="275" spans="1:53" x14ac:dyDescent="0.3">
      <c r="A275" s="7">
        <f t="shared" si="73"/>
        <v>14866</v>
      </c>
      <c r="B275" s="7">
        <f t="shared" si="74"/>
        <v>11982.4</v>
      </c>
      <c r="C275" s="7">
        <f t="shared" si="75"/>
        <v>18312.8</v>
      </c>
      <c r="D275" s="13"/>
      <c r="E275" s="13" t="s">
        <v>791</v>
      </c>
      <c r="F275" s="5"/>
      <c r="G275" s="13" t="s">
        <v>1021</v>
      </c>
      <c r="H275" s="13" t="s">
        <v>49</v>
      </c>
      <c r="I275" s="11" t="s">
        <v>49</v>
      </c>
      <c r="J275" s="12">
        <v>0</v>
      </c>
      <c r="K275" s="11" t="s">
        <v>916</v>
      </c>
      <c r="L275" s="12">
        <v>0</v>
      </c>
      <c r="M275" s="12">
        <v>98527.6</v>
      </c>
      <c r="N275" s="12">
        <v>3236.4</v>
      </c>
      <c r="O275" s="12">
        <v>2800</v>
      </c>
      <c r="P275" s="12">
        <v>2429.6</v>
      </c>
      <c r="Q275" s="12">
        <v>1600</v>
      </c>
      <c r="R275" s="12">
        <v>1600</v>
      </c>
      <c r="S275" s="12">
        <v>1600</v>
      </c>
      <c r="T275" s="12">
        <v>1600</v>
      </c>
      <c r="U275" s="12">
        <v>11982.4</v>
      </c>
      <c r="V275" s="12">
        <v>0</v>
      </c>
      <c r="W275" s="12">
        <v>0</v>
      </c>
      <c r="X275" s="12">
        <v>0</v>
      </c>
      <c r="Y275" s="12">
        <v>0</v>
      </c>
      <c r="Z275" s="12">
        <v>0</v>
      </c>
      <c r="AA275" s="12">
        <v>0</v>
      </c>
      <c r="AB275" s="12">
        <v>18312.8</v>
      </c>
      <c r="AC275" s="12">
        <v>0</v>
      </c>
      <c r="AD275" s="12">
        <v>0</v>
      </c>
      <c r="AE275" s="12">
        <v>0</v>
      </c>
      <c r="AF275" s="12">
        <v>0</v>
      </c>
      <c r="AG275" s="12">
        <v>0</v>
      </c>
      <c r="AH275" s="12">
        <v>0</v>
      </c>
      <c r="AI275" s="12">
        <v>18000</v>
      </c>
      <c r="AJ275" s="12">
        <v>10000</v>
      </c>
      <c r="AK275" s="12">
        <v>10000</v>
      </c>
      <c r="AL275" s="12">
        <v>0</v>
      </c>
      <c r="AM275" s="12">
        <v>11200</v>
      </c>
      <c r="AN275" s="12">
        <v>0</v>
      </c>
      <c r="AO275" s="12">
        <v>0</v>
      </c>
      <c r="AP275" s="12">
        <v>0</v>
      </c>
      <c r="AQ275" s="12">
        <v>2566.4</v>
      </c>
      <c r="AR275" s="12">
        <v>0</v>
      </c>
      <c r="AS275" s="12">
        <v>0</v>
      </c>
      <c r="AT275" s="12">
        <v>1600</v>
      </c>
      <c r="AU275" s="12">
        <v>0</v>
      </c>
      <c r="AV275" s="12">
        <v>0</v>
      </c>
      <c r="AW275" s="12">
        <v>26848.400000000001</v>
      </c>
      <c r="AX275" s="12">
        <v>56312.800000000003</v>
      </c>
      <c r="AY275" s="12">
        <v>11200</v>
      </c>
      <c r="AZ275" s="12">
        <v>4166.3999999999996</v>
      </c>
      <c r="BA275" s="12">
        <v>0</v>
      </c>
    </row>
    <row r="276" spans="1:53" x14ac:dyDescent="0.3">
      <c r="A276" s="7">
        <f t="shared" si="73"/>
        <v>583397.19999999995</v>
      </c>
      <c r="B276" s="7">
        <f t="shared" si="74"/>
        <v>463061.19999999995</v>
      </c>
      <c r="C276" s="7">
        <f t="shared" si="75"/>
        <v>334871.59999999998</v>
      </c>
      <c r="D276" s="5"/>
      <c r="E276" s="5" t="str">
        <f t="shared" ref="E276:E279" si="78">E275</f>
        <v>0403-001880</v>
      </c>
      <c r="F276" s="5"/>
      <c r="G276" s="5"/>
      <c r="H276" s="6"/>
      <c r="I276" s="11"/>
      <c r="J276" s="12">
        <v>0</v>
      </c>
      <c r="K276" s="11" t="s">
        <v>917</v>
      </c>
      <c r="L276" s="12">
        <v>93000</v>
      </c>
      <c r="M276" s="12">
        <v>-5527.6</v>
      </c>
      <c r="N276" s="12">
        <v>89763.6</v>
      </c>
      <c r="O276" s="12">
        <v>86963.6</v>
      </c>
      <c r="P276" s="12">
        <v>84534</v>
      </c>
      <c r="Q276" s="12">
        <v>82934</v>
      </c>
      <c r="R276" s="12">
        <v>81334</v>
      </c>
      <c r="S276" s="12">
        <v>79734</v>
      </c>
      <c r="T276" s="12">
        <v>78134</v>
      </c>
      <c r="U276" s="12">
        <v>66151.600000000006</v>
      </c>
      <c r="V276" s="12">
        <v>66151.600000000006</v>
      </c>
      <c r="W276" s="12">
        <v>66151.600000000006</v>
      </c>
      <c r="X276" s="12">
        <v>66151.600000000006</v>
      </c>
      <c r="Y276" s="12">
        <v>66151.600000000006</v>
      </c>
      <c r="Z276" s="12">
        <v>66151.600000000006</v>
      </c>
      <c r="AA276" s="12">
        <v>66151.600000000006</v>
      </c>
      <c r="AB276" s="12">
        <v>47838.8</v>
      </c>
      <c r="AC276" s="12">
        <v>47838.8</v>
      </c>
      <c r="AD276" s="12">
        <v>47838.8</v>
      </c>
      <c r="AE276" s="12">
        <v>47838.8</v>
      </c>
      <c r="AF276" s="12">
        <v>47838.8</v>
      </c>
      <c r="AG276" s="12">
        <v>47838.8</v>
      </c>
      <c r="AH276" s="12">
        <v>47838.8</v>
      </c>
      <c r="AI276" s="12">
        <v>29838.799999999999</v>
      </c>
      <c r="AJ276" s="12">
        <v>19838.8</v>
      </c>
      <c r="AK276" s="12">
        <v>9838.7999999999993</v>
      </c>
      <c r="AL276" s="12">
        <v>9838.7999999999993</v>
      </c>
      <c r="AM276" s="12">
        <v>-1361.2</v>
      </c>
      <c r="AN276" s="12">
        <v>-1361.2</v>
      </c>
      <c r="AO276" s="12">
        <v>-1361.2</v>
      </c>
      <c r="AP276" s="12">
        <v>-1361.2</v>
      </c>
      <c r="AQ276" s="12">
        <v>-3927.6</v>
      </c>
      <c r="AR276" s="12">
        <v>-3927.6</v>
      </c>
      <c r="AS276" s="12">
        <v>-3927.6</v>
      </c>
      <c r="AT276" s="12">
        <v>-5527.6</v>
      </c>
      <c r="AU276" s="12">
        <v>-5527.6</v>
      </c>
      <c r="AV276" s="12">
        <v>-5527.6</v>
      </c>
      <c r="AW276" s="12">
        <v>0</v>
      </c>
      <c r="AX276" s="12">
        <v>0</v>
      </c>
      <c r="AY276" s="12">
        <v>0</v>
      </c>
      <c r="AZ276" s="12">
        <v>0</v>
      </c>
      <c r="BA276" s="12">
        <v>0</v>
      </c>
    </row>
    <row r="277" spans="1:53" x14ac:dyDescent="0.3">
      <c r="A277" s="7">
        <f t="shared" si="73"/>
        <v>3000</v>
      </c>
      <c r="B277" s="7">
        <f t="shared" si="74"/>
        <v>0</v>
      </c>
      <c r="C277" s="7">
        <f t="shared" si="75"/>
        <v>0</v>
      </c>
      <c r="D277" s="5"/>
      <c r="E277" s="5" t="str">
        <f t="shared" si="78"/>
        <v>0403-001880</v>
      </c>
      <c r="F277" s="5"/>
      <c r="G277" s="5"/>
      <c r="H277" s="11" t="s">
        <v>772</v>
      </c>
      <c r="I277" s="11" t="s">
        <v>773</v>
      </c>
      <c r="J277" s="12">
        <v>45000</v>
      </c>
      <c r="K277" s="11" t="s">
        <v>918</v>
      </c>
      <c r="L277" s="12">
        <v>0</v>
      </c>
      <c r="M277" s="12">
        <v>3000</v>
      </c>
      <c r="N277" s="12">
        <v>0</v>
      </c>
      <c r="O277" s="12">
        <v>0</v>
      </c>
      <c r="P277" s="12">
        <v>0</v>
      </c>
      <c r="Q277" s="12">
        <v>0</v>
      </c>
      <c r="R277" s="12">
        <v>0</v>
      </c>
      <c r="S277" s="12">
        <v>3000</v>
      </c>
      <c r="T277" s="12">
        <v>0</v>
      </c>
      <c r="U277" s="12">
        <v>0</v>
      </c>
      <c r="V277" s="12">
        <v>0</v>
      </c>
      <c r="W277" s="12">
        <v>0</v>
      </c>
      <c r="X277" s="12">
        <v>0</v>
      </c>
      <c r="Y277" s="12">
        <v>0</v>
      </c>
      <c r="Z277" s="12">
        <v>0</v>
      </c>
      <c r="AA277" s="12">
        <v>0</v>
      </c>
      <c r="AB277" s="12">
        <v>0</v>
      </c>
      <c r="AC277" s="12">
        <v>0</v>
      </c>
      <c r="AD277" s="12">
        <v>0</v>
      </c>
      <c r="AE277" s="12">
        <v>0</v>
      </c>
      <c r="AF277" s="12">
        <v>0</v>
      </c>
      <c r="AG277" s="12">
        <v>0</v>
      </c>
      <c r="AH277" s="12">
        <v>0</v>
      </c>
      <c r="AI277" s="12">
        <v>0</v>
      </c>
      <c r="AJ277" s="12">
        <v>0</v>
      </c>
      <c r="AK277" s="12">
        <v>0</v>
      </c>
      <c r="AL277" s="12">
        <v>0</v>
      </c>
      <c r="AM277" s="12">
        <v>0</v>
      </c>
      <c r="AN277" s="12">
        <v>0</v>
      </c>
      <c r="AO277" s="12">
        <v>0</v>
      </c>
      <c r="AP277" s="12">
        <v>0</v>
      </c>
      <c r="AQ277" s="12">
        <v>0</v>
      </c>
      <c r="AR277" s="12">
        <v>0</v>
      </c>
      <c r="AS277" s="12">
        <v>0</v>
      </c>
      <c r="AT277" s="12">
        <v>0</v>
      </c>
      <c r="AU277" s="12">
        <v>0</v>
      </c>
      <c r="AV277" s="12">
        <v>0</v>
      </c>
      <c r="AW277" s="12">
        <v>3000</v>
      </c>
      <c r="AX277" s="12">
        <v>0</v>
      </c>
      <c r="AY277" s="12">
        <v>0</v>
      </c>
      <c r="AZ277" s="12">
        <v>0</v>
      </c>
      <c r="BA277" s="12">
        <v>0</v>
      </c>
    </row>
    <row r="278" spans="1:53" x14ac:dyDescent="0.3">
      <c r="A278" s="7">
        <f t="shared" si="73"/>
        <v>3000</v>
      </c>
      <c r="B278" s="7">
        <f t="shared" si="74"/>
        <v>0</v>
      </c>
      <c r="C278" s="7">
        <f t="shared" si="75"/>
        <v>0</v>
      </c>
      <c r="D278" s="5"/>
      <c r="E278" s="5" t="str">
        <f t="shared" si="78"/>
        <v>0403-001880</v>
      </c>
      <c r="F278" s="5"/>
      <c r="G278" s="5"/>
      <c r="H278" s="11" t="s">
        <v>49</v>
      </c>
      <c r="I278" s="11"/>
      <c r="J278" s="12">
        <v>0</v>
      </c>
      <c r="K278" s="11" t="s">
        <v>919</v>
      </c>
      <c r="L278" s="12">
        <v>0</v>
      </c>
      <c r="M278" s="12">
        <v>3000</v>
      </c>
      <c r="N278" s="12">
        <v>0</v>
      </c>
      <c r="O278" s="12">
        <v>0</v>
      </c>
      <c r="P278" s="12">
        <v>0</v>
      </c>
      <c r="Q278" s="12">
        <v>0</v>
      </c>
      <c r="R278" s="12">
        <v>0</v>
      </c>
      <c r="S278" s="12">
        <v>3000</v>
      </c>
      <c r="T278" s="12">
        <v>0</v>
      </c>
      <c r="U278" s="12">
        <v>0</v>
      </c>
      <c r="V278" s="12">
        <v>0</v>
      </c>
      <c r="W278" s="12">
        <v>0</v>
      </c>
      <c r="X278" s="12">
        <v>0</v>
      </c>
      <c r="Y278" s="12">
        <v>0</v>
      </c>
      <c r="Z278" s="12">
        <v>0</v>
      </c>
      <c r="AA278" s="12">
        <v>0</v>
      </c>
      <c r="AB278" s="12">
        <v>0</v>
      </c>
      <c r="AC278" s="12">
        <v>0</v>
      </c>
      <c r="AD278" s="12">
        <v>0</v>
      </c>
      <c r="AE278" s="12">
        <v>0</v>
      </c>
      <c r="AF278" s="12">
        <v>0</v>
      </c>
      <c r="AG278" s="12">
        <v>0</v>
      </c>
      <c r="AH278" s="12">
        <v>0</v>
      </c>
      <c r="AI278" s="12">
        <v>0</v>
      </c>
      <c r="AJ278" s="12">
        <v>0</v>
      </c>
      <c r="AK278" s="12">
        <v>0</v>
      </c>
      <c r="AL278" s="12">
        <v>0</v>
      </c>
      <c r="AM278" s="12">
        <v>0</v>
      </c>
      <c r="AN278" s="12">
        <v>0</v>
      </c>
      <c r="AO278" s="12">
        <v>0</v>
      </c>
      <c r="AP278" s="12">
        <v>0</v>
      </c>
      <c r="AQ278" s="12">
        <v>0</v>
      </c>
      <c r="AR278" s="12">
        <v>0</v>
      </c>
      <c r="AS278" s="12">
        <v>0</v>
      </c>
      <c r="AT278" s="12">
        <v>0</v>
      </c>
      <c r="AU278" s="12">
        <v>0</v>
      </c>
      <c r="AV278" s="12">
        <v>0</v>
      </c>
      <c r="AW278" s="12">
        <v>3000</v>
      </c>
      <c r="AX278" s="12">
        <v>0</v>
      </c>
      <c r="AY278" s="12">
        <v>0</v>
      </c>
      <c r="AZ278" s="12">
        <v>0</v>
      </c>
      <c r="BA278" s="12">
        <v>0</v>
      </c>
    </row>
    <row r="279" spans="1:53" x14ac:dyDescent="0.3">
      <c r="A279" s="7">
        <f t="shared" si="73"/>
        <v>589397.19999999995</v>
      </c>
      <c r="B279" s="7">
        <f t="shared" si="74"/>
        <v>484061.19999999995</v>
      </c>
      <c r="C279" s="7">
        <f t="shared" si="75"/>
        <v>355871.6</v>
      </c>
      <c r="D279" s="5"/>
      <c r="E279" s="5" t="str">
        <f t="shared" si="78"/>
        <v>0403-001880</v>
      </c>
      <c r="F279" s="5"/>
      <c r="G279" s="6"/>
      <c r="H279" s="11" t="s">
        <v>920</v>
      </c>
      <c r="I279" s="11"/>
      <c r="J279" s="12">
        <v>0</v>
      </c>
      <c r="K279" s="11" t="s">
        <v>921</v>
      </c>
      <c r="L279" s="12">
        <v>0</v>
      </c>
      <c r="M279" s="12">
        <v>-2527.6</v>
      </c>
      <c r="N279" s="12">
        <v>89763.6</v>
      </c>
      <c r="O279" s="12">
        <v>86963.6</v>
      </c>
      <c r="P279" s="12">
        <v>84534</v>
      </c>
      <c r="Q279" s="12">
        <v>82934</v>
      </c>
      <c r="R279" s="12">
        <v>81334</v>
      </c>
      <c r="S279" s="12">
        <v>82734</v>
      </c>
      <c r="T279" s="12">
        <v>81134</v>
      </c>
      <c r="U279" s="12">
        <v>69151.600000000006</v>
      </c>
      <c r="V279" s="12">
        <v>69151.600000000006</v>
      </c>
      <c r="W279" s="12">
        <v>69151.600000000006</v>
      </c>
      <c r="X279" s="12">
        <v>69151.600000000006</v>
      </c>
      <c r="Y279" s="12">
        <v>69151.600000000006</v>
      </c>
      <c r="Z279" s="12">
        <v>69151.600000000006</v>
      </c>
      <c r="AA279" s="12">
        <v>69151.600000000006</v>
      </c>
      <c r="AB279" s="12">
        <v>50838.8</v>
      </c>
      <c r="AC279" s="12">
        <v>50838.8</v>
      </c>
      <c r="AD279" s="12">
        <v>50838.8</v>
      </c>
      <c r="AE279" s="12">
        <v>50838.8</v>
      </c>
      <c r="AF279" s="12">
        <v>50838.8</v>
      </c>
      <c r="AG279" s="12">
        <v>50838.8</v>
      </c>
      <c r="AH279" s="12">
        <v>50838.8</v>
      </c>
      <c r="AI279" s="12">
        <v>32838.800000000003</v>
      </c>
      <c r="AJ279" s="12">
        <v>22838.799999999999</v>
      </c>
      <c r="AK279" s="12">
        <v>12838.8</v>
      </c>
      <c r="AL279" s="12">
        <v>12838.8</v>
      </c>
      <c r="AM279" s="12">
        <v>1638.8</v>
      </c>
      <c r="AN279" s="12">
        <v>1638.8</v>
      </c>
      <c r="AO279" s="12">
        <v>1638.8</v>
      </c>
      <c r="AP279" s="12">
        <v>1638.8</v>
      </c>
      <c r="AQ279" s="12">
        <v>-927.6</v>
      </c>
      <c r="AR279" s="12">
        <v>-927.6</v>
      </c>
      <c r="AS279" s="12">
        <v>-927.6</v>
      </c>
      <c r="AT279" s="12">
        <v>-2527.6</v>
      </c>
      <c r="AU279" s="12">
        <v>-2527.6</v>
      </c>
      <c r="AV279" s="12">
        <v>-2527.6</v>
      </c>
      <c r="AW279" s="12">
        <v>0</v>
      </c>
      <c r="AX279" s="12">
        <v>0</v>
      </c>
      <c r="AY279" s="12">
        <v>0</v>
      </c>
      <c r="AZ279" s="12">
        <v>0</v>
      </c>
      <c r="BA279" s="12">
        <v>0</v>
      </c>
    </row>
    <row r="280" spans="1:53" x14ac:dyDescent="0.3">
      <c r="A280" s="7">
        <f t="shared" si="73"/>
        <v>0</v>
      </c>
      <c r="B280" s="7">
        <f t="shared" si="74"/>
        <v>0</v>
      </c>
      <c r="C280" s="7">
        <f t="shared" si="75"/>
        <v>0</v>
      </c>
      <c r="D280" s="13" t="s">
        <v>950</v>
      </c>
      <c r="E280" s="13" t="s">
        <v>833</v>
      </c>
      <c r="F280" s="5"/>
      <c r="G280" s="13" t="s">
        <v>1022</v>
      </c>
      <c r="H280" s="13" t="s">
        <v>49</v>
      </c>
      <c r="I280" s="11" t="s">
        <v>49</v>
      </c>
      <c r="J280" s="12">
        <v>0</v>
      </c>
      <c r="K280" s="11" t="s">
        <v>916</v>
      </c>
      <c r="L280" s="12">
        <v>0</v>
      </c>
      <c r="M280" s="12">
        <v>0</v>
      </c>
      <c r="N280" s="12">
        <v>0</v>
      </c>
      <c r="O280" s="12">
        <v>0</v>
      </c>
      <c r="P280" s="12">
        <v>0</v>
      </c>
      <c r="Q280" s="12">
        <v>0</v>
      </c>
      <c r="R280" s="12">
        <v>0</v>
      </c>
      <c r="S280" s="12">
        <v>0</v>
      </c>
      <c r="T280" s="12">
        <v>0</v>
      </c>
      <c r="U280" s="12">
        <v>0</v>
      </c>
      <c r="V280" s="12">
        <v>0</v>
      </c>
      <c r="W280" s="12">
        <v>0</v>
      </c>
      <c r="X280" s="12">
        <v>0</v>
      </c>
      <c r="Y280" s="12">
        <v>0</v>
      </c>
      <c r="Z280" s="12">
        <v>0</v>
      </c>
      <c r="AA280" s="12">
        <v>0</v>
      </c>
      <c r="AB280" s="12">
        <v>0</v>
      </c>
      <c r="AC280" s="12">
        <v>0</v>
      </c>
      <c r="AD280" s="12">
        <v>0</v>
      </c>
      <c r="AE280" s="12">
        <v>0</v>
      </c>
      <c r="AF280" s="12">
        <v>0</v>
      </c>
      <c r="AG280" s="12">
        <v>0</v>
      </c>
      <c r="AH280" s="12">
        <v>0</v>
      </c>
      <c r="AI280" s="12">
        <v>0</v>
      </c>
      <c r="AJ280" s="12">
        <v>0</v>
      </c>
      <c r="AK280" s="12">
        <v>0</v>
      </c>
      <c r="AL280" s="12">
        <v>0</v>
      </c>
      <c r="AM280" s="12">
        <v>0</v>
      </c>
      <c r="AN280" s="12">
        <v>0</v>
      </c>
      <c r="AO280" s="12">
        <v>0</v>
      </c>
      <c r="AP280" s="12">
        <v>0</v>
      </c>
      <c r="AQ280" s="12">
        <v>0</v>
      </c>
      <c r="AR280" s="12">
        <v>0</v>
      </c>
      <c r="AS280" s="12">
        <v>0</v>
      </c>
      <c r="AT280" s="12">
        <v>0</v>
      </c>
      <c r="AU280" s="12">
        <v>0</v>
      </c>
      <c r="AV280" s="12">
        <v>0</v>
      </c>
      <c r="AW280" s="12">
        <v>0</v>
      </c>
      <c r="AX280" s="12">
        <v>0</v>
      </c>
      <c r="AY280" s="12">
        <v>0</v>
      </c>
      <c r="AZ280" s="12">
        <v>0</v>
      </c>
      <c r="BA280" s="12">
        <v>0</v>
      </c>
    </row>
    <row r="281" spans="1:53" x14ac:dyDescent="0.3">
      <c r="A281" s="7">
        <f t="shared" si="73"/>
        <v>0</v>
      </c>
      <c r="B281" s="7">
        <f t="shared" si="74"/>
        <v>0</v>
      </c>
      <c r="C281" s="7">
        <f t="shared" si="75"/>
        <v>0</v>
      </c>
      <c r="D281" s="5" t="str">
        <f t="shared" ref="D281:E289" si="79">D280</f>
        <v>760</v>
      </c>
      <c r="E281" s="5" t="str">
        <f t="shared" si="79"/>
        <v>ML26A00001T</v>
      </c>
      <c r="F281" s="5"/>
      <c r="G281" s="5"/>
      <c r="H281" s="6"/>
      <c r="I281" s="11"/>
      <c r="J281" s="12">
        <v>0</v>
      </c>
      <c r="K281" s="11" t="s">
        <v>917</v>
      </c>
      <c r="L281" s="12">
        <v>0</v>
      </c>
      <c r="M281" s="12">
        <v>0</v>
      </c>
      <c r="N281" s="12">
        <v>0</v>
      </c>
      <c r="O281" s="12">
        <v>0</v>
      </c>
      <c r="P281" s="12">
        <v>0</v>
      </c>
      <c r="Q281" s="12">
        <v>0</v>
      </c>
      <c r="R281" s="12">
        <v>0</v>
      </c>
      <c r="S281" s="12">
        <v>0</v>
      </c>
      <c r="T281" s="12">
        <v>0</v>
      </c>
      <c r="U281" s="12">
        <v>0</v>
      </c>
      <c r="V281" s="12">
        <v>0</v>
      </c>
      <c r="W281" s="12">
        <v>0</v>
      </c>
      <c r="X281" s="12">
        <v>0</v>
      </c>
      <c r="Y281" s="12">
        <v>0</v>
      </c>
      <c r="Z281" s="12">
        <v>0</v>
      </c>
      <c r="AA281" s="12">
        <v>0</v>
      </c>
      <c r="AB281" s="12">
        <v>0</v>
      </c>
      <c r="AC281" s="12">
        <v>0</v>
      </c>
      <c r="AD281" s="12">
        <v>0</v>
      </c>
      <c r="AE281" s="12">
        <v>0</v>
      </c>
      <c r="AF281" s="12">
        <v>0</v>
      </c>
      <c r="AG281" s="12">
        <v>0</v>
      </c>
      <c r="AH281" s="12">
        <v>0</v>
      </c>
      <c r="AI281" s="12">
        <v>0</v>
      </c>
      <c r="AJ281" s="12">
        <v>0</v>
      </c>
      <c r="AK281" s="12">
        <v>0</v>
      </c>
      <c r="AL281" s="12">
        <v>0</v>
      </c>
      <c r="AM281" s="12">
        <v>0</v>
      </c>
      <c r="AN281" s="12">
        <v>0</v>
      </c>
      <c r="AO281" s="12">
        <v>0</v>
      </c>
      <c r="AP281" s="12">
        <v>0</v>
      </c>
      <c r="AQ281" s="12">
        <v>0</v>
      </c>
      <c r="AR281" s="12">
        <v>0</v>
      </c>
      <c r="AS281" s="12">
        <v>0</v>
      </c>
      <c r="AT281" s="12">
        <v>0</v>
      </c>
      <c r="AU281" s="12">
        <v>0</v>
      </c>
      <c r="AV281" s="12">
        <v>0</v>
      </c>
      <c r="AW281" s="12">
        <v>0</v>
      </c>
      <c r="AX281" s="12">
        <v>0</v>
      </c>
      <c r="AY281" s="12">
        <v>0</v>
      </c>
      <c r="AZ281" s="12">
        <v>0</v>
      </c>
      <c r="BA281" s="12">
        <v>0</v>
      </c>
    </row>
    <row r="282" spans="1:53" x14ac:dyDescent="0.3">
      <c r="A282" s="7">
        <f t="shared" si="73"/>
        <v>0</v>
      </c>
      <c r="B282" s="7">
        <f t="shared" si="74"/>
        <v>0</v>
      </c>
      <c r="C282" s="7">
        <f t="shared" si="75"/>
        <v>0</v>
      </c>
      <c r="D282" s="5" t="str">
        <f t="shared" si="79"/>
        <v>760</v>
      </c>
      <c r="E282" s="5" t="str">
        <f t="shared" si="79"/>
        <v>ML26A00001T</v>
      </c>
      <c r="F282" s="5"/>
      <c r="G282" s="5"/>
      <c r="H282" s="11" t="s">
        <v>780</v>
      </c>
      <c r="I282" s="11" t="s">
        <v>781</v>
      </c>
      <c r="J282" s="12"/>
      <c r="K282" s="11" t="s">
        <v>918</v>
      </c>
      <c r="L282" s="12">
        <v>0</v>
      </c>
      <c r="M282" s="12">
        <v>0</v>
      </c>
      <c r="N282" s="12">
        <v>0</v>
      </c>
      <c r="O282" s="12">
        <v>0</v>
      </c>
      <c r="P282" s="12">
        <v>0</v>
      </c>
      <c r="Q282" s="12">
        <v>0</v>
      </c>
      <c r="R282" s="12">
        <v>0</v>
      </c>
      <c r="S282" s="12">
        <v>0</v>
      </c>
      <c r="T282" s="12">
        <v>0</v>
      </c>
      <c r="U282" s="12">
        <v>0</v>
      </c>
      <c r="V282" s="12">
        <v>0</v>
      </c>
      <c r="W282" s="12">
        <v>0</v>
      </c>
      <c r="X282" s="12">
        <v>0</v>
      </c>
      <c r="Y282" s="12">
        <v>0</v>
      </c>
      <c r="Z282" s="12">
        <v>0</v>
      </c>
      <c r="AA282" s="12">
        <v>0</v>
      </c>
      <c r="AB282" s="12">
        <v>0</v>
      </c>
      <c r="AC282" s="12">
        <v>0</v>
      </c>
      <c r="AD282" s="12">
        <v>0</v>
      </c>
      <c r="AE282" s="12">
        <v>0</v>
      </c>
      <c r="AF282" s="12">
        <v>0</v>
      </c>
      <c r="AG282" s="12">
        <v>0</v>
      </c>
      <c r="AH282" s="12">
        <v>0</v>
      </c>
      <c r="AI282" s="12">
        <v>0</v>
      </c>
      <c r="AJ282" s="12">
        <v>0</v>
      </c>
      <c r="AK282" s="12">
        <v>0</v>
      </c>
      <c r="AL282" s="12">
        <v>0</v>
      </c>
      <c r="AM282" s="12">
        <v>0</v>
      </c>
      <c r="AN282" s="12">
        <v>0</v>
      </c>
      <c r="AO282" s="12">
        <v>0</v>
      </c>
      <c r="AP282" s="12">
        <v>0</v>
      </c>
      <c r="AQ282" s="12">
        <v>0</v>
      </c>
      <c r="AR282" s="12">
        <v>0</v>
      </c>
      <c r="AS282" s="12">
        <v>0</v>
      </c>
      <c r="AT282" s="12">
        <v>0</v>
      </c>
      <c r="AU282" s="12">
        <v>0</v>
      </c>
      <c r="AV282" s="12">
        <v>0</v>
      </c>
      <c r="AW282" s="12">
        <v>0</v>
      </c>
      <c r="AX282" s="12">
        <v>0</v>
      </c>
      <c r="AY282" s="12">
        <v>0</v>
      </c>
      <c r="AZ282" s="12">
        <v>0</v>
      </c>
      <c r="BA282" s="12">
        <v>0</v>
      </c>
    </row>
    <row r="283" spans="1:53" x14ac:dyDescent="0.3">
      <c r="A283" s="7">
        <f t="shared" si="73"/>
        <v>0</v>
      </c>
      <c r="B283" s="7">
        <f t="shared" si="74"/>
        <v>0</v>
      </c>
      <c r="C283" s="7">
        <f t="shared" si="75"/>
        <v>0</v>
      </c>
      <c r="D283" s="5" t="str">
        <f t="shared" si="79"/>
        <v>760</v>
      </c>
      <c r="E283" s="5" t="str">
        <f t="shared" si="79"/>
        <v>ML26A00001T</v>
      </c>
      <c r="F283" s="5"/>
      <c r="G283" s="5"/>
      <c r="H283" s="11" t="s">
        <v>49</v>
      </c>
      <c r="I283" s="11"/>
      <c r="J283" s="12">
        <v>0</v>
      </c>
      <c r="K283" s="11" t="s">
        <v>919</v>
      </c>
      <c r="L283" s="12">
        <v>0</v>
      </c>
      <c r="M283" s="12">
        <v>0</v>
      </c>
      <c r="N283" s="12">
        <v>0</v>
      </c>
      <c r="O283" s="12">
        <v>0</v>
      </c>
      <c r="P283" s="12">
        <v>0</v>
      </c>
      <c r="Q283" s="12">
        <v>0</v>
      </c>
      <c r="R283" s="12">
        <v>0</v>
      </c>
      <c r="S283" s="12">
        <v>0</v>
      </c>
      <c r="T283" s="12">
        <v>0</v>
      </c>
      <c r="U283" s="12">
        <v>0</v>
      </c>
      <c r="V283" s="12">
        <v>0</v>
      </c>
      <c r="W283" s="12">
        <v>0</v>
      </c>
      <c r="X283" s="12">
        <v>0</v>
      </c>
      <c r="Y283" s="12">
        <v>0</v>
      </c>
      <c r="Z283" s="12">
        <v>0</v>
      </c>
      <c r="AA283" s="12">
        <v>0</v>
      </c>
      <c r="AB283" s="12">
        <v>0</v>
      </c>
      <c r="AC283" s="12">
        <v>0</v>
      </c>
      <c r="AD283" s="12">
        <v>0</v>
      </c>
      <c r="AE283" s="12">
        <v>0</v>
      </c>
      <c r="AF283" s="12">
        <v>0</v>
      </c>
      <c r="AG283" s="12">
        <v>0</v>
      </c>
      <c r="AH283" s="12">
        <v>0</v>
      </c>
      <c r="AI283" s="12">
        <v>0</v>
      </c>
      <c r="AJ283" s="12">
        <v>0</v>
      </c>
      <c r="AK283" s="12">
        <v>0</v>
      </c>
      <c r="AL283" s="12">
        <v>0</v>
      </c>
      <c r="AM283" s="12">
        <v>0</v>
      </c>
      <c r="AN283" s="12">
        <v>0</v>
      </c>
      <c r="AO283" s="12">
        <v>0</v>
      </c>
      <c r="AP283" s="12">
        <v>0</v>
      </c>
      <c r="AQ283" s="12">
        <v>0</v>
      </c>
      <c r="AR283" s="12">
        <v>0</v>
      </c>
      <c r="AS283" s="12">
        <v>0</v>
      </c>
      <c r="AT283" s="12">
        <v>0</v>
      </c>
      <c r="AU283" s="12">
        <v>0</v>
      </c>
      <c r="AV283" s="12">
        <v>0</v>
      </c>
      <c r="AW283" s="12">
        <v>0</v>
      </c>
      <c r="AX283" s="12">
        <v>0</v>
      </c>
      <c r="AY283" s="12">
        <v>0</v>
      </c>
      <c r="AZ283" s="12">
        <v>0</v>
      </c>
      <c r="BA283" s="12">
        <v>0</v>
      </c>
    </row>
    <row r="284" spans="1:53" x14ac:dyDescent="0.3">
      <c r="A284" s="7">
        <f t="shared" si="73"/>
        <v>0</v>
      </c>
      <c r="B284" s="7">
        <f t="shared" si="74"/>
        <v>0</v>
      </c>
      <c r="C284" s="7">
        <f t="shared" si="75"/>
        <v>0</v>
      </c>
      <c r="D284" s="5" t="str">
        <f t="shared" si="79"/>
        <v>760</v>
      </c>
      <c r="E284" s="5" t="str">
        <f t="shared" si="79"/>
        <v>ML26A00001T</v>
      </c>
      <c r="F284" s="5"/>
      <c r="G284" s="6"/>
      <c r="H284" s="11" t="s">
        <v>920</v>
      </c>
      <c r="I284" s="11"/>
      <c r="J284" s="12">
        <v>0</v>
      </c>
      <c r="K284" s="11" t="s">
        <v>921</v>
      </c>
      <c r="L284" s="12">
        <v>0</v>
      </c>
      <c r="M284" s="12">
        <v>0</v>
      </c>
      <c r="N284" s="12">
        <v>0</v>
      </c>
      <c r="O284" s="12">
        <v>0</v>
      </c>
      <c r="P284" s="12">
        <v>0</v>
      </c>
      <c r="Q284" s="12">
        <v>0</v>
      </c>
      <c r="R284" s="12">
        <v>0</v>
      </c>
      <c r="S284" s="12">
        <v>0</v>
      </c>
      <c r="T284" s="12">
        <v>0</v>
      </c>
      <c r="U284" s="12">
        <v>0</v>
      </c>
      <c r="V284" s="12">
        <v>0</v>
      </c>
      <c r="W284" s="12">
        <v>0</v>
      </c>
      <c r="X284" s="12">
        <v>0</v>
      </c>
      <c r="Y284" s="12">
        <v>0</v>
      </c>
      <c r="Z284" s="12">
        <v>0</v>
      </c>
      <c r="AA284" s="12">
        <v>0</v>
      </c>
      <c r="AB284" s="12">
        <v>0</v>
      </c>
      <c r="AC284" s="12">
        <v>0</v>
      </c>
      <c r="AD284" s="12">
        <v>0</v>
      </c>
      <c r="AE284" s="12">
        <v>0</v>
      </c>
      <c r="AF284" s="12">
        <v>0</v>
      </c>
      <c r="AG284" s="12">
        <v>0</v>
      </c>
      <c r="AH284" s="12">
        <v>0</v>
      </c>
      <c r="AI284" s="12">
        <v>0</v>
      </c>
      <c r="AJ284" s="12">
        <v>0</v>
      </c>
      <c r="AK284" s="12">
        <v>0</v>
      </c>
      <c r="AL284" s="12">
        <v>0</v>
      </c>
      <c r="AM284" s="12">
        <v>0</v>
      </c>
      <c r="AN284" s="12">
        <v>0</v>
      </c>
      <c r="AO284" s="12">
        <v>0</v>
      </c>
      <c r="AP284" s="12">
        <v>0</v>
      </c>
      <c r="AQ284" s="12">
        <v>0</v>
      </c>
      <c r="AR284" s="12">
        <v>0</v>
      </c>
      <c r="AS284" s="12">
        <v>0</v>
      </c>
      <c r="AT284" s="12">
        <v>0</v>
      </c>
      <c r="AU284" s="12">
        <v>0</v>
      </c>
      <c r="AV284" s="12">
        <v>0</v>
      </c>
      <c r="AW284" s="12">
        <v>0</v>
      </c>
      <c r="AX284" s="12">
        <v>0</v>
      </c>
      <c r="AY284" s="12">
        <v>0</v>
      </c>
      <c r="AZ284" s="12">
        <v>0</v>
      </c>
      <c r="BA284" s="12">
        <v>0</v>
      </c>
    </row>
    <row r="285" spans="1:53" x14ac:dyDescent="0.3">
      <c r="A285" s="7">
        <f t="shared" si="73"/>
        <v>62608</v>
      </c>
      <c r="B285" s="7">
        <f t="shared" si="74"/>
        <v>90532</v>
      </c>
      <c r="C285" s="7">
        <f t="shared" si="75"/>
        <v>85883</v>
      </c>
      <c r="D285" s="5" t="str">
        <f t="shared" si="79"/>
        <v>760</v>
      </c>
      <c r="E285" s="13" t="s">
        <v>832</v>
      </c>
      <c r="F285" s="5"/>
      <c r="G285" s="13" t="s">
        <v>951</v>
      </c>
      <c r="H285" s="13" t="s">
        <v>49</v>
      </c>
      <c r="I285" s="11" t="s">
        <v>49</v>
      </c>
      <c r="J285" s="12">
        <v>0</v>
      </c>
      <c r="K285" s="11" t="s">
        <v>916</v>
      </c>
      <c r="L285" s="12">
        <v>0</v>
      </c>
      <c r="M285" s="12">
        <v>1191660</v>
      </c>
      <c r="N285" s="12">
        <v>25608</v>
      </c>
      <c r="O285" s="12">
        <v>25000</v>
      </c>
      <c r="P285" s="12">
        <v>0</v>
      </c>
      <c r="Q285" s="12">
        <v>12000</v>
      </c>
      <c r="R285" s="12">
        <v>0</v>
      </c>
      <c r="S285" s="12">
        <v>0</v>
      </c>
      <c r="T285" s="12">
        <v>0</v>
      </c>
      <c r="U285" s="12">
        <v>78340</v>
      </c>
      <c r="V285" s="12">
        <v>0</v>
      </c>
      <c r="W285" s="12">
        <v>0</v>
      </c>
      <c r="X285" s="12">
        <v>0</v>
      </c>
      <c r="Y285" s="12">
        <v>0</v>
      </c>
      <c r="Z285" s="12">
        <v>0</v>
      </c>
      <c r="AA285" s="12">
        <v>12192</v>
      </c>
      <c r="AB285" s="12">
        <v>85883</v>
      </c>
      <c r="AC285" s="12">
        <v>0</v>
      </c>
      <c r="AD285" s="12">
        <v>0</v>
      </c>
      <c r="AE285" s="12">
        <v>0</v>
      </c>
      <c r="AF285" s="12">
        <v>0</v>
      </c>
      <c r="AG285" s="12">
        <v>0</v>
      </c>
      <c r="AH285" s="12">
        <v>0</v>
      </c>
      <c r="AI285" s="12">
        <v>50000</v>
      </c>
      <c r="AJ285" s="12">
        <v>64000</v>
      </c>
      <c r="AK285" s="12">
        <v>51000</v>
      </c>
      <c r="AL285" s="12">
        <v>0</v>
      </c>
      <c r="AM285" s="12">
        <v>70000</v>
      </c>
      <c r="AN285" s="12">
        <v>209000</v>
      </c>
      <c r="AO285" s="12">
        <v>31500</v>
      </c>
      <c r="AP285" s="12">
        <v>0</v>
      </c>
      <c r="AQ285" s="12">
        <v>123637</v>
      </c>
      <c r="AR285" s="12">
        <v>117000</v>
      </c>
      <c r="AS285" s="12">
        <v>0</v>
      </c>
      <c r="AT285" s="12">
        <v>236500</v>
      </c>
      <c r="AU285" s="12">
        <v>0</v>
      </c>
      <c r="AV285" s="12">
        <v>0</v>
      </c>
      <c r="AW285" s="12">
        <v>140948</v>
      </c>
      <c r="AX285" s="12">
        <v>263075</v>
      </c>
      <c r="AY285" s="12">
        <v>310500</v>
      </c>
      <c r="AZ285" s="12">
        <v>477137</v>
      </c>
      <c r="BA285" s="12">
        <v>0</v>
      </c>
    </row>
    <row r="286" spans="1:53" x14ac:dyDescent="0.3">
      <c r="A286" s="7">
        <f t="shared" si="73"/>
        <v>-229045</v>
      </c>
      <c r="B286" s="7">
        <f t="shared" si="74"/>
        <v>-850617</v>
      </c>
      <c r="C286" s="7">
        <f t="shared" si="75"/>
        <v>-1524950</v>
      </c>
      <c r="D286" s="5" t="str">
        <f t="shared" si="79"/>
        <v>760</v>
      </c>
      <c r="E286" s="5" t="str">
        <f t="shared" si="79"/>
        <v>ML26A00001U</v>
      </c>
      <c r="F286" s="5"/>
      <c r="G286" s="5"/>
      <c r="H286" s="6"/>
      <c r="I286" s="11"/>
      <c r="J286" s="12">
        <v>0</v>
      </c>
      <c r="K286" s="11" t="s">
        <v>917</v>
      </c>
      <c r="L286" s="12">
        <v>21173</v>
      </c>
      <c r="M286" s="12">
        <v>-1170487</v>
      </c>
      <c r="N286" s="12">
        <v>-4435</v>
      </c>
      <c r="O286" s="12">
        <v>-29435</v>
      </c>
      <c r="P286" s="12">
        <v>-29435</v>
      </c>
      <c r="Q286" s="12">
        <v>-41435</v>
      </c>
      <c r="R286" s="12">
        <v>-41435</v>
      </c>
      <c r="S286" s="12">
        <v>-41435</v>
      </c>
      <c r="T286" s="12">
        <v>-41435</v>
      </c>
      <c r="U286" s="12">
        <v>-119775</v>
      </c>
      <c r="V286" s="12">
        <v>-119775</v>
      </c>
      <c r="W286" s="12">
        <v>-119775</v>
      </c>
      <c r="X286" s="12">
        <v>-119775</v>
      </c>
      <c r="Y286" s="12">
        <v>-119775</v>
      </c>
      <c r="Z286" s="12">
        <v>-119775</v>
      </c>
      <c r="AA286" s="12">
        <v>-131967</v>
      </c>
      <c r="AB286" s="12">
        <v>-217850</v>
      </c>
      <c r="AC286" s="12">
        <v>-217850</v>
      </c>
      <c r="AD286" s="12">
        <v>-217850</v>
      </c>
      <c r="AE286" s="12">
        <v>-217850</v>
      </c>
      <c r="AF286" s="12">
        <v>-217850</v>
      </c>
      <c r="AG286" s="12">
        <v>-217850</v>
      </c>
      <c r="AH286" s="12">
        <v>-217850</v>
      </c>
      <c r="AI286" s="12">
        <v>-267850</v>
      </c>
      <c r="AJ286" s="12">
        <v>-331850</v>
      </c>
      <c r="AK286" s="12">
        <v>-382850</v>
      </c>
      <c r="AL286" s="12">
        <v>-382850</v>
      </c>
      <c r="AM286" s="12">
        <v>-452850</v>
      </c>
      <c r="AN286" s="12">
        <v>-661850</v>
      </c>
      <c r="AO286" s="12">
        <v>-693350</v>
      </c>
      <c r="AP286" s="12">
        <v>-693350</v>
      </c>
      <c r="AQ286" s="12">
        <v>-816987</v>
      </c>
      <c r="AR286" s="12">
        <v>-933987</v>
      </c>
      <c r="AS286" s="12">
        <v>-933987</v>
      </c>
      <c r="AT286" s="12">
        <v>-1170487</v>
      </c>
      <c r="AU286" s="12">
        <v>-1170487</v>
      </c>
      <c r="AV286" s="12">
        <v>-1170487</v>
      </c>
      <c r="AW286" s="12">
        <v>0</v>
      </c>
      <c r="AX286" s="12">
        <v>0</v>
      </c>
      <c r="AY286" s="12">
        <v>0</v>
      </c>
      <c r="AZ286" s="12">
        <v>0</v>
      </c>
      <c r="BA286" s="12">
        <v>0</v>
      </c>
    </row>
    <row r="287" spans="1:53" x14ac:dyDescent="0.3">
      <c r="A287" s="7">
        <f t="shared" si="73"/>
        <v>94864</v>
      </c>
      <c r="B287" s="7">
        <f t="shared" si="74"/>
        <v>192080</v>
      </c>
      <c r="C287" s="7">
        <f t="shared" si="75"/>
        <v>91728</v>
      </c>
      <c r="D287" s="5" t="str">
        <f t="shared" si="79"/>
        <v>760</v>
      </c>
      <c r="E287" s="5" t="str">
        <f t="shared" si="79"/>
        <v>ML26A00001U</v>
      </c>
      <c r="F287" s="5"/>
      <c r="G287" s="5"/>
      <c r="H287" s="11" t="s">
        <v>778</v>
      </c>
      <c r="I287" s="11" t="s">
        <v>779</v>
      </c>
      <c r="J287" s="12">
        <v>471143</v>
      </c>
      <c r="K287" s="11" t="s">
        <v>918</v>
      </c>
      <c r="L287" s="12">
        <v>0</v>
      </c>
      <c r="M287" s="12">
        <v>578672</v>
      </c>
      <c r="N287" s="12">
        <v>0</v>
      </c>
      <c r="O287" s="12">
        <v>0</v>
      </c>
      <c r="P287" s="12">
        <v>94864</v>
      </c>
      <c r="Q287" s="12">
        <v>0</v>
      </c>
      <c r="R287" s="12">
        <v>0</v>
      </c>
      <c r="S287" s="12">
        <v>0</v>
      </c>
      <c r="T287" s="12">
        <v>0</v>
      </c>
      <c r="U287" s="12">
        <v>0</v>
      </c>
      <c r="V287" s="12">
        <v>0</v>
      </c>
      <c r="W287" s="12">
        <v>192080</v>
      </c>
      <c r="X287" s="12">
        <v>0</v>
      </c>
      <c r="Y287" s="12">
        <v>0</v>
      </c>
      <c r="Z287" s="12">
        <v>0</v>
      </c>
      <c r="AA287" s="12">
        <v>0</v>
      </c>
      <c r="AB287" s="12">
        <v>0</v>
      </c>
      <c r="AC287" s="12">
        <v>0</v>
      </c>
      <c r="AD287" s="12">
        <v>91728</v>
      </c>
      <c r="AE287" s="12">
        <v>0</v>
      </c>
      <c r="AF287" s="12">
        <v>0</v>
      </c>
      <c r="AG287" s="12">
        <v>0</v>
      </c>
      <c r="AH287" s="12">
        <v>0</v>
      </c>
      <c r="AI287" s="12">
        <v>0</v>
      </c>
      <c r="AJ287" s="12">
        <v>0</v>
      </c>
      <c r="AK287" s="12">
        <v>100000</v>
      </c>
      <c r="AL287" s="12">
        <v>100000</v>
      </c>
      <c r="AM287" s="12">
        <v>0</v>
      </c>
      <c r="AN287" s="12">
        <v>0</v>
      </c>
      <c r="AO287" s="12">
        <v>0</v>
      </c>
      <c r="AP287" s="12">
        <v>0</v>
      </c>
      <c r="AQ287" s="12">
        <v>0</v>
      </c>
      <c r="AR287" s="12">
        <v>0</v>
      </c>
      <c r="AS287" s="12">
        <v>0</v>
      </c>
      <c r="AT287" s="12">
        <v>0</v>
      </c>
      <c r="AU287" s="12">
        <v>0</v>
      </c>
      <c r="AV287" s="12">
        <v>0</v>
      </c>
      <c r="AW287" s="12">
        <v>286944</v>
      </c>
      <c r="AX287" s="12">
        <v>191728</v>
      </c>
      <c r="AY287" s="12">
        <v>100000</v>
      </c>
      <c r="AZ287" s="12">
        <v>0</v>
      </c>
      <c r="BA287" s="12">
        <v>0</v>
      </c>
    </row>
    <row r="288" spans="1:53" x14ac:dyDescent="0.3">
      <c r="A288" s="7">
        <f t="shared" si="73"/>
        <v>94864</v>
      </c>
      <c r="B288" s="7">
        <f t="shared" si="74"/>
        <v>192080</v>
      </c>
      <c r="C288" s="7">
        <f t="shared" si="75"/>
        <v>91728</v>
      </c>
      <c r="D288" s="5" t="str">
        <f t="shared" si="79"/>
        <v>760</v>
      </c>
      <c r="E288" s="5" t="str">
        <f t="shared" si="79"/>
        <v>ML26A00001U</v>
      </c>
      <c r="F288" s="5"/>
      <c r="G288" s="5"/>
      <c r="H288" s="11" t="s">
        <v>49</v>
      </c>
      <c r="I288" s="11"/>
      <c r="J288" s="12">
        <v>0</v>
      </c>
      <c r="K288" s="11" t="s">
        <v>919</v>
      </c>
      <c r="L288" s="12">
        <v>0</v>
      </c>
      <c r="M288" s="12">
        <v>578672</v>
      </c>
      <c r="N288" s="12">
        <v>0</v>
      </c>
      <c r="O288" s="12">
        <v>0</v>
      </c>
      <c r="P288" s="12">
        <v>94864</v>
      </c>
      <c r="Q288" s="12">
        <v>0</v>
      </c>
      <c r="R288" s="12">
        <v>0</v>
      </c>
      <c r="S288" s="12">
        <v>0</v>
      </c>
      <c r="T288" s="12">
        <v>0</v>
      </c>
      <c r="U288" s="12">
        <v>0</v>
      </c>
      <c r="V288" s="12">
        <v>0</v>
      </c>
      <c r="W288" s="12">
        <v>192080</v>
      </c>
      <c r="X288" s="12">
        <v>0</v>
      </c>
      <c r="Y288" s="12">
        <v>0</v>
      </c>
      <c r="Z288" s="12">
        <v>0</v>
      </c>
      <c r="AA288" s="12">
        <v>0</v>
      </c>
      <c r="AB288" s="12">
        <v>0</v>
      </c>
      <c r="AC288" s="12">
        <v>0</v>
      </c>
      <c r="AD288" s="12">
        <v>91728</v>
      </c>
      <c r="AE288" s="12">
        <v>0</v>
      </c>
      <c r="AF288" s="12">
        <v>0</v>
      </c>
      <c r="AG288" s="12">
        <v>0</v>
      </c>
      <c r="AH288" s="12">
        <v>0</v>
      </c>
      <c r="AI288" s="12">
        <v>0</v>
      </c>
      <c r="AJ288" s="12">
        <v>0</v>
      </c>
      <c r="AK288" s="12">
        <v>100000</v>
      </c>
      <c r="AL288" s="12">
        <v>100000</v>
      </c>
      <c r="AM288" s="12">
        <v>0</v>
      </c>
      <c r="AN288" s="12">
        <v>0</v>
      </c>
      <c r="AO288" s="12">
        <v>0</v>
      </c>
      <c r="AP288" s="12">
        <v>0</v>
      </c>
      <c r="AQ288" s="12">
        <v>0</v>
      </c>
      <c r="AR288" s="12">
        <v>0</v>
      </c>
      <c r="AS288" s="12">
        <v>0</v>
      </c>
      <c r="AT288" s="12">
        <v>0</v>
      </c>
      <c r="AU288" s="12">
        <v>0</v>
      </c>
      <c r="AV288" s="12">
        <v>0</v>
      </c>
      <c r="AW288" s="12">
        <v>286944</v>
      </c>
      <c r="AX288" s="12">
        <v>191728</v>
      </c>
      <c r="AY288" s="12">
        <v>100000</v>
      </c>
      <c r="AZ288" s="12">
        <v>0</v>
      </c>
      <c r="BA288" s="12">
        <v>0</v>
      </c>
    </row>
    <row r="289" spans="1:53" x14ac:dyDescent="0.3">
      <c r="A289" s="7">
        <f t="shared" si="73"/>
        <v>245275</v>
      </c>
      <c r="B289" s="7">
        <f t="shared" si="74"/>
        <v>773831</v>
      </c>
      <c r="C289" s="7">
        <f t="shared" si="75"/>
        <v>942298</v>
      </c>
      <c r="D289" s="5" t="str">
        <f t="shared" si="79"/>
        <v>760</v>
      </c>
      <c r="E289" s="5" t="str">
        <f t="shared" si="79"/>
        <v>ML26A00001U</v>
      </c>
      <c r="F289" s="5"/>
      <c r="G289" s="6"/>
      <c r="H289" s="11" t="s">
        <v>920</v>
      </c>
      <c r="I289" s="11"/>
      <c r="J289" s="12">
        <v>0</v>
      </c>
      <c r="K289" s="11" t="s">
        <v>921</v>
      </c>
      <c r="L289" s="12">
        <v>0</v>
      </c>
      <c r="M289" s="12">
        <v>-591815</v>
      </c>
      <c r="N289" s="12">
        <v>-4435</v>
      </c>
      <c r="O289" s="12">
        <v>-29435</v>
      </c>
      <c r="P289" s="12">
        <v>65429</v>
      </c>
      <c r="Q289" s="12">
        <v>53429</v>
      </c>
      <c r="R289" s="12">
        <v>53429</v>
      </c>
      <c r="S289" s="12">
        <v>53429</v>
      </c>
      <c r="T289" s="12">
        <v>53429</v>
      </c>
      <c r="U289" s="12">
        <v>-24911</v>
      </c>
      <c r="V289" s="12">
        <v>-24911</v>
      </c>
      <c r="W289" s="12">
        <v>167169</v>
      </c>
      <c r="X289" s="12">
        <v>167169</v>
      </c>
      <c r="Y289" s="12">
        <v>167169</v>
      </c>
      <c r="Z289" s="12">
        <v>167169</v>
      </c>
      <c r="AA289" s="12">
        <v>154977</v>
      </c>
      <c r="AB289" s="12">
        <v>69094</v>
      </c>
      <c r="AC289" s="12">
        <v>69094</v>
      </c>
      <c r="AD289" s="12">
        <v>160822</v>
      </c>
      <c r="AE289" s="12">
        <v>160822</v>
      </c>
      <c r="AF289" s="12">
        <v>160822</v>
      </c>
      <c r="AG289" s="12">
        <v>160822</v>
      </c>
      <c r="AH289" s="12">
        <v>160822</v>
      </c>
      <c r="AI289" s="12">
        <v>110822</v>
      </c>
      <c r="AJ289" s="12">
        <v>46822</v>
      </c>
      <c r="AK289" s="12">
        <v>95822</v>
      </c>
      <c r="AL289" s="12">
        <v>195822</v>
      </c>
      <c r="AM289" s="12">
        <v>125822</v>
      </c>
      <c r="AN289" s="12">
        <v>-83178</v>
      </c>
      <c r="AO289" s="12">
        <v>-114678</v>
      </c>
      <c r="AP289" s="12">
        <v>-114678</v>
      </c>
      <c r="AQ289" s="12">
        <v>-238315</v>
      </c>
      <c r="AR289" s="12">
        <v>-355315</v>
      </c>
      <c r="AS289" s="12">
        <v>-355315</v>
      </c>
      <c r="AT289" s="12">
        <v>-591815</v>
      </c>
      <c r="AU289" s="12">
        <v>-591815</v>
      </c>
      <c r="AV289" s="12">
        <v>-591815</v>
      </c>
      <c r="AW289" s="12">
        <v>0</v>
      </c>
      <c r="AX289" s="12">
        <v>0</v>
      </c>
      <c r="AY289" s="12">
        <v>0</v>
      </c>
      <c r="AZ289" s="12">
        <v>0</v>
      </c>
      <c r="BA289" s="12">
        <v>0</v>
      </c>
    </row>
    <row r="290" spans="1:53" x14ac:dyDescent="0.3">
      <c r="A290" s="7">
        <f t="shared" si="73"/>
        <v>756083</v>
      </c>
      <c r="B290" s="7">
        <f t="shared" si="74"/>
        <v>658530</v>
      </c>
      <c r="C290" s="7">
        <f t="shared" si="75"/>
        <v>473541</v>
      </c>
      <c r="D290" s="13" t="s">
        <v>1023</v>
      </c>
      <c r="E290" s="13" t="s">
        <v>823</v>
      </c>
      <c r="F290" s="5"/>
      <c r="G290" s="13" t="s">
        <v>1024</v>
      </c>
      <c r="H290" s="13" t="s">
        <v>49</v>
      </c>
      <c r="I290" s="11" t="s">
        <v>49</v>
      </c>
      <c r="J290" s="12">
        <v>0</v>
      </c>
      <c r="K290" s="11" t="s">
        <v>916</v>
      </c>
      <c r="L290" s="12">
        <v>0</v>
      </c>
      <c r="M290" s="12">
        <v>12644682</v>
      </c>
      <c r="N290" s="12">
        <v>118806</v>
      </c>
      <c r="O290" s="12">
        <v>113000</v>
      </c>
      <c r="P290" s="12">
        <v>130314</v>
      </c>
      <c r="Q290" s="12">
        <v>106000</v>
      </c>
      <c r="R290" s="12">
        <v>101000</v>
      </c>
      <c r="S290" s="12">
        <v>97537</v>
      </c>
      <c r="T290" s="12">
        <v>89426</v>
      </c>
      <c r="U290" s="12">
        <v>527816</v>
      </c>
      <c r="V290" s="12">
        <v>0</v>
      </c>
      <c r="W290" s="12">
        <v>0</v>
      </c>
      <c r="X290" s="12">
        <v>0</v>
      </c>
      <c r="Y290" s="12">
        <v>0</v>
      </c>
      <c r="Z290" s="12">
        <v>0</v>
      </c>
      <c r="AA290" s="12">
        <v>130714</v>
      </c>
      <c r="AB290" s="12">
        <v>473541</v>
      </c>
      <c r="AC290" s="12">
        <v>0</v>
      </c>
      <c r="AD290" s="12">
        <v>0</v>
      </c>
      <c r="AE290" s="12">
        <v>0</v>
      </c>
      <c r="AF290" s="12">
        <v>0</v>
      </c>
      <c r="AG290" s="12">
        <v>0</v>
      </c>
      <c r="AH290" s="12">
        <v>0</v>
      </c>
      <c r="AI290" s="12">
        <v>818000</v>
      </c>
      <c r="AJ290" s="12">
        <v>742000</v>
      </c>
      <c r="AK290" s="12">
        <v>825000</v>
      </c>
      <c r="AL290" s="12">
        <v>5000</v>
      </c>
      <c r="AM290" s="12">
        <v>1063000</v>
      </c>
      <c r="AN290" s="12">
        <v>846500</v>
      </c>
      <c r="AO290" s="12">
        <v>861000</v>
      </c>
      <c r="AP290" s="12">
        <v>0</v>
      </c>
      <c r="AQ290" s="12">
        <v>912000</v>
      </c>
      <c r="AR290" s="12">
        <v>968000</v>
      </c>
      <c r="AS290" s="12">
        <v>760000</v>
      </c>
      <c r="AT290" s="12">
        <v>2956028</v>
      </c>
      <c r="AU290" s="12">
        <v>0</v>
      </c>
      <c r="AV290" s="12">
        <v>0</v>
      </c>
      <c r="AW290" s="12">
        <v>1283899</v>
      </c>
      <c r="AX290" s="12">
        <v>2994255</v>
      </c>
      <c r="AY290" s="12">
        <v>2770500</v>
      </c>
      <c r="AZ290" s="12">
        <v>5596028</v>
      </c>
      <c r="BA290" s="12">
        <v>0</v>
      </c>
    </row>
    <row r="291" spans="1:53" x14ac:dyDescent="0.3">
      <c r="A291" s="7">
        <f t="shared" si="73"/>
        <v>-1653936</v>
      </c>
      <c r="B291" s="7">
        <f t="shared" si="74"/>
        <v>-7599231</v>
      </c>
      <c r="C291" s="7">
        <f t="shared" si="75"/>
        <v>-11698302</v>
      </c>
      <c r="D291" s="5" t="str">
        <f t="shared" ref="D291:E299" si="80">D290</f>
        <v>766</v>
      </c>
      <c r="E291" s="5" t="str">
        <f t="shared" si="80"/>
        <v>ML26A00004H</v>
      </c>
      <c r="F291" s="5"/>
      <c r="G291" s="5"/>
      <c r="H291" s="6"/>
      <c r="I291" s="11"/>
      <c r="J291" s="12">
        <v>0</v>
      </c>
      <c r="K291" s="11" t="s">
        <v>917</v>
      </c>
      <c r="L291" s="12">
        <v>216968</v>
      </c>
      <c r="M291" s="12">
        <v>-12427714</v>
      </c>
      <c r="N291" s="12">
        <v>98162</v>
      </c>
      <c r="O291" s="12">
        <v>-14838</v>
      </c>
      <c r="P291" s="12">
        <v>-145152</v>
      </c>
      <c r="Q291" s="12">
        <v>-251152</v>
      </c>
      <c r="R291" s="12">
        <v>-352152</v>
      </c>
      <c r="S291" s="12">
        <v>-449689</v>
      </c>
      <c r="T291" s="12">
        <v>-539115</v>
      </c>
      <c r="U291" s="12">
        <v>-1066931</v>
      </c>
      <c r="V291" s="12">
        <v>-1066931</v>
      </c>
      <c r="W291" s="12">
        <v>-1066931</v>
      </c>
      <c r="X291" s="12">
        <v>-1066931</v>
      </c>
      <c r="Y291" s="12">
        <v>-1066931</v>
      </c>
      <c r="Z291" s="12">
        <v>-1066931</v>
      </c>
      <c r="AA291" s="12">
        <v>-1197645</v>
      </c>
      <c r="AB291" s="12">
        <v>-1671186</v>
      </c>
      <c r="AC291" s="12">
        <v>-1671186</v>
      </c>
      <c r="AD291" s="12">
        <v>-1671186</v>
      </c>
      <c r="AE291" s="12">
        <v>-1671186</v>
      </c>
      <c r="AF291" s="12">
        <v>-1671186</v>
      </c>
      <c r="AG291" s="12">
        <v>-1671186</v>
      </c>
      <c r="AH291" s="12">
        <v>-1671186</v>
      </c>
      <c r="AI291" s="12">
        <v>-2489186</v>
      </c>
      <c r="AJ291" s="12">
        <v>-3231186</v>
      </c>
      <c r="AK291" s="12">
        <v>-4056186</v>
      </c>
      <c r="AL291" s="12">
        <v>-4061186</v>
      </c>
      <c r="AM291" s="12">
        <v>-5124186</v>
      </c>
      <c r="AN291" s="12">
        <v>-5970686</v>
      </c>
      <c r="AO291" s="12">
        <v>-6831686</v>
      </c>
      <c r="AP291" s="12">
        <v>-6831686</v>
      </c>
      <c r="AQ291" s="12">
        <v>-7743686</v>
      </c>
      <c r="AR291" s="12">
        <v>-8711686</v>
      </c>
      <c r="AS291" s="12">
        <v>-9471686</v>
      </c>
      <c r="AT291" s="12">
        <v>-12427714</v>
      </c>
      <c r="AU291" s="12">
        <v>-12427714</v>
      </c>
      <c r="AV291" s="12">
        <v>-12427714</v>
      </c>
      <c r="AW291" s="12">
        <v>0</v>
      </c>
      <c r="AX291" s="12">
        <v>0</v>
      </c>
      <c r="AY291" s="12">
        <v>0</v>
      </c>
      <c r="AZ291" s="12">
        <v>0</v>
      </c>
      <c r="BA291" s="12">
        <v>0</v>
      </c>
    </row>
    <row r="292" spans="1:53" x14ac:dyDescent="0.3">
      <c r="A292" s="7">
        <f t="shared" si="73"/>
        <v>816480</v>
      </c>
      <c r="B292" s="7">
        <f t="shared" si="74"/>
        <v>816480</v>
      </c>
      <c r="C292" s="7">
        <f t="shared" si="75"/>
        <v>1179360</v>
      </c>
      <c r="D292" s="5" t="str">
        <f t="shared" si="80"/>
        <v>766</v>
      </c>
      <c r="E292" s="5" t="str">
        <f t="shared" si="80"/>
        <v>ML26A00004H</v>
      </c>
      <c r="F292" s="5"/>
      <c r="G292" s="5"/>
      <c r="H292" s="11" t="s">
        <v>824</v>
      </c>
      <c r="I292" s="11" t="s">
        <v>825</v>
      </c>
      <c r="J292" s="12">
        <v>5087068</v>
      </c>
      <c r="K292" s="11" t="s">
        <v>918</v>
      </c>
      <c r="L292" s="12">
        <v>0</v>
      </c>
      <c r="M292" s="12">
        <v>12322528</v>
      </c>
      <c r="N292" s="12">
        <v>136080</v>
      </c>
      <c r="O292" s="12">
        <v>136080</v>
      </c>
      <c r="P292" s="12">
        <v>136080</v>
      </c>
      <c r="Q292" s="12">
        <v>136080</v>
      </c>
      <c r="R292" s="12">
        <v>136080</v>
      </c>
      <c r="S292" s="12">
        <v>136080</v>
      </c>
      <c r="T292" s="12">
        <v>0</v>
      </c>
      <c r="U292" s="12">
        <v>136080</v>
      </c>
      <c r="V292" s="12">
        <v>136080</v>
      </c>
      <c r="W292" s="12">
        <v>136080</v>
      </c>
      <c r="X292" s="12">
        <v>136080</v>
      </c>
      <c r="Y292" s="12">
        <v>136080</v>
      </c>
      <c r="Z292" s="12">
        <v>136080</v>
      </c>
      <c r="AA292" s="12">
        <v>0</v>
      </c>
      <c r="AB292" s="12">
        <v>131040</v>
      </c>
      <c r="AC292" s="12">
        <v>131040</v>
      </c>
      <c r="AD292" s="12">
        <v>131040</v>
      </c>
      <c r="AE292" s="12">
        <v>0</v>
      </c>
      <c r="AF292" s="12">
        <v>0</v>
      </c>
      <c r="AG292" s="12">
        <v>786240</v>
      </c>
      <c r="AH292" s="12">
        <v>0</v>
      </c>
      <c r="AI292" s="12">
        <v>786240</v>
      </c>
      <c r="AJ292" s="12">
        <v>754738</v>
      </c>
      <c r="AK292" s="12">
        <v>0</v>
      </c>
      <c r="AL292" s="12">
        <v>0</v>
      </c>
      <c r="AM292" s="12">
        <v>665730</v>
      </c>
      <c r="AN292" s="12">
        <v>846540</v>
      </c>
      <c r="AO292" s="12">
        <v>860940</v>
      </c>
      <c r="AP292" s="12">
        <v>0</v>
      </c>
      <c r="AQ292" s="12">
        <v>912060</v>
      </c>
      <c r="AR292" s="12">
        <v>967950</v>
      </c>
      <c r="AS292" s="12">
        <v>760050</v>
      </c>
      <c r="AT292" s="12">
        <v>2955960</v>
      </c>
      <c r="AU292" s="12">
        <v>0</v>
      </c>
      <c r="AV292" s="12">
        <v>0</v>
      </c>
      <c r="AW292" s="12">
        <v>1632960</v>
      </c>
      <c r="AX292" s="12">
        <v>2720338</v>
      </c>
      <c r="AY292" s="12">
        <v>2373210</v>
      </c>
      <c r="AZ292" s="12">
        <v>5596020</v>
      </c>
      <c r="BA292" s="12">
        <v>0</v>
      </c>
    </row>
    <row r="293" spans="1:53" x14ac:dyDescent="0.3">
      <c r="A293" s="7">
        <f t="shared" si="73"/>
        <v>816480</v>
      </c>
      <c r="B293" s="7">
        <f t="shared" si="74"/>
        <v>816480</v>
      </c>
      <c r="C293" s="7">
        <f t="shared" si="75"/>
        <v>1179360</v>
      </c>
      <c r="D293" s="5" t="str">
        <f t="shared" si="80"/>
        <v>766</v>
      </c>
      <c r="E293" s="5" t="str">
        <f t="shared" si="80"/>
        <v>ML26A00004H</v>
      </c>
      <c r="F293" s="5"/>
      <c r="G293" s="5"/>
      <c r="H293" s="11" t="s">
        <v>49</v>
      </c>
      <c r="I293" s="11"/>
      <c r="J293" s="12">
        <v>0</v>
      </c>
      <c r="K293" s="11" t="s">
        <v>919</v>
      </c>
      <c r="L293" s="12">
        <v>0</v>
      </c>
      <c r="M293" s="12">
        <v>12322528</v>
      </c>
      <c r="N293" s="12">
        <v>136080</v>
      </c>
      <c r="O293" s="12">
        <v>136080</v>
      </c>
      <c r="P293" s="12">
        <v>136080</v>
      </c>
      <c r="Q293" s="12">
        <v>136080</v>
      </c>
      <c r="R293" s="12">
        <v>136080</v>
      </c>
      <c r="S293" s="12">
        <v>136080</v>
      </c>
      <c r="T293" s="12">
        <v>0</v>
      </c>
      <c r="U293" s="12">
        <v>136080</v>
      </c>
      <c r="V293" s="12">
        <v>136080</v>
      </c>
      <c r="W293" s="12">
        <v>136080</v>
      </c>
      <c r="X293" s="12">
        <v>136080</v>
      </c>
      <c r="Y293" s="12">
        <v>136080</v>
      </c>
      <c r="Z293" s="12">
        <v>136080</v>
      </c>
      <c r="AA293" s="12">
        <v>0</v>
      </c>
      <c r="AB293" s="12">
        <v>131040</v>
      </c>
      <c r="AC293" s="12">
        <v>131040</v>
      </c>
      <c r="AD293" s="12">
        <v>131040</v>
      </c>
      <c r="AE293" s="12">
        <v>0</v>
      </c>
      <c r="AF293" s="12">
        <v>0</v>
      </c>
      <c r="AG293" s="12">
        <v>786240</v>
      </c>
      <c r="AH293" s="12">
        <v>0</v>
      </c>
      <c r="AI293" s="12">
        <v>786240</v>
      </c>
      <c r="AJ293" s="12">
        <v>754738</v>
      </c>
      <c r="AK293" s="12">
        <v>0</v>
      </c>
      <c r="AL293" s="12">
        <v>0</v>
      </c>
      <c r="AM293" s="12">
        <v>665730</v>
      </c>
      <c r="AN293" s="12">
        <v>846540</v>
      </c>
      <c r="AO293" s="12">
        <v>860940</v>
      </c>
      <c r="AP293" s="12">
        <v>0</v>
      </c>
      <c r="AQ293" s="12">
        <v>912060</v>
      </c>
      <c r="AR293" s="12">
        <v>967950</v>
      </c>
      <c r="AS293" s="12">
        <v>760050</v>
      </c>
      <c r="AT293" s="12">
        <v>2955960</v>
      </c>
      <c r="AU293" s="12">
        <v>0</v>
      </c>
      <c r="AV293" s="12">
        <v>0</v>
      </c>
      <c r="AW293" s="12">
        <v>1632960</v>
      </c>
      <c r="AX293" s="12">
        <v>2720338</v>
      </c>
      <c r="AY293" s="12">
        <v>2373210</v>
      </c>
      <c r="AZ293" s="12">
        <v>5596020</v>
      </c>
      <c r="BA293" s="12">
        <v>0</v>
      </c>
    </row>
    <row r="294" spans="1:53" x14ac:dyDescent="0.3">
      <c r="A294" s="7">
        <f t="shared" si="73"/>
        <v>2020224</v>
      </c>
      <c r="B294" s="7">
        <f t="shared" si="74"/>
        <v>1790289</v>
      </c>
      <c r="C294" s="7">
        <f t="shared" si="75"/>
        <v>3663618</v>
      </c>
      <c r="D294" s="5" t="str">
        <f t="shared" si="80"/>
        <v>766</v>
      </c>
      <c r="E294" s="5" t="str">
        <f t="shared" si="80"/>
        <v>ML26A00004H</v>
      </c>
      <c r="F294" s="5"/>
      <c r="G294" s="6"/>
      <c r="H294" s="11" t="s">
        <v>920</v>
      </c>
      <c r="I294" s="11"/>
      <c r="J294" s="12">
        <v>0</v>
      </c>
      <c r="K294" s="11" t="s">
        <v>921</v>
      </c>
      <c r="L294" s="12">
        <v>0</v>
      </c>
      <c r="M294" s="12">
        <v>-105186</v>
      </c>
      <c r="N294" s="12">
        <v>234242</v>
      </c>
      <c r="O294" s="12">
        <v>257322</v>
      </c>
      <c r="P294" s="12">
        <v>263088</v>
      </c>
      <c r="Q294" s="12">
        <v>293168</v>
      </c>
      <c r="R294" s="12">
        <v>328248</v>
      </c>
      <c r="S294" s="12">
        <v>366791</v>
      </c>
      <c r="T294" s="12">
        <v>277365</v>
      </c>
      <c r="U294" s="12">
        <v>-114371</v>
      </c>
      <c r="V294" s="12">
        <v>21709</v>
      </c>
      <c r="W294" s="12">
        <v>157789</v>
      </c>
      <c r="X294" s="12">
        <v>293869</v>
      </c>
      <c r="Y294" s="12">
        <v>429949</v>
      </c>
      <c r="Z294" s="12">
        <v>566029</v>
      </c>
      <c r="AA294" s="12">
        <v>435315</v>
      </c>
      <c r="AB294" s="12">
        <v>92814</v>
      </c>
      <c r="AC294" s="12">
        <v>223854</v>
      </c>
      <c r="AD294" s="12">
        <v>354894</v>
      </c>
      <c r="AE294" s="12">
        <v>354894</v>
      </c>
      <c r="AF294" s="12">
        <v>354894</v>
      </c>
      <c r="AG294" s="12">
        <v>1141134</v>
      </c>
      <c r="AH294" s="12">
        <v>1141134</v>
      </c>
      <c r="AI294" s="12">
        <v>1109374</v>
      </c>
      <c r="AJ294" s="12">
        <v>1122112</v>
      </c>
      <c r="AK294" s="12">
        <v>297112</v>
      </c>
      <c r="AL294" s="12">
        <v>292112</v>
      </c>
      <c r="AM294" s="12">
        <v>-105158</v>
      </c>
      <c r="AN294" s="12">
        <v>-105118</v>
      </c>
      <c r="AO294" s="12">
        <v>-105178</v>
      </c>
      <c r="AP294" s="12">
        <v>-105178</v>
      </c>
      <c r="AQ294" s="12">
        <v>-105118</v>
      </c>
      <c r="AR294" s="12">
        <v>-105168</v>
      </c>
      <c r="AS294" s="12">
        <v>-105118</v>
      </c>
      <c r="AT294" s="12">
        <v>-105186</v>
      </c>
      <c r="AU294" s="12">
        <v>-105186</v>
      </c>
      <c r="AV294" s="12">
        <v>-105186</v>
      </c>
      <c r="AW294" s="12">
        <v>0</v>
      </c>
      <c r="AX294" s="12">
        <v>0</v>
      </c>
      <c r="AY294" s="12">
        <v>0</v>
      </c>
      <c r="AZ294" s="12">
        <v>0</v>
      </c>
      <c r="BA294" s="12">
        <v>0</v>
      </c>
    </row>
    <row r="295" spans="1:53" x14ac:dyDescent="0.3">
      <c r="A295" s="7">
        <f t="shared" si="73"/>
        <v>0</v>
      </c>
      <c r="B295" s="7">
        <f t="shared" si="74"/>
        <v>0</v>
      </c>
      <c r="C295" s="7">
        <f t="shared" si="75"/>
        <v>0</v>
      </c>
      <c r="D295" s="5" t="str">
        <f t="shared" si="80"/>
        <v>766</v>
      </c>
      <c r="E295" s="13" t="s">
        <v>826</v>
      </c>
      <c r="F295" s="5"/>
      <c r="G295" s="13" t="s">
        <v>1025</v>
      </c>
      <c r="H295" s="13" t="s">
        <v>49</v>
      </c>
      <c r="I295" s="11" t="s">
        <v>49</v>
      </c>
      <c r="J295" s="12">
        <v>0</v>
      </c>
      <c r="K295" s="11" t="s">
        <v>916</v>
      </c>
      <c r="L295" s="12">
        <v>0</v>
      </c>
      <c r="M295" s="12">
        <v>0</v>
      </c>
      <c r="N295" s="12">
        <v>0</v>
      </c>
      <c r="O295" s="12">
        <v>0</v>
      </c>
      <c r="P295" s="12">
        <v>0</v>
      </c>
      <c r="Q295" s="12">
        <v>0</v>
      </c>
      <c r="R295" s="12">
        <v>0</v>
      </c>
      <c r="S295" s="12">
        <v>0</v>
      </c>
      <c r="T295" s="12">
        <v>0</v>
      </c>
      <c r="U295" s="12">
        <v>0</v>
      </c>
      <c r="V295" s="12">
        <v>0</v>
      </c>
      <c r="W295" s="12">
        <v>0</v>
      </c>
      <c r="X295" s="12">
        <v>0</v>
      </c>
      <c r="Y295" s="12">
        <v>0</v>
      </c>
      <c r="Z295" s="12">
        <v>0</v>
      </c>
      <c r="AA295" s="12">
        <v>0</v>
      </c>
      <c r="AB295" s="12">
        <v>0</v>
      </c>
      <c r="AC295" s="12">
        <v>0</v>
      </c>
      <c r="AD295" s="12">
        <v>0</v>
      </c>
      <c r="AE295" s="12">
        <v>0</v>
      </c>
      <c r="AF295" s="12">
        <v>0</v>
      </c>
      <c r="AG295" s="12">
        <v>0</v>
      </c>
      <c r="AH295" s="12">
        <v>0</v>
      </c>
      <c r="AI295" s="12">
        <v>0</v>
      </c>
      <c r="AJ295" s="12">
        <v>0</v>
      </c>
      <c r="AK295" s="12">
        <v>0</v>
      </c>
      <c r="AL295" s="12">
        <v>0</v>
      </c>
      <c r="AM295" s="12">
        <v>0</v>
      </c>
      <c r="AN295" s="12">
        <v>0</v>
      </c>
      <c r="AO295" s="12">
        <v>0</v>
      </c>
      <c r="AP295" s="12">
        <v>0</v>
      </c>
      <c r="AQ295" s="12">
        <v>0</v>
      </c>
      <c r="AR295" s="12">
        <v>0</v>
      </c>
      <c r="AS295" s="12">
        <v>0</v>
      </c>
      <c r="AT295" s="12">
        <v>0</v>
      </c>
      <c r="AU295" s="12">
        <v>0</v>
      </c>
      <c r="AV295" s="12">
        <v>0</v>
      </c>
      <c r="AW295" s="12">
        <v>0</v>
      </c>
      <c r="AX295" s="12">
        <v>0</v>
      </c>
      <c r="AY295" s="12">
        <v>0</v>
      </c>
      <c r="AZ295" s="12">
        <v>0</v>
      </c>
      <c r="BA295" s="12">
        <v>0</v>
      </c>
    </row>
    <row r="296" spans="1:53" x14ac:dyDescent="0.3">
      <c r="A296" s="7">
        <f t="shared" si="73"/>
        <v>0</v>
      </c>
      <c r="B296" s="7">
        <f t="shared" si="74"/>
        <v>0</v>
      </c>
      <c r="C296" s="7">
        <f t="shared" si="75"/>
        <v>0</v>
      </c>
      <c r="D296" s="5" t="str">
        <f t="shared" si="80"/>
        <v>766</v>
      </c>
      <c r="E296" s="5" t="str">
        <f t="shared" si="80"/>
        <v>ML26A050051A</v>
      </c>
      <c r="F296" s="5"/>
      <c r="G296" s="5"/>
      <c r="H296" s="6"/>
      <c r="I296" s="11"/>
      <c r="J296" s="12">
        <v>0</v>
      </c>
      <c r="K296" s="11" t="s">
        <v>917</v>
      </c>
      <c r="L296" s="12">
        <v>0</v>
      </c>
      <c r="M296" s="12">
        <v>0</v>
      </c>
      <c r="N296" s="12">
        <v>0</v>
      </c>
      <c r="O296" s="12">
        <v>0</v>
      </c>
      <c r="P296" s="12">
        <v>0</v>
      </c>
      <c r="Q296" s="12">
        <v>0</v>
      </c>
      <c r="R296" s="12">
        <v>0</v>
      </c>
      <c r="S296" s="12">
        <v>0</v>
      </c>
      <c r="T296" s="12">
        <v>0</v>
      </c>
      <c r="U296" s="12">
        <v>0</v>
      </c>
      <c r="V296" s="12">
        <v>0</v>
      </c>
      <c r="W296" s="12">
        <v>0</v>
      </c>
      <c r="X296" s="12">
        <v>0</v>
      </c>
      <c r="Y296" s="12">
        <v>0</v>
      </c>
      <c r="Z296" s="12">
        <v>0</v>
      </c>
      <c r="AA296" s="12">
        <v>0</v>
      </c>
      <c r="AB296" s="12">
        <v>0</v>
      </c>
      <c r="AC296" s="12">
        <v>0</v>
      </c>
      <c r="AD296" s="12">
        <v>0</v>
      </c>
      <c r="AE296" s="12">
        <v>0</v>
      </c>
      <c r="AF296" s="12">
        <v>0</v>
      </c>
      <c r="AG296" s="12">
        <v>0</v>
      </c>
      <c r="AH296" s="12">
        <v>0</v>
      </c>
      <c r="AI296" s="12">
        <v>0</v>
      </c>
      <c r="AJ296" s="12">
        <v>0</v>
      </c>
      <c r="AK296" s="12">
        <v>0</v>
      </c>
      <c r="AL296" s="12">
        <v>0</v>
      </c>
      <c r="AM296" s="12">
        <v>0</v>
      </c>
      <c r="AN296" s="12">
        <v>0</v>
      </c>
      <c r="AO296" s="12">
        <v>0</v>
      </c>
      <c r="AP296" s="12">
        <v>0</v>
      </c>
      <c r="AQ296" s="12">
        <v>0</v>
      </c>
      <c r="AR296" s="12">
        <v>0</v>
      </c>
      <c r="AS296" s="12">
        <v>0</v>
      </c>
      <c r="AT296" s="12">
        <v>0</v>
      </c>
      <c r="AU296" s="12">
        <v>0</v>
      </c>
      <c r="AV296" s="12">
        <v>0</v>
      </c>
      <c r="AW296" s="12">
        <v>0</v>
      </c>
      <c r="AX296" s="12">
        <v>0</v>
      </c>
      <c r="AY296" s="12">
        <v>0</v>
      </c>
      <c r="AZ296" s="12">
        <v>0</v>
      </c>
      <c r="BA296" s="12">
        <v>0</v>
      </c>
    </row>
    <row r="297" spans="1:53" x14ac:dyDescent="0.3">
      <c r="A297" s="7">
        <f t="shared" si="73"/>
        <v>0</v>
      </c>
      <c r="B297" s="7">
        <f t="shared" si="74"/>
        <v>0</v>
      </c>
      <c r="C297" s="7">
        <f t="shared" si="75"/>
        <v>0</v>
      </c>
      <c r="D297" s="5" t="str">
        <f t="shared" si="80"/>
        <v>766</v>
      </c>
      <c r="E297" s="5" t="str">
        <f t="shared" si="80"/>
        <v>ML26A050051A</v>
      </c>
      <c r="F297" s="5"/>
      <c r="G297" s="5"/>
      <c r="H297" s="11" t="s">
        <v>780</v>
      </c>
      <c r="I297" s="11" t="s">
        <v>781</v>
      </c>
      <c r="J297" s="12"/>
      <c r="K297" s="11" t="s">
        <v>918</v>
      </c>
      <c r="L297" s="12">
        <v>0</v>
      </c>
      <c r="M297" s="12">
        <v>0</v>
      </c>
      <c r="N297" s="12">
        <v>0</v>
      </c>
      <c r="O297" s="12">
        <v>0</v>
      </c>
      <c r="P297" s="12">
        <v>0</v>
      </c>
      <c r="Q297" s="12">
        <v>0</v>
      </c>
      <c r="R297" s="12">
        <v>0</v>
      </c>
      <c r="S297" s="12">
        <v>0</v>
      </c>
      <c r="T297" s="12">
        <v>0</v>
      </c>
      <c r="U297" s="12">
        <v>0</v>
      </c>
      <c r="V297" s="12">
        <v>0</v>
      </c>
      <c r="W297" s="12">
        <v>0</v>
      </c>
      <c r="X297" s="12">
        <v>0</v>
      </c>
      <c r="Y297" s="12">
        <v>0</v>
      </c>
      <c r="Z297" s="12">
        <v>0</v>
      </c>
      <c r="AA297" s="12">
        <v>0</v>
      </c>
      <c r="AB297" s="12">
        <v>0</v>
      </c>
      <c r="AC297" s="12">
        <v>0</v>
      </c>
      <c r="AD297" s="12">
        <v>0</v>
      </c>
      <c r="AE297" s="12">
        <v>0</v>
      </c>
      <c r="AF297" s="12">
        <v>0</v>
      </c>
      <c r="AG297" s="12">
        <v>0</v>
      </c>
      <c r="AH297" s="12">
        <v>0</v>
      </c>
      <c r="AI297" s="12">
        <v>0</v>
      </c>
      <c r="AJ297" s="12">
        <v>0</v>
      </c>
      <c r="AK297" s="12">
        <v>0</v>
      </c>
      <c r="AL297" s="12">
        <v>0</v>
      </c>
      <c r="AM297" s="12">
        <v>0</v>
      </c>
      <c r="AN297" s="12">
        <v>0</v>
      </c>
      <c r="AO297" s="12">
        <v>0</v>
      </c>
      <c r="AP297" s="12">
        <v>0</v>
      </c>
      <c r="AQ297" s="12">
        <v>0</v>
      </c>
      <c r="AR297" s="12">
        <v>0</v>
      </c>
      <c r="AS297" s="12">
        <v>0</v>
      </c>
      <c r="AT297" s="12">
        <v>0</v>
      </c>
      <c r="AU297" s="12">
        <v>0</v>
      </c>
      <c r="AV297" s="12">
        <v>0</v>
      </c>
      <c r="AW297" s="12">
        <v>0</v>
      </c>
      <c r="AX297" s="12">
        <v>0</v>
      </c>
      <c r="AY297" s="12">
        <v>0</v>
      </c>
      <c r="AZ297" s="12">
        <v>0</v>
      </c>
      <c r="BA297" s="12">
        <v>0</v>
      </c>
    </row>
    <row r="298" spans="1:53" x14ac:dyDescent="0.3">
      <c r="A298" s="7">
        <f t="shared" si="73"/>
        <v>0</v>
      </c>
      <c r="B298" s="7">
        <f t="shared" si="74"/>
        <v>0</v>
      </c>
      <c r="C298" s="7">
        <f t="shared" si="75"/>
        <v>0</v>
      </c>
      <c r="D298" s="5" t="str">
        <f t="shared" si="80"/>
        <v>766</v>
      </c>
      <c r="E298" s="5" t="str">
        <f t="shared" si="80"/>
        <v>ML26A050051A</v>
      </c>
      <c r="F298" s="5"/>
      <c r="G298" s="5"/>
      <c r="H298" s="11" t="s">
        <v>49</v>
      </c>
      <c r="I298" s="11"/>
      <c r="J298" s="12">
        <v>0</v>
      </c>
      <c r="K298" s="11" t="s">
        <v>919</v>
      </c>
      <c r="L298" s="12">
        <v>0</v>
      </c>
      <c r="M298" s="12">
        <v>0</v>
      </c>
      <c r="N298" s="12">
        <v>0</v>
      </c>
      <c r="O298" s="12">
        <v>0</v>
      </c>
      <c r="P298" s="12">
        <v>0</v>
      </c>
      <c r="Q298" s="12">
        <v>0</v>
      </c>
      <c r="R298" s="12">
        <v>0</v>
      </c>
      <c r="S298" s="12">
        <v>0</v>
      </c>
      <c r="T298" s="12">
        <v>0</v>
      </c>
      <c r="U298" s="12">
        <v>0</v>
      </c>
      <c r="V298" s="12">
        <v>0</v>
      </c>
      <c r="W298" s="12">
        <v>0</v>
      </c>
      <c r="X298" s="12">
        <v>0</v>
      </c>
      <c r="Y298" s="12">
        <v>0</v>
      </c>
      <c r="Z298" s="12">
        <v>0</v>
      </c>
      <c r="AA298" s="12">
        <v>0</v>
      </c>
      <c r="AB298" s="12">
        <v>0</v>
      </c>
      <c r="AC298" s="12">
        <v>0</v>
      </c>
      <c r="AD298" s="12">
        <v>0</v>
      </c>
      <c r="AE298" s="12">
        <v>0</v>
      </c>
      <c r="AF298" s="12">
        <v>0</v>
      </c>
      <c r="AG298" s="12">
        <v>0</v>
      </c>
      <c r="AH298" s="12">
        <v>0</v>
      </c>
      <c r="AI298" s="12">
        <v>0</v>
      </c>
      <c r="AJ298" s="12">
        <v>0</v>
      </c>
      <c r="AK298" s="12">
        <v>0</v>
      </c>
      <c r="AL298" s="12">
        <v>0</v>
      </c>
      <c r="AM298" s="12">
        <v>0</v>
      </c>
      <c r="AN298" s="12">
        <v>0</v>
      </c>
      <c r="AO298" s="12">
        <v>0</v>
      </c>
      <c r="AP298" s="12">
        <v>0</v>
      </c>
      <c r="AQ298" s="12">
        <v>0</v>
      </c>
      <c r="AR298" s="12">
        <v>0</v>
      </c>
      <c r="AS298" s="12">
        <v>0</v>
      </c>
      <c r="AT298" s="12">
        <v>0</v>
      </c>
      <c r="AU298" s="12">
        <v>0</v>
      </c>
      <c r="AV298" s="12">
        <v>0</v>
      </c>
      <c r="AW298" s="12">
        <v>0</v>
      </c>
      <c r="AX298" s="12">
        <v>0</v>
      </c>
      <c r="AY298" s="12">
        <v>0</v>
      </c>
      <c r="AZ298" s="12">
        <v>0</v>
      </c>
      <c r="BA298" s="12">
        <v>0</v>
      </c>
    </row>
    <row r="299" spans="1:53" x14ac:dyDescent="0.3">
      <c r="A299" s="7">
        <f t="shared" si="73"/>
        <v>0</v>
      </c>
      <c r="B299" s="7">
        <f t="shared" si="74"/>
        <v>0</v>
      </c>
      <c r="C299" s="7">
        <f t="shared" si="75"/>
        <v>0</v>
      </c>
      <c r="D299" s="5" t="str">
        <f t="shared" si="80"/>
        <v>766</v>
      </c>
      <c r="E299" s="5" t="str">
        <f t="shared" si="80"/>
        <v>ML26A050051A</v>
      </c>
      <c r="F299" s="5"/>
      <c r="G299" s="6"/>
      <c r="H299" s="11" t="s">
        <v>920</v>
      </c>
      <c r="I299" s="11"/>
      <c r="J299" s="12">
        <v>0</v>
      </c>
      <c r="K299" s="11" t="s">
        <v>921</v>
      </c>
      <c r="L299" s="12">
        <v>0</v>
      </c>
      <c r="M299" s="12">
        <v>0</v>
      </c>
      <c r="N299" s="12">
        <v>0</v>
      </c>
      <c r="O299" s="12">
        <v>0</v>
      </c>
      <c r="P299" s="12">
        <v>0</v>
      </c>
      <c r="Q299" s="12">
        <v>0</v>
      </c>
      <c r="R299" s="12">
        <v>0</v>
      </c>
      <c r="S299" s="12">
        <v>0</v>
      </c>
      <c r="T299" s="12">
        <v>0</v>
      </c>
      <c r="U299" s="12">
        <v>0</v>
      </c>
      <c r="V299" s="12">
        <v>0</v>
      </c>
      <c r="W299" s="12">
        <v>0</v>
      </c>
      <c r="X299" s="12">
        <v>0</v>
      </c>
      <c r="Y299" s="12">
        <v>0</v>
      </c>
      <c r="Z299" s="12">
        <v>0</v>
      </c>
      <c r="AA299" s="12">
        <v>0</v>
      </c>
      <c r="AB299" s="12">
        <v>0</v>
      </c>
      <c r="AC299" s="12">
        <v>0</v>
      </c>
      <c r="AD299" s="12">
        <v>0</v>
      </c>
      <c r="AE299" s="12">
        <v>0</v>
      </c>
      <c r="AF299" s="12">
        <v>0</v>
      </c>
      <c r="AG299" s="12">
        <v>0</v>
      </c>
      <c r="AH299" s="12">
        <v>0</v>
      </c>
      <c r="AI299" s="12">
        <v>0</v>
      </c>
      <c r="AJ299" s="12">
        <v>0</v>
      </c>
      <c r="AK299" s="12">
        <v>0</v>
      </c>
      <c r="AL299" s="12">
        <v>0</v>
      </c>
      <c r="AM299" s="12">
        <v>0</v>
      </c>
      <c r="AN299" s="12">
        <v>0</v>
      </c>
      <c r="AO299" s="12">
        <v>0</v>
      </c>
      <c r="AP299" s="12">
        <v>0</v>
      </c>
      <c r="AQ299" s="12">
        <v>0</v>
      </c>
      <c r="AR299" s="12">
        <v>0</v>
      </c>
      <c r="AS299" s="12">
        <v>0</v>
      </c>
      <c r="AT299" s="12">
        <v>0</v>
      </c>
      <c r="AU299" s="12">
        <v>0</v>
      </c>
      <c r="AV299" s="12">
        <v>0</v>
      </c>
      <c r="AW299" s="12">
        <v>0</v>
      </c>
      <c r="AX299" s="12">
        <v>0</v>
      </c>
      <c r="AY299" s="12">
        <v>0</v>
      </c>
      <c r="AZ299" s="12">
        <v>0</v>
      </c>
      <c r="BA299" s="12">
        <v>0</v>
      </c>
    </row>
    <row r="300" spans="1:53" x14ac:dyDescent="0.3">
      <c r="A300" s="7">
        <f t="shared" si="73"/>
        <v>2382.4</v>
      </c>
      <c r="B300" s="7">
        <f t="shared" si="74"/>
        <v>0</v>
      </c>
      <c r="C300" s="7">
        <f t="shared" si="75"/>
        <v>4000</v>
      </c>
      <c r="D300" s="13" t="s">
        <v>952</v>
      </c>
      <c r="E300" s="13" t="s">
        <v>806</v>
      </c>
      <c r="F300" s="5"/>
      <c r="G300" s="13" t="s">
        <v>953</v>
      </c>
      <c r="H300" s="13" t="s">
        <v>49</v>
      </c>
      <c r="I300" s="11" t="s">
        <v>49</v>
      </c>
      <c r="J300" s="12">
        <v>0</v>
      </c>
      <c r="K300" s="11" t="s">
        <v>916</v>
      </c>
      <c r="L300" s="12">
        <v>0</v>
      </c>
      <c r="M300" s="12">
        <v>12065.6</v>
      </c>
      <c r="N300" s="12">
        <v>0</v>
      </c>
      <c r="O300" s="12">
        <v>0</v>
      </c>
      <c r="P300" s="12">
        <v>0</v>
      </c>
      <c r="Q300" s="12">
        <v>0</v>
      </c>
      <c r="R300" s="12">
        <v>0</v>
      </c>
      <c r="S300" s="12">
        <v>0</v>
      </c>
      <c r="T300" s="12">
        <v>2382.4</v>
      </c>
      <c r="U300" s="12">
        <v>0</v>
      </c>
      <c r="V300" s="12">
        <v>0</v>
      </c>
      <c r="W300" s="12">
        <v>0</v>
      </c>
      <c r="X300" s="12">
        <v>0</v>
      </c>
      <c r="Y300" s="12">
        <v>0</v>
      </c>
      <c r="Z300" s="12">
        <v>0</v>
      </c>
      <c r="AA300" s="12">
        <v>0</v>
      </c>
      <c r="AB300" s="12">
        <v>4000</v>
      </c>
      <c r="AC300" s="12">
        <v>0</v>
      </c>
      <c r="AD300" s="12">
        <v>0</v>
      </c>
      <c r="AE300" s="12">
        <v>0</v>
      </c>
      <c r="AF300" s="12">
        <v>0</v>
      </c>
      <c r="AG300" s="12">
        <v>0</v>
      </c>
      <c r="AH300" s="12">
        <v>0</v>
      </c>
      <c r="AI300" s="12">
        <v>4000</v>
      </c>
      <c r="AJ300" s="12">
        <v>0</v>
      </c>
      <c r="AK300" s="12">
        <v>0</v>
      </c>
      <c r="AL300" s="12">
        <v>0</v>
      </c>
      <c r="AM300" s="12">
        <v>1600</v>
      </c>
      <c r="AN300" s="12">
        <v>0</v>
      </c>
      <c r="AO300" s="12">
        <v>0</v>
      </c>
      <c r="AP300" s="12">
        <v>0</v>
      </c>
      <c r="AQ300" s="12">
        <v>83.2</v>
      </c>
      <c r="AR300" s="12">
        <v>0</v>
      </c>
      <c r="AS300" s="12">
        <v>0</v>
      </c>
      <c r="AT300" s="12">
        <v>0</v>
      </c>
      <c r="AU300" s="12">
        <v>0</v>
      </c>
      <c r="AV300" s="12">
        <v>0</v>
      </c>
      <c r="AW300" s="12">
        <v>2382.4</v>
      </c>
      <c r="AX300" s="12">
        <v>8000</v>
      </c>
      <c r="AY300" s="12">
        <v>1600</v>
      </c>
      <c r="AZ300" s="12">
        <v>83.2</v>
      </c>
      <c r="BA300" s="12">
        <v>0</v>
      </c>
    </row>
    <row r="301" spans="1:53" x14ac:dyDescent="0.3">
      <c r="A301" s="7">
        <f t="shared" si="73"/>
        <v>-2382.4</v>
      </c>
      <c r="B301" s="7">
        <f t="shared" si="74"/>
        <v>-16676.8</v>
      </c>
      <c r="C301" s="7">
        <f t="shared" si="75"/>
        <v>-44676.800000000003</v>
      </c>
      <c r="D301" s="5" t="str">
        <f t="shared" ref="D301:E309" si="81">D300</f>
        <v>770</v>
      </c>
      <c r="E301" s="5" t="str">
        <f t="shared" si="81"/>
        <v>ML26A050025A</v>
      </c>
      <c r="F301" s="5"/>
      <c r="G301" s="5"/>
      <c r="H301" s="6"/>
      <c r="I301" s="11"/>
      <c r="J301" s="12">
        <v>0</v>
      </c>
      <c r="K301" s="11" t="s">
        <v>917</v>
      </c>
      <c r="L301" s="12">
        <v>0</v>
      </c>
      <c r="M301" s="12">
        <v>-12065.6</v>
      </c>
      <c r="N301" s="12">
        <v>0</v>
      </c>
      <c r="O301" s="12">
        <v>0</v>
      </c>
      <c r="P301" s="12">
        <v>0</v>
      </c>
      <c r="Q301" s="12">
        <v>0</v>
      </c>
      <c r="R301" s="12">
        <v>0</v>
      </c>
      <c r="S301" s="12">
        <v>0</v>
      </c>
      <c r="T301" s="12">
        <v>-2382.4</v>
      </c>
      <c r="U301" s="12">
        <v>-2382.4</v>
      </c>
      <c r="V301" s="12">
        <v>-2382.4</v>
      </c>
      <c r="W301" s="12">
        <v>-2382.4</v>
      </c>
      <c r="X301" s="12">
        <v>-2382.4</v>
      </c>
      <c r="Y301" s="12">
        <v>-2382.4</v>
      </c>
      <c r="Z301" s="12">
        <v>-2382.4</v>
      </c>
      <c r="AA301" s="12">
        <v>-2382.4</v>
      </c>
      <c r="AB301" s="12">
        <v>-6382.4</v>
      </c>
      <c r="AC301" s="12">
        <v>-6382.4</v>
      </c>
      <c r="AD301" s="12">
        <v>-6382.4</v>
      </c>
      <c r="AE301" s="12">
        <v>-6382.4</v>
      </c>
      <c r="AF301" s="12">
        <v>-6382.4</v>
      </c>
      <c r="AG301" s="12">
        <v>-6382.4</v>
      </c>
      <c r="AH301" s="12">
        <v>-6382.4</v>
      </c>
      <c r="AI301" s="12">
        <v>-10382.4</v>
      </c>
      <c r="AJ301" s="12">
        <v>-10382.4</v>
      </c>
      <c r="AK301" s="12">
        <v>-10382.4</v>
      </c>
      <c r="AL301" s="12">
        <v>-10382.4</v>
      </c>
      <c r="AM301" s="12">
        <v>-11982.4</v>
      </c>
      <c r="AN301" s="12">
        <v>-11982.4</v>
      </c>
      <c r="AO301" s="12">
        <v>-11982.4</v>
      </c>
      <c r="AP301" s="12">
        <v>-11982.4</v>
      </c>
      <c r="AQ301" s="12">
        <v>-12065.6</v>
      </c>
      <c r="AR301" s="12">
        <v>-12065.6</v>
      </c>
      <c r="AS301" s="12">
        <v>-12065.6</v>
      </c>
      <c r="AT301" s="12">
        <v>-12065.6</v>
      </c>
      <c r="AU301" s="12">
        <v>-12065.6</v>
      </c>
      <c r="AV301" s="12">
        <v>-12065.6</v>
      </c>
      <c r="AW301" s="12">
        <v>0</v>
      </c>
      <c r="AX301" s="12">
        <v>0</v>
      </c>
      <c r="AY301" s="12">
        <v>0</v>
      </c>
      <c r="AZ301" s="12">
        <v>0</v>
      </c>
      <c r="BA301" s="12">
        <v>0</v>
      </c>
    </row>
    <row r="302" spans="1:53" x14ac:dyDescent="0.3">
      <c r="A302" s="7">
        <f t="shared" si="73"/>
        <v>0</v>
      </c>
      <c r="B302" s="7">
        <f t="shared" si="74"/>
        <v>5184</v>
      </c>
      <c r="C302" s="7">
        <f t="shared" si="75"/>
        <v>9912</v>
      </c>
      <c r="D302" s="5" t="str">
        <f t="shared" si="81"/>
        <v>770</v>
      </c>
      <c r="E302" s="5" t="str">
        <f t="shared" si="81"/>
        <v>ML26A050025A</v>
      </c>
      <c r="F302" s="5"/>
      <c r="G302" s="5"/>
      <c r="H302" s="11" t="s">
        <v>778</v>
      </c>
      <c r="I302" s="11" t="s">
        <v>779</v>
      </c>
      <c r="J302" s="12">
        <v>15096</v>
      </c>
      <c r="K302" s="11" t="s">
        <v>918</v>
      </c>
      <c r="L302" s="12">
        <v>0</v>
      </c>
      <c r="M302" s="12">
        <v>15096</v>
      </c>
      <c r="N302" s="12">
        <v>0</v>
      </c>
      <c r="O302" s="12">
        <v>0</v>
      </c>
      <c r="P302" s="12">
        <v>0</v>
      </c>
      <c r="Q302" s="12">
        <v>0</v>
      </c>
      <c r="R302" s="12">
        <v>0</v>
      </c>
      <c r="S302" s="12">
        <v>0</v>
      </c>
      <c r="T302" s="12">
        <v>0</v>
      </c>
      <c r="U302" s="12">
        <v>0</v>
      </c>
      <c r="V302" s="12">
        <v>0</v>
      </c>
      <c r="W302" s="12">
        <v>5184</v>
      </c>
      <c r="X302" s="12">
        <v>0</v>
      </c>
      <c r="Y302" s="12">
        <v>0</v>
      </c>
      <c r="Z302" s="12">
        <v>0</v>
      </c>
      <c r="AA302" s="12">
        <v>0</v>
      </c>
      <c r="AB302" s="12">
        <v>0</v>
      </c>
      <c r="AC302" s="12">
        <v>0</v>
      </c>
      <c r="AD302" s="12">
        <v>7776</v>
      </c>
      <c r="AE302" s="12">
        <v>0</v>
      </c>
      <c r="AF302" s="12">
        <v>0</v>
      </c>
      <c r="AG302" s="12">
        <v>2136</v>
      </c>
      <c r="AH302" s="12">
        <v>0</v>
      </c>
      <c r="AI302" s="12">
        <v>0</v>
      </c>
      <c r="AJ302" s="12">
        <v>0</v>
      </c>
      <c r="AK302" s="12">
        <v>0</v>
      </c>
      <c r="AL302" s="12">
        <v>0</v>
      </c>
      <c r="AM302" s="12">
        <v>0</v>
      </c>
      <c r="AN302" s="12">
        <v>0</v>
      </c>
      <c r="AO302" s="12">
        <v>0</v>
      </c>
      <c r="AP302" s="12">
        <v>0</v>
      </c>
      <c r="AQ302" s="12">
        <v>0</v>
      </c>
      <c r="AR302" s="12">
        <v>0</v>
      </c>
      <c r="AS302" s="12">
        <v>0</v>
      </c>
      <c r="AT302" s="12">
        <v>0</v>
      </c>
      <c r="AU302" s="12">
        <v>0</v>
      </c>
      <c r="AV302" s="12">
        <v>0</v>
      </c>
      <c r="AW302" s="12">
        <v>5184</v>
      </c>
      <c r="AX302" s="12">
        <v>9912</v>
      </c>
      <c r="AY302" s="12">
        <v>0</v>
      </c>
      <c r="AZ302" s="12">
        <v>0</v>
      </c>
      <c r="BA302" s="12">
        <v>0</v>
      </c>
    </row>
    <row r="303" spans="1:53" x14ac:dyDescent="0.3">
      <c r="A303" s="7">
        <f t="shared" si="73"/>
        <v>0</v>
      </c>
      <c r="B303" s="7">
        <f t="shared" si="74"/>
        <v>5184</v>
      </c>
      <c r="C303" s="7">
        <f t="shared" si="75"/>
        <v>9912</v>
      </c>
      <c r="D303" s="5" t="str">
        <f t="shared" si="81"/>
        <v>770</v>
      </c>
      <c r="E303" s="5" t="str">
        <f t="shared" si="81"/>
        <v>ML26A050025A</v>
      </c>
      <c r="F303" s="5"/>
      <c r="G303" s="5"/>
      <c r="H303" s="11" t="s">
        <v>49</v>
      </c>
      <c r="I303" s="11"/>
      <c r="J303" s="12">
        <v>0</v>
      </c>
      <c r="K303" s="11" t="s">
        <v>919</v>
      </c>
      <c r="L303" s="12">
        <v>0</v>
      </c>
      <c r="M303" s="12">
        <v>15096</v>
      </c>
      <c r="N303" s="12">
        <v>0</v>
      </c>
      <c r="O303" s="12">
        <v>0</v>
      </c>
      <c r="P303" s="12">
        <v>0</v>
      </c>
      <c r="Q303" s="12">
        <v>0</v>
      </c>
      <c r="R303" s="12">
        <v>0</v>
      </c>
      <c r="S303" s="12">
        <v>0</v>
      </c>
      <c r="T303" s="12">
        <v>0</v>
      </c>
      <c r="U303" s="12">
        <v>0</v>
      </c>
      <c r="V303" s="12">
        <v>0</v>
      </c>
      <c r="W303" s="12">
        <v>5184</v>
      </c>
      <c r="X303" s="12">
        <v>0</v>
      </c>
      <c r="Y303" s="12">
        <v>0</v>
      </c>
      <c r="Z303" s="12">
        <v>0</v>
      </c>
      <c r="AA303" s="12">
        <v>0</v>
      </c>
      <c r="AB303" s="12">
        <v>0</v>
      </c>
      <c r="AC303" s="12">
        <v>0</v>
      </c>
      <c r="AD303" s="12">
        <v>7776</v>
      </c>
      <c r="AE303" s="12">
        <v>0</v>
      </c>
      <c r="AF303" s="12">
        <v>0</v>
      </c>
      <c r="AG303" s="12">
        <v>2136</v>
      </c>
      <c r="AH303" s="12">
        <v>0</v>
      </c>
      <c r="AI303" s="12">
        <v>0</v>
      </c>
      <c r="AJ303" s="12">
        <v>0</v>
      </c>
      <c r="AK303" s="12">
        <v>0</v>
      </c>
      <c r="AL303" s="12">
        <v>0</v>
      </c>
      <c r="AM303" s="12">
        <v>0</v>
      </c>
      <c r="AN303" s="12">
        <v>0</v>
      </c>
      <c r="AO303" s="12">
        <v>0</v>
      </c>
      <c r="AP303" s="12">
        <v>0</v>
      </c>
      <c r="AQ303" s="12">
        <v>0</v>
      </c>
      <c r="AR303" s="12">
        <v>0</v>
      </c>
      <c r="AS303" s="12">
        <v>0</v>
      </c>
      <c r="AT303" s="12">
        <v>0</v>
      </c>
      <c r="AU303" s="12">
        <v>0</v>
      </c>
      <c r="AV303" s="12">
        <v>0</v>
      </c>
      <c r="AW303" s="12">
        <v>5184</v>
      </c>
      <c r="AX303" s="12">
        <v>9912</v>
      </c>
      <c r="AY303" s="12">
        <v>0</v>
      </c>
      <c r="AZ303" s="12">
        <v>0</v>
      </c>
      <c r="BA303" s="12">
        <v>0</v>
      </c>
    </row>
    <row r="304" spans="1:53" x14ac:dyDescent="0.3">
      <c r="A304" s="7">
        <f t="shared" si="73"/>
        <v>-2382.4</v>
      </c>
      <c r="B304" s="7">
        <f t="shared" si="74"/>
        <v>9243.1999999999989</v>
      </c>
      <c r="C304" s="7">
        <f t="shared" si="75"/>
        <v>34763.199999999997</v>
      </c>
      <c r="D304" s="5" t="str">
        <f t="shared" si="81"/>
        <v>770</v>
      </c>
      <c r="E304" s="5" t="str">
        <f t="shared" si="81"/>
        <v>ML26A050025A</v>
      </c>
      <c r="F304" s="5"/>
      <c r="G304" s="6"/>
      <c r="H304" s="11" t="s">
        <v>920</v>
      </c>
      <c r="I304" s="11"/>
      <c r="J304" s="12">
        <v>0</v>
      </c>
      <c r="K304" s="11" t="s">
        <v>921</v>
      </c>
      <c r="L304" s="12">
        <v>0</v>
      </c>
      <c r="M304" s="12">
        <v>3030.4</v>
      </c>
      <c r="N304" s="12">
        <v>0</v>
      </c>
      <c r="O304" s="12">
        <v>0</v>
      </c>
      <c r="P304" s="12">
        <v>0</v>
      </c>
      <c r="Q304" s="12">
        <v>0</v>
      </c>
      <c r="R304" s="12">
        <v>0</v>
      </c>
      <c r="S304" s="12">
        <v>0</v>
      </c>
      <c r="T304" s="12">
        <v>-2382.4</v>
      </c>
      <c r="U304" s="12">
        <v>-2382.4</v>
      </c>
      <c r="V304" s="12">
        <v>-2382.4</v>
      </c>
      <c r="W304" s="12">
        <v>2801.6</v>
      </c>
      <c r="X304" s="12">
        <v>2801.6</v>
      </c>
      <c r="Y304" s="12">
        <v>2801.6</v>
      </c>
      <c r="Z304" s="12">
        <v>2801.6</v>
      </c>
      <c r="AA304" s="12">
        <v>2801.6</v>
      </c>
      <c r="AB304" s="12">
        <v>-1198.4000000000001</v>
      </c>
      <c r="AC304" s="12">
        <v>-1198.4000000000001</v>
      </c>
      <c r="AD304" s="12">
        <v>6577.6</v>
      </c>
      <c r="AE304" s="12">
        <v>6577.6</v>
      </c>
      <c r="AF304" s="12">
        <v>6577.6</v>
      </c>
      <c r="AG304" s="12">
        <v>8713.6</v>
      </c>
      <c r="AH304" s="12">
        <v>8713.6</v>
      </c>
      <c r="AI304" s="12">
        <v>4713.6000000000004</v>
      </c>
      <c r="AJ304" s="12">
        <v>4713.6000000000004</v>
      </c>
      <c r="AK304" s="12">
        <v>4713.6000000000004</v>
      </c>
      <c r="AL304" s="12">
        <v>4713.6000000000004</v>
      </c>
      <c r="AM304" s="12">
        <v>3113.6</v>
      </c>
      <c r="AN304" s="12">
        <v>3113.6</v>
      </c>
      <c r="AO304" s="12">
        <v>3113.6</v>
      </c>
      <c r="AP304" s="12">
        <v>3113.6</v>
      </c>
      <c r="AQ304" s="12">
        <v>3030.4</v>
      </c>
      <c r="AR304" s="12">
        <v>3030.4</v>
      </c>
      <c r="AS304" s="12">
        <v>3030.4</v>
      </c>
      <c r="AT304" s="12">
        <v>3030.4</v>
      </c>
      <c r="AU304" s="12">
        <v>3030.4</v>
      </c>
      <c r="AV304" s="12">
        <v>3030.4</v>
      </c>
      <c r="AW304" s="12">
        <v>0</v>
      </c>
      <c r="AX304" s="12">
        <v>0</v>
      </c>
      <c r="AY304" s="12">
        <v>0</v>
      </c>
      <c r="AZ304" s="12">
        <v>0</v>
      </c>
      <c r="BA304" s="12">
        <v>0</v>
      </c>
    </row>
    <row r="305" spans="1:53" x14ac:dyDescent="0.3">
      <c r="A305" s="7">
        <f t="shared" si="73"/>
        <v>595.6</v>
      </c>
      <c r="B305" s="7">
        <f t="shared" si="74"/>
        <v>0</v>
      </c>
      <c r="C305" s="7">
        <f t="shared" si="75"/>
        <v>1000</v>
      </c>
      <c r="D305" s="5" t="str">
        <f t="shared" si="81"/>
        <v>770</v>
      </c>
      <c r="E305" s="13" t="s">
        <v>807</v>
      </c>
      <c r="F305" s="5"/>
      <c r="G305" s="13" t="s">
        <v>954</v>
      </c>
      <c r="H305" s="13" t="s">
        <v>49</v>
      </c>
      <c r="I305" s="11" t="s">
        <v>49</v>
      </c>
      <c r="J305" s="12">
        <v>0</v>
      </c>
      <c r="K305" s="11" t="s">
        <v>916</v>
      </c>
      <c r="L305" s="12">
        <v>0</v>
      </c>
      <c r="M305" s="12">
        <v>3016.4</v>
      </c>
      <c r="N305" s="12">
        <v>0</v>
      </c>
      <c r="O305" s="12">
        <v>0</v>
      </c>
      <c r="P305" s="12">
        <v>0</v>
      </c>
      <c r="Q305" s="12">
        <v>0</v>
      </c>
      <c r="R305" s="12">
        <v>0</v>
      </c>
      <c r="S305" s="12">
        <v>0</v>
      </c>
      <c r="T305" s="12">
        <v>595.6</v>
      </c>
      <c r="U305" s="12">
        <v>0</v>
      </c>
      <c r="V305" s="12">
        <v>0</v>
      </c>
      <c r="W305" s="12">
        <v>0</v>
      </c>
      <c r="X305" s="12">
        <v>0</v>
      </c>
      <c r="Y305" s="12">
        <v>0</v>
      </c>
      <c r="Z305" s="12">
        <v>0</v>
      </c>
      <c r="AA305" s="12">
        <v>0</v>
      </c>
      <c r="AB305" s="12">
        <v>1000</v>
      </c>
      <c r="AC305" s="12">
        <v>0</v>
      </c>
      <c r="AD305" s="12">
        <v>0</v>
      </c>
      <c r="AE305" s="12">
        <v>0</v>
      </c>
      <c r="AF305" s="12">
        <v>0</v>
      </c>
      <c r="AG305" s="12">
        <v>0</v>
      </c>
      <c r="AH305" s="12">
        <v>0</v>
      </c>
      <c r="AI305" s="12">
        <v>1000</v>
      </c>
      <c r="AJ305" s="12">
        <v>0</v>
      </c>
      <c r="AK305" s="12">
        <v>0</v>
      </c>
      <c r="AL305" s="12">
        <v>0</v>
      </c>
      <c r="AM305" s="12">
        <v>400</v>
      </c>
      <c r="AN305" s="12">
        <v>0</v>
      </c>
      <c r="AO305" s="12">
        <v>0</v>
      </c>
      <c r="AP305" s="12">
        <v>0</v>
      </c>
      <c r="AQ305" s="12">
        <v>20.8</v>
      </c>
      <c r="AR305" s="12">
        <v>0</v>
      </c>
      <c r="AS305" s="12">
        <v>0</v>
      </c>
      <c r="AT305" s="12">
        <v>0</v>
      </c>
      <c r="AU305" s="12">
        <v>0</v>
      </c>
      <c r="AV305" s="12">
        <v>0</v>
      </c>
      <c r="AW305" s="12">
        <v>595.6</v>
      </c>
      <c r="AX305" s="12">
        <v>2000</v>
      </c>
      <c r="AY305" s="12">
        <v>400</v>
      </c>
      <c r="AZ305" s="12">
        <v>20.8</v>
      </c>
      <c r="BA305" s="12">
        <v>0</v>
      </c>
    </row>
    <row r="306" spans="1:53" x14ac:dyDescent="0.3">
      <c r="A306" s="7">
        <f t="shared" si="73"/>
        <v>2904.4</v>
      </c>
      <c r="B306" s="7">
        <f t="shared" si="74"/>
        <v>-669.2</v>
      </c>
      <c r="C306" s="7">
        <f t="shared" si="75"/>
        <v>-7669.2000000000007</v>
      </c>
      <c r="D306" s="5" t="str">
        <f t="shared" si="81"/>
        <v>770</v>
      </c>
      <c r="E306" s="5" t="str">
        <f t="shared" si="81"/>
        <v>ML26A050037A</v>
      </c>
      <c r="F306" s="5"/>
      <c r="G306" s="5"/>
      <c r="H306" s="6"/>
      <c r="I306" s="11"/>
      <c r="J306" s="12">
        <v>0</v>
      </c>
      <c r="K306" s="11" t="s">
        <v>917</v>
      </c>
      <c r="L306" s="12">
        <v>500</v>
      </c>
      <c r="M306" s="12">
        <v>-2516.4</v>
      </c>
      <c r="N306" s="12">
        <v>500</v>
      </c>
      <c r="O306" s="12">
        <v>500</v>
      </c>
      <c r="P306" s="12">
        <v>500</v>
      </c>
      <c r="Q306" s="12">
        <v>500</v>
      </c>
      <c r="R306" s="12">
        <v>500</v>
      </c>
      <c r="S306" s="12">
        <v>500</v>
      </c>
      <c r="T306" s="12">
        <v>-95.6</v>
      </c>
      <c r="U306" s="12">
        <v>-95.6</v>
      </c>
      <c r="V306" s="12">
        <v>-95.6</v>
      </c>
      <c r="W306" s="12">
        <v>-95.6</v>
      </c>
      <c r="X306" s="12">
        <v>-95.6</v>
      </c>
      <c r="Y306" s="12">
        <v>-95.6</v>
      </c>
      <c r="Z306" s="12">
        <v>-95.6</v>
      </c>
      <c r="AA306" s="12">
        <v>-95.6</v>
      </c>
      <c r="AB306" s="12">
        <v>-1095.5999999999999</v>
      </c>
      <c r="AC306" s="12">
        <v>-1095.5999999999999</v>
      </c>
      <c r="AD306" s="12">
        <v>-1095.5999999999999</v>
      </c>
      <c r="AE306" s="12">
        <v>-1095.5999999999999</v>
      </c>
      <c r="AF306" s="12">
        <v>-1095.5999999999999</v>
      </c>
      <c r="AG306" s="12">
        <v>-1095.5999999999999</v>
      </c>
      <c r="AH306" s="12">
        <v>-1095.5999999999999</v>
      </c>
      <c r="AI306" s="12">
        <v>-2095.6</v>
      </c>
      <c r="AJ306" s="12">
        <v>-2095.6</v>
      </c>
      <c r="AK306" s="12">
        <v>-2095.6</v>
      </c>
      <c r="AL306" s="12">
        <v>-2095.6</v>
      </c>
      <c r="AM306" s="12">
        <v>-2495.6</v>
      </c>
      <c r="AN306" s="12">
        <v>-2495.6</v>
      </c>
      <c r="AO306" s="12">
        <v>-2495.6</v>
      </c>
      <c r="AP306" s="12">
        <v>-2495.6</v>
      </c>
      <c r="AQ306" s="12">
        <v>-2516.4</v>
      </c>
      <c r="AR306" s="12">
        <v>-2516.4</v>
      </c>
      <c r="AS306" s="12">
        <v>-2516.4</v>
      </c>
      <c r="AT306" s="12">
        <v>-2516.4</v>
      </c>
      <c r="AU306" s="12">
        <v>-2516.4</v>
      </c>
      <c r="AV306" s="12">
        <v>-2516.4</v>
      </c>
      <c r="AW306" s="12">
        <v>0</v>
      </c>
      <c r="AX306" s="12">
        <v>0</v>
      </c>
      <c r="AY306" s="12">
        <v>0</v>
      </c>
      <c r="AZ306" s="12">
        <v>0</v>
      </c>
      <c r="BA306" s="12">
        <v>0</v>
      </c>
    </row>
    <row r="307" spans="1:53" x14ac:dyDescent="0.3">
      <c r="A307" s="7">
        <f t="shared" si="73"/>
        <v>0</v>
      </c>
      <c r="B307" s="7">
        <f t="shared" si="74"/>
        <v>0</v>
      </c>
      <c r="C307" s="7">
        <f t="shared" si="75"/>
        <v>0</v>
      </c>
      <c r="D307" s="5" t="str">
        <f t="shared" si="81"/>
        <v>770</v>
      </c>
      <c r="E307" s="5" t="str">
        <f t="shared" si="81"/>
        <v>ML26A050037A</v>
      </c>
      <c r="F307" s="5"/>
      <c r="G307" s="5"/>
      <c r="H307" s="11" t="s">
        <v>776</v>
      </c>
      <c r="I307" s="11" t="s">
        <v>777</v>
      </c>
      <c r="J307" s="12">
        <v>1620</v>
      </c>
      <c r="K307" s="11" t="s">
        <v>918</v>
      </c>
      <c r="L307" s="12">
        <v>0</v>
      </c>
      <c r="M307" s="12">
        <v>0</v>
      </c>
      <c r="N307" s="12">
        <v>0</v>
      </c>
      <c r="O307" s="12">
        <v>0</v>
      </c>
      <c r="P307" s="12">
        <v>0</v>
      </c>
      <c r="Q307" s="12">
        <v>0</v>
      </c>
      <c r="R307" s="12">
        <v>0</v>
      </c>
      <c r="S307" s="12">
        <v>0</v>
      </c>
      <c r="T307" s="12">
        <v>0</v>
      </c>
      <c r="U307" s="12">
        <v>0</v>
      </c>
      <c r="V307" s="12">
        <v>0</v>
      </c>
      <c r="W307" s="12">
        <v>0</v>
      </c>
      <c r="X307" s="12">
        <v>0</v>
      </c>
      <c r="Y307" s="12">
        <v>0</v>
      </c>
      <c r="Z307" s="12">
        <v>0</v>
      </c>
      <c r="AA307" s="12">
        <v>0</v>
      </c>
      <c r="AB307" s="12">
        <v>0</v>
      </c>
      <c r="AC307" s="12">
        <v>0</v>
      </c>
      <c r="AD307" s="12">
        <v>0</v>
      </c>
      <c r="AE307" s="12">
        <v>0</v>
      </c>
      <c r="AF307" s="12">
        <v>0</v>
      </c>
      <c r="AG307" s="12">
        <v>0</v>
      </c>
      <c r="AH307" s="12">
        <v>0</v>
      </c>
      <c r="AI307" s="12">
        <v>0</v>
      </c>
      <c r="AJ307" s="12">
        <v>0</v>
      </c>
      <c r="AK307" s="12">
        <v>0</v>
      </c>
      <c r="AL307" s="12">
        <v>0</v>
      </c>
      <c r="AM307" s="12">
        <v>0</v>
      </c>
      <c r="AN307" s="12">
        <v>0</v>
      </c>
      <c r="AO307" s="12">
        <v>0</v>
      </c>
      <c r="AP307" s="12">
        <v>0</v>
      </c>
      <c r="AQ307" s="12">
        <v>0</v>
      </c>
      <c r="AR307" s="12">
        <v>0</v>
      </c>
      <c r="AS307" s="12">
        <v>0</v>
      </c>
      <c r="AT307" s="12">
        <v>0</v>
      </c>
      <c r="AU307" s="12">
        <v>0</v>
      </c>
      <c r="AV307" s="12">
        <v>0</v>
      </c>
      <c r="AW307" s="12">
        <v>0</v>
      </c>
      <c r="AX307" s="12">
        <v>0</v>
      </c>
      <c r="AY307" s="12">
        <v>0</v>
      </c>
      <c r="AZ307" s="12">
        <v>0</v>
      </c>
      <c r="BA307" s="12">
        <v>0</v>
      </c>
    </row>
    <row r="308" spans="1:53" x14ac:dyDescent="0.3">
      <c r="A308" s="7">
        <f t="shared" si="73"/>
        <v>0</v>
      </c>
      <c r="B308" s="7">
        <f t="shared" si="74"/>
        <v>0</v>
      </c>
      <c r="C308" s="7">
        <f t="shared" si="75"/>
        <v>0</v>
      </c>
      <c r="D308" s="5" t="str">
        <f t="shared" si="81"/>
        <v>770</v>
      </c>
      <c r="E308" s="5" t="str">
        <f t="shared" si="81"/>
        <v>ML26A050037A</v>
      </c>
      <c r="F308" s="5"/>
      <c r="G308" s="5"/>
      <c r="H308" s="11" t="s">
        <v>49</v>
      </c>
      <c r="I308" s="11"/>
      <c r="J308" s="12">
        <v>0</v>
      </c>
      <c r="K308" s="11" t="s">
        <v>919</v>
      </c>
      <c r="L308" s="12">
        <v>0</v>
      </c>
      <c r="M308" s="12">
        <v>0</v>
      </c>
      <c r="N308" s="12">
        <v>0</v>
      </c>
      <c r="O308" s="12">
        <v>0</v>
      </c>
      <c r="P308" s="12">
        <v>0</v>
      </c>
      <c r="Q308" s="12">
        <v>0</v>
      </c>
      <c r="R308" s="12">
        <v>0</v>
      </c>
      <c r="S308" s="12">
        <v>0</v>
      </c>
      <c r="T308" s="12">
        <v>0</v>
      </c>
      <c r="U308" s="12">
        <v>0</v>
      </c>
      <c r="V308" s="12">
        <v>0</v>
      </c>
      <c r="W308" s="12">
        <v>0</v>
      </c>
      <c r="X308" s="12">
        <v>0</v>
      </c>
      <c r="Y308" s="12">
        <v>0</v>
      </c>
      <c r="Z308" s="12">
        <v>0</v>
      </c>
      <c r="AA308" s="12">
        <v>0</v>
      </c>
      <c r="AB308" s="12">
        <v>0</v>
      </c>
      <c r="AC308" s="12">
        <v>0</v>
      </c>
      <c r="AD308" s="12">
        <v>0</v>
      </c>
      <c r="AE308" s="12">
        <v>0</v>
      </c>
      <c r="AF308" s="12">
        <v>0</v>
      </c>
      <c r="AG308" s="12">
        <v>0</v>
      </c>
      <c r="AH308" s="12">
        <v>0</v>
      </c>
      <c r="AI308" s="12">
        <v>0</v>
      </c>
      <c r="AJ308" s="12">
        <v>0</v>
      </c>
      <c r="AK308" s="12">
        <v>0</v>
      </c>
      <c r="AL308" s="12">
        <v>0</v>
      </c>
      <c r="AM308" s="12">
        <v>0</v>
      </c>
      <c r="AN308" s="12">
        <v>0</v>
      </c>
      <c r="AO308" s="12">
        <v>0</v>
      </c>
      <c r="AP308" s="12">
        <v>0</v>
      </c>
      <c r="AQ308" s="12">
        <v>0</v>
      </c>
      <c r="AR308" s="12">
        <v>0</v>
      </c>
      <c r="AS308" s="12">
        <v>0</v>
      </c>
      <c r="AT308" s="12">
        <v>0</v>
      </c>
      <c r="AU308" s="12">
        <v>0</v>
      </c>
      <c r="AV308" s="12">
        <v>0</v>
      </c>
      <c r="AW308" s="12">
        <v>0</v>
      </c>
      <c r="AX308" s="12">
        <v>0</v>
      </c>
      <c r="AY308" s="12">
        <v>0</v>
      </c>
      <c r="AZ308" s="12">
        <v>0</v>
      </c>
      <c r="BA308" s="12">
        <v>0</v>
      </c>
    </row>
    <row r="309" spans="1:53" x14ac:dyDescent="0.3">
      <c r="A309" s="7">
        <f t="shared" si="73"/>
        <v>2904.4</v>
      </c>
      <c r="B309" s="7">
        <f t="shared" si="74"/>
        <v>-669.2</v>
      </c>
      <c r="C309" s="7">
        <f t="shared" si="75"/>
        <v>-7669.2000000000007</v>
      </c>
      <c r="D309" s="5" t="str">
        <f t="shared" si="81"/>
        <v>770</v>
      </c>
      <c r="E309" s="5" t="str">
        <f t="shared" si="81"/>
        <v>ML26A050037A</v>
      </c>
      <c r="F309" s="5"/>
      <c r="G309" s="6"/>
      <c r="H309" s="11" t="s">
        <v>920</v>
      </c>
      <c r="I309" s="11"/>
      <c r="J309" s="12">
        <v>0</v>
      </c>
      <c r="K309" s="11" t="s">
        <v>921</v>
      </c>
      <c r="L309" s="12">
        <v>0</v>
      </c>
      <c r="M309" s="12">
        <v>-2516.4</v>
      </c>
      <c r="N309" s="12">
        <v>500</v>
      </c>
      <c r="O309" s="12">
        <v>500</v>
      </c>
      <c r="P309" s="12">
        <v>500</v>
      </c>
      <c r="Q309" s="12">
        <v>500</v>
      </c>
      <c r="R309" s="12">
        <v>500</v>
      </c>
      <c r="S309" s="12">
        <v>500</v>
      </c>
      <c r="T309" s="12">
        <v>-95.6</v>
      </c>
      <c r="U309" s="12">
        <v>-95.6</v>
      </c>
      <c r="V309" s="12">
        <v>-95.6</v>
      </c>
      <c r="W309" s="12">
        <v>-95.6</v>
      </c>
      <c r="X309" s="12">
        <v>-95.6</v>
      </c>
      <c r="Y309" s="12">
        <v>-95.6</v>
      </c>
      <c r="Z309" s="12">
        <v>-95.6</v>
      </c>
      <c r="AA309" s="12">
        <v>-95.6</v>
      </c>
      <c r="AB309" s="12">
        <v>-1095.5999999999999</v>
      </c>
      <c r="AC309" s="12">
        <v>-1095.5999999999999</v>
      </c>
      <c r="AD309" s="12">
        <v>-1095.5999999999999</v>
      </c>
      <c r="AE309" s="12">
        <v>-1095.5999999999999</v>
      </c>
      <c r="AF309" s="12">
        <v>-1095.5999999999999</v>
      </c>
      <c r="AG309" s="12">
        <v>-1095.5999999999999</v>
      </c>
      <c r="AH309" s="12">
        <v>-1095.5999999999999</v>
      </c>
      <c r="AI309" s="12">
        <v>-2095.6</v>
      </c>
      <c r="AJ309" s="12">
        <v>-2095.6</v>
      </c>
      <c r="AK309" s="12">
        <v>-2095.6</v>
      </c>
      <c r="AL309" s="12">
        <v>-2095.6</v>
      </c>
      <c r="AM309" s="12">
        <v>-2495.6</v>
      </c>
      <c r="AN309" s="12">
        <v>-2495.6</v>
      </c>
      <c r="AO309" s="12">
        <v>-2495.6</v>
      </c>
      <c r="AP309" s="12">
        <v>-2495.6</v>
      </c>
      <c r="AQ309" s="12">
        <v>-2516.4</v>
      </c>
      <c r="AR309" s="12">
        <v>-2516.4</v>
      </c>
      <c r="AS309" s="12">
        <v>-2516.4</v>
      </c>
      <c r="AT309" s="12">
        <v>-2516.4</v>
      </c>
      <c r="AU309" s="12">
        <v>-2516.4</v>
      </c>
      <c r="AV309" s="12">
        <v>-2516.4</v>
      </c>
      <c r="AW309" s="12">
        <v>0</v>
      </c>
      <c r="AX309" s="12">
        <v>0</v>
      </c>
      <c r="AY309" s="12">
        <v>0</v>
      </c>
      <c r="AZ309" s="12">
        <v>0</v>
      </c>
      <c r="BA309" s="12">
        <v>0</v>
      </c>
    </row>
    <row r="310" spans="1:53" x14ac:dyDescent="0.3">
      <c r="A310" s="7">
        <f t="shared" si="73"/>
        <v>0</v>
      </c>
      <c r="B310" s="7">
        <f t="shared" si="74"/>
        <v>172</v>
      </c>
      <c r="C310" s="7">
        <f t="shared" si="75"/>
        <v>0</v>
      </c>
      <c r="D310" s="13"/>
      <c r="E310" s="13" t="s">
        <v>851</v>
      </c>
      <c r="F310" s="5"/>
      <c r="G310" s="13" t="s">
        <v>1026</v>
      </c>
      <c r="H310" s="13" t="s">
        <v>49</v>
      </c>
      <c r="I310" s="11" t="s">
        <v>49</v>
      </c>
      <c r="J310" s="12">
        <v>0</v>
      </c>
      <c r="K310" s="11" t="s">
        <v>916</v>
      </c>
      <c r="L310" s="12">
        <v>0</v>
      </c>
      <c r="M310" s="12">
        <v>2516</v>
      </c>
      <c r="N310" s="12">
        <v>0</v>
      </c>
      <c r="O310" s="12">
        <v>0</v>
      </c>
      <c r="P310" s="12">
        <v>0</v>
      </c>
      <c r="Q310" s="12">
        <v>0</v>
      </c>
      <c r="R310" s="12">
        <v>0</v>
      </c>
      <c r="S310" s="12">
        <v>0</v>
      </c>
      <c r="T310" s="12">
        <v>0</v>
      </c>
      <c r="U310" s="12">
        <v>172</v>
      </c>
      <c r="V310" s="12">
        <v>0</v>
      </c>
      <c r="W310" s="12">
        <v>0</v>
      </c>
      <c r="X310" s="12">
        <v>0</v>
      </c>
      <c r="Y310" s="12">
        <v>0</v>
      </c>
      <c r="Z310" s="12">
        <v>0</v>
      </c>
      <c r="AA310" s="12">
        <v>0</v>
      </c>
      <c r="AB310" s="12">
        <v>0</v>
      </c>
      <c r="AC310" s="12">
        <v>0</v>
      </c>
      <c r="AD310" s="12">
        <v>0</v>
      </c>
      <c r="AE310" s="12">
        <v>0</v>
      </c>
      <c r="AF310" s="12">
        <v>0</v>
      </c>
      <c r="AG310" s="12">
        <v>0</v>
      </c>
      <c r="AH310" s="12">
        <v>0</v>
      </c>
      <c r="AI310" s="12">
        <v>0</v>
      </c>
      <c r="AJ310" s="12">
        <v>0</v>
      </c>
      <c r="AK310" s="12">
        <v>0</v>
      </c>
      <c r="AL310" s="12">
        <v>0</v>
      </c>
      <c r="AM310" s="12">
        <v>200</v>
      </c>
      <c r="AN310" s="12">
        <v>0</v>
      </c>
      <c r="AO310" s="12">
        <v>300</v>
      </c>
      <c r="AP310" s="12">
        <v>0</v>
      </c>
      <c r="AQ310" s="12">
        <v>970.8</v>
      </c>
      <c r="AR310" s="12">
        <v>400</v>
      </c>
      <c r="AS310" s="12">
        <v>0</v>
      </c>
      <c r="AT310" s="12">
        <v>473.2</v>
      </c>
      <c r="AU310" s="12">
        <v>0</v>
      </c>
      <c r="AV310" s="12">
        <v>0</v>
      </c>
      <c r="AW310" s="12">
        <v>172</v>
      </c>
      <c r="AX310" s="12">
        <v>0</v>
      </c>
      <c r="AY310" s="12">
        <v>500</v>
      </c>
      <c r="AZ310" s="12">
        <v>1844</v>
      </c>
      <c r="BA310" s="12">
        <v>0</v>
      </c>
    </row>
    <row r="311" spans="1:53" x14ac:dyDescent="0.3">
      <c r="A311" s="7">
        <f t="shared" si="73"/>
        <v>160972</v>
      </c>
      <c r="B311" s="7">
        <f t="shared" si="74"/>
        <v>159768</v>
      </c>
      <c r="C311" s="7">
        <f t="shared" si="75"/>
        <v>159768</v>
      </c>
      <c r="D311" s="5"/>
      <c r="E311" s="5" t="str">
        <f t="shared" ref="E311:E314" si="82">E310</f>
        <v>ML26A050059A</v>
      </c>
      <c r="F311" s="5"/>
      <c r="G311" s="5"/>
      <c r="H311" s="6"/>
      <c r="I311" s="11"/>
      <c r="J311" s="12">
        <v>0</v>
      </c>
      <c r="K311" s="11" t="s">
        <v>917</v>
      </c>
      <c r="L311" s="12">
        <v>22996</v>
      </c>
      <c r="M311" s="12">
        <v>20480</v>
      </c>
      <c r="N311" s="12">
        <v>22996</v>
      </c>
      <c r="O311" s="12">
        <v>22996</v>
      </c>
      <c r="P311" s="12">
        <v>22996</v>
      </c>
      <c r="Q311" s="12">
        <v>22996</v>
      </c>
      <c r="R311" s="12">
        <v>22996</v>
      </c>
      <c r="S311" s="12">
        <v>22996</v>
      </c>
      <c r="T311" s="12">
        <v>22996</v>
      </c>
      <c r="U311" s="12">
        <v>22824</v>
      </c>
      <c r="V311" s="12">
        <v>22824</v>
      </c>
      <c r="W311" s="12">
        <v>22824</v>
      </c>
      <c r="X311" s="12">
        <v>22824</v>
      </c>
      <c r="Y311" s="12">
        <v>22824</v>
      </c>
      <c r="Z311" s="12">
        <v>22824</v>
      </c>
      <c r="AA311" s="12">
        <v>22824</v>
      </c>
      <c r="AB311" s="12">
        <v>22824</v>
      </c>
      <c r="AC311" s="12">
        <v>22824</v>
      </c>
      <c r="AD311" s="12">
        <v>22824</v>
      </c>
      <c r="AE311" s="12">
        <v>22824</v>
      </c>
      <c r="AF311" s="12">
        <v>22824</v>
      </c>
      <c r="AG311" s="12">
        <v>22824</v>
      </c>
      <c r="AH311" s="12">
        <v>22824</v>
      </c>
      <c r="AI311" s="12">
        <v>22824</v>
      </c>
      <c r="AJ311" s="12">
        <v>22824</v>
      </c>
      <c r="AK311" s="12">
        <v>22824</v>
      </c>
      <c r="AL311" s="12">
        <v>22824</v>
      </c>
      <c r="AM311" s="12">
        <v>22624</v>
      </c>
      <c r="AN311" s="12">
        <v>22624</v>
      </c>
      <c r="AO311" s="12">
        <v>22324</v>
      </c>
      <c r="AP311" s="12">
        <v>22324</v>
      </c>
      <c r="AQ311" s="12">
        <v>21353.200000000001</v>
      </c>
      <c r="AR311" s="12">
        <v>20953.2</v>
      </c>
      <c r="AS311" s="12">
        <v>20953.2</v>
      </c>
      <c r="AT311" s="12">
        <v>20480</v>
      </c>
      <c r="AU311" s="12">
        <v>20480</v>
      </c>
      <c r="AV311" s="12">
        <v>20480</v>
      </c>
      <c r="AW311" s="12">
        <v>0</v>
      </c>
      <c r="AX311" s="12">
        <v>0</v>
      </c>
      <c r="AY311" s="12">
        <v>0</v>
      </c>
      <c r="AZ311" s="12">
        <v>0</v>
      </c>
      <c r="BA311" s="12">
        <v>0</v>
      </c>
    </row>
    <row r="312" spans="1:53" x14ac:dyDescent="0.3">
      <c r="A312" s="7">
        <f t="shared" si="73"/>
        <v>0</v>
      </c>
      <c r="B312" s="7">
        <f t="shared" si="74"/>
        <v>0</v>
      </c>
      <c r="C312" s="7">
        <f t="shared" si="75"/>
        <v>0</v>
      </c>
      <c r="D312" s="5"/>
      <c r="E312" s="5" t="str">
        <f t="shared" si="82"/>
        <v>ML26A050059A</v>
      </c>
      <c r="F312" s="5"/>
      <c r="G312" s="5"/>
      <c r="H312" s="11" t="s">
        <v>776</v>
      </c>
      <c r="I312" s="11" t="s">
        <v>777</v>
      </c>
      <c r="J312" s="12"/>
      <c r="K312" s="11" t="s">
        <v>918</v>
      </c>
      <c r="L312" s="12">
        <v>0</v>
      </c>
      <c r="M312" s="12">
        <v>0</v>
      </c>
      <c r="N312" s="12">
        <v>0</v>
      </c>
      <c r="O312" s="12">
        <v>0</v>
      </c>
      <c r="P312" s="12">
        <v>0</v>
      </c>
      <c r="Q312" s="12">
        <v>0</v>
      </c>
      <c r="R312" s="12">
        <v>0</v>
      </c>
      <c r="S312" s="12">
        <v>0</v>
      </c>
      <c r="T312" s="12">
        <v>0</v>
      </c>
      <c r="U312" s="12">
        <v>0</v>
      </c>
      <c r="V312" s="12">
        <v>0</v>
      </c>
      <c r="W312" s="12">
        <v>0</v>
      </c>
      <c r="X312" s="12">
        <v>0</v>
      </c>
      <c r="Y312" s="12">
        <v>0</v>
      </c>
      <c r="Z312" s="12">
        <v>0</v>
      </c>
      <c r="AA312" s="12">
        <v>0</v>
      </c>
      <c r="AB312" s="12">
        <v>0</v>
      </c>
      <c r="AC312" s="12">
        <v>0</v>
      </c>
      <c r="AD312" s="12">
        <v>0</v>
      </c>
      <c r="AE312" s="12">
        <v>0</v>
      </c>
      <c r="AF312" s="12">
        <v>0</v>
      </c>
      <c r="AG312" s="12">
        <v>0</v>
      </c>
      <c r="AH312" s="12">
        <v>0</v>
      </c>
      <c r="AI312" s="12">
        <v>0</v>
      </c>
      <c r="AJ312" s="12">
        <v>0</v>
      </c>
      <c r="AK312" s="12">
        <v>0</v>
      </c>
      <c r="AL312" s="12">
        <v>0</v>
      </c>
      <c r="AM312" s="12">
        <v>0</v>
      </c>
      <c r="AN312" s="12">
        <v>0</v>
      </c>
      <c r="AO312" s="12">
        <v>0</v>
      </c>
      <c r="AP312" s="12">
        <v>0</v>
      </c>
      <c r="AQ312" s="12">
        <v>0</v>
      </c>
      <c r="AR312" s="12">
        <v>0</v>
      </c>
      <c r="AS312" s="12">
        <v>0</v>
      </c>
      <c r="AT312" s="12">
        <v>0</v>
      </c>
      <c r="AU312" s="12">
        <v>0</v>
      </c>
      <c r="AV312" s="12">
        <v>0</v>
      </c>
      <c r="AW312" s="12">
        <v>0</v>
      </c>
      <c r="AX312" s="12">
        <v>0</v>
      </c>
      <c r="AY312" s="12">
        <v>0</v>
      </c>
      <c r="AZ312" s="12">
        <v>0</v>
      </c>
      <c r="BA312" s="12">
        <v>0</v>
      </c>
    </row>
    <row r="313" spans="1:53" x14ac:dyDescent="0.3">
      <c r="A313" s="7">
        <f t="shared" si="73"/>
        <v>0</v>
      </c>
      <c r="B313" s="7">
        <f t="shared" si="74"/>
        <v>0</v>
      </c>
      <c r="C313" s="7">
        <f t="shared" si="75"/>
        <v>0</v>
      </c>
      <c r="D313" s="5"/>
      <c r="E313" s="5" t="str">
        <f t="shared" si="82"/>
        <v>ML26A050059A</v>
      </c>
      <c r="F313" s="5"/>
      <c r="G313" s="5"/>
      <c r="H313" s="11" t="s">
        <v>49</v>
      </c>
      <c r="I313" s="11"/>
      <c r="J313" s="12">
        <v>0</v>
      </c>
      <c r="K313" s="11" t="s">
        <v>919</v>
      </c>
      <c r="L313" s="12">
        <v>0</v>
      </c>
      <c r="M313" s="12">
        <v>0</v>
      </c>
      <c r="N313" s="12">
        <v>0</v>
      </c>
      <c r="O313" s="12">
        <v>0</v>
      </c>
      <c r="P313" s="12">
        <v>0</v>
      </c>
      <c r="Q313" s="12">
        <v>0</v>
      </c>
      <c r="R313" s="12">
        <v>0</v>
      </c>
      <c r="S313" s="12">
        <v>0</v>
      </c>
      <c r="T313" s="12">
        <v>0</v>
      </c>
      <c r="U313" s="12">
        <v>0</v>
      </c>
      <c r="V313" s="12">
        <v>0</v>
      </c>
      <c r="W313" s="12">
        <v>0</v>
      </c>
      <c r="X313" s="12">
        <v>0</v>
      </c>
      <c r="Y313" s="12">
        <v>0</v>
      </c>
      <c r="Z313" s="12">
        <v>0</v>
      </c>
      <c r="AA313" s="12">
        <v>0</v>
      </c>
      <c r="AB313" s="12">
        <v>0</v>
      </c>
      <c r="AC313" s="12">
        <v>0</v>
      </c>
      <c r="AD313" s="12">
        <v>0</v>
      </c>
      <c r="AE313" s="12">
        <v>0</v>
      </c>
      <c r="AF313" s="12">
        <v>0</v>
      </c>
      <c r="AG313" s="12">
        <v>0</v>
      </c>
      <c r="AH313" s="12">
        <v>0</v>
      </c>
      <c r="AI313" s="12">
        <v>0</v>
      </c>
      <c r="AJ313" s="12">
        <v>0</v>
      </c>
      <c r="AK313" s="12">
        <v>0</v>
      </c>
      <c r="AL313" s="12">
        <v>0</v>
      </c>
      <c r="AM313" s="12">
        <v>0</v>
      </c>
      <c r="AN313" s="12">
        <v>0</v>
      </c>
      <c r="AO313" s="12">
        <v>0</v>
      </c>
      <c r="AP313" s="12">
        <v>0</v>
      </c>
      <c r="AQ313" s="12">
        <v>0</v>
      </c>
      <c r="AR313" s="12">
        <v>0</v>
      </c>
      <c r="AS313" s="12">
        <v>0</v>
      </c>
      <c r="AT313" s="12">
        <v>0</v>
      </c>
      <c r="AU313" s="12">
        <v>0</v>
      </c>
      <c r="AV313" s="12">
        <v>0</v>
      </c>
      <c r="AW313" s="12">
        <v>0</v>
      </c>
      <c r="AX313" s="12">
        <v>0</v>
      </c>
      <c r="AY313" s="12">
        <v>0</v>
      </c>
      <c r="AZ313" s="12">
        <v>0</v>
      </c>
      <c r="BA313" s="12">
        <v>0</v>
      </c>
    </row>
    <row r="314" spans="1:53" x14ac:dyDescent="0.3">
      <c r="A314" s="7">
        <f t="shared" si="73"/>
        <v>160972</v>
      </c>
      <c r="B314" s="7">
        <f t="shared" si="74"/>
        <v>159768</v>
      </c>
      <c r="C314" s="7">
        <f t="shared" si="75"/>
        <v>159768</v>
      </c>
      <c r="D314" s="5"/>
      <c r="E314" s="5" t="str">
        <f t="shared" si="82"/>
        <v>ML26A050059A</v>
      </c>
      <c r="F314" s="5"/>
      <c r="G314" s="6"/>
      <c r="H314" s="11" t="s">
        <v>920</v>
      </c>
      <c r="I314" s="11"/>
      <c r="J314" s="12">
        <v>0</v>
      </c>
      <c r="K314" s="11" t="s">
        <v>921</v>
      </c>
      <c r="L314" s="12">
        <v>0</v>
      </c>
      <c r="M314" s="12">
        <v>20480</v>
      </c>
      <c r="N314" s="12">
        <v>22996</v>
      </c>
      <c r="O314" s="12">
        <v>22996</v>
      </c>
      <c r="P314" s="12">
        <v>22996</v>
      </c>
      <c r="Q314" s="12">
        <v>22996</v>
      </c>
      <c r="R314" s="12">
        <v>22996</v>
      </c>
      <c r="S314" s="12">
        <v>22996</v>
      </c>
      <c r="T314" s="12">
        <v>22996</v>
      </c>
      <c r="U314" s="12">
        <v>22824</v>
      </c>
      <c r="V314" s="12">
        <v>22824</v>
      </c>
      <c r="W314" s="12">
        <v>22824</v>
      </c>
      <c r="X314" s="12">
        <v>22824</v>
      </c>
      <c r="Y314" s="12">
        <v>22824</v>
      </c>
      <c r="Z314" s="12">
        <v>22824</v>
      </c>
      <c r="AA314" s="12">
        <v>22824</v>
      </c>
      <c r="AB314" s="12">
        <v>22824</v>
      </c>
      <c r="AC314" s="12">
        <v>22824</v>
      </c>
      <c r="AD314" s="12">
        <v>22824</v>
      </c>
      <c r="AE314" s="12">
        <v>22824</v>
      </c>
      <c r="AF314" s="12">
        <v>22824</v>
      </c>
      <c r="AG314" s="12">
        <v>22824</v>
      </c>
      <c r="AH314" s="12">
        <v>22824</v>
      </c>
      <c r="AI314" s="12">
        <v>22824</v>
      </c>
      <c r="AJ314" s="12">
        <v>22824</v>
      </c>
      <c r="AK314" s="12">
        <v>22824</v>
      </c>
      <c r="AL314" s="12">
        <v>22824</v>
      </c>
      <c r="AM314" s="12">
        <v>22624</v>
      </c>
      <c r="AN314" s="12">
        <v>22624</v>
      </c>
      <c r="AO314" s="12">
        <v>22324</v>
      </c>
      <c r="AP314" s="12">
        <v>22324</v>
      </c>
      <c r="AQ314" s="12">
        <v>21353.200000000001</v>
      </c>
      <c r="AR314" s="12">
        <v>20953.2</v>
      </c>
      <c r="AS314" s="12">
        <v>20953.2</v>
      </c>
      <c r="AT314" s="12">
        <v>20480</v>
      </c>
      <c r="AU314" s="12">
        <v>20480</v>
      </c>
      <c r="AV314" s="12">
        <v>20480</v>
      </c>
      <c r="AW314" s="12">
        <v>0</v>
      </c>
      <c r="AX314" s="12">
        <v>0</v>
      </c>
      <c r="AY314" s="12">
        <v>0</v>
      </c>
      <c r="AZ314" s="12">
        <v>0</v>
      </c>
      <c r="BA314" s="12">
        <v>0</v>
      </c>
    </row>
    <row r="315" spans="1:53" x14ac:dyDescent="0.3">
      <c r="A315" s="7">
        <f t="shared" si="73"/>
        <v>0</v>
      </c>
      <c r="B315" s="7">
        <f t="shared" si="74"/>
        <v>0</v>
      </c>
      <c r="C315" s="7">
        <f t="shared" si="75"/>
        <v>0</v>
      </c>
      <c r="D315" s="13" t="s">
        <v>1027</v>
      </c>
      <c r="E315" s="13" t="s">
        <v>866</v>
      </c>
      <c r="F315" s="5"/>
      <c r="G315" s="13" t="s">
        <v>1028</v>
      </c>
      <c r="H315" s="13" t="s">
        <v>49</v>
      </c>
      <c r="I315" s="11" t="s">
        <v>49</v>
      </c>
      <c r="J315" s="12">
        <v>0</v>
      </c>
      <c r="K315" s="11" t="s">
        <v>916</v>
      </c>
      <c r="L315" s="12">
        <v>0</v>
      </c>
      <c r="M315" s="12">
        <v>0</v>
      </c>
      <c r="N315" s="12">
        <v>0</v>
      </c>
      <c r="O315" s="12">
        <v>0</v>
      </c>
      <c r="P315" s="12">
        <v>0</v>
      </c>
      <c r="Q315" s="12">
        <v>0</v>
      </c>
      <c r="R315" s="12">
        <v>0</v>
      </c>
      <c r="S315" s="12">
        <v>0</v>
      </c>
      <c r="T315" s="12">
        <v>0</v>
      </c>
      <c r="U315" s="12">
        <v>0</v>
      </c>
      <c r="V315" s="12">
        <v>0</v>
      </c>
      <c r="W315" s="12">
        <v>0</v>
      </c>
      <c r="X315" s="12">
        <v>0</v>
      </c>
      <c r="Y315" s="12">
        <v>0</v>
      </c>
      <c r="Z315" s="12">
        <v>0</v>
      </c>
      <c r="AA315" s="12">
        <v>0</v>
      </c>
      <c r="AB315" s="12">
        <v>0</v>
      </c>
      <c r="AC315" s="12">
        <v>0</v>
      </c>
      <c r="AD315" s="12">
        <v>0</v>
      </c>
      <c r="AE315" s="12">
        <v>0</v>
      </c>
      <c r="AF315" s="12">
        <v>0</v>
      </c>
      <c r="AG315" s="12">
        <v>0</v>
      </c>
      <c r="AH315" s="12">
        <v>0</v>
      </c>
      <c r="AI315" s="12">
        <v>0</v>
      </c>
      <c r="AJ315" s="12">
        <v>0</v>
      </c>
      <c r="AK315" s="12">
        <v>0</v>
      </c>
      <c r="AL315" s="12">
        <v>0</v>
      </c>
      <c r="AM315" s="12">
        <v>0</v>
      </c>
      <c r="AN315" s="12">
        <v>0</v>
      </c>
      <c r="AO315" s="12">
        <v>0</v>
      </c>
      <c r="AP315" s="12">
        <v>0</v>
      </c>
      <c r="AQ315" s="12">
        <v>0</v>
      </c>
      <c r="AR315" s="12">
        <v>0</v>
      </c>
      <c r="AS315" s="12">
        <v>0</v>
      </c>
      <c r="AT315" s="12">
        <v>0</v>
      </c>
      <c r="AU315" s="12">
        <v>0</v>
      </c>
      <c r="AV315" s="12">
        <v>0</v>
      </c>
      <c r="AW315" s="12">
        <v>0</v>
      </c>
      <c r="AX315" s="12">
        <v>0</v>
      </c>
      <c r="AY315" s="12">
        <v>0</v>
      </c>
      <c r="AZ315" s="12">
        <v>0</v>
      </c>
      <c r="BA315" s="12">
        <v>0</v>
      </c>
    </row>
    <row r="316" spans="1:53" x14ac:dyDescent="0.3">
      <c r="A316" s="7">
        <f t="shared" si="73"/>
        <v>0</v>
      </c>
      <c r="B316" s="7">
        <f t="shared" si="74"/>
        <v>0</v>
      </c>
      <c r="C316" s="7">
        <f t="shared" si="75"/>
        <v>0</v>
      </c>
      <c r="D316" s="5" t="str">
        <f t="shared" ref="D316:E324" si="83">D315</f>
        <v>794</v>
      </c>
      <c r="E316" s="5" t="str">
        <f t="shared" si="83"/>
        <v>ML27-00420C</v>
      </c>
      <c r="F316" s="5"/>
      <c r="G316" s="5"/>
      <c r="H316" s="6"/>
      <c r="I316" s="11"/>
      <c r="J316" s="12">
        <v>0</v>
      </c>
      <c r="K316" s="11" t="s">
        <v>917</v>
      </c>
      <c r="L316" s="12">
        <v>0</v>
      </c>
      <c r="M316" s="12">
        <v>0</v>
      </c>
      <c r="N316" s="12">
        <v>0</v>
      </c>
      <c r="O316" s="12">
        <v>0</v>
      </c>
      <c r="P316" s="12">
        <v>0</v>
      </c>
      <c r="Q316" s="12">
        <v>0</v>
      </c>
      <c r="R316" s="12">
        <v>0</v>
      </c>
      <c r="S316" s="12">
        <v>0</v>
      </c>
      <c r="T316" s="12">
        <v>0</v>
      </c>
      <c r="U316" s="12">
        <v>0</v>
      </c>
      <c r="V316" s="12">
        <v>0</v>
      </c>
      <c r="W316" s="12">
        <v>0</v>
      </c>
      <c r="X316" s="12">
        <v>0</v>
      </c>
      <c r="Y316" s="12">
        <v>0</v>
      </c>
      <c r="Z316" s="12">
        <v>0</v>
      </c>
      <c r="AA316" s="12">
        <v>0</v>
      </c>
      <c r="AB316" s="12">
        <v>0</v>
      </c>
      <c r="AC316" s="12">
        <v>0</v>
      </c>
      <c r="AD316" s="12">
        <v>0</v>
      </c>
      <c r="AE316" s="12">
        <v>0</v>
      </c>
      <c r="AF316" s="12">
        <v>0</v>
      </c>
      <c r="AG316" s="12">
        <v>0</v>
      </c>
      <c r="AH316" s="12">
        <v>0</v>
      </c>
      <c r="AI316" s="12">
        <v>0</v>
      </c>
      <c r="AJ316" s="12">
        <v>0</v>
      </c>
      <c r="AK316" s="12">
        <v>0</v>
      </c>
      <c r="AL316" s="12">
        <v>0</v>
      </c>
      <c r="AM316" s="12">
        <v>0</v>
      </c>
      <c r="AN316" s="12">
        <v>0</v>
      </c>
      <c r="AO316" s="12">
        <v>0</v>
      </c>
      <c r="AP316" s="12">
        <v>0</v>
      </c>
      <c r="AQ316" s="12">
        <v>0</v>
      </c>
      <c r="AR316" s="12">
        <v>0</v>
      </c>
      <c r="AS316" s="12">
        <v>0</v>
      </c>
      <c r="AT316" s="12">
        <v>0</v>
      </c>
      <c r="AU316" s="12">
        <v>0</v>
      </c>
      <c r="AV316" s="12">
        <v>0</v>
      </c>
      <c r="AW316" s="12">
        <v>0</v>
      </c>
      <c r="AX316" s="12">
        <v>0</v>
      </c>
      <c r="AY316" s="12">
        <v>0</v>
      </c>
      <c r="AZ316" s="12">
        <v>0</v>
      </c>
      <c r="BA316" s="12">
        <v>0</v>
      </c>
    </row>
    <row r="317" spans="1:53" x14ac:dyDescent="0.3">
      <c r="A317" s="7">
        <f t="shared" si="73"/>
        <v>0</v>
      </c>
      <c r="B317" s="7">
        <f t="shared" si="74"/>
        <v>0</v>
      </c>
      <c r="C317" s="7">
        <f t="shared" si="75"/>
        <v>0</v>
      </c>
      <c r="D317" s="5" t="str">
        <f t="shared" si="83"/>
        <v>794</v>
      </c>
      <c r="E317" s="5" t="str">
        <f t="shared" si="83"/>
        <v>ML27-00420C</v>
      </c>
      <c r="F317" s="5"/>
      <c r="G317" s="5"/>
      <c r="H317" s="11" t="s">
        <v>780</v>
      </c>
      <c r="I317" s="11" t="s">
        <v>781</v>
      </c>
      <c r="J317" s="12"/>
      <c r="K317" s="11" t="s">
        <v>918</v>
      </c>
      <c r="L317" s="12">
        <v>0</v>
      </c>
      <c r="M317" s="12">
        <v>0</v>
      </c>
      <c r="N317" s="12">
        <v>0</v>
      </c>
      <c r="O317" s="12">
        <v>0</v>
      </c>
      <c r="P317" s="12">
        <v>0</v>
      </c>
      <c r="Q317" s="12">
        <v>0</v>
      </c>
      <c r="R317" s="12">
        <v>0</v>
      </c>
      <c r="S317" s="12">
        <v>0</v>
      </c>
      <c r="T317" s="12">
        <v>0</v>
      </c>
      <c r="U317" s="12">
        <v>0</v>
      </c>
      <c r="V317" s="12">
        <v>0</v>
      </c>
      <c r="W317" s="12">
        <v>0</v>
      </c>
      <c r="X317" s="12">
        <v>0</v>
      </c>
      <c r="Y317" s="12">
        <v>0</v>
      </c>
      <c r="Z317" s="12">
        <v>0</v>
      </c>
      <c r="AA317" s="12">
        <v>0</v>
      </c>
      <c r="AB317" s="12">
        <v>0</v>
      </c>
      <c r="AC317" s="12">
        <v>0</v>
      </c>
      <c r="AD317" s="12">
        <v>0</v>
      </c>
      <c r="AE317" s="12">
        <v>0</v>
      </c>
      <c r="AF317" s="12">
        <v>0</v>
      </c>
      <c r="AG317" s="12">
        <v>0</v>
      </c>
      <c r="AH317" s="12">
        <v>0</v>
      </c>
      <c r="AI317" s="12">
        <v>0</v>
      </c>
      <c r="AJ317" s="12">
        <v>0</v>
      </c>
      <c r="AK317" s="12">
        <v>0</v>
      </c>
      <c r="AL317" s="12">
        <v>0</v>
      </c>
      <c r="AM317" s="12">
        <v>0</v>
      </c>
      <c r="AN317" s="12">
        <v>0</v>
      </c>
      <c r="AO317" s="12">
        <v>0</v>
      </c>
      <c r="AP317" s="12">
        <v>0</v>
      </c>
      <c r="AQ317" s="12">
        <v>0</v>
      </c>
      <c r="AR317" s="12">
        <v>0</v>
      </c>
      <c r="AS317" s="12">
        <v>0</v>
      </c>
      <c r="AT317" s="12">
        <v>0</v>
      </c>
      <c r="AU317" s="12">
        <v>0</v>
      </c>
      <c r="AV317" s="12">
        <v>0</v>
      </c>
      <c r="AW317" s="12">
        <v>0</v>
      </c>
      <c r="AX317" s="12">
        <v>0</v>
      </c>
      <c r="AY317" s="12">
        <v>0</v>
      </c>
      <c r="AZ317" s="12">
        <v>0</v>
      </c>
      <c r="BA317" s="12">
        <v>0</v>
      </c>
    </row>
    <row r="318" spans="1:53" x14ac:dyDescent="0.3">
      <c r="A318" s="7">
        <f t="shared" si="73"/>
        <v>0</v>
      </c>
      <c r="B318" s="7">
        <f t="shared" si="74"/>
        <v>0</v>
      </c>
      <c r="C318" s="7">
        <f t="shared" si="75"/>
        <v>0</v>
      </c>
      <c r="D318" s="5" t="str">
        <f t="shared" si="83"/>
        <v>794</v>
      </c>
      <c r="E318" s="5" t="str">
        <f t="shared" si="83"/>
        <v>ML27-00420C</v>
      </c>
      <c r="F318" s="5"/>
      <c r="G318" s="5"/>
      <c r="H318" s="11" t="s">
        <v>49</v>
      </c>
      <c r="I318" s="11"/>
      <c r="J318" s="12">
        <v>0</v>
      </c>
      <c r="K318" s="11" t="s">
        <v>919</v>
      </c>
      <c r="L318" s="12">
        <v>0</v>
      </c>
      <c r="M318" s="12">
        <v>0</v>
      </c>
      <c r="N318" s="12">
        <v>0</v>
      </c>
      <c r="O318" s="12">
        <v>0</v>
      </c>
      <c r="P318" s="12">
        <v>0</v>
      </c>
      <c r="Q318" s="12">
        <v>0</v>
      </c>
      <c r="R318" s="12">
        <v>0</v>
      </c>
      <c r="S318" s="12">
        <v>0</v>
      </c>
      <c r="T318" s="12">
        <v>0</v>
      </c>
      <c r="U318" s="12">
        <v>0</v>
      </c>
      <c r="V318" s="12">
        <v>0</v>
      </c>
      <c r="W318" s="12">
        <v>0</v>
      </c>
      <c r="X318" s="12">
        <v>0</v>
      </c>
      <c r="Y318" s="12">
        <v>0</v>
      </c>
      <c r="Z318" s="12">
        <v>0</v>
      </c>
      <c r="AA318" s="12">
        <v>0</v>
      </c>
      <c r="AB318" s="12">
        <v>0</v>
      </c>
      <c r="AC318" s="12">
        <v>0</v>
      </c>
      <c r="AD318" s="12">
        <v>0</v>
      </c>
      <c r="AE318" s="12">
        <v>0</v>
      </c>
      <c r="AF318" s="12">
        <v>0</v>
      </c>
      <c r="AG318" s="12">
        <v>0</v>
      </c>
      <c r="AH318" s="12">
        <v>0</v>
      </c>
      <c r="AI318" s="12">
        <v>0</v>
      </c>
      <c r="AJ318" s="12">
        <v>0</v>
      </c>
      <c r="AK318" s="12">
        <v>0</v>
      </c>
      <c r="AL318" s="12">
        <v>0</v>
      </c>
      <c r="AM318" s="12">
        <v>0</v>
      </c>
      <c r="AN318" s="12">
        <v>0</v>
      </c>
      <c r="AO318" s="12">
        <v>0</v>
      </c>
      <c r="AP318" s="12">
        <v>0</v>
      </c>
      <c r="AQ318" s="12">
        <v>0</v>
      </c>
      <c r="AR318" s="12">
        <v>0</v>
      </c>
      <c r="AS318" s="12">
        <v>0</v>
      </c>
      <c r="AT318" s="12">
        <v>0</v>
      </c>
      <c r="AU318" s="12">
        <v>0</v>
      </c>
      <c r="AV318" s="12">
        <v>0</v>
      </c>
      <c r="AW318" s="12">
        <v>0</v>
      </c>
      <c r="AX318" s="12">
        <v>0</v>
      </c>
      <c r="AY318" s="12">
        <v>0</v>
      </c>
      <c r="AZ318" s="12">
        <v>0</v>
      </c>
      <c r="BA318" s="12">
        <v>0</v>
      </c>
    </row>
    <row r="319" spans="1:53" x14ac:dyDescent="0.3">
      <c r="A319" s="7">
        <f t="shared" si="73"/>
        <v>0</v>
      </c>
      <c r="B319" s="7">
        <f t="shared" si="74"/>
        <v>0</v>
      </c>
      <c r="C319" s="7">
        <f t="shared" si="75"/>
        <v>0</v>
      </c>
      <c r="D319" s="5" t="str">
        <f t="shared" si="83"/>
        <v>794</v>
      </c>
      <c r="E319" s="5" t="str">
        <f t="shared" si="83"/>
        <v>ML27-00420C</v>
      </c>
      <c r="F319" s="5"/>
      <c r="G319" s="6"/>
      <c r="H319" s="11" t="s">
        <v>920</v>
      </c>
      <c r="I319" s="11"/>
      <c r="J319" s="12">
        <v>0</v>
      </c>
      <c r="K319" s="11" t="s">
        <v>921</v>
      </c>
      <c r="L319" s="12">
        <v>0</v>
      </c>
      <c r="M319" s="12">
        <v>0</v>
      </c>
      <c r="N319" s="12">
        <v>0</v>
      </c>
      <c r="O319" s="12">
        <v>0</v>
      </c>
      <c r="P319" s="12">
        <v>0</v>
      </c>
      <c r="Q319" s="12">
        <v>0</v>
      </c>
      <c r="R319" s="12">
        <v>0</v>
      </c>
      <c r="S319" s="12">
        <v>0</v>
      </c>
      <c r="T319" s="12">
        <v>0</v>
      </c>
      <c r="U319" s="12">
        <v>0</v>
      </c>
      <c r="V319" s="12">
        <v>0</v>
      </c>
      <c r="W319" s="12">
        <v>0</v>
      </c>
      <c r="X319" s="12">
        <v>0</v>
      </c>
      <c r="Y319" s="12">
        <v>0</v>
      </c>
      <c r="Z319" s="12">
        <v>0</v>
      </c>
      <c r="AA319" s="12">
        <v>0</v>
      </c>
      <c r="AB319" s="12">
        <v>0</v>
      </c>
      <c r="AC319" s="12">
        <v>0</v>
      </c>
      <c r="AD319" s="12">
        <v>0</v>
      </c>
      <c r="AE319" s="12">
        <v>0</v>
      </c>
      <c r="AF319" s="12">
        <v>0</v>
      </c>
      <c r="AG319" s="12">
        <v>0</v>
      </c>
      <c r="AH319" s="12">
        <v>0</v>
      </c>
      <c r="AI319" s="12">
        <v>0</v>
      </c>
      <c r="AJ319" s="12">
        <v>0</v>
      </c>
      <c r="AK319" s="12">
        <v>0</v>
      </c>
      <c r="AL319" s="12">
        <v>0</v>
      </c>
      <c r="AM319" s="12">
        <v>0</v>
      </c>
      <c r="AN319" s="12">
        <v>0</v>
      </c>
      <c r="AO319" s="12">
        <v>0</v>
      </c>
      <c r="AP319" s="12">
        <v>0</v>
      </c>
      <c r="AQ319" s="12">
        <v>0</v>
      </c>
      <c r="AR319" s="12">
        <v>0</v>
      </c>
      <c r="AS319" s="12">
        <v>0</v>
      </c>
      <c r="AT319" s="12">
        <v>0</v>
      </c>
      <c r="AU319" s="12">
        <v>0</v>
      </c>
      <c r="AV319" s="12">
        <v>0</v>
      </c>
      <c r="AW319" s="12">
        <v>0</v>
      </c>
      <c r="AX319" s="12">
        <v>0</v>
      </c>
      <c r="AY319" s="12">
        <v>0</v>
      </c>
      <c r="AZ319" s="12">
        <v>0</v>
      </c>
      <c r="BA319" s="12">
        <v>0</v>
      </c>
    </row>
    <row r="320" spans="1:53" x14ac:dyDescent="0.3">
      <c r="A320" s="7">
        <f t="shared" si="73"/>
        <v>0</v>
      </c>
      <c r="B320" s="7">
        <f t="shared" si="74"/>
        <v>7200</v>
      </c>
      <c r="C320" s="7">
        <f t="shared" si="75"/>
        <v>0</v>
      </c>
      <c r="D320" s="5" t="str">
        <f t="shared" si="83"/>
        <v>794</v>
      </c>
      <c r="E320" s="13" t="s">
        <v>867</v>
      </c>
      <c r="F320" s="5"/>
      <c r="G320" s="13" t="s">
        <v>1029</v>
      </c>
      <c r="H320" s="13" t="s">
        <v>49</v>
      </c>
      <c r="I320" s="11" t="s">
        <v>49</v>
      </c>
      <c r="J320" s="12">
        <v>0</v>
      </c>
      <c r="K320" s="11" t="s">
        <v>916</v>
      </c>
      <c r="L320" s="12">
        <v>0</v>
      </c>
      <c r="M320" s="12">
        <v>16171</v>
      </c>
      <c r="N320" s="12">
        <v>0</v>
      </c>
      <c r="O320" s="12">
        <v>0</v>
      </c>
      <c r="P320" s="12">
        <v>0</v>
      </c>
      <c r="Q320" s="12">
        <v>0</v>
      </c>
      <c r="R320" s="12">
        <v>0</v>
      </c>
      <c r="S320" s="12">
        <v>0</v>
      </c>
      <c r="T320" s="12">
        <v>0</v>
      </c>
      <c r="U320" s="12">
        <v>0</v>
      </c>
      <c r="V320" s="12">
        <v>0</v>
      </c>
      <c r="W320" s="12">
        <v>0</v>
      </c>
      <c r="X320" s="12">
        <v>0</v>
      </c>
      <c r="Y320" s="12">
        <v>0</v>
      </c>
      <c r="Z320" s="12">
        <v>0</v>
      </c>
      <c r="AA320" s="12">
        <v>7200</v>
      </c>
      <c r="AB320" s="12">
        <v>0</v>
      </c>
      <c r="AC320" s="12">
        <v>0</v>
      </c>
      <c r="AD320" s="12">
        <v>0</v>
      </c>
      <c r="AE320" s="12">
        <v>0</v>
      </c>
      <c r="AF320" s="12">
        <v>0</v>
      </c>
      <c r="AG320" s="12">
        <v>0</v>
      </c>
      <c r="AH320" s="12">
        <v>0</v>
      </c>
      <c r="AI320" s="12">
        <v>3000</v>
      </c>
      <c r="AJ320" s="12">
        <v>0</v>
      </c>
      <c r="AK320" s="12">
        <v>0</v>
      </c>
      <c r="AL320" s="12">
        <v>0</v>
      </c>
      <c r="AM320" s="12">
        <v>880</v>
      </c>
      <c r="AN320" s="12">
        <v>3300</v>
      </c>
      <c r="AO320" s="12">
        <v>0</v>
      </c>
      <c r="AP320" s="12">
        <v>0</v>
      </c>
      <c r="AQ320" s="12">
        <v>832</v>
      </c>
      <c r="AR320" s="12">
        <v>959</v>
      </c>
      <c r="AS320" s="12">
        <v>0</v>
      </c>
      <c r="AT320" s="12">
        <v>0</v>
      </c>
      <c r="AU320" s="12">
        <v>0</v>
      </c>
      <c r="AV320" s="12">
        <v>0</v>
      </c>
      <c r="AW320" s="12">
        <v>0</v>
      </c>
      <c r="AX320" s="12">
        <v>10200</v>
      </c>
      <c r="AY320" s="12">
        <v>4180</v>
      </c>
      <c r="AZ320" s="12">
        <v>1791</v>
      </c>
      <c r="BA320" s="12">
        <v>0</v>
      </c>
    </row>
    <row r="321" spans="1:53" x14ac:dyDescent="0.3">
      <c r="A321" s="7">
        <f t="shared" si="73"/>
        <v>73500</v>
      </c>
      <c r="B321" s="7">
        <f t="shared" si="74"/>
        <v>66300</v>
      </c>
      <c r="C321" s="7">
        <f t="shared" si="75"/>
        <v>23100</v>
      </c>
      <c r="D321" s="5" t="str">
        <f t="shared" si="83"/>
        <v>794</v>
      </c>
      <c r="E321" s="5" t="str">
        <f t="shared" si="83"/>
        <v>ML27-00420D</v>
      </c>
      <c r="F321" s="5"/>
      <c r="G321" s="5"/>
      <c r="H321" s="6"/>
      <c r="I321" s="11"/>
      <c r="J321" s="12">
        <v>0</v>
      </c>
      <c r="K321" s="11" t="s">
        <v>917</v>
      </c>
      <c r="L321" s="12">
        <v>10500</v>
      </c>
      <c r="M321" s="12">
        <v>-5671</v>
      </c>
      <c r="N321" s="12">
        <v>10500</v>
      </c>
      <c r="O321" s="12">
        <v>10500</v>
      </c>
      <c r="P321" s="12">
        <v>10500</v>
      </c>
      <c r="Q321" s="12">
        <v>10500</v>
      </c>
      <c r="R321" s="12">
        <v>10500</v>
      </c>
      <c r="S321" s="12">
        <v>10500</v>
      </c>
      <c r="T321" s="12">
        <v>10500</v>
      </c>
      <c r="U321" s="12">
        <v>10500</v>
      </c>
      <c r="V321" s="12">
        <v>10500</v>
      </c>
      <c r="W321" s="12">
        <v>10500</v>
      </c>
      <c r="X321" s="12">
        <v>10500</v>
      </c>
      <c r="Y321" s="12">
        <v>10500</v>
      </c>
      <c r="Z321" s="12">
        <v>10500</v>
      </c>
      <c r="AA321" s="12">
        <v>3300</v>
      </c>
      <c r="AB321" s="12">
        <v>3300</v>
      </c>
      <c r="AC321" s="12">
        <v>3300</v>
      </c>
      <c r="AD321" s="12">
        <v>3300</v>
      </c>
      <c r="AE321" s="12">
        <v>3300</v>
      </c>
      <c r="AF321" s="12">
        <v>3300</v>
      </c>
      <c r="AG321" s="12">
        <v>3300</v>
      </c>
      <c r="AH321" s="12">
        <v>3300</v>
      </c>
      <c r="AI321" s="12">
        <v>300</v>
      </c>
      <c r="AJ321" s="12">
        <v>300</v>
      </c>
      <c r="AK321" s="12">
        <v>300</v>
      </c>
      <c r="AL321" s="12">
        <v>300</v>
      </c>
      <c r="AM321" s="12">
        <v>-580</v>
      </c>
      <c r="AN321" s="12">
        <v>-3880</v>
      </c>
      <c r="AO321" s="12">
        <v>-3880</v>
      </c>
      <c r="AP321" s="12">
        <v>-3880</v>
      </c>
      <c r="AQ321" s="12">
        <v>-4712</v>
      </c>
      <c r="AR321" s="12">
        <v>-5671</v>
      </c>
      <c r="AS321" s="12">
        <v>-5671</v>
      </c>
      <c r="AT321" s="12">
        <v>-5671</v>
      </c>
      <c r="AU321" s="12">
        <v>-5671</v>
      </c>
      <c r="AV321" s="12">
        <v>-5671</v>
      </c>
      <c r="AW321" s="12">
        <v>0</v>
      </c>
      <c r="AX321" s="12">
        <v>0</v>
      </c>
      <c r="AY321" s="12">
        <v>0</v>
      </c>
      <c r="AZ321" s="12">
        <v>0</v>
      </c>
      <c r="BA321" s="12">
        <v>0</v>
      </c>
    </row>
    <row r="322" spans="1:53" x14ac:dyDescent="0.3">
      <c r="A322" s="7">
        <f t="shared" si="73"/>
        <v>1300</v>
      </c>
      <c r="B322" s="7">
        <f t="shared" si="74"/>
        <v>0</v>
      </c>
      <c r="C322" s="7">
        <f t="shared" si="75"/>
        <v>3000</v>
      </c>
      <c r="D322" s="5" t="str">
        <f t="shared" si="83"/>
        <v>794</v>
      </c>
      <c r="E322" s="5" t="str">
        <f t="shared" si="83"/>
        <v>ML27-00420D</v>
      </c>
      <c r="F322" s="5"/>
      <c r="G322" s="5"/>
      <c r="H322" s="11" t="s">
        <v>793</v>
      </c>
      <c r="I322" s="11" t="s">
        <v>794</v>
      </c>
      <c r="J322" s="12">
        <v>4300</v>
      </c>
      <c r="K322" s="11" t="s">
        <v>918</v>
      </c>
      <c r="L322" s="12">
        <v>0</v>
      </c>
      <c r="M322" s="12">
        <v>6900</v>
      </c>
      <c r="N322" s="12">
        <v>1300</v>
      </c>
      <c r="O322" s="12">
        <v>0</v>
      </c>
      <c r="P322" s="12">
        <v>0</v>
      </c>
      <c r="Q322" s="12">
        <v>0</v>
      </c>
      <c r="R322" s="12">
        <v>0</v>
      </c>
      <c r="S322" s="12">
        <v>0</v>
      </c>
      <c r="T322" s="12">
        <v>0</v>
      </c>
      <c r="U322" s="12">
        <v>0</v>
      </c>
      <c r="V322" s="12">
        <v>0</v>
      </c>
      <c r="W322" s="12">
        <v>0</v>
      </c>
      <c r="X322" s="12">
        <v>0</v>
      </c>
      <c r="Y322" s="12">
        <v>0</v>
      </c>
      <c r="Z322" s="12">
        <v>0</v>
      </c>
      <c r="AA322" s="12">
        <v>0</v>
      </c>
      <c r="AB322" s="12">
        <v>3000</v>
      </c>
      <c r="AC322" s="12">
        <v>0</v>
      </c>
      <c r="AD322" s="12">
        <v>0</v>
      </c>
      <c r="AE322" s="12">
        <v>0</v>
      </c>
      <c r="AF322" s="12">
        <v>0</v>
      </c>
      <c r="AG322" s="12">
        <v>0</v>
      </c>
      <c r="AH322" s="12">
        <v>0</v>
      </c>
      <c r="AI322" s="12">
        <v>0</v>
      </c>
      <c r="AJ322" s="12">
        <v>0</v>
      </c>
      <c r="AK322" s="12">
        <v>0</v>
      </c>
      <c r="AL322" s="12">
        <v>0</v>
      </c>
      <c r="AM322" s="12">
        <v>0</v>
      </c>
      <c r="AN322" s="12">
        <v>0</v>
      </c>
      <c r="AO322" s="12">
        <v>0</v>
      </c>
      <c r="AP322" s="12">
        <v>0</v>
      </c>
      <c r="AQ322" s="12">
        <v>1300</v>
      </c>
      <c r="AR322" s="12">
        <v>1300</v>
      </c>
      <c r="AS322" s="12">
        <v>0</v>
      </c>
      <c r="AT322" s="12">
        <v>0</v>
      </c>
      <c r="AU322" s="12">
        <v>0</v>
      </c>
      <c r="AV322" s="12">
        <v>0</v>
      </c>
      <c r="AW322" s="12">
        <v>1300</v>
      </c>
      <c r="AX322" s="12">
        <v>3000</v>
      </c>
      <c r="AY322" s="12">
        <v>0</v>
      </c>
      <c r="AZ322" s="12">
        <v>2600</v>
      </c>
      <c r="BA322" s="12">
        <v>0</v>
      </c>
    </row>
    <row r="323" spans="1:53" x14ac:dyDescent="0.3">
      <c r="A323" s="7">
        <f t="shared" si="73"/>
        <v>1300</v>
      </c>
      <c r="B323" s="7">
        <f t="shared" si="74"/>
        <v>0</v>
      </c>
      <c r="C323" s="7">
        <f t="shared" si="75"/>
        <v>3000</v>
      </c>
      <c r="D323" s="5" t="str">
        <f t="shared" si="83"/>
        <v>794</v>
      </c>
      <c r="E323" s="5" t="str">
        <f t="shared" si="83"/>
        <v>ML27-00420D</v>
      </c>
      <c r="F323" s="5"/>
      <c r="G323" s="5"/>
      <c r="H323" s="11" t="s">
        <v>49</v>
      </c>
      <c r="I323" s="11"/>
      <c r="J323" s="12">
        <v>0</v>
      </c>
      <c r="K323" s="11" t="s">
        <v>919</v>
      </c>
      <c r="L323" s="12">
        <v>0</v>
      </c>
      <c r="M323" s="12">
        <v>6900</v>
      </c>
      <c r="N323" s="12">
        <v>1300</v>
      </c>
      <c r="O323" s="12">
        <v>0</v>
      </c>
      <c r="P323" s="12">
        <v>0</v>
      </c>
      <c r="Q323" s="12">
        <v>0</v>
      </c>
      <c r="R323" s="12">
        <v>0</v>
      </c>
      <c r="S323" s="12">
        <v>0</v>
      </c>
      <c r="T323" s="12">
        <v>0</v>
      </c>
      <c r="U323" s="12">
        <v>0</v>
      </c>
      <c r="V323" s="12">
        <v>0</v>
      </c>
      <c r="W323" s="12">
        <v>0</v>
      </c>
      <c r="X323" s="12">
        <v>0</v>
      </c>
      <c r="Y323" s="12">
        <v>0</v>
      </c>
      <c r="Z323" s="12">
        <v>0</v>
      </c>
      <c r="AA323" s="12">
        <v>0</v>
      </c>
      <c r="AB323" s="12">
        <v>3000</v>
      </c>
      <c r="AC323" s="12">
        <v>0</v>
      </c>
      <c r="AD323" s="12">
        <v>0</v>
      </c>
      <c r="AE323" s="12">
        <v>0</v>
      </c>
      <c r="AF323" s="12">
        <v>0</v>
      </c>
      <c r="AG323" s="12">
        <v>0</v>
      </c>
      <c r="AH323" s="12">
        <v>0</v>
      </c>
      <c r="AI323" s="12">
        <v>0</v>
      </c>
      <c r="AJ323" s="12">
        <v>0</v>
      </c>
      <c r="AK323" s="12">
        <v>0</v>
      </c>
      <c r="AL323" s="12">
        <v>0</v>
      </c>
      <c r="AM323" s="12">
        <v>0</v>
      </c>
      <c r="AN323" s="12">
        <v>0</v>
      </c>
      <c r="AO323" s="12">
        <v>0</v>
      </c>
      <c r="AP323" s="12">
        <v>0</v>
      </c>
      <c r="AQ323" s="12">
        <v>1300</v>
      </c>
      <c r="AR323" s="12">
        <v>1300</v>
      </c>
      <c r="AS323" s="12">
        <v>0</v>
      </c>
      <c r="AT323" s="12">
        <v>0</v>
      </c>
      <c r="AU323" s="12">
        <v>0</v>
      </c>
      <c r="AV323" s="12">
        <v>0</v>
      </c>
      <c r="AW323" s="12">
        <v>1300</v>
      </c>
      <c r="AX323" s="12">
        <v>3000</v>
      </c>
      <c r="AY323" s="12">
        <v>0</v>
      </c>
      <c r="AZ323" s="12">
        <v>2600</v>
      </c>
      <c r="BA323" s="12">
        <v>0</v>
      </c>
    </row>
    <row r="324" spans="1:53" x14ac:dyDescent="0.3">
      <c r="A324" s="7">
        <f t="shared" si="73"/>
        <v>82600</v>
      </c>
      <c r="B324" s="7">
        <f t="shared" si="74"/>
        <v>75400</v>
      </c>
      <c r="C324" s="7">
        <f t="shared" si="75"/>
        <v>53200</v>
      </c>
      <c r="D324" s="5" t="str">
        <f t="shared" si="83"/>
        <v>794</v>
      </c>
      <c r="E324" s="5" t="str">
        <f t="shared" si="83"/>
        <v>ML27-00420D</v>
      </c>
      <c r="F324" s="5"/>
      <c r="G324" s="6"/>
      <c r="H324" s="11" t="s">
        <v>920</v>
      </c>
      <c r="I324" s="11"/>
      <c r="J324" s="12">
        <v>0</v>
      </c>
      <c r="K324" s="11" t="s">
        <v>921</v>
      </c>
      <c r="L324" s="12">
        <v>0</v>
      </c>
      <c r="M324" s="12">
        <v>1229</v>
      </c>
      <c r="N324" s="12">
        <v>11800</v>
      </c>
      <c r="O324" s="12">
        <v>11800</v>
      </c>
      <c r="P324" s="12">
        <v>11800</v>
      </c>
      <c r="Q324" s="12">
        <v>11800</v>
      </c>
      <c r="R324" s="12">
        <v>11800</v>
      </c>
      <c r="S324" s="12">
        <v>11800</v>
      </c>
      <c r="T324" s="12">
        <v>11800</v>
      </c>
      <c r="U324" s="12">
        <v>11800</v>
      </c>
      <c r="V324" s="12">
        <v>11800</v>
      </c>
      <c r="W324" s="12">
        <v>11800</v>
      </c>
      <c r="X324" s="12">
        <v>11800</v>
      </c>
      <c r="Y324" s="12">
        <v>11800</v>
      </c>
      <c r="Z324" s="12">
        <v>11800</v>
      </c>
      <c r="AA324" s="12">
        <v>4600</v>
      </c>
      <c r="AB324" s="12">
        <v>7600</v>
      </c>
      <c r="AC324" s="12">
        <v>7600</v>
      </c>
      <c r="AD324" s="12">
        <v>7600</v>
      </c>
      <c r="AE324" s="12">
        <v>7600</v>
      </c>
      <c r="AF324" s="12">
        <v>7600</v>
      </c>
      <c r="AG324" s="12">
        <v>7600</v>
      </c>
      <c r="AH324" s="12">
        <v>7600</v>
      </c>
      <c r="AI324" s="12">
        <v>4600</v>
      </c>
      <c r="AJ324" s="12">
        <v>4600</v>
      </c>
      <c r="AK324" s="12">
        <v>4600</v>
      </c>
      <c r="AL324" s="12">
        <v>4600</v>
      </c>
      <c r="AM324" s="12">
        <v>3720</v>
      </c>
      <c r="AN324" s="12">
        <v>420</v>
      </c>
      <c r="AO324" s="12">
        <v>420</v>
      </c>
      <c r="AP324" s="12">
        <v>420</v>
      </c>
      <c r="AQ324" s="12">
        <v>888</v>
      </c>
      <c r="AR324" s="12">
        <v>1229</v>
      </c>
      <c r="AS324" s="12">
        <v>1229</v>
      </c>
      <c r="AT324" s="12">
        <v>1229</v>
      </c>
      <c r="AU324" s="12">
        <v>1229</v>
      </c>
      <c r="AV324" s="12">
        <v>1229</v>
      </c>
      <c r="AW324" s="12">
        <v>0</v>
      </c>
      <c r="AX324" s="12">
        <v>0</v>
      </c>
      <c r="AY324" s="12">
        <v>0</v>
      </c>
      <c r="AZ324" s="12">
        <v>0</v>
      </c>
      <c r="BA324" s="12">
        <v>0</v>
      </c>
    </row>
    <row r="325" spans="1:53" x14ac:dyDescent="0.3">
      <c r="A325" s="7">
        <f t="shared" si="73"/>
        <v>0</v>
      </c>
      <c r="B325" s="7">
        <f t="shared" si="74"/>
        <v>0</v>
      </c>
      <c r="C325" s="7">
        <f t="shared" si="75"/>
        <v>0</v>
      </c>
      <c r="D325" s="13" t="s">
        <v>1030</v>
      </c>
      <c r="E325" s="13" t="s">
        <v>864</v>
      </c>
      <c r="F325" s="5"/>
      <c r="G325" s="13" t="s">
        <v>1031</v>
      </c>
      <c r="H325" s="13" t="s">
        <v>49</v>
      </c>
      <c r="I325" s="11" t="s">
        <v>49</v>
      </c>
      <c r="J325" s="12">
        <v>0</v>
      </c>
      <c r="K325" s="11" t="s">
        <v>916</v>
      </c>
      <c r="L325" s="12">
        <v>0</v>
      </c>
      <c r="M325" s="12">
        <v>0</v>
      </c>
      <c r="N325" s="12">
        <v>0</v>
      </c>
      <c r="O325" s="12">
        <v>0</v>
      </c>
      <c r="P325" s="12">
        <v>0</v>
      </c>
      <c r="Q325" s="12">
        <v>0</v>
      </c>
      <c r="R325" s="12">
        <v>0</v>
      </c>
      <c r="S325" s="12">
        <v>0</v>
      </c>
      <c r="T325" s="12">
        <v>0</v>
      </c>
      <c r="U325" s="12">
        <v>0</v>
      </c>
      <c r="V325" s="12">
        <v>0</v>
      </c>
      <c r="W325" s="12">
        <v>0</v>
      </c>
      <c r="X325" s="12">
        <v>0</v>
      </c>
      <c r="Y325" s="12">
        <v>0</v>
      </c>
      <c r="Z325" s="12">
        <v>0</v>
      </c>
      <c r="AA325" s="12">
        <v>0</v>
      </c>
      <c r="AB325" s="12">
        <v>0</v>
      </c>
      <c r="AC325" s="12">
        <v>0</v>
      </c>
      <c r="AD325" s="12">
        <v>0</v>
      </c>
      <c r="AE325" s="12">
        <v>0</v>
      </c>
      <c r="AF325" s="12">
        <v>0</v>
      </c>
      <c r="AG325" s="12">
        <v>0</v>
      </c>
      <c r="AH325" s="12">
        <v>0</v>
      </c>
      <c r="AI325" s="12">
        <v>0</v>
      </c>
      <c r="AJ325" s="12">
        <v>0</v>
      </c>
      <c r="AK325" s="12">
        <v>0</v>
      </c>
      <c r="AL325" s="12">
        <v>0</v>
      </c>
      <c r="AM325" s="12">
        <v>0</v>
      </c>
      <c r="AN325" s="12">
        <v>0</v>
      </c>
      <c r="AO325" s="12">
        <v>0</v>
      </c>
      <c r="AP325" s="12">
        <v>0</v>
      </c>
      <c r="AQ325" s="12">
        <v>0</v>
      </c>
      <c r="AR325" s="12">
        <v>0</v>
      </c>
      <c r="AS325" s="12">
        <v>0</v>
      </c>
      <c r="AT325" s="12">
        <v>0</v>
      </c>
      <c r="AU325" s="12">
        <v>0</v>
      </c>
      <c r="AV325" s="12">
        <v>0</v>
      </c>
      <c r="AW325" s="12">
        <v>0</v>
      </c>
      <c r="AX325" s="12">
        <v>0</v>
      </c>
      <c r="AY325" s="12">
        <v>0</v>
      </c>
      <c r="AZ325" s="12">
        <v>0</v>
      </c>
      <c r="BA325" s="12">
        <v>0</v>
      </c>
    </row>
    <row r="326" spans="1:53" x14ac:dyDescent="0.3">
      <c r="A326" s="7">
        <f t="shared" ref="A326:A389" si="84">SUM(N326:T326)</f>
        <v>0</v>
      </c>
      <c r="B326" s="7">
        <f t="shared" ref="B326:B389" si="85">SUM(U326:AA326)</f>
        <v>0</v>
      </c>
      <c r="C326" s="7">
        <f t="shared" ref="C326:C389" si="86">SUM(AB326:AH326)</f>
        <v>0</v>
      </c>
      <c r="D326" s="5" t="str">
        <f t="shared" ref="D326:E334" si="87">D325</f>
        <v>795</v>
      </c>
      <c r="E326" s="5" t="str">
        <f t="shared" si="87"/>
        <v>ML27-00420E</v>
      </c>
      <c r="F326" s="5"/>
      <c r="G326" s="5"/>
      <c r="H326" s="6"/>
      <c r="I326" s="11"/>
      <c r="J326" s="12">
        <v>0</v>
      </c>
      <c r="K326" s="11" t="s">
        <v>917</v>
      </c>
      <c r="L326" s="12">
        <v>0</v>
      </c>
      <c r="M326" s="12">
        <v>0</v>
      </c>
      <c r="N326" s="12">
        <v>0</v>
      </c>
      <c r="O326" s="12">
        <v>0</v>
      </c>
      <c r="P326" s="12">
        <v>0</v>
      </c>
      <c r="Q326" s="12">
        <v>0</v>
      </c>
      <c r="R326" s="12">
        <v>0</v>
      </c>
      <c r="S326" s="12">
        <v>0</v>
      </c>
      <c r="T326" s="12">
        <v>0</v>
      </c>
      <c r="U326" s="12">
        <v>0</v>
      </c>
      <c r="V326" s="12">
        <v>0</v>
      </c>
      <c r="W326" s="12">
        <v>0</v>
      </c>
      <c r="X326" s="12">
        <v>0</v>
      </c>
      <c r="Y326" s="12">
        <v>0</v>
      </c>
      <c r="Z326" s="12">
        <v>0</v>
      </c>
      <c r="AA326" s="12">
        <v>0</v>
      </c>
      <c r="AB326" s="12">
        <v>0</v>
      </c>
      <c r="AC326" s="12">
        <v>0</v>
      </c>
      <c r="AD326" s="12">
        <v>0</v>
      </c>
      <c r="AE326" s="12">
        <v>0</v>
      </c>
      <c r="AF326" s="12">
        <v>0</v>
      </c>
      <c r="AG326" s="12">
        <v>0</v>
      </c>
      <c r="AH326" s="12">
        <v>0</v>
      </c>
      <c r="AI326" s="12">
        <v>0</v>
      </c>
      <c r="AJ326" s="12">
        <v>0</v>
      </c>
      <c r="AK326" s="12">
        <v>0</v>
      </c>
      <c r="AL326" s="12">
        <v>0</v>
      </c>
      <c r="AM326" s="12">
        <v>0</v>
      </c>
      <c r="AN326" s="12">
        <v>0</v>
      </c>
      <c r="AO326" s="12">
        <v>0</v>
      </c>
      <c r="AP326" s="12">
        <v>0</v>
      </c>
      <c r="AQ326" s="12">
        <v>0</v>
      </c>
      <c r="AR326" s="12">
        <v>0</v>
      </c>
      <c r="AS326" s="12">
        <v>0</v>
      </c>
      <c r="AT326" s="12">
        <v>0</v>
      </c>
      <c r="AU326" s="12">
        <v>0</v>
      </c>
      <c r="AV326" s="12">
        <v>0</v>
      </c>
      <c r="AW326" s="12">
        <v>0</v>
      </c>
      <c r="AX326" s="12">
        <v>0</v>
      </c>
      <c r="AY326" s="12">
        <v>0</v>
      </c>
      <c r="AZ326" s="12">
        <v>0</v>
      </c>
      <c r="BA326" s="12">
        <v>0</v>
      </c>
    </row>
    <row r="327" spans="1:53" x14ac:dyDescent="0.3">
      <c r="A327" s="7">
        <f t="shared" si="84"/>
        <v>0</v>
      </c>
      <c r="B327" s="7">
        <f t="shared" si="85"/>
        <v>0</v>
      </c>
      <c r="C327" s="7">
        <f t="shared" si="86"/>
        <v>0</v>
      </c>
      <c r="D327" s="5" t="str">
        <f t="shared" si="87"/>
        <v>795</v>
      </c>
      <c r="E327" s="5" t="str">
        <f t="shared" si="87"/>
        <v>ML27-00420E</v>
      </c>
      <c r="F327" s="5"/>
      <c r="G327" s="5"/>
      <c r="H327" s="11" t="s">
        <v>780</v>
      </c>
      <c r="I327" s="11" t="s">
        <v>781</v>
      </c>
      <c r="J327" s="12"/>
      <c r="K327" s="11" t="s">
        <v>918</v>
      </c>
      <c r="L327" s="12">
        <v>0</v>
      </c>
      <c r="M327" s="12">
        <v>0</v>
      </c>
      <c r="N327" s="12">
        <v>0</v>
      </c>
      <c r="O327" s="12">
        <v>0</v>
      </c>
      <c r="P327" s="12">
        <v>0</v>
      </c>
      <c r="Q327" s="12">
        <v>0</v>
      </c>
      <c r="R327" s="12">
        <v>0</v>
      </c>
      <c r="S327" s="12">
        <v>0</v>
      </c>
      <c r="T327" s="12">
        <v>0</v>
      </c>
      <c r="U327" s="12">
        <v>0</v>
      </c>
      <c r="V327" s="12">
        <v>0</v>
      </c>
      <c r="W327" s="12">
        <v>0</v>
      </c>
      <c r="X327" s="12">
        <v>0</v>
      </c>
      <c r="Y327" s="12">
        <v>0</v>
      </c>
      <c r="Z327" s="12">
        <v>0</v>
      </c>
      <c r="AA327" s="12">
        <v>0</v>
      </c>
      <c r="AB327" s="12">
        <v>0</v>
      </c>
      <c r="AC327" s="12">
        <v>0</v>
      </c>
      <c r="AD327" s="12">
        <v>0</v>
      </c>
      <c r="AE327" s="12">
        <v>0</v>
      </c>
      <c r="AF327" s="12">
        <v>0</v>
      </c>
      <c r="AG327" s="12">
        <v>0</v>
      </c>
      <c r="AH327" s="12">
        <v>0</v>
      </c>
      <c r="AI327" s="12">
        <v>0</v>
      </c>
      <c r="AJ327" s="12">
        <v>0</v>
      </c>
      <c r="AK327" s="12">
        <v>0</v>
      </c>
      <c r="AL327" s="12">
        <v>0</v>
      </c>
      <c r="AM327" s="12">
        <v>0</v>
      </c>
      <c r="AN327" s="12">
        <v>0</v>
      </c>
      <c r="AO327" s="12">
        <v>0</v>
      </c>
      <c r="AP327" s="12">
        <v>0</v>
      </c>
      <c r="AQ327" s="12">
        <v>0</v>
      </c>
      <c r="AR327" s="12">
        <v>0</v>
      </c>
      <c r="AS327" s="12">
        <v>0</v>
      </c>
      <c r="AT327" s="12">
        <v>0</v>
      </c>
      <c r="AU327" s="12">
        <v>0</v>
      </c>
      <c r="AV327" s="12">
        <v>0</v>
      </c>
      <c r="AW327" s="12">
        <v>0</v>
      </c>
      <c r="AX327" s="12">
        <v>0</v>
      </c>
      <c r="AY327" s="12">
        <v>0</v>
      </c>
      <c r="AZ327" s="12">
        <v>0</v>
      </c>
      <c r="BA327" s="12">
        <v>0</v>
      </c>
    </row>
    <row r="328" spans="1:53" x14ac:dyDescent="0.3">
      <c r="A328" s="7">
        <f t="shared" si="84"/>
        <v>0</v>
      </c>
      <c r="B328" s="7">
        <f t="shared" si="85"/>
        <v>0</v>
      </c>
      <c r="C328" s="7">
        <f t="shared" si="86"/>
        <v>0</v>
      </c>
      <c r="D328" s="5" t="str">
        <f t="shared" si="87"/>
        <v>795</v>
      </c>
      <c r="E328" s="5" t="str">
        <f t="shared" si="87"/>
        <v>ML27-00420E</v>
      </c>
      <c r="F328" s="5"/>
      <c r="G328" s="5"/>
      <c r="H328" s="11" t="s">
        <v>49</v>
      </c>
      <c r="I328" s="11"/>
      <c r="J328" s="12">
        <v>0</v>
      </c>
      <c r="K328" s="11" t="s">
        <v>919</v>
      </c>
      <c r="L328" s="12">
        <v>0</v>
      </c>
      <c r="M328" s="12">
        <v>0</v>
      </c>
      <c r="N328" s="12">
        <v>0</v>
      </c>
      <c r="O328" s="12">
        <v>0</v>
      </c>
      <c r="P328" s="12">
        <v>0</v>
      </c>
      <c r="Q328" s="12">
        <v>0</v>
      </c>
      <c r="R328" s="12">
        <v>0</v>
      </c>
      <c r="S328" s="12">
        <v>0</v>
      </c>
      <c r="T328" s="12">
        <v>0</v>
      </c>
      <c r="U328" s="12">
        <v>0</v>
      </c>
      <c r="V328" s="12">
        <v>0</v>
      </c>
      <c r="W328" s="12">
        <v>0</v>
      </c>
      <c r="X328" s="12">
        <v>0</v>
      </c>
      <c r="Y328" s="12">
        <v>0</v>
      </c>
      <c r="Z328" s="12">
        <v>0</v>
      </c>
      <c r="AA328" s="12">
        <v>0</v>
      </c>
      <c r="AB328" s="12">
        <v>0</v>
      </c>
      <c r="AC328" s="12">
        <v>0</v>
      </c>
      <c r="AD328" s="12">
        <v>0</v>
      </c>
      <c r="AE328" s="12">
        <v>0</v>
      </c>
      <c r="AF328" s="12">
        <v>0</v>
      </c>
      <c r="AG328" s="12">
        <v>0</v>
      </c>
      <c r="AH328" s="12">
        <v>0</v>
      </c>
      <c r="AI328" s="12">
        <v>0</v>
      </c>
      <c r="AJ328" s="12">
        <v>0</v>
      </c>
      <c r="AK328" s="12">
        <v>0</v>
      </c>
      <c r="AL328" s="12">
        <v>0</v>
      </c>
      <c r="AM328" s="12">
        <v>0</v>
      </c>
      <c r="AN328" s="12">
        <v>0</v>
      </c>
      <c r="AO328" s="12">
        <v>0</v>
      </c>
      <c r="AP328" s="12">
        <v>0</v>
      </c>
      <c r="AQ328" s="12">
        <v>0</v>
      </c>
      <c r="AR328" s="12">
        <v>0</v>
      </c>
      <c r="AS328" s="12">
        <v>0</v>
      </c>
      <c r="AT328" s="12">
        <v>0</v>
      </c>
      <c r="AU328" s="12">
        <v>0</v>
      </c>
      <c r="AV328" s="12">
        <v>0</v>
      </c>
      <c r="AW328" s="12">
        <v>0</v>
      </c>
      <c r="AX328" s="12">
        <v>0</v>
      </c>
      <c r="AY328" s="12">
        <v>0</v>
      </c>
      <c r="AZ328" s="12">
        <v>0</v>
      </c>
      <c r="BA328" s="12">
        <v>0</v>
      </c>
    </row>
    <row r="329" spans="1:53" x14ac:dyDescent="0.3">
      <c r="A329" s="7">
        <f t="shared" si="84"/>
        <v>0</v>
      </c>
      <c r="B329" s="7">
        <f t="shared" si="85"/>
        <v>0</v>
      </c>
      <c r="C329" s="7">
        <f t="shared" si="86"/>
        <v>0</v>
      </c>
      <c r="D329" s="5" t="str">
        <f t="shared" si="87"/>
        <v>795</v>
      </c>
      <c r="E329" s="5" t="str">
        <f t="shared" si="87"/>
        <v>ML27-00420E</v>
      </c>
      <c r="F329" s="5"/>
      <c r="G329" s="6"/>
      <c r="H329" s="11" t="s">
        <v>920</v>
      </c>
      <c r="I329" s="11"/>
      <c r="J329" s="12">
        <v>0</v>
      </c>
      <c r="K329" s="11" t="s">
        <v>921</v>
      </c>
      <c r="L329" s="12">
        <v>0</v>
      </c>
      <c r="M329" s="12">
        <v>0</v>
      </c>
      <c r="N329" s="12">
        <v>0</v>
      </c>
      <c r="O329" s="12">
        <v>0</v>
      </c>
      <c r="P329" s="12">
        <v>0</v>
      </c>
      <c r="Q329" s="12">
        <v>0</v>
      </c>
      <c r="R329" s="12">
        <v>0</v>
      </c>
      <c r="S329" s="12">
        <v>0</v>
      </c>
      <c r="T329" s="12">
        <v>0</v>
      </c>
      <c r="U329" s="12">
        <v>0</v>
      </c>
      <c r="V329" s="12">
        <v>0</v>
      </c>
      <c r="W329" s="12">
        <v>0</v>
      </c>
      <c r="X329" s="12">
        <v>0</v>
      </c>
      <c r="Y329" s="12">
        <v>0</v>
      </c>
      <c r="Z329" s="12">
        <v>0</v>
      </c>
      <c r="AA329" s="12">
        <v>0</v>
      </c>
      <c r="AB329" s="12">
        <v>0</v>
      </c>
      <c r="AC329" s="12">
        <v>0</v>
      </c>
      <c r="AD329" s="12">
        <v>0</v>
      </c>
      <c r="AE329" s="12">
        <v>0</v>
      </c>
      <c r="AF329" s="12">
        <v>0</v>
      </c>
      <c r="AG329" s="12">
        <v>0</v>
      </c>
      <c r="AH329" s="12">
        <v>0</v>
      </c>
      <c r="AI329" s="12">
        <v>0</v>
      </c>
      <c r="AJ329" s="12">
        <v>0</v>
      </c>
      <c r="AK329" s="12">
        <v>0</v>
      </c>
      <c r="AL329" s="12">
        <v>0</v>
      </c>
      <c r="AM329" s="12">
        <v>0</v>
      </c>
      <c r="AN329" s="12">
        <v>0</v>
      </c>
      <c r="AO329" s="12">
        <v>0</v>
      </c>
      <c r="AP329" s="12">
        <v>0</v>
      </c>
      <c r="AQ329" s="12">
        <v>0</v>
      </c>
      <c r="AR329" s="12">
        <v>0</v>
      </c>
      <c r="AS329" s="12">
        <v>0</v>
      </c>
      <c r="AT329" s="12">
        <v>0</v>
      </c>
      <c r="AU329" s="12">
        <v>0</v>
      </c>
      <c r="AV329" s="12">
        <v>0</v>
      </c>
      <c r="AW329" s="12">
        <v>0</v>
      </c>
      <c r="AX329" s="12">
        <v>0</v>
      </c>
      <c r="AY329" s="12">
        <v>0</v>
      </c>
      <c r="AZ329" s="12">
        <v>0</v>
      </c>
      <c r="BA329" s="12">
        <v>0</v>
      </c>
    </row>
    <row r="330" spans="1:53" x14ac:dyDescent="0.3">
      <c r="A330" s="7">
        <f t="shared" si="84"/>
        <v>0</v>
      </c>
      <c r="B330" s="7">
        <f t="shared" si="85"/>
        <v>332</v>
      </c>
      <c r="C330" s="7">
        <f t="shared" si="86"/>
        <v>7000</v>
      </c>
      <c r="D330" s="5" t="str">
        <f t="shared" si="87"/>
        <v>795</v>
      </c>
      <c r="E330" s="13" t="s">
        <v>863</v>
      </c>
      <c r="F330" s="5"/>
      <c r="G330" s="13" t="s">
        <v>1032</v>
      </c>
      <c r="H330" s="13" t="s">
        <v>49</v>
      </c>
      <c r="I330" s="11" t="s">
        <v>49</v>
      </c>
      <c r="J330" s="12">
        <v>0</v>
      </c>
      <c r="K330" s="11" t="s">
        <v>916</v>
      </c>
      <c r="L330" s="12">
        <v>0</v>
      </c>
      <c r="M330" s="12">
        <v>15591</v>
      </c>
      <c r="N330" s="12">
        <v>0</v>
      </c>
      <c r="O330" s="12">
        <v>0</v>
      </c>
      <c r="P330" s="12">
        <v>0</v>
      </c>
      <c r="Q330" s="12">
        <v>0</v>
      </c>
      <c r="R330" s="12">
        <v>0</v>
      </c>
      <c r="S330" s="12">
        <v>0</v>
      </c>
      <c r="T330" s="12">
        <v>0</v>
      </c>
      <c r="U330" s="12">
        <v>260</v>
      </c>
      <c r="V330" s="12">
        <v>0</v>
      </c>
      <c r="W330" s="12">
        <v>0</v>
      </c>
      <c r="X330" s="12">
        <v>0</v>
      </c>
      <c r="Y330" s="12">
        <v>0</v>
      </c>
      <c r="Z330" s="12">
        <v>0</v>
      </c>
      <c r="AA330" s="12">
        <v>72</v>
      </c>
      <c r="AB330" s="12">
        <v>7000</v>
      </c>
      <c r="AC330" s="12">
        <v>0</v>
      </c>
      <c r="AD330" s="12">
        <v>0</v>
      </c>
      <c r="AE330" s="12">
        <v>0</v>
      </c>
      <c r="AF330" s="12">
        <v>0</v>
      </c>
      <c r="AG330" s="12">
        <v>0</v>
      </c>
      <c r="AH330" s="12">
        <v>0</v>
      </c>
      <c r="AI330" s="12">
        <v>2000</v>
      </c>
      <c r="AJ330" s="12">
        <v>0</v>
      </c>
      <c r="AK330" s="12">
        <v>0</v>
      </c>
      <c r="AL330" s="12">
        <v>0</v>
      </c>
      <c r="AM330" s="12">
        <v>0</v>
      </c>
      <c r="AN330" s="12">
        <v>4300</v>
      </c>
      <c r="AO330" s="12">
        <v>0</v>
      </c>
      <c r="AP330" s="12">
        <v>0</v>
      </c>
      <c r="AQ330" s="12">
        <v>1000</v>
      </c>
      <c r="AR330" s="12">
        <v>959</v>
      </c>
      <c r="AS330" s="12">
        <v>0</v>
      </c>
      <c r="AT330" s="12">
        <v>0</v>
      </c>
      <c r="AU330" s="12">
        <v>0</v>
      </c>
      <c r="AV330" s="12">
        <v>0</v>
      </c>
      <c r="AW330" s="12">
        <v>260</v>
      </c>
      <c r="AX330" s="12">
        <v>9072</v>
      </c>
      <c r="AY330" s="12">
        <v>4300</v>
      </c>
      <c r="AZ330" s="12">
        <v>1959</v>
      </c>
      <c r="BA330" s="12">
        <v>0</v>
      </c>
    </row>
    <row r="331" spans="1:53" x14ac:dyDescent="0.3">
      <c r="A331" s="7">
        <f t="shared" si="84"/>
        <v>29652</v>
      </c>
      <c r="B331" s="7">
        <f t="shared" si="85"/>
        <v>27760</v>
      </c>
      <c r="C331" s="7">
        <f t="shared" si="86"/>
        <v>-21672</v>
      </c>
      <c r="D331" s="5" t="str">
        <f t="shared" si="87"/>
        <v>795</v>
      </c>
      <c r="E331" s="5" t="str">
        <f t="shared" si="87"/>
        <v>ML27-00420F</v>
      </c>
      <c r="F331" s="5"/>
      <c r="G331" s="5"/>
      <c r="H331" s="6"/>
      <c r="I331" s="11"/>
      <c r="J331" s="12">
        <v>0</v>
      </c>
      <c r="K331" s="11" t="s">
        <v>917</v>
      </c>
      <c r="L331" s="12">
        <v>4236</v>
      </c>
      <c r="M331" s="12">
        <v>-11355</v>
      </c>
      <c r="N331" s="12">
        <v>4236</v>
      </c>
      <c r="O331" s="12">
        <v>4236</v>
      </c>
      <c r="P331" s="12">
        <v>4236</v>
      </c>
      <c r="Q331" s="12">
        <v>4236</v>
      </c>
      <c r="R331" s="12">
        <v>4236</v>
      </c>
      <c r="S331" s="12">
        <v>4236</v>
      </c>
      <c r="T331" s="12">
        <v>4236</v>
      </c>
      <c r="U331" s="12">
        <v>3976</v>
      </c>
      <c r="V331" s="12">
        <v>3976</v>
      </c>
      <c r="W331" s="12">
        <v>3976</v>
      </c>
      <c r="X331" s="12">
        <v>3976</v>
      </c>
      <c r="Y331" s="12">
        <v>3976</v>
      </c>
      <c r="Z331" s="12">
        <v>3976</v>
      </c>
      <c r="AA331" s="12">
        <v>3904</v>
      </c>
      <c r="AB331" s="12">
        <v>-3096</v>
      </c>
      <c r="AC331" s="12">
        <v>-3096</v>
      </c>
      <c r="AD331" s="12">
        <v>-3096</v>
      </c>
      <c r="AE331" s="12">
        <v>-3096</v>
      </c>
      <c r="AF331" s="12">
        <v>-3096</v>
      </c>
      <c r="AG331" s="12">
        <v>-3096</v>
      </c>
      <c r="AH331" s="12">
        <v>-3096</v>
      </c>
      <c r="AI331" s="12">
        <v>-5096</v>
      </c>
      <c r="AJ331" s="12">
        <v>-5096</v>
      </c>
      <c r="AK331" s="12">
        <v>-5096</v>
      </c>
      <c r="AL331" s="12">
        <v>-5096</v>
      </c>
      <c r="AM331" s="12">
        <v>-5096</v>
      </c>
      <c r="AN331" s="12">
        <v>-9396</v>
      </c>
      <c r="AO331" s="12">
        <v>-9396</v>
      </c>
      <c r="AP331" s="12">
        <v>-9396</v>
      </c>
      <c r="AQ331" s="12">
        <v>-10396</v>
      </c>
      <c r="AR331" s="12">
        <v>-11355</v>
      </c>
      <c r="AS331" s="12">
        <v>-11355</v>
      </c>
      <c r="AT331" s="12">
        <v>-11355</v>
      </c>
      <c r="AU331" s="12">
        <v>-11355</v>
      </c>
      <c r="AV331" s="12">
        <v>-11355</v>
      </c>
      <c r="AW331" s="12">
        <v>0</v>
      </c>
      <c r="AX331" s="12">
        <v>0</v>
      </c>
      <c r="AY331" s="12">
        <v>0</v>
      </c>
      <c r="AZ331" s="12">
        <v>0</v>
      </c>
      <c r="BA331" s="12">
        <v>0</v>
      </c>
    </row>
    <row r="332" spans="1:53" x14ac:dyDescent="0.3">
      <c r="A332" s="7">
        <f t="shared" si="84"/>
        <v>0</v>
      </c>
      <c r="B332" s="7">
        <f t="shared" si="85"/>
        <v>0</v>
      </c>
      <c r="C332" s="7">
        <f t="shared" si="86"/>
        <v>11900</v>
      </c>
      <c r="D332" s="5" t="str">
        <f t="shared" si="87"/>
        <v>795</v>
      </c>
      <c r="E332" s="5" t="str">
        <f t="shared" si="87"/>
        <v>ML27-00420F</v>
      </c>
      <c r="F332" s="5"/>
      <c r="G332" s="5"/>
      <c r="H332" s="11" t="s">
        <v>793</v>
      </c>
      <c r="I332" s="11" t="s">
        <v>794</v>
      </c>
      <c r="J332" s="12">
        <v>10600</v>
      </c>
      <c r="K332" s="11" t="s">
        <v>918</v>
      </c>
      <c r="L332" s="12">
        <v>0</v>
      </c>
      <c r="M332" s="12">
        <v>19700</v>
      </c>
      <c r="N332" s="12">
        <v>0</v>
      </c>
      <c r="O332" s="12">
        <v>0</v>
      </c>
      <c r="P332" s="12">
        <v>0</v>
      </c>
      <c r="Q332" s="12">
        <v>0</v>
      </c>
      <c r="R332" s="12">
        <v>0</v>
      </c>
      <c r="S332" s="12">
        <v>0</v>
      </c>
      <c r="T332" s="12">
        <v>0</v>
      </c>
      <c r="U332" s="12">
        <v>0</v>
      </c>
      <c r="V332" s="12">
        <v>0</v>
      </c>
      <c r="W332" s="12">
        <v>0</v>
      </c>
      <c r="X332" s="12">
        <v>0</v>
      </c>
      <c r="Y332" s="12">
        <v>0</v>
      </c>
      <c r="Z332" s="12">
        <v>0</v>
      </c>
      <c r="AA332" s="12">
        <v>0</v>
      </c>
      <c r="AB332" s="12">
        <v>3900</v>
      </c>
      <c r="AC332" s="12">
        <v>0</v>
      </c>
      <c r="AD332" s="12">
        <v>0</v>
      </c>
      <c r="AE332" s="12">
        <v>0</v>
      </c>
      <c r="AF332" s="12">
        <v>0</v>
      </c>
      <c r="AG332" s="12">
        <v>8000</v>
      </c>
      <c r="AH332" s="12">
        <v>0</v>
      </c>
      <c r="AI332" s="12">
        <v>1300</v>
      </c>
      <c r="AJ332" s="12">
        <v>0</v>
      </c>
      <c r="AK332" s="12">
        <v>0</v>
      </c>
      <c r="AL332" s="12">
        <v>0</v>
      </c>
      <c r="AM332" s="12">
        <v>0</v>
      </c>
      <c r="AN332" s="12">
        <v>5200</v>
      </c>
      <c r="AO332" s="12">
        <v>0</v>
      </c>
      <c r="AP332" s="12">
        <v>0</v>
      </c>
      <c r="AQ332" s="12">
        <v>0</v>
      </c>
      <c r="AR332" s="12">
        <v>1300</v>
      </c>
      <c r="AS332" s="12">
        <v>0</v>
      </c>
      <c r="AT332" s="12">
        <v>0</v>
      </c>
      <c r="AU332" s="12">
        <v>0</v>
      </c>
      <c r="AV332" s="12">
        <v>0</v>
      </c>
      <c r="AW332" s="12">
        <v>0</v>
      </c>
      <c r="AX332" s="12">
        <v>13200</v>
      </c>
      <c r="AY332" s="12">
        <v>5200</v>
      </c>
      <c r="AZ332" s="12">
        <v>1300</v>
      </c>
      <c r="BA332" s="12">
        <v>0</v>
      </c>
    </row>
    <row r="333" spans="1:53" x14ac:dyDescent="0.3">
      <c r="A333" s="7">
        <f t="shared" si="84"/>
        <v>0</v>
      </c>
      <c r="B333" s="7">
        <f t="shared" si="85"/>
        <v>0</v>
      </c>
      <c r="C333" s="7">
        <f t="shared" si="86"/>
        <v>11900</v>
      </c>
      <c r="D333" s="5" t="str">
        <f t="shared" si="87"/>
        <v>795</v>
      </c>
      <c r="E333" s="5" t="str">
        <f t="shared" si="87"/>
        <v>ML27-00420F</v>
      </c>
      <c r="F333" s="5"/>
      <c r="G333" s="5"/>
      <c r="H333" s="11" t="s">
        <v>49</v>
      </c>
      <c r="I333" s="11"/>
      <c r="J333" s="12">
        <v>0</v>
      </c>
      <c r="K333" s="11" t="s">
        <v>919</v>
      </c>
      <c r="L333" s="12">
        <v>0</v>
      </c>
      <c r="M333" s="12">
        <v>19700</v>
      </c>
      <c r="N333" s="12">
        <v>0</v>
      </c>
      <c r="O333" s="12">
        <v>0</v>
      </c>
      <c r="P333" s="12">
        <v>0</v>
      </c>
      <c r="Q333" s="12">
        <v>0</v>
      </c>
      <c r="R333" s="12">
        <v>0</v>
      </c>
      <c r="S333" s="12">
        <v>0</v>
      </c>
      <c r="T333" s="12">
        <v>0</v>
      </c>
      <c r="U333" s="12">
        <v>0</v>
      </c>
      <c r="V333" s="12">
        <v>0</v>
      </c>
      <c r="W333" s="12">
        <v>0</v>
      </c>
      <c r="X333" s="12">
        <v>0</v>
      </c>
      <c r="Y333" s="12">
        <v>0</v>
      </c>
      <c r="Z333" s="12">
        <v>0</v>
      </c>
      <c r="AA333" s="12">
        <v>0</v>
      </c>
      <c r="AB333" s="12">
        <v>3900</v>
      </c>
      <c r="AC333" s="12">
        <v>0</v>
      </c>
      <c r="AD333" s="12">
        <v>0</v>
      </c>
      <c r="AE333" s="12">
        <v>0</v>
      </c>
      <c r="AF333" s="12">
        <v>0</v>
      </c>
      <c r="AG333" s="12">
        <v>8000</v>
      </c>
      <c r="AH333" s="12">
        <v>0</v>
      </c>
      <c r="AI333" s="12">
        <v>1300</v>
      </c>
      <c r="AJ333" s="12">
        <v>0</v>
      </c>
      <c r="AK333" s="12">
        <v>0</v>
      </c>
      <c r="AL333" s="12">
        <v>0</v>
      </c>
      <c r="AM333" s="12">
        <v>0</v>
      </c>
      <c r="AN333" s="12">
        <v>5200</v>
      </c>
      <c r="AO333" s="12">
        <v>0</v>
      </c>
      <c r="AP333" s="12">
        <v>0</v>
      </c>
      <c r="AQ333" s="12">
        <v>0</v>
      </c>
      <c r="AR333" s="12">
        <v>1300</v>
      </c>
      <c r="AS333" s="12">
        <v>0</v>
      </c>
      <c r="AT333" s="12">
        <v>0</v>
      </c>
      <c r="AU333" s="12">
        <v>0</v>
      </c>
      <c r="AV333" s="12">
        <v>0</v>
      </c>
      <c r="AW333" s="12">
        <v>0</v>
      </c>
      <c r="AX333" s="12">
        <v>13200</v>
      </c>
      <c r="AY333" s="12">
        <v>5200</v>
      </c>
      <c r="AZ333" s="12">
        <v>1300</v>
      </c>
      <c r="BA333" s="12">
        <v>0</v>
      </c>
    </row>
    <row r="334" spans="1:53" x14ac:dyDescent="0.3">
      <c r="A334" s="7">
        <f t="shared" si="84"/>
        <v>29652</v>
      </c>
      <c r="B334" s="7">
        <f t="shared" si="85"/>
        <v>27760</v>
      </c>
      <c r="C334" s="7">
        <f t="shared" si="86"/>
        <v>21628</v>
      </c>
      <c r="D334" s="5" t="str">
        <f t="shared" si="87"/>
        <v>795</v>
      </c>
      <c r="E334" s="5" t="str">
        <f t="shared" si="87"/>
        <v>ML27-00420F</v>
      </c>
      <c r="F334" s="5"/>
      <c r="G334" s="6"/>
      <c r="H334" s="11" t="s">
        <v>920</v>
      </c>
      <c r="I334" s="11"/>
      <c r="J334" s="12">
        <v>0</v>
      </c>
      <c r="K334" s="11" t="s">
        <v>921</v>
      </c>
      <c r="L334" s="12">
        <v>0</v>
      </c>
      <c r="M334" s="12">
        <v>8345</v>
      </c>
      <c r="N334" s="12">
        <v>4236</v>
      </c>
      <c r="O334" s="12">
        <v>4236</v>
      </c>
      <c r="P334" s="12">
        <v>4236</v>
      </c>
      <c r="Q334" s="12">
        <v>4236</v>
      </c>
      <c r="R334" s="12">
        <v>4236</v>
      </c>
      <c r="S334" s="12">
        <v>4236</v>
      </c>
      <c r="T334" s="12">
        <v>4236</v>
      </c>
      <c r="U334" s="12">
        <v>3976</v>
      </c>
      <c r="V334" s="12">
        <v>3976</v>
      </c>
      <c r="W334" s="12">
        <v>3976</v>
      </c>
      <c r="X334" s="12">
        <v>3976</v>
      </c>
      <c r="Y334" s="12">
        <v>3976</v>
      </c>
      <c r="Z334" s="12">
        <v>3976</v>
      </c>
      <c r="AA334" s="12">
        <v>3904</v>
      </c>
      <c r="AB334" s="12">
        <v>804</v>
      </c>
      <c r="AC334" s="12">
        <v>804</v>
      </c>
      <c r="AD334" s="12">
        <v>804</v>
      </c>
      <c r="AE334" s="12">
        <v>804</v>
      </c>
      <c r="AF334" s="12">
        <v>804</v>
      </c>
      <c r="AG334" s="12">
        <v>8804</v>
      </c>
      <c r="AH334" s="12">
        <v>8804</v>
      </c>
      <c r="AI334" s="12">
        <v>8104</v>
      </c>
      <c r="AJ334" s="12">
        <v>8104</v>
      </c>
      <c r="AK334" s="12">
        <v>8104</v>
      </c>
      <c r="AL334" s="12">
        <v>8104</v>
      </c>
      <c r="AM334" s="12">
        <v>8104</v>
      </c>
      <c r="AN334" s="12">
        <v>9004</v>
      </c>
      <c r="AO334" s="12">
        <v>9004</v>
      </c>
      <c r="AP334" s="12">
        <v>9004</v>
      </c>
      <c r="AQ334" s="12">
        <v>8004</v>
      </c>
      <c r="AR334" s="12">
        <v>8345</v>
      </c>
      <c r="AS334" s="12">
        <v>8345</v>
      </c>
      <c r="AT334" s="12">
        <v>8345</v>
      </c>
      <c r="AU334" s="12">
        <v>8345</v>
      </c>
      <c r="AV334" s="12">
        <v>8345</v>
      </c>
      <c r="AW334" s="12">
        <v>0</v>
      </c>
      <c r="AX334" s="12">
        <v>0</v>
      </c>
      <c r="AY334" s="12">
        <v>0</v>
      </c>
      <c r="AZ334" s="12">
        <v>0</v>
      </c>
      <c r="BA334" s="12">
        <v>0</v>
      </c>
    </row>
    <row r="335" spans="1:53" x14ac:dyDescent="0.3">
      <c r="A335" s="7">
        <f t="shared" si="84"/>
        <v>0</v>
      </c>
      <c r="B335" s="7">
        <f t="shared" si="85"/>
        <v>0</v>
      </c>
      <c r="C335" s="7">
        <f t="shared" si="86"/>
        <v>0</v>
      </c>
      <c r="D335" s="13" t="s">
        <v>1033</v>
      </c>
      <c r="E335" s="13" t="s">
        <v>842</v>
      </c>
      <c r="F335" s="5"/>
      <c r="G335" s="13" t="s">
        <v>1034</v>
      </c>
      <c r="H335" s="13" t="s">
        <v>49</v>
      </c>
      <c r="I335" s="11" t="s">
        <v>49</v>
      </c>
      <c r="J335" s="12">
        <v>0</v>
      </c>
      <c r="K335" s="11" t="s">
        <v>916</v>
      </c>
      <c r="L335" s="12">
        <v>0</v>
      </c>
      <c r="M335" s="12">
        <v>0</v>
      </c>
      <c r="N335" s="12">
        <v>0</v>
      </c>
      <c r="O335" s="12">
        <v>0</v>
      </c>
      <c r="P335" s="12">
        <v>0</v>
      </c>
      <c r="Q335" s="12">
        <v>0</v>
      </c>
      <c r="R335" s="12">
        <v>0</v>
      </c>
      <c r="S335" s="12">
        <v>0</v>
      </c>
      <c r="T335" s="12">
        <v>0</v>
      </c>
      <c r="U335" s="12">
        <v>0</v>
      </c>
      <c r="V335" s="12">
        <v>0</v>
      </c>
      <c r="W335" s="12">
        <v>0</v>
      </c>
      <c r="X335" s="12">
        <v>0</v>
      </c>
      <c r="Y335" s="12">
        <v>0</v>
      </c>
      <c r="Z335" s="12">
        <v>0</v>
      </c>
      <c r="AA335" s="12">
        <v>0</v>
      </c>
      <c r="AB335" s="12">
        <v>0</v>
      </c>
      <c r="AC335" s="12">
        <v>0</v>
      </c>
      <c r="AD335" s="12">
        <v>0</v>
      </c>
      <c r="AE335" s="12">
        <v>0</v>
      </c>
      <c r="AF335" s="12">
        <v>0</v>
      </c>
      <c r="AG335" s="12">
        <v>0</v>
      </c>
      <c r="AH335" s="12">
        <v>0</v>
      </c>
      <c r="AI335" s="12">
        <v>0</v>
      </c>
      <c r="AJ335" s="12">
        <v>0</v>
      </c>
      <c r="AK335" s="12">
        <v>0</v>
      </c>
      <c r="AL335" s="12">
        <v>0</v>
      </c>
      <c r="AM335" s="12">
        <v>0</v>
      </c>
      <c r="AN335" s="12">
        <v>0</v>
      </c>
      <c r="AO335" s="12">
        <v>0</v>
      </c>
      <c r="AP335" s="12">
        <v>0</v>
      </c>
      <c r="AQ335" s="12">
        <v>0</v>
      </c>
      <c r="AR335" s="12">
        <v>0</v>
      </c>
      <c r="AS335" s="12">
        <v>0</v>
      </c>
      <c r="AT335" s="12">
        <v>0</v>
      </c>
      <c r="AU335" s="12">
        <v>0</v>
      </c>
      <c r="AV335" s="12">
        <v>0</v>
      </c>
      <c r="AW335" s="12">
        <v>0</v>
      </c>
      <c r="AX335" s="12">
        <v>0</v>
      </c>
      <c r="AY335" s="12">
        <v>0</v>
      </c>
      <c r="AZ335" s="12">
        <v>0</v>
      </c>
      <c r="BA335" s="12">
        <v>0</v>
      </c>
    </row>
    <row r="336" spans="1:53" x14ac:dyDescent="0.3">
      <c r="A336" s="7">
        <f t="shared" si="84"/>
        <v>0</v>
      </c>
      <c r="B336" s="7">
        <f t="shared" si="85"/>
        <v>0</v>
      </c>
      <c r="C336" s="7">
        <f t="shared" si="86"/>
        <v>0</v>
      </c>
      <c r="D336" s="5" t="str">
        <f t="shared" ref="D336:E344" si="88">D335</f>
        <v>812</v>
      </c>
      <c r="E336" s="5" t="str">
        <f t="shared" si="88"/>
        <v>ML27-00476T</v>
      </c>
      <c r="F336" s="5"/>
      <c r="G336" s="5"/>
      <c r="H336" s="6"/>
      <c r="I336" s="11"/>
      <c r="J336" s="12">
        <v>0</v>
      </c>
      <c r="K336" s="11" t="s">
        <v>917</v>
      </c>
      <c r="L336" s="12">
        <v>0</v>
      </c>
      <c r="M336" s="12">
        <v>0</v>
      </c>
      <c r="N336" s="12">
        <v>0</v>
      </c>
      <c r="O336" s="12">
        <v>0</v>
      </c>
      <c r="P336" s="12">
        <v>0</v>
      </c>
      <c r="Q336" s="12">
        <v>0</v>
      </c>
      <c r="R336" s="12">
        <v>0</v>
      </c>
      <c r="S336" s="12">
        <v>0</v>
      </c>
      <c r="T336" s="12">
        <v>0</v>
      </c>
      <c r="U336" s="12">
        <v>0</v>
      </c>
      <c r="V336" s="12">
        <v>0</v>
      </c>
      <c r="W336" s="12">
        <v>0</v>
      </c>
      <c r="X336" s="12">
        <v>0</v>
      </c>
      <c r="Y336" s="12">
        <v>0</v>
      </c>
      <c r="Z336" s="12">
        <v>0</v>
      </c>
      <c r="AA336" s="12">
        <v>0</v>
      </c>
      <c r="AB336" s="12">
        <v>0</v>
      </c>
      <c r="AC336" s="12">
        <v>0</v>
      </c>
      <c r="AD336" s="12">
        <v>0</v>
      </c>
      <c r="AE336" s="12">
        <v>0</v>
      </c>
      <c r="AF336" s="12">
        <v>0</v>
      </c>
      <c r="AG336" s="12">
        <v>0</v>
      </c>
      <c r="AH336" s="12">
        <v>0</v>
      </c>
      <c r="AI336" s="12">
        <v>0</v>
      </c>
      <c r="AJ336" s="12">
        <v>0</v>
      </c>
      <c r="AK336" s="12">
        <v>0</v>
      </c>
      <c r="AL336" s="12">
        <v>0</v>
      </c>
      <c r="AM336" s="12">
        <v>0</v>
      </c>
      <c r="AN336" s="12">
        <v>0</v>
      </c>
      <c r="AO336" s="12">
        <v>0</v>
      </c>
      <c r="AP336" s="12">
        <v>0</v>
      </c>
      <c r="AQ336" s="12">
        <v>0</v>
      </c>
      <c r="AR336" s="12">
        <v>0</v>
      </c>
      <c r="AS336" s="12">
        <v>0</v>
      </c>
      <c r="AT336" s="12">
        <v>0</v>
      </c>
      <c r="AU336" s="12">
        <v>0</v>
      </c>
      <c r="AV336" s="12">
        <v>0</v>
      </c>
      <c r="AW336" s="12">
        <v>0</v>
      </c>
      <c r="AX336" s="12">
        <v>0</v>
      </c>
      <c r="AY336" s="12">
        <v>0</v>
      </c>
      <c r="AZ336" s="12">
        <v>0</v>
      </c>
      <c r="BA336" s="12">
        <v>0</v>
      </c>
    </row>
    <row r="337" spans="1:53" x14ac:dyDescent="0.3">
      <c r="A337" s="7">
        <f t="shared" si="84"/>
        <v>0</v>
      </c>
      <c r="B337" s="7">
        <f t="shared" si="85"/>
        <v>0</v>
      </c>
      <c r="C337" s="7">
        <f t="shared" si="86"/>
        <v>0</v>
      </c>
      <c r="D337" s="5" t="str">
        <f t="shared" si="88"/>
        <v>812</v>
      </c>
      <c r="E337" s="5" t="str">
        <f t="shared" si="88"/>
        <v>ML27-00476T</v>
      </c>
      <c r="F337" s="5"/>
      <c r="G337" s="5"/>
      <c r="H337" s="11" t="s">
        <v>780</v>
      </c>
      <c r="I337" s="11" t="s">
        <v>781</v>
      </c>
      <c r="J337" s="12"/>
      <c r="K337" s="11" t="s">
        <v>918</v>
      </c>
      <c r="L337" s="12">
        <v>0</v>
      </c>
      <c r="M337" s="12">
        <v>0</v>
      </c>
      <c r="N337" s="12">
        <v>0</v>
      </c>
      <c r="O337" s="12">
        <v>0</v>
      </c>
      <c r="P337" s="12">
        <v>0</v>
      </c>
      <c r="Q337" s="12">
        <v>0</v>
      </c>
      <c r="R337" s="12">
        <v>0</v>
      </c>
      <c r="S337" s="12">
        <v>0</v>
      </c>
      <c r="T337" s="12">
        <v>0</v>
      </c>
      <c r="U337" s="12">
        <v>0</v>
      </c>
      <c r="V337" s="12">
        <v>0</v>
      </c>
      <c r="W337" s="12">
        <v>0</v>
      </c>
      <c r="X337" s="12">
        <v>0</v>
      </c>
      <c r="Y337" s="12">
        <v>0</v>
      </c>
      <c r="Z337" s="12">
        <v>0</v>
      </c>
      <c r="AA337" s="12">
        <v>0</v>
      </c>
      <c r="AB337" s="12">
        <v>0</v>
      </c>
      <c r="AC337" s="12">
        <v>0</v>
      </c>
      <c r="AD337" s="12">
        <v>0</v>
      </c>
      <c r="AE337" s="12">
        <v>0</v>
      </c>
      <c r="AF337" s="12">
        <v>0</v>
      </c>
      <c r="AG337" s="12">
        <v>0</v>
      </c>
      <c r="AH337" s="12">
        <v>0</v>
      </c>
      <c r="AI337" s="12">
        <v>0</v>
      </c>
      <c r="AJ337" s="12">
        <v>0</v>
      </c>
      <c r="AK337" s="12">
        <v>0</v>
      </c>
      <c r="AL337" s="12">
        <v>0</v>
      </c>
      <c r="AM337" s="12">
        <v>0</v>
      </c>
      <c r="AN337" s="12">
        <v>0</v>
      </c>
      <c r="AO337" s="12">
        <v>0</v>
      </c>
      <c r="AP337" s="12">
        <v>0</v>
      </c>
      <c r="AQ337" s="12">
        <v>0</v>
      </c>
      <c r="AR337" s="12">
        <v>0</v>
      </c>
      <c r="AS337" s="12">
        <v>0</v>
      </c>
      <c r="AT337" s="12">
        <v>0</v>
      </c>
      <c r="AU337" s="12">
        <v>0</v>
      </c>
      <c r="AV337" s="12">
        <v>0</v>
      </c>
      <c r="AW337" s="12">
        <v>0</v>
      </c>
      <c r="AX337" s="12">
        <v>0</v>
      </c>
      <c r="AY337" s="12">
        <v>0</v>
      </c>
      <c r="AZ337" s="12">
        <v>0</v>
      </c>
      <c r="BA337" s="12">
        <v>0</v>
      </c>
    </row>
    <row r="338" spans="1:53" x14ac:dyDescent="0.3">
      <c r="A338" s="7">
        <f t="shared" si="84"/>
        <v>0</v>
      </c>
      <c r="B338" s="7">
        <f t="shared" si="85"/>
        <v>0</v>
      </c>
      <c r="C338" s="7">
        <f t="shared" si="86"/>
        <v>0</v>
      </c>
      <c r="D338" s="5" t="str">
        <f t="shared" si="88"/>
        <v>812</v>
      </c>
      <c r="E338" s="5" t="str">
        <f t="shared" si="88"/>
        <v>ML27-00476T</v>
      </c>
      <c r="F338" s="5"/>
      <c r="G338" s="5"/>
      <c r="H338" s="11" t="s">
        <v>49</v>
      </c>
      <c r="I338" s="11"/>
      <c r="J338" s="12">
        <v>0</v>
      </c>
      <c r="K338" s="11" t="s">
        <v>919</v>
      </c>
      <c r="L338" s="12">
        <v>0</v>
      </c>
      <c r="M338" s="12">
        <v>0</v>
      </c>
      <c r="N338" s="12">
        <v>0</v>
      </c>
      <c r="O338" s="12">
        <v>0</v>
      </c>
      <c r="P338" s="12">
        <v>0</v>
      </c>
      <c r="Q338" s="12">
        <v>0</v>
      </c>
      <c r="R338" s="12">
        <v>0</v>
      </c>
      <c r="S338" s="12">
        <v>0</v>
      </c>
      <c r="T338" s="12">
        <v>0</v>
      </c>
      <c r="U338" s="12">
        <v>0</v>
      </c>
      <c r="V338" s="12">
        <v>0</v>
      </c>
      <c r="W338" s="12">
        <v>0</v>
      </c>
      <c r="X338" s="12">
        <v>0</v>
      </c>
      <c r="Y338" s="12">
        <v>0</v>
      </c>
      <c r="Z338" s="12">
        <v>0</v>
      </c>
      <c r="AA338" s="12">
        <v>0</v>
      </c>
      <c r="AB338" s="12">
        <v>0</v>
      </c>
      <c r="AC338" s="12">
        <v>0</v>
      </c>
      <c r="AD338" s="12">
        <v>0</v>
      </c>
      <c r="AE338" s="12">
        <v>0</v>
      </c>
      <c r="AF338" s="12">
        <v>0</v>
      </c>
      <c r="AG338" s="12">
        <v>0</v>
      </c>
      <c r="AH338" s="12">
        <v>0</v>
      </c>
      <c r="AI338" s="12">
        <v>0</v>
      </c>
      <c r="AJ338" s="12">
        <v>0</v>
      </c>
      <c r="AK338" s="12">
        <v>0</v>
      </c>
      <c r="AL338" s="12">
        <v>0</v>
      </c>
      <c r="AM338" s="12">
        <v>0</v>
      </c>
      <c r="AN338" s="12">
        <v>0</v>
      </c>
      <c r="AO338" s="12">
        <v>0</v>
      </c>
      <c r="AP338" s="12">
        <v>0</v>
      </c>
      <c r="AQ338" s="12">
        <v>0</v>
      </c>
      <c r="AR338" s="12">
        <v>0</v>
      </c>
      <c r="AS338" s="12">
        <v>0</v>
      </c>
      <c r="AT338" s="12">
        <v>0</v>
      </c>
      <c r="AU338" s="12">
        <v>0</v>
      </c>
      <c r="AV338" s="12">
        <v>0</v>
      </c>
      <c r="AW338" s="12">
        <v>0</v>
      </c>
      <c r="AX338" s="12">
        <v>0</v>
      </c>
      <c r="AY338" s="12">
        <v>0</v>
      </c>
      <c r="AZ338" s="12">
        <v>0</v>
      </c>
      <c r="BA338" s="12">
        <v>0</v>
      </c>
    </row>
    <row r="339" spans="1:53" x14ac:dyDescent="0.3">
      <c r="A339" s="7">
        <f t="shared" si="84"/>
        <v>0</v>
      </c>
      <c r="B339" s="7">
        <f t="shared" si="85"/>
        <v>0</v>
      </c>
      <c r="C339" s="7">
        <f t="shared" si="86"/>
        <v>0</v>
      </c>
      <c r="D339" s="5" t="str">
        <f t="shared" si="88"/>
        <v>812</v>
      </c>
      <c r="E339" s="5" t="str">
        <f t="shared" si="88"/>
        <v>ML27-00476T</v>
      </c>
      <c r="F339" s="5"/>
      <c r="G339" s="6"/>
      <c r="H339" s="11" t="s">
        <v>920</v>
      </c>
      <c r="I339" s="11"/>
      <c r="J339" s="12">
        <v>0</v>
      </c>
      <c r="K339" s="11" t="s">
        <v>921</v>
      </c>
      <c r="L339" s="12">
        <v>0</v>
      </c>
      <c r="M339" s="12">
        <v>0</v>
      </c>
      <c r="N339" s="12">
        <v>0</v>
      </c>
      <c r="O339" s="12">
        <v>0</v>
      </c>
      <c r="P339" s="12">
        <v>0</v>
      </c>
      <c r="Q339" s="12">
        <v>0</v>
      </c>
      <c r="R339" s="12">
        <v>0</v>
      </c>
      <c r="S339" s="12">
        <v>0</v>
      </c>
      <c r="T339" s="12">
        <v>0</v>
      </c>
      <c r="U339" s="12">
        <v>0</v>
      </c>
      <c r="V339" s="12">
        <v>0</v>
      </c>
      <c r="W339" s="12">
        <v>0</v>
      </c>
      <c r="X339" s="12">
        <v>0</v>
      </c>
      <c r="Y339" s="12">
        <v>0</v>
      </c>
      <c r="Z339" s="12">
        <v>0</v>
      </c>
      <c r="AA339" s="12">
        <v>0</v>
      </c>
      <c r="AB339" s="12">
        <v>0</v>
      </c>
      <c r="AC339" s="12">
        <v>0</v>
      </c>
      <c r="AD339" s="12">
        <v>0</v>
      </c>
      <c r="AE339" s="12">
        <v>0</v>
      </c>
      <c r="AF339" s="12">
        <v>0</v>
      </c>
      <c r="AG339" s="12">
        <v>0</v>
      </c>
      <c r="AH339" s="12">
        <v>0</v>
      </c>
      <c r="AI339" s="12">
        <v>0</v>
      </c>
      <c r="AJ339" s="12">
        <v>0</v>
      </c>
      <c r="AK339" s="12">
        <v>0</v>
      </c>
      <c r="AL339" s="12">
        <v>0</v>
      </c>
      <c r="AM339" s="12">
        <v>0</v>
      </c>
      <c r="AN339" s="12">
        <v>0</v>
      </c>
      <c r="AO339" s="12">
        <v>0</v>
      </c>
      <c r="AP339" s="12">
        <v>0</v>
      </c>
      <c r="AQ339" s="12">
        <v>0</v>
      </c>
      <c r="AR339" s="12">
        <v>0</v>
      </c>
      <c r="AS339" s="12">
        <v>0</v>
      </c>
      <c r="AT339" s="12">
        <v>0</v>
      </c>
      <c r="AU339" s="12">
        <v>0</v>
      </c>
      <c r="AV339" s="12">
        <v>0</v>
      </c>
      <c r="AW339" s="12">
        <v>0</v>
      </c>
      <c r="AX339" s="12">
        <v>0</v>
      </c>
      <c r="AY339" s="12">
        <v>0</v>
      </c>
      <c r="AZ339" s="12">
        <v>0</v>
      </c>
      <c r="BA339" s="12">
        <v>0</v>
      </c>
    </row>
    <row r="340" spans="1:53" x14ac:dyDescent="0.3">
      <c r="A340" s="7">
        <f t="shared" si="84"/>
        <v>5000</v>
      </c>
      <c r="B340" s="7">
        <f t="shared" si="85"/>
        <v>8979</v>
      </c>
      <c r="C340" s="7">
        <f t="shared" si="86"/>
        <v>3684</v>
      </c>
      <c r="D340" s="5" t="str">
        <f t="shared" si="88"/>
        <v>812</v>
      </c>
      <c r="E340" s="13" t="s">
        <v>841</v>
      </c>
      <c r="F340" s="5"/>
      <c r="G340" s="13" t="s">
        <v>1035</v>
      </c>
      <c r="H340" s="13" t="s">
        <v>49</v>
      </c>
      <c r="I340" s="11" t="s">
        <v>49</v>
      </c>
      <c r="J340" s="12">
        <v>0</v>
      </c>
      <c r="K340" s="11" t="s">
        <v>916</v>
      </c>
      <c r="L340" s="12">
        <v>0</v>
      </c>
      <c r="M340" s="12">
        <v>58103</v>
      </c>
      <c r="N340" s="12">
        <v>0</v>
      </c>
      <c r="O340" s="12">
        <v>0</v>
      </c>
      <c r="P340" s="12">
        <v>0</v>
      </c>
      <c r="Q340" s="12">
        <v>0</v>
      </c>
      <c r="R340" s="12">
        <v>2500</v>
      </c>
      <c r="S340" s="12">
        <v>2500</v>
      </c>
      <c r="T340" s="12">
        <v>0</v>
      </c>
      <c r="U340" s="12">
        <v>5360</v>
      </c>
      <c r="V340" s="12">
        <v>0</v>
      </c>
      <c r="W340" s="12">
        <v>0</v>
      </c>
      <c r="X340" s="12">
        <v>0</v>
      </c>
      <c r="Y340" s="12">
        <v>0</v>
      </c>
      <c r="Z340" s="12">
        <v>0</v>
      </c>
      <c r="AA340" s="12">
        <v>3619</v>
      </c>
      <c r="AB340" s="12">
        <v>3684</v>
      </c>
      <c r="AC340" s="12">
        <v>0</v>
      </c>
      <c r="AD340" s="12">
        <v>0</v>
      </c>
      <c r="AE340" s="12">
        <v>0</v>
      </c>
      <c r="AF340" s="12">
        <v>0</v>
      </c>
      <c r="AG340" s="12">
        <v>0</v>
      </c>
      <c r="AH340" s="12">
        <v>0</v>
      </c>
      <c r="AI340" s="12">
        <v>8303</v>
      </c>
      <c r="AJ340" s="12">
        <v>0</v>
      </c>
      <c r="AK340" s="12">
        <v>0</v>
      </c>
      <c r="AL340" s="12">
        <v>0</v>
      </c>
      <c r="AM340" s="12">
        <v>2500</v>
      </c>
      <c r="AN340" s="12">
        <v>2500</v>
      </c>
      <c r="AO340" s="12">
        <v>1000</v>
      </c>
      <c r="AP340" s="12">
        <v>5000</v>
      </c>
      <c r="AQ340" s="12">
        <v>10000</v>
      </c>
      <c r="AR340" s="12">
        <v>5000</v>
      </c>
      <c r="AS340" s="12">
        <v>0</v>
      </c>
      <c r="AT340" s="12">
        <v>6137</v>
      </c>
      <c r="AU340" s="12">
        <v>0</v>
      </c>
      <c r="AV340" s="12">
        <v>0</v>
      </c>
      <c r="AW340" s="12">
        <v>10360</v>
      </c>
      <c r="AX340" s="12">
        <v>15606</v>
      </c>
      <c r="AY340" s="12">
        <v>11000</v>
      </c>
      <c r="AZ340" s="12">
        <v>21137</v>
      </c>
      <c r="BA340" s="12">
        <v>0</v>
      </c>
    </row>
    <row r="341" spans="1:53" x14ac:dyDescent="0.3">
      <c r="A341" s="7">
        <f t="shared" si="84"/>
        <v>139757</v>
      </c>
      <c r="B341" s="7">
        <f t="shared" si="85"/>
        <v>76118</v>
      </c>
      <c r="C341" s="7">
        <f t="shared" si="86"/>
        <v>28616</v>
      </c>
      <c r="D341" s="5" t="str">
        <f t="shared" si="88"/>
        <v>812</v>
      </c>
      <c r="E341" s="5" t="str">
        <f t="shared" si="88"/>
        <v>ML27-00476U</v>
      </c>
      <c r="F341" s="5"/>
      <c r="G341" s="5"/>
      <c r="H341" s="6"/>
      <c r="I341" s="11"/>
      <c r="J341" s="12">
        <v>0</v>
      </c>
      <c r="K341" s="11" t="s">
        <v>917</v>
      </c>
      <c r="L341" s="12">
        <v>21751</v>
      </c>
      <c r="M341" s="12">
        <v>-36352</v>
      </c>
      <c r="N341" s="12">
        <v>21751</v>
      </c>
      <c r="O341" s="12">
        <v>21751</v>
      </c>
      <c r="P341" s="12">
        <v>21751</v>
      </c>
      <c r="Q341" s="12">
        <v>21751</v>
      </c>
      <c r="R341" s="12">
        <v>19251</v>
      </c>
      <c r="S341" s="12">
        <v>16751</v>
      </c>
      <c r="T341" s="12">
        <v>16751</v>
      </c>
      <c r="U341" s="12">
        <v>11391</v>
      </c>
      <c r="V341" s="12">
        <v>11391</v>
      </c>
      <c r="W341" s="12">
        <v>11391</v>
      </c>
      <c r="X341" s="12">
        <v>11391</v>
      </c>
      <c r="Y341" s="12">
        <v>11391</v>
      </c>
      <c r="Z341" s="12">
        <v>11391</v>
      </c>
      <c r="AA341" s="12">
        <v>7772</v>
      </c>
      <c r="AB341" s="12">
        <v>4088</v>
      </c>
      <c r="AC341" s="12">
        <v>4088</v>
      </c>
      <c r="AD341" s="12">
        <v>4088</v>
      </c>
      <c r="AE341" s="12">
        <v>4088</v>
      </c>
      <c r="AF341" s="12">
        <v>4088</v>
      </c>
      <c r="AG341" s="12">
        <v>4088</v>
      </c>
      <c r="AH341" s="12">
        <v>4088</v>
      </c>
      <c r="AI341" s="12">
        <v>-4215</v>
      </c>
      <c r="AJ341" s="12">
        <v>-4215</v>
      </c>
      <c r="AK341" s="12">
        <v>-4215</v>
      </c>
      <c r="AL341" s="12">
        <v>-4215</v>
      </c>
      <c r="AM341" s="12">
        <v>-6715</v>
      </c>
      <c r="AN341" s="12">
        <v>-9215</v>
      </c>
      <c r="AO341" s="12">
        <v>-10215</v>
      </c>
      <c r="AP341" s="12">
        <v>-15215</v>
      </c>
      <c r="AQ341" s="12">
        <v>-25215</v>
      </c>
      <c r="AR341" s="12">
        <v>-30215</v>
      </c>
      <c r="AS341" s="12">
        <v>-30215</v>
      </c>
      <c r="AT341" s="12">
        <v>-36352</v>
      </c>
      <c r="AU341" s="12">
        <v>-36352</v>
      </c>
      <c r="AV341" s="12">
        <v>-36352</v>
      </c>
      <c r="AW341" s="12">
        <v>0</v>
      </c>
      <c r="AX341" s="12">
        <v>0</v>
      </c>
      <c r="AY341" s="12">
        <v>0</v>
      </c>
      <c r="AZ341" s="12">
        <v>0</v>
      </c>
      <c r="BA341" s="12">
        <v>0</v>
      </c>
    </row>
    <row r="342" spans="1:53" x14ac:dyDescent="0.3">
      <c r="A342" s="7">
        <f t="shared" si="84"/>
        <v>720</v>
      </c>
      <c r="B342" s="7">
        <f t="shared" si="85"/>
        <v>0</v>
      </c>
      <c r="C342" s="7">
        <f t="shared" si="86"/>
        <v>0</v>
      </c>
      <c r="D342" s="5" t="str">
        <f t="shared" si="88"/>
        <v>812</v>
      </c>
      <c r="E342" s="5" t="str">
        <f t="shared" si="88"/>
        <v>ML27-00476U</v>
      </c>
      <c r="F342" s="5"/>
      <c r="G342" s="5"/>
      <c r="H342" s="11" t="s">
        <v>793</v>
      </c>
      <c r="I342" s="11" t="s">
        <v>794</v>
      </c>
      <c r="J342" s="12">
        <v>10080</v>
      </c>
      <c r="K342" s="11" t="s">
        <v>918</v>
      </c>
      <c r="L342" s="12">
        <v>0</v>
      </c>
      <c r="M342" s="12">
        <v>38160</v>
      </c>
      <c r="N342" s="12">
        <v>720</v>
      </c>
      <c r="O342" s="12">
        <v>0</v>
      </c>
      <c r="P342" s="12">
        <v>0</v>
      </c>
      <c r="Q342" s="12">
        <v>0</v>
      </c>
      <c r="R342" s="12">
        <v>0</v>
      </c>
      <c r="S342" s="12">
        <v>0</v>
      </c>
      <c r="T342" s="12">
        <v>0</v>
      </c>
      <c r="U342" s="12">
        <v>0</v>
      </c>
      <c r="V342" s="12">
        <v>0</v>
      </c>
      <c r="W342" s="12">
        <v>0</v>
      </c>
      <c r="X342" s="12">
        <v>0</v>
      </c>
      <c r="Y342" s="12">
        <v>0</v>
      </c>
      <c r="Z342" s="12">
        <v>0</v>
      </c>
      <c r="AA342" s="12">
        <v>0</v>
      </c>
      <c r="AB342" s="12">
        <v>0</v>
      </c>
      <c r="AC342" s="12">
        <v>0</v>
      </c>
      <c r="AD342" s="12">
        <v>0</v>
      </c>
      <c r="AE342" s="12">
        <v>0</v>
      </c>
      <c r="AF342" s="12">
        <v>0</v>
      </c>
      <c r="AG342" s="12">
        <v>0</v>
      </c>
      <c r="AH342" s="12">
        <v>0</v>
      </c>
      <c r="AI342" s="12">
        <v>4680</v>
      </c>
      <c r="AJ342" s="12">
        <v>0</v>
      </c>
      <c r="AK342" s="12">
        <v>0</v>
      </c>
      <c r="AL342" s="12">
        <v>0</v>
      </c>
      <c r="AM342" s="12">
        <v>4680</v>
      </c>
      <c r="AN342" s="12">
        <v>0</v>
      </c>
      <c r="AO342" s="12">
        <v>4680</v>
      </c>
      <c r="AP342" s="12">
        <v>4680</v>
      </c>
      <c r="AQ342" s="12">
        <v>9360</v>
      </c>
      <c r="AR342" s="12">
        <v>4680</v>
      </c>
      <c r="AS342" s="12">
        <v>0</v>
      </c>
      <c r="AT342" s="12">
        <v>4680</v>
      </c>
      <c r="AU342" s="12">
        <v>0</v>
      </c>
      <c r="AV342" s="12">
        <v>0</v>
      </c>
      <c r="AW342" s="12">
        <v>720</v>
      </c>
      <c r="AX342" s="12">
        <v>4680</v>
      </c>
      <c r="AY342" s="12">
        <v>9360</v>
      </c>
      <c r="AZ342" s="12">
        <v>23400</v>
      </c>
      <c r="BA342" s="12">
        <v>0</v>
      </c>
    </row>
    <row r="343" spans="1:53" x14ac:dyDescent="0.3">
      <c r="A343" s="7">
        <f t="shared" si="84"/>
        <v>720</v>
      </c>
      <c r="B343" s="7">
        <f t="shared" si="85"/>
        <v>0</v>
      </c>
      <c r="C343" s="7">
        <f t="shared" si="86"/>
        <v>0</v>
      </c>
      <c r="D343" s="5" t="str">
        <f t="shared" si="88"/>
        <v>812</v>
      </c>
      <c r="E343" s="5" t="str">
        <f t="shared" si="88"/>
        <v>ML27-00476U</v>
      </c>
      <c r="F343" s="5"/>
      <c r="G343" s="5"/>
      <c r="H343" s="11" t="s">
        <v>49</v>
      </c>
      <c r="I343" s="11"/>
      <c r="J343" s="12">
        <v>0</v>
      </c>
      <c r="K343" s="11" t="s">
        <v>919</v>
      </c>
      <c r="L343" s="12">
        <v>0</v>
      </c>
      <c r="M343" s="12">
        <v>38160</v>
      </c>
      <c r="N343" s="12">
        <v>720</v>
      </c>
      <c r="O343" s="12">
        <v>0</v>
      </c>
      <c r="P343" s="12">
        <v>0</v>
      </c>
      <c r="Q343" s="12">
        <v>0</v>
      </c>
      <c r="R343" s="12">
        <v>0</v>
      </c>
      <c r="S343" s="12">
        <v>0</v>
      </c>
      <c r="T343" s="12">
        <v>0</v>
      </c>
      <c r="U343" s="12">
        <v>0</v>
      </c>
      <c r="V343" s="12">
        <v>0</v>
      </c>
      <c r="W343" s="12">
        <v>0</v>
      </c>
      <c r="X343" s="12">
        <v>0</v>
      </c>
      <c r="Y343" s="12">
        <v>0</v>
      </c>
      <c r="Z343" s="12">
        <v>0</v>
      </c>
      <c r="AA343" s="12">
        <v>0</v>
      </c>
      <c r="AB343" s="12">
        <v>0</v>
      </c>
      <c r="AC343" s="12">
        <v>0</v>
      </c>
      <c r="AD343" s="12">
        <v>0</v>
      </c>
      <c r="AE343" s="12">
        <v>0</v>
      </c>
      <c r="AF343" s="12">
        <v>0</v>
      </c>
      <c r="AG343" s="12">
        <v>0</v>
      </c>
      <c r="AH343" s="12">
        <v>0</v>
      </c>
      <c r="AI343" s="12">
        <v>4680</v>
      </c>
      <c r="AJ343" s="12">
        <v>0</v>
      </c>
      <c r="AK343" s="12">
        <v>0</v>
      </c>
      <c r="AL343" s="12">
        <v>0</v>
      </c>
      <c r="AM343" s="12">
        <v>4680</v>
      </c>
      <c r="AN343" s="12">
        <v>0</v>
      </c>
      <c r="AO343" s="12">
        <v>4680</v>
      </c>
      <c r="AP343" s="12">
        <v>4680</v>
      </c>
      <c r="AQ343" s="12">
        <v>9360</v>
      </c>
      <c r="AR343" s="12">
        <v>4680</v>
      </c>
      <c r="AS343" s="12">
        <v>0</v>
      </c>
      <c r="AT343" s="12">
        <v>4680</v>
      </c>
      <c r="AU343" s="12">
        <v>0</v>
      </c>
      <c r="AV343" s="12">
        <v>0</v>
      </c>
      <c r="AW343" s="12">
        <v>720</v>
      </c>
      <c r="AX343" s="12">
        <v>4680</v>
      </c>
      <c r="AY343" s="12">
        <v>9360</v>
      </c>
      <c r="AZ343" s="12">
        <v>23400</v>
      </c>
      <c r="BA343" s="12">
        <v>0</v>
      </c>
    </row>
    <row r="344" spans="1:53" x14ac:dyDescent="0.3">
      <c r="A344" s="7">
        <f t="shared" si="84"/>
        <v>144797</v>
      </c>
      <c r="B344" s="7">
        <f t="shared" si="85"/>
        <v>81158</v>
      </c>
      <c r="C344" s="7">
        <f t="shared" si="86"/>
        <v>33656</v>
      </c>
      <c r="D344" s="5" t="str">
        <f t="shared" si="88"/>
        <v>812</v>
      </c>
      <c r="E344" s="5" t="str">
        <f t="shared" si="88"/>
        <v>ML27-00476U</v>
      </c>
      <c r="F344" s="5"/>
      <c r="G344" s="6"/>
      <c r="H344" s="11" t="s">
        <v>920</v>
      </c>
      <c r="I344" s="11"/>
      <c r="J344" s="12">
        <v>0</v>
      </c>
      <c r="K344" s="11" t="s">
        <v>921</v>
      </c>
      <c r="L344" s="12">
        <v>0</v>
      </c>
      <c r="M344" s="12">
        <v>1808</v>
      </c>
      <c r="N344" s="12">
        <v>22471</v>
      </c>
      <c r="O344" s="12">
        <v>22471</v>
      </c>
      <c r="P344" s="12">
        <v>22471</v>
      </c>
      <c r="Q344" s="12">
        <v>22471</v>
      </c>
      <c r="R344" s="12">
        <v>19971</v>
      </c>
      <c r="S344" s="12">
        <v>17471</v>
      </c>
      <c r="T344" s="12">
        <v>17471</v>
      </c>
      <c r="U344" s="12">
        <v>12111</v>
      </c>
      <c r="V344" s="12">
        <v>12111</v>
      </c>
      <c r="W344" s="12">
        <v>12111</v>
      </c>
      <c r="X344" s="12">
        <v>12111</v>
      </c>
      <c r="Y344" s="12">
        <v>12111</v>
      </c>
      <c r="Z344" s="12">
        <v>12111</v>
      </c>
      <c r="AA344" s="12">
        <v>8492</v>
      </c>
      <c r="AB344" s="12">
        <v>4808</v>
      </c>
      <c r="AC344" s="12">
        <v>4808</v>
      </c>
      <c r="AD344" s="12">
        <v>4808</v>
      </c>
      <c r="AE344" s="12">
        <v>4808</v>
      </c>
      <c r="AF344" s="12">
        <v>4808</v>
      </c>
      <c r="AG344" s="12">
        <v>4808</v>
      </c>
      <c r="AH344" s="12">
        <v>4808</v>
      </c>
      <c r="AI344" s="12">
        <v>1185</v>
      </c>
      <c r="AJ344" s="12">
        <v>1185</v>
      </c>
      <c r="AK344" s="12">
        <v>1185</v>
      </c>
      <c r="AL344" s="12">
        <v>1185</v>
      </c>
      <c r="AM344" s="12">
        <v>3365</v>
      </c>
      <c r="AN344" s="12">
        <v>865</v>
      </c>
      <c r="AO344" s="12">
        <v>4545</v>
      </c>
      <c r="AP344" s="12">
        <v>4225</v>
      </c>
      <c r="AQ344" s="12">
        <v>3585</v>
      </c>
      <c r="AR344" s="12">
        <v>3265</v>
      </c>
      <c r="AS344" s="12">
        <v>3265</v>
      </c>
      <c r="AT344" s="12">
        <v>1808</v>
      </c>
      <c r="AU344" s="12">
        <v>1808</v>
      </c>
      <c r="AV344" s="12">
        <v>1808</v>
      </c>
      <c r="AW344" s="12">
        <v>0</v>
      </c>
      <c r="AX344" s="12">
        <v>0</v>
      </c>
      <c r="AY344" s="12">
        <v>0</v>
      </c>
      <c r="AZ344" s="12">
        <v>0</v>
      </c>
      <c r="BA344" s="12">
        <v>0</v>
      </c>
    </row>
    <row r="345" spans="1:53" x14ac:dyDescent="0.3">
      <c r="A345" s="7">
        <f t="shared" si="84"/>
        <v>0</v>
      </c>
      <c r="B345" s="7">
        <f t="shared" si="85"/>
        <v>0</v>
      </c>
      <c r="C345" s="7">
        <f t="shared" si="86"/>
        <v>0</v>
      </c>
      <c r="D345" s="13" t="s">
        <v>955</v>
      </c>
      <c r="E345" s="13" t="s">
        <v>844</v>
      </c>
      <c r="F345" s="5"/>
      <c r="G345" s="13" t="s">
        <v>1036</v>
      </c>
      <c r="H345" s="13" t="s">
        <v>49</v>
      </c>
      <c r="I345" s="11" t="s">
        <v>49</v>
      </c>
      <c r="J345" s="12">
        <v>0</v>
      </c>
      <c r="K345" s="11" t="s">
        <v>916</v>
      </c>
      <c r="L345" s="12">
        <v>0</v>
      </c>
      <c r="M345" s="12">
        <v>0</v>
      </c>
      <c r="N345" s="12">
        <v>0</v>
      </c>
      <c r="O345" s="12">
        <v>0</v>
      </c>
      <c r="P345" s="12">
        <v>0</v>
      </c>
      <c r="Q345" s="12">
        <v>0</v>
      </c>
      <c r="R345" s="12">
        <v>0</v>
      </c>
      <c r="S345" s="12">
        <v>0</v>
      </c>
      <c r="T345" s="12">
        <v>0</v>
      </c>
      <c r="U345" s="12">
        <v>0</v>
      </c>
      <c r="V345" s="12">
        <v>0</v>
      </c>
      <c r="W345" s="12">
        <v>0</v>
      </c>
      <c r="X345" s="12">
        <v>0</v>
      </c>
      <c r="Y345" s="12">
        <v>0</v>
      </c>
      <c r="Z345" s="12">
        <v>0</v>
      </c>
      <c r="AA345" s="12">
        <v>0</v>
      </c>
      <c r="AB345" s="12">
        <v>0</v>
      </c>
      <c r="AC345" s="12">
        <v>0</v>
      </c>
      <c r="AD345" s="12">
        <v>0</v>
      </c>
      <c r="AE345" s="12">
        <v>0</v>
      </c>
      <c r="AF345" s="12">
        <v>0</v>
      </c>
      <c r="AG345" s="12">
        <v>0</v>
      </c>
      <c r="AH345" s="12">
        <v>0</v>
      </c>
      <c r="AI345" s="12">
        <v>0</v>
      </c>
      <c r="AJ345" s="12">
        <v>0</v>
      </c>
      <c r="AK345" s="12">
        <v>0</v>
      </c>
      <c r="AL345" s="12">
        <v>0</v>
      </c>
      <c r="AM345" s="12">
        <v>0</v>
      </c>
      <c r="AN345" s="12">
        <v>0</v>
      </c>
      <c r="AO345" s="12">
        <v>0</v>
      </c>
      <c r="AP345" s="12">
        <v>0</v>
      </c>
      <c r="AQ345" s="12">
        <v>0</v>
      </c>
      <c r="AR345" s="12">
        <v>0</v>
      </c>
      <c r="AS345" s="12">
        <v>0</v>
      </c>
      <c r="AT345" s="12">
        <v>0</v>
      </c>
      <c r="AU345" s="12">
        <v>0</v>
      </c>
      <c r="AV345" s="12">
        <v>0</v>
      </c>
      <c r="AW345" s="12">
        <v>0</v>
      </c>
      <c r="AX345" s="12">
        <v>0</v>
      </c>
      <c r="AY345" s="12">
        <v>0</v>
      </c>
      <c r="AZ345" s="12">
        <v>0</v>
      </c>
      <c r="BA345" s="12">
        <v>0</v>
      </c>
    </row>
    <row r="346" spans="1:53" x14ac:dyDescent="0.3">
      <c r="A346" s="7">
        <f t="shared" si="84"/>
        <v>0</v>
      </c>
      <c r="B346" s="7">
        <f t="shared" si="85"/>
        <v>0</v>
      </c>
      <c r="C346" s="7">
        <f t="shared" si="86"/>
        <v>0</v>
      </c>
      <c r="D346" s="5" t="str">
        <f t="shared" ref="D346:E354" si="89">D345</f>
        <v>814</v>
      </c>
      <c r="E346" s="5" t="str">
        <f t="shared" si="89"/>
        <v>ML27-00478D</v>
      </c>
      <c r="F346" s="5"/>
      <c r="G346" s="5"/>
      <c r="H346" s="6"/>
      <c r="I346" s="11"/>
      <c r="J346" s="12">
        <v>0</v>
      </c>
      <c r="K346" s="11" t="s">
        <v>917</v>
      </c>
      <c r="L346" s="12">
        <v>0</v>
      </c>
      <c r="M346" s="12">
        <v>0</v>
      </c>
      <c r="N346" s="12">
        <v>0</v>
      </c>
      <c r="O346" s="12">
        <v>0</v>
      </c>
      <c r="P346" s="12">
        <v>0</v>
      </c>
      <c r="Q346" s="12">
        <v>0</v>
      </c>
      <c r="R346" s="12">
        <v>0</v>
      </c>
      <c r="S346" s="12">
        <v>0</v>
      </c>
      <c r="T346" s="12">
        <v>0</v>
      </c>
      <c r="U346" s="12">
        <v>0</v>
      </c>
      <c r="V346" s="12">
        <v>0</v>
      </c>
      <c r="W346" s="12">
        <v>0</v>
      </c>
      <c r="X346" s="12">
        <v>0</v>
      </c>
      <c r="Y346" s="12">
        <v>0</v>
      </c>
      <c r="Z346" s="12">
        <v>0</v>
      </c>
      <c r="AA346" s="12">
        <v>0</v>
      </c>
      <c r="AB346" s="12">
        <v>0</v>
      </c>
      <c r="AC346" s="12">
        <v>0</v>
      </c>
      <c r="AD346" s="12">
        <v>0</v>
      </c>
      <c r="AE346" s="12">
        <v>0</v>
      </c>
      <c r="AF346" s="12">
        <v>0</v>
      </c>
      <c r="AG346" s="12">
        <v>0</v>
      </c>
      <c r="AH346" s="12">
        <v>0</v>
      </c>
      <c r="AI346" s="12">
        <v>0</v>
      </c>
      <c r="AJ346" s="12">
        <v>0</v>
      </c>
      <c r="AK346" s="12">
        <v>0</v>
      </c>
      <c r="AL346" s="12">
        <v>0</v>
      </c>
      <c r="AM346" s="12">
        <v>0</v>
      </c>
      <c r="AN346" s="12">
        <v>0</v>
      </c>
      <c r="AO346" s="12">
        <v>0</v>
      </c>
      <c r="AP346" s="12">
        <v>0</v>
      </c>
      <c r="AQ346" s="12">
        <v>0</v>
      </c>
      <c r="AR346" s="12">
        <v>0</v>
      </c>
      <c r="AS346" s="12">
        <v>0</v>
      </c>
      <c r="AT346" s="12">
        <v>0</v>
      </c>
      <c r="AU346" s="12">
        <v>0</v>
      </c>
      <c r="AV346" s="12">
        <v>0</v>
      </c>
      <c r="AW346" s="12">
        <v>0</v>
      </c>
      <c r="AX346" s="12">
        <v>0</v>
      </c>
      <c r="AY346" s="12">
        <v>0</v>
      </c>
      <c r="AZ346" s="12">
        <v>0</v>
      </c>
      <c r="BA346" s="12">
        <v>0</v>
      </c>
    </row>
    <row r="347" spans="1:53" x14ac:dyDescent="0.3">
      <c r="A347" s="7">
        <f t="shared" si="84"/>
        <v>0</v>
      </c>
      <c r="B347" s="7">
        <f t="shared" si="85"/>
        <v>0</v>
      </c>
      <c r="C347" s="7">
        <f t="shared" si="86"/>
        <v>0</v>
      </c>
      <c r="D347" s="5" t="str">
        <f t="shared" si="89"/>
        <v>814</v>
      </c>
      <c r="E347" s="5" t="str">
        <f t="shared" si="89"/>
        <v>ML27-00478D</v>
      </c>
      <c r="F347" s="5"/>
      <c r="G347" s="5"/>
      <c r="H347" s="11" t="s">
        <v>780</v>
      </c>
      <c r="I347" s="11" t="s">
        <v>781</v>
      </c>
      <c r="J347" s="12"/>
      <c r="K347" s="11" t="s">
        <v>918</v>
      </c>
      <c r="L347" s="12">
        <v>0</v>
      </c>
      <c r="M347" s="12">
        <v>0</v>
      </c>
      <c r="N347" s="12">
        <v>0</v>
      </c>
      <c r="O347" s="12">
        <v>0</v>
      </c>
      <c r="P347" s="12">
        <v>0</v>
      </c>
      <c r="Q347" s="12">
        <v>0</v>
      </c>
      <c r="R347" s="12">
        <v>0</v>
      </c>
      <c r="S347" s="12">
        <v>0</v>
      </c>
      <c r="T347" s="12">
        <v>0</v>
      </c>
      <c r="U347" s="12">
        <v>0</v>
      </c>
      <c r="V347" s="12">
        <v>0</v>
      </c>
      <c r="W347" s="12">
        <v>0</v>
      </c>
      <c r="X347" s="12">
        <v>0</v>
      </c>
      <c r="Y347" s="12">
        <v>0</v>
      </c>
      <c r="Z347" s="12">
        <v>0</v>
      </c>
      <c r="AA347" s="12">
        <v>0</v>
      </c>
      <c r="AB347" s="12">
        <v>0</v>
      </c>
      <c r="AC347" s="12">
        <v>0</v>
      </c>
      <c r="AD347" s="12">
        <v>0</v>
      </c>
      <c r="AE347" s="12">
        <v>0</v>
      </c>
      <c r="AF347" s="12">
        <v>0</v>
      </c>
      <c r="AG347" s="12">
        <v>0</v>
      </c>
      <c r="AH347" s="12">
        <v>0</v>
      </c>
      <c r="AI347" s="12">
        <v>0</v>
      </c>
      <c r="AJ347" s="12">
        <v>0</v>
      </c>
      <c r="AK347" s="12">
        <v>0</v>
      </c>
      <c r="AL347" s="12">
        <v>0</v>
      </c>
      <c r="AM347" s="12">
        <v>0</v>
      </c>
      <c r="AN347" s="12">
        <v>0</v>
      </c>
      <c r="AO347" s="12">
        <v>0</v>
      </c>
      <c r="AP347" s="12">
        <v>0</v>
      </c>
      <c r="AQ347" s="12">
        <v>0</v>
      </c>
      <c r="AR347" s="12">
        <v>0</v>
      </c>
      <c r="AS347" s="12">
        <v>0</v>
      </c>
      <c r="AT347" s="12">
        <v>0</v>
      </c>
      <c r="AU347" s="12">
        <v>0</v>
      </c>
      <c r="AV347" s="12">
        <v>0</v>
      </c>
      <c r="AW347" s="12">
        <v>0</v>
      </c>
      <c r="AX347" s="12">
        <v>0</v>
      </c>
      <c r="AY347" s="12">
        <v>0</v>
      </c>
      <c r="AZ347" s="12">
        <v>0</v>
      </c>
      <c r="BA347" s="12">
        <v>0</v>
      </c>
    </row>
    <row r="348" spans="1:53" x14ac:dyDescent="0.3">
      <c r="A348" s="7">
        <f t="shared" si="84"/>
        <v>0</v>
      </c>
      <c r="B348" s="7">
        <f t="shared" si="85"/>
        <v>0</v>
      </c>
      <c r="C348" s="7">
        <f t="shared" si="86"/>
        <v>0</v>
      </c>
      <c r="D348" s="5" t="str">
        <f t="shared" si="89"/>
        <v>814</v>
      </c>
      <c r="E348" s="5" t="str">
        <f t="shared" si="89"/>
        <v>ML27-00478D</v>
      </c>
      <c r="F348" s="5"/>
      <c r="G348" s="5"/>
      <c r="H348" s="11" t="s">
        <v>49</v>
      </c>
      <c r="I348" s="11"/>
      <c r="J348" s="12">
        <v>0</v>
      </c>
      <c r="K348" s="11" t="s">
        <v>919</v>
      </c>
      <c r="L348" s="12">
        <v>0</v>
      </c>
      <c r="M348" s="12">
        <v>0</v>
      </c>
      <c r="N348" s="12">
        <v>0</v>
      </c>
      <c r="O348" s="12">
        <v>0</v>
      </c>
      <c r="P348" s="12">
        <v>0</v>
      </c>
      <c r="Q348" s="12">
        <v>0</v>
      </c>
      <c r="R348" s="12">
        <v>0</v>
      </c>
      <c r="S348" s="12">
        <v>0</v>
      </c>
      <c r="T348" s="12">
        <v>0</v>
      </c>
      <c r="U348" s="12">
        <v>0</v>
      </c>
      <c r="V348" s="12">
        <v>0</v>
      </c>
      <c r="W348" s="12">
        <v>0</v>
      </c>
      <c r="X348" s="12">
        <v>0</v>
      </c>
      <c r="Y348" s="12">
        <v>0</v>
      </c>
      <c r="Z348" s="12">
        <v>0</v>
      </c>
      <c r="AA348" s="12">
        <v>0</v>
      </c>
      <c r="AB348" s="12">
        <v>0</v>
      </c>
      <c r="AC348" s="12">
        <v>0</v>
      </c>
      <c r="AD348" s="12">
        <v>0</v>
      </c>
      <c r="AE348" s="12">
        <v>0</v>
      </c>
      <c r="AF348" s="12">
        <v>0</v>
      </c>
      <c r="AG348" s="12">
        <v>0</v>
      </c>
      <c r="AH348" s="12">
        <v>0</v>
      </c>
      <c r="AI348" s="12">
        <v>0</v>
      </c>
      <c r="AJ348" s="12">
        <v>0</v>
      </c>
      <c r="AK348" s="12">
        <v>0</v>
      </c>
      <c r="AL348" s="12">
        <v>0</v>
      </c>
      <c r="AM348" s="12">
        <v>0</v>
      </c>
      <c r="AN348" s="12">
        <v>0</v>
      </c>
      <c r="AO348" s="12">
        <v>0</v>
      </c>
      <c r="AP348" s="12">
        <v>0</v>
      </c>
      <c r="AQ348" s="12">
        <v>0</v>
      </c>
      <c r="AR348" s="12">
        <v>0</v>
      </c>
      <c r="AS348" s="12">
        <v>0</v>
      </c>
      <c r="AT348" s="12">
        <v>0</v>
      </c>
      <c r="AU348" s="12">
        <v>0</v>
      </c>
      <c r="AV348" s="12">
        <v>0</v>
      </c>
      <c r="AW348" s="12">
        <v>0</v>
      </c>
      <c r="AX348" s="12">
        <v>0</v>
      </c>
      <c r="AY348" s="12">
        <v>0</v>
      </c>
      <c r="AZ348" s="12">
        <v>0</v>
      </c>
      <c r="BA348" s="12">
        <v>0</v>
      </c>
    </row>
    <row r="349" spans="1:53" x14ac:dyDescent="0.3">
      <c r="A349" s="7">
        <f t="shared" si="84"/>
        <v>0</v>
      </c>
      <c r="B349" s="7">
        <f t="shared" si="85"/>
        <v>0</v>
      </c>
      <c r="C349" s="7">
        <f t="shared" si="86"/>
        <v>0</v>
      </c>
      <c r="D349" s="5" t="str">
        <f t="shared" si="89"/>
        <v>814</v>
      </c>
      <c r="E349" s="5" t="str">
        <f t="shared" si="89"/>
        <v>ML27-00478D</v>
      </c>
      <c r="F349" s="5"/>
      <c r="G349" s="6"/>
      <c r="H349" s="11" t="s">
        <v>920</v>
      </c>
      <c r="I349" s="11"/>
      <c r="J349" s="12">
        <v>0</v>
      </c>
      <c r="K349" s="11" t="s">
        <v>921</v>
      </c>
      <c r="L349" s="12">
        <v>0</v>
      </c>
      <c r="M349" s="12">
        <v>0</v>
      </c>
      <c r="N349" s="12">
        <v>0</v>
      </c>
      <c r="O349" s="12">
        <v>0</v>
      </c>
      <c r="P349" s="12">
        <v>0</v>
      </c>
      <c r="Q349" s="12">
        <v>0</v>
      </c>
      <c r="R349" s="12">
        <v>0</v>
      </c>
      <c r="S349" s="12">
        <v>0</v>
      </c>
      <c r="T349" s="12">
        <v>0</v>
      </c>
      <c r="U349" s="12">
        <v>0</v>
      </c>
      <c r="V349" s="12">
        <v>0</v>
      </c>
      <c r="W349" s="12">
        <v>0</v>
      </c>
      <c r="X349" s="12">
        <v>0</v>
      </c>
      <c r="Y349" s="12">
        <v>0</v>
      </c>
      <c r="Z349" s="12">
        <v>0</v>
      </c>
      <c r="AA349" s="12">
        <v>0</v>
      </c>
      <c r="AB349" s="12">
        <v>0</v>
      </c>
      <c r="AC349" s="12">
        <v>0</v>
      </c>
      <c r="AD349" s="12">
        <v>0</v>
      </c>
      <c r="AE349" s="12">
        <v>0</v>
      </c>
      <c r="AF349" s="12">
        <v>0</v>
      </c>
      <c r="AG349" s="12">
        <v>0</v>
      </c>
      <c r="AH349" s="12">
        <v>0</v>
      </c>
      <c r="AI349" s="12">
        <v>0</v>
      </c>
      <c r="AJ349" s="12">
        <v>0</v>
      </c>
      <c r="AK349" s="12">
        <v>0</v>
      </c>
      <c r="AL349" s="12">
        <v>0</v>
      </c>
      <c r="AM349" s="12">
        <v>0</v>
      </c>
      <c r="AN349" s="12">
        <v>0</v>
      </c>
      <c r="AO349" s="12">
        <v>0</v>
      </c>
      <c r="AP349" s="12">
        <v>0</v>
      </c>
      <c r="AQ349" s="12">
        <v>0</v>
      </c>
      <c r="AR349" s="12">
        <v>0</v>
      </c>
      <c r="AS349" s="12">
        <v>0</v>
      </c>
      <c r="AT349" s="12">
        <v>0</v>
      </c>
      <c r="AU349" s="12">
        <v>0</v>
      </c>
      <c r="AV349" s="12">
        <v>0</v>
      </c>
      <c r="AW349" s="12">
        <v>0</v>
      </c>
      <c r="AX349" s="12">
        <v>0</v>
      </c>
      <c r="AY349" s="12">
        <v>0</v>
      </c>
      <c r="AZ349" s="12">
        <v>0</v>
      </c>
      <c r="BA349" s="12">
        <v>0</v>
      </c>
    </row>
    <row r="350" spans="1:53" x14ac:dyDescent="0.3">
      <c r="A350" s="7">
        <f t="shared" si="84"/>
        <v>2692</v>
      </c>
      <c r="B350" s="7">
        <f t="shared" si="85"/>
        <v>0</v>
      </c>
      <c r="C350" s="7">
        <f t="shared" si="86"/>
        <v>7812</v>
      </c>
      <c r="D350" s="5" t="str">
        <f t="shared" si="89"/>
        <v>814</v>
      </c>
      <c r="E350" s="13" t="s">
        <v>843</v>
      </c>
      <c r="F350" s="5"/>
      <c r="G350" s="13" t="s">
        <v>956</v>
      </c>
      <c r="H350" s="13" t="s">
        <v>49</v>
      </c>
      <c r="I350" s="11" t="s">
        <v>49</v>
      </c>
      <c r="J350" s="12">
        <v>0</v>
      </c>
      <c r="K350" s="11" t="s">
        <v>916</v>
      </c>
      <c r="L350" s="12">
        <v>0</v>
      </c>
      <c r="M350" s="12">
        <v>58613</v>
      </c>
      <c r="N350" s="12">
        <v>1592</v>
      </c>
      <c r="O350" s="12">
        <v>1100</v>
      </c>
      <c r="P350" s="12">
        <v>0</v>
      </c>
      <c r="Q350" s="12">
        <v>0</v>
      </c>
      <c r="R350" s="12">
        <v>0</v>
      </c>
      <c r="S350" s="12">
        <v>0</v>
      </c>
      <c r="T350" s="12">
        <v>0</v>
      </c>
      <c r="U350" s="12">
        <v>0</v>
      </c>
      <c r="V350" s="12">
        <v>0</v>
      </c>
      <c r="W350" s="12">
        <v>0</v>
      </c>
      <c r="X350" s="12">
        <v>0</v>
      </c>
      <c r="Y350" s="12">
        <v>0</v>
      </c>
      <c r="Z350" s="12">
        <v>0</v>
      </c>
      <c r="AA350" s="12">
        <v>0</v>
      </c>
      <c r="AB350" s="12">
        <v>7812</v>
      </c>
      <c r="AC350" s="12">
        <v>0</v>
      </c>
      <c r="AD350" s="12">
        <v>0</v>
      </c>
      <c r="AE350" s="12">
        <v>0</v>
      </c>
      <c r="AF350" s="12">
        <v>0</v>
      </c>
      <c r="AG350" s="12">
        <v>0</v>
      </c>
      <c r="AH350" s="12">
        <v>0</v>
      </c>
      <c r="AI350" s="12">
        <v>10000</v>
      </c>
      <c r="AJ350" s="12">
        <v>10000</v>
      </c>
      <c r="AK350" s="12">
        <v>3000</v>
      </c>
      <c r="AL350" s="12">
        <v>0</v>
      </c>
      <c r="AM350" s="12">
        <v>5300</v>
      </c>
      <c r="AN350" s="12">
        <v>7700</v>
      </c>
      <c r="AO350" s="12">
        <v>0</v>
      </c>
      <c r="AP350" s="12">
        <v>0</v>
      </c>
      <c r="AQ350" s="12">
        <v>8000</v>
      </c>
      <c r="AR350" s="12">
        <v>0</v>
      </c>
      <c r="AS350" s="12">
        <v>0</v>
      </c>
      <c r="AT350" s="12">
        <v>4109</v>
      </c>
      <c r="AU350" s="12">
        <v>0</v>
      </c>
      <c r="AV350" s="12">
        <v>0</v>
      </c>
      <c r="AW350" s="12">
        <v>2692</v>
      </c>
      <c r="AX350" s="12">
        <v>30812</v>
      </c>
      <c r="AY350" s="12">
        <v>13000</v>
      </c>
      <c r="AZ350" s="12">
        <v>12109</v>
      </c>
      <c r="BA350" s="12">
        <v>0</v>
      </c>
    </row>
    <row r="351" spans="1:53" x14ac:dyDescent="0.3">
      <c r="A351" s="7">
        <f t="shared" si="84"/>
        <v>62560</v>
      </c>
      <c r="B351" s="7">
        <f t="shared" si="85"/>
        <v>61460</v>
      </c>
      <c r="C351" s="7">
        <f t="shared" si="86"/>
        <v>6776</v>
      </c>
      <c r="D351" s="5" t="str">
        <f t="shared" si="89"/>
        <v>814</v>
      </c>
      <c r="E351" s="5" t="str">
        <f t="shared" si="89"/>
        <v>ML27-00478E</v>
      </c>
      <c r="F351" s="5"/>
      <c r="G351" s="5"/>
      <c r="H351" s="6"/>
      <c r="I351" s="11"/>
      <c r="J351" s="12">
        <v>0</v>
      </c>
      <c r="K351" s="11" t="s">
        <v>917</v>
      </c>
      <c r="L351" s="12">
        <v>11472</v>
      </c>
      <c r="M351" s="12">
        <v>-47141</v>
      </c>
      <c r="N351" s="12">
        <v>9880</v>
      </c>
      <c r="O351" s="12">
        <v>8780</v>
      </c>
      <c r="P351" s="12">
        <v>8780</v>
      </c>
      <c r="Q351" s="12">
        <v>8780</v>
      </c>
      <c r="R351" s="12">
        <v>8780</v>
      </c>
      <c r="S351" s="12">
        <v>8780</v>
      </c>
      <c r="T351" s="12">
        <v>8780</v>
      </c>
      <c r="U351" s="12">
        <v>8780</v>
      </c>
      <c r="V351" s="12">
        <v>8780</v>
      </c>
      <c r="W351" s="12">
        <v>8780</v>
      </c>
      <c r="X351" s="12">
        <v>8780</v>
      </c>
      <c r="Y351" s="12">
        <v>8780</v>
      </c>
      <c r="Z351" s="12">
        <v>8780</v>
      </c>
      <c r="AA351" s="12">
        <v>8780</v>
      </c>
      <c r="AB351" s="12">
        <v>968</v>
      </c>
      <c r="AC351" s="12">
        <v>968</v>
      </c>
      <c r="AD351" s="12">
        <v>968</v>
      </c>
      <c r="AE351" s="12">
        <v>968</v>
      </c>
      <c r="AF351" s="12">
        <v>968</v>
      </c>
      <c r="AG351" s="12">
        <v>968</v>
      </c>
      <c r="AH351" s="12">
        <v>968</v>
      </c>
      <c r="AI351" s="12">
        <v>-9032</v>
      </c>
      <c r="AJ351" s="12">
        <v>-19032</v>
      </c>
      <c r="AK351" s="12">
        <v>-22032</v>
      </c>
      <c r="AL351" s="12">
        <v>-22032</v>
      </c>
      <c r="AM351" s="12">
        <v>-27332</v>
      </c>
      <c r="AN351" s="12">
        <v>-35032</v>
      </c>
      <c r="AO351" s="12">
        <v>-35032</v>
      </c>
      <c r="AP351" s="12">
        <v>-35032</v>
      </c>
      <c r="AQ351" s="12">
        <v>-43032</v>
      </c>
      <c r="AR351" s="12">
        <v>-43032</v>
      </c>
      <c r="AS351" s="12">
        <v>-43032</v>
      </c>
      <c r="AT351" s="12">
        <v>-47141</v>
      </c>
      <c r="AU351" s="12">
        <v>-47141</v>
      </c>
      <c r="AV351" s="12">
        <v>-47141</v>
      </c>
      <c r="AW351" s="12">
        <v>0</v>
      </c>
      <c r="AX351" s="12">
        <v>0</v>
      </c>
      <c r="AY351" s="12">
        <v>0</v>
      </c>
      <c r="AZ351" s="12">
        <v>0</v>
      </c>
      <c r="BA351" s="12">
        <v>0</v>
      </c>
    </row>
    <row r="352" spans="1:53" x14ac:dyDescent="0.3">
      <c r="A352" s="7">
        <f t="shared" si="84"/>
        <v>0</v>
      </c>
      <c r="B352" s="7">
        <f t="shared" si="85"/>
        <v>4356</v>
      </c>
      <c r="C352" s="7">
        <f t="shared" si="86"/>
        <v>13673</v>
      </c>
      <c r="D352" s="5" t="str">
        <f t="shared" si="89"/>
        <v>814</v>
      </c>
      <c r="E352" s="5" t="str">
        <f t="shared" si="89"/>
        <v>ML27-00478E</v>
      </c>
      <c r="F352" s="5"/>
      <c r="G352" s="5"/>
      <c r="H352" s="11" t="s">
        <v>778</v>
      </c>
      <c r="I352" s="11" t="s">
        <v>779</v>
      </c>
      <c r="J352" s="12">
        <v>37631</v>
      </c>
      <c r="K352" s="11" t="s">
        <v>918</v>
      </c>
      <c r="L352" s="12">
        <v>0</v>
      </c>
      <c r="M352" s="12">
        <v>18029</v>
      </c>
      <c r="N352" s="12">
        <v>0</v>
      </c>
      <c r="O352" s="12">
        <v>0</v>
      </c>
      <c r="P352" s="12">
        <v>0</v>
      </c>
      <c r="Q352" s="12">
        <v>0</v>
      </c>
      <c r="R352" s="12">
        <v>0</v>
      </c>
      <c r="S352" s="12">
        <v>0</v>
      </c>
      <c r="T352" s="12">
        <v>0</v>
      </c>
      <c r="U352" s="12">
        <v>0</v>
      </c>
      <c r="V352" s="12">
        <v>0</v>
      </c>
      <c r="W352" s="12">
        <v>4356</v>
      </c>
      <c r="X352" s="12">
        <v>0</v>
      </c>
      <c r="Y352" s="12">
        <v>0</v>
      </c>
      <c r="Z352" s="12">
        <v>0</v>
      </c>
      <c r="AA352" s="12">
        <v>0</v>
      </c>
      <c r="AB352" s="12">
        <v>0</v>
      </c>
      <c r="AC352" s="12">
        <v>0</v>
      </c>
      <c r="AD352" s="12">
        <v>6534</v>
      </c>
      <c r="AE352" s="12">
        <v>0</v>
      </c>
      <c r="AF352" s="12">
        <v>0</v>
      </c>
      <c r="AG352" s="12">
        <v>7139</v>
      </c>
      <c r="AH352" s="12">
        <v>0</v>
      </c>
      <c r="AI352" s="12">
        <v>0</v>
      </c>
      <c r="AJ352" s="12">
        <v>0</v>
      </c>
      <c r="AK352" s="12">
        <v>0</v>
      </c>
      <c r="AL352" s="12">
        <v>0</v>
      </c>
      <c r="AM352" s="12">
        <v>0</v>
      </c>
      <c r="AN352" s="12">
        <v>0</v>
      </c>
      <c r="AO352" s="12">
        <v>0</v>
      </c>
      <c r="AP352" s="12">
        <v>0</v>
      </c>
      <c r="AQ352" s="12">
        <v>0</v>
      </c>
      <c r="AR352" s="12">
        <v>0</v>
      </c>
      <c r="AS352" s="12">
        <v>0</v>
      </c>
      <c r="AT352" s="12">
        <v>0</v>
      </c>
      <c r="AU352" s="12">
        <v>0</v>
      </c>
      <c r="AV352" s="12">
        <v>0</v>
      </c>
      <c r="AW352" s="12">
        <v>4356</v>
      </c>
      <c r="AX352" s="12">
        <v>13673</v>
      </c>
      <c r="AY352" s="12">
        <v>0</v>
      </c>
      <c r="AZ352" s="12">
        <v>0</v>
      </c>
      <c r="BA352" s="12">
        <v>0</v>
      </c>
    </row>
    <row r="353" spans="1:53" x14ac:dyDescent="0.3">
      <c r="A353" s="7">
        <f t="shared" si="84"/>
        <v>0</v>
      </c>
      <c r="B353" s="7">
        <f t="shared" si="85"/>
        <v>4356</v>
      </c>
      <c r="C353" s="7">
        <f t="shared" si="86"/>
        <v>13673</v>
      </c>
      <c r="D353" s="5" t="str">
        <f t="shared" si="89"/>
        <v>814</v>
      </c>
      <c r="E353" s="5" t="str">
        <f t="shared" si="89"/>
        <v>ML27-00478E</v>
      </c>
      <c r="F353" s="5"/>
      <c r="G353" s="5"/>
      <c r="H353" s="11" t="s">
        <v>49</v>
      </c>
      <c r="I353" s="11"/>
      <c r="J353" s="12">
        <v>0</v>
      </c>
      <c r="K353" s="11" t="s">
        <v>919</v>
      </c>
      <c r="L353" s="12">
        <v>0</v>
      </c>
      <c r="M353" s="12">
        <v>18029</v>
      </c>
      <c r="N353" s="12">
        <v>0</v>
      </c>
      <c r="O353" s="12">
        <v>0</v>
      </c>
      <c r="P353" s="12">
        <v>0</v>
      </c>
      <c r="Q353" s="12">
        <v>0</v>
      </c>
      <c r="R353" s="12">
        <v>0</v>
      </c>
      <c r="S353" s="12">
        <v>0</v>
      </c>
      <c r="T353" s="12">
        <v>0</v>
      </c>
      <c r="U353" s="12">
        <v>0</v>
      </c>
      <c r="V353" s="12">
        <v>0</v>
      </c>
      <c r="W353" s="12">
        <v>4356</v>
      </c>
      <c r="X353" s="12">
        <v>0</v>
      </c>
      <c r="Y353" s="12">
        <v>0</v>
      </c>
      <c r="Z353" s="12">
        <v>0</v>
      </c>
      <c r="AA353" s="12">
        <v>0</v>
      </c>
      <c r="AB353" s="12">
        <v>0</v>
      </c>
      <c r="AC353" s="12">
        <v>0</v>
      </c>
      <c r="AD353" s="12">
        <v>6534</v>
      </c>
      <c r="AE353" s="12">
        <v>0</v>
      </c>
      <c r="AF353" s="12">
        <v>0</v>
      </c>
      <c r="AG353" s="12">
        <v>7139</v>
      </c>
      <c r="AH353" s="12">
        <v>0</v>
      </c>
      <c r="AI353" s="12">
        <v>0</v>
      </c>
      <c r="AJ353" s="12">
        <v>0</v>
      </c>
      <c r="AK353" s="12">
        <v>0</v>
      </c>
      <c r="AL353" s="12">
        <v>0</v>
      </c>
      <c r="AM353" s="12">
        <v>0</v>
      </c>
      <c r="AN353" s="12">
        <v>0</v>
      </c>
      <c r="AO353" s="12">
        <v>0</v>
      </c>
      <c r="AP353" s="12">
        <v>0</v>
      </c>
      <c r="AQ353" s="12">
        <v>0</v>
      </c>
      <c r="AR353" s="12">
        <v>0</v>
      </c>
      <c r="AS353" s="12">
        <v>0</v>
      </c>
      <c r="AT353" s="12">
        <v>0</v>
      </c>
      <c r="AU353" s="12">
        <v>0</v>
      </c>
      <c r="AV353" s="12">
        <v>0</v>
      </c>
      <c r="AW353" s="12">
        <v>4356</v>
      </c>
      <c r="AX353" s="12">
        <v>13673</v>
      </c>
      <c r="AY353" s="12">
        <v>0</v>
      </c>
      <c r="AZ353" s="12">
        <v>0</v>
      </c>
      <c r="BA353" s="12">
        <v>0</v>
      </c>
    </row>
    <row r="354" spans="1:53" x14ac:dyDescent="0.3">
      <c r="A354" s="7">
        <f t="shared" si="84"/>
        <v>62560</v>
      </c>
      <c r="B354" s="7">
        <f t="shared" si="85"/>
        <v>83240</v>
      </c>
      <c r="C354" s="7">
        <f t="shared" si="86"/>
        <v>84216</v>
      </c>
      <c r="D354" s="5" t="str">
        <f t="shared" si="89"/>
        <v>814</v>
      </c>
      <c r="E354" s="5" t="str">
        <f t="shared" si="89"/>
        <v>ML27-00478E</v>
      </c>
      <c r="F354" s="5"/>
      <c r="G354" s="6"/>
      <c r="H354" s="11" t="s">
        <v>920</v>
      </c>
      <c r="I354" s="11"/>
      <c r="J354" s="12">
        <v>0</v>
      </c>
      <c r="K354" s="11" t="s">
        <v>921</v>
      </c>
      <c r="L354" s="12">
        <v>0</v>
      </c>
      <c r="M354" s="12">
        <v>-29112</v>
      </c>
      <c r="N354" s="12">
        <v>9880</v>
      </c>
      <c r="O354" s="12">
        <v>8780</v>
      </c>
      <c r="P354" s="12">
        <v>8780</v>
      </c>
      <c r="Q354" s="12">
        <v>8780</v>
      </c>
      <c r="R354" s="12">
        <v>8780</v>
      </c>
      <c r="S354" s="12">
        <v>8780</v>
      </c>
      <c r="T354" s="12">
        <v>8780</v>
      </c>
      <c r="U354" s="12">
        <v>8780</v>
      </c>
      <c r="V354" s="12">
        <v>8780</v>
      </c>
      <c r="W354" s="12">
        <v>13136</v>
      </c>
      <c r="X354" s="12">
        <v>13136</v>
      </c>
      <c r="Y354" s="12">
        <v>13136</v>
      </c>
      <c r="Z354" s="12">
        <v>13136</v>
      </c>
      <c r="AA354" s="12">
        <v>13136</v>
      </c>
      <c r="AB354" s="12">
        <v>5324</v>
      </c>
      <c r="AC354" s="12">
        <v>5324</v>
      </c>
      <c r="AD354" s="12">
        <v>11858</v>
      </c>
      <c r="AE354" s="12">
        <v>11858</v>
      </c>
      <c r="AF354" s="12">
        <v>11858</v>
      </c>
      <c r="AG354" s="12">
        <v>18997</v>
      </c>
      <c r="AH354" s="12">
        <v>18997</v>
      </c>
      <c r="AI354" s="12">
        <v>8997</v>
      </c>
      <c r="AJ354" s="12">
        <v>-1003</v>
      </c>
      <c r="AK354" s="12">
        <v>-4003</v>
      </c>
      <c r="AL354" s="12">
        <v>-4003</v>
      </c>
      <c r="AM354" s="12">
        <v>-9303</v>
      </c>
      <c r="AN354" s="12">
        <v>-17003</v>
      </c>
      <c r="AO354" s="12">
        <v>-17003</v>
      </c>
      <c r="AP354" s="12">
        <v>-17003</v>
      </c>
      <c r="AQ354" s="12">
        <v>-25003</v>
      </c>
      <c r="AR354" s="12">
        <v>-25003</v>
      </c>
      <c r="AS354" s="12">
        <v>-25003</v>
      </c>
      <c r="AT354" s="12">
        <v>-29112</v>
      </c>
      <c r="AU354" s="12">
        <v>-29112</v>
      </c>
      <c r="AV354" s="12">
        <v>-29112</v>
      </c>
      <c r="AW354" s="12">
        <v>0</v>
      </c>
      <c r="AX354" s="12">
        <v>0</v>
      </c>
      <c r="AY354" s="12">
        <v>0</v>
      </c>
      <c r="AZ354" s="12">
        <v>0</v>
      </c>
      <c r="BA354" s="12">
        <v>0</v>
      </c>
    </row>
    <row r="355" spans="1:53" x14ac:dyDescent="0.3">
      <c r="A355" s="7">
        <f t="shared" si="84"/>
        <v>0</v>
      </c>
      <c r="B355" s="7">
        <f t="shared" si="85"/>
        <v>0</v>
      </c>
      <c r="C355" s="7">
        <f t="shared" si="86"/>
        <v>0</v>
      </c>
      <c r="D355" s="13" t="s">
        <v>957</v>
      </c>
      <c r="E355" s="13" t="s">
        <v>805</v>
      </c>
      <c r="F355" s="5"/>
      <c r="G355" s="13" t="s">
        <v>1037</v>
      </c>
      <c r="H355" s="13" t="s">
        <v>49</v>
      </c>
      <c r="I355" s="11" t="s">
        <v>49</v>
      </c>
      <c r="J355" s="12">
        <v>0</v>
      </c>
      <c r="K355" s="11" t="s">
        <v>916</v>
      </c>
      <c r="L355" s="12">
        <v>0</v>
      </c>
      <c r="M355" s="12">
        <v>0</v>
      </c>
      <c r="N355" s="12">
        <v>0</v>
      </c>
      <c r="O355" s="12">
        <v>0</v>
      </c>
      <c r="P355" s="12">
        <v>0</v>
      </c>
      <c r="Q355" s="12">
        <v>0</v>
      </c>
      <c r="R355" s="12">
        <v>0</v>
      </c>
      <c r="S355" s="12">
        <v>0</v>
      </c>
      <c r="T355" s="12">
        <v>0</v>
      </c>
      <c r="U355" s="12">
        <v>0</v>
      </c>
      <c r="V355" s="12">
        <v>0</v>
      </c>
      <c r="W355" s="12">
        <v>0</v>
      </c>
      <c r="X355" s="12">
        <v>0</v>
      </c>
      <c r="Y355" s="12">
        <v>0</v>
      </c>
      <c r="Z355" s="12">
        <v>0</v>
      </c>
      <c r="AA355" s="12">
        <v>0</v>
      </c>
      <c r="AB355" s="12">
        <v>0</v>
      </c>
      <c r="AC355" s="12">
        <v>0</v>
      </c>
      <c r="AD355" s="12">
        <v>0</v>
      </c>
      <c r="AE355" s="12">
        <v>0</v>
      </c>
      <c r="AF355" s="12">
        <v>0</v>
      </c>
      <c r="AG355" s="12">
        <v>0</v>
      </c>
      <c r="AH355" s="12">
        <v>0</v>
      </c>
      <c r="AI355" s="12">
        <v>0</v>
      </c>
      <c r="AJ355" s="12">
        <v>0</v>
      </c>
      <c r="AK355" s="12">
        <v>0</v>
      </c>
      <c r="AL355" s="12">
        <v>0</v>
      </c>
      <c r="AM355" s="12">
        <v>0</v>
      </c>
      <c r="AN355" s="12">
        <v>0</v>
      </c>
      <c r="AO355" s="12">
        <v>0</v>
      </c>
      <c r="AP355" s="12">
        <v>0</v>
      </c>
      <c r="AQ355" s="12">
        <v>0</v>
      </c>
      <c r="AR355" s="12">
        <v>0</v>
      </c>
      <c r="AS355" s="12">
        <v>0</v>
      </c>
      <c r="AT355" s="12">
        <v>0</v>
      </c>
      <c r="AU355" s="12">
        <v>0</v>
      </c>
      <c r="AV355" s="12">
        <v>0</v>
      </c>
      <c r="AW355" s="12">
        <v>0</v>
      </c>
      <c r="AX355" s="12">
        <v>0</v>
      </c>
      <c r="AY355" s="12">
        <v>0</v>
      </c>
      <c r="AZ355" s="12">
        <v>0</v>
      </c>
      <c r="BA355" s="12">
        <v>0</v>
      </c>
    </row>
    <row r="356" spans="1:53" x14ac:dyDescent="0.3">
      <c r="A356" s="7">
        <f t="shared" si="84"/>
        <v>7322</v>
      </c>
      <c r="B356" s="7">
        <f t="shared" si="85"/>
        <v>7322</v>
      </c>
      <c r="C356" s="7">
        <f t="shared" si="86"/>
        <v>7322</v>
      </c>
      <c r="D356" s="5" t="str">
        <f t="shared" ref="D356:E364" si="90">D355</f>
        <v>837</v>
      </c>
      <c r="E356" s="5" t="str">
        <f t="shared" si="90"/>
        <v>ML27A00005M</v>
      </c>
      <c r="F356" s="5"/>
      <c r="G356" s="5"/>
      <c r="H356" s="6"/>
      <c r="I356" s="11"/>
      <c r="J356" s="12">
        <v>0</v>
      </c>
      <c r="K356" s="11" t="s">
        <v>917</v>
      </c>
      <c r="L356" s="12">
        <v>1046</v>
      </c>
      <c r="M356" s="12">
        <v>1046</v>
      </c>
      <c r="N356" s="12">
        <v>1046</v>
      </c>
      <c r="O356" s="12">
        <v>1046</v>
      </c>
      <c r="P356" s="12">
        <v>1046</v>
      </c>
      <c r="Q356" s="12">
        <v>1046</v>
      </c>
      <c r="R356" s="12">
        <v>1046</v>
      </c>
      <c r="S356" s="12">
        <v>1046</v>
      </c>
      <c r="T356" s="12">
        <v>1046</v>
      </c>
      <c r="U356" s="12">
        <v>1046</v>
      </c>
      <c r="V356" s="12">
        <v>1046</v>
      </c>
      <c r="W356" s="12">
        <v>1046</v>
      </c>
      <c r="X356" s="12">
        <v>1046</v>
      </c>
      <c r="Y356" s="12">
        <v>1046</v>
      </c>
      <c r="Z356" s="12">
        <v>1046</v>
      </c>
      <c r="AA356" s="12">
        <v>1046</v>
      </c>
      <c r="AB356" s="12">
        <v>1046</v>
      </c>
      <c r="AC356" s="12">
        <v>1046</v>
      </c>
      <c r="AD356" s="12">
        <v>1046</v>
      </c>
      <c r="AE356" s="12">
        <v>1046</v>
      </c>
      <c r="AF356" s="12">
        <v>1046</v>
      </c>
      <c r="AG356" s="12">
        <v>1046</v>
      </c>
      <c r="AH356" s="12">
        <v>1046</v>
      </c>
      <c r="AI356" s="12">
        <v>1046</v>
      </c>
      <c r="AJ356" s="12">
        <v>1046</v>
      </c>
      <c r="AK356" s="12">
        <v>1046</v>
      </c>
      <c r="AL356" s="12">
        <v>1046</v>
      </c>
      <c r="AM356" s="12">
        <v>1046</v>
      </c>
      <c r="AN356" s="12">
        <v>1046</v>
      </c>
      <c r="AO356" s="12">
        <v>1046</v>
      </c>
      <c r="AP356" s="12">
        <v>1046</v>
      </c>
      <c r="AQ356" s="12">
        <v>1046</v>
      </c>
      <c r="AR356" s="12">
        <v>1046</v>
      </c>
      <c r="AS356" s="12">
        <v>1046</v>
      </c>
      <c r="AT356" s="12">
        <v>1046</v>
      </c>
      <c r="AU356" s="12">
        <v>1046</v>
      </c>
      <c r="AV356" s="12">
        <v>1046</v>
      </c>
      <c r="AW356" s="12">
        <v>0</v>
      </c>
      <c r="AX356" s="12">
        <v>0</v>
      </c>
      <c r="AY356" s="12">
        <v>0</v>
      </c>
      <c r="AZ356" s="12">
        <v>0</v>
      </c>
      <c r="BA356" s="12">
        <v>0</v>
      </c>
    </row>
    <row r="357" spans="1:53" x14ac:dyDescent="0.3">
      <c r="A357" s="7">
        <f t="shared" si="84"/>
        <v>0</v>
      </c>
      <c r="B357" s="7">
        <f t="shared" si="85"/>
        <v>0</v>
      </c>
      <c r="C357" s="7">
        <f t="shared" si="86"/>
        <v>0</v>
      </c>
      <c r="D357" s="5" t="str">
        <f t="shared" si="90"/>
        <v>837</v>
      </c>
      <c r="E357" s="5" t="str">
        <f t="shared" si="90"/>
        <v>ML27A00005M</v>
      </c>
      <c r="F357" s="5"/>
      <c r="G357" s="5"/>
      <c r="H357" s="11" t="s">
        <v>780</v>
      </c>
      <c r="I357" s="11" t="s">
        <v>781</v>
      </c>
      <c r="J357" s="12"/>
      <c r="K357" s="11" t="s">
        <v>918</v>
      </c>
      <c r="L357" s="12">
        <v>0</v>
      </c>
      <c r="M357" s="12">
        <v>0</v>
      </c>
      <c r="N357" s="12">
        <v>0</v>
      </c>
      <c r="O357" s="12">
        <v>0</v>
      </c>
      <c r="P357" s="12">
        <v>0</v>
      </c>
      <c r="Q357" s="12">
        <v>0</v>
      </c>
      <c r="R357" s="12">
        <v>0</v>
      </c>
      <c r="S357" s="12">
        <v>0</v>
      </c>
      <c r="T357" s="12">
        <v>0</v>
      </c>
      <c r="U357" s="12">
        <v>0</v>
      </c>
      <c r="V357" s="12">
        <v>0</v>
      </c>
      <c r="W357" s="12">
        <v>0</v>
      </c>
      <c r="X357" s="12">
        <v>0</v>
      </c>
      <c r="Y357" s="12">
        <v>0</v>
      </c>
      <c r="Z357" s="12">
        <v>0</v>
      </c>
      <c r="AA357" s="12">
        <v>0</v>
      </c>
      <c r="AB357" s="12">
        <v>0</v>
      </c>
      <c r="AC357" s="12">
        <v>0</v>
      </c>
      <c r="AD357" s="12">
        <v>0</v>
      </c>
      <c r="AE357" s="12">
        <v>0</v>
      </c>
      <c r="AF357" s="12">
        <v>0</v>
      </c>
      <c r="AG357" s="12">
        <v>0</v>
      </c>
      <c r="AH357" s="12">
        <v>0</v>
      </c>
      <c r="AI357" s="12">
        <v>0</v>
      </c>
      <c r="AJ357" s="12">
        <v>0</v>
      </c>
      <c r="AK357" s="12">
        <v>0</v>
      </c>
      <c r="AL357" s="12">
        <v>0</v>
      </c>
      <c r="AM357" s="12">
        <v>0</v>
      </c>
      <c r="AN357" s="12">
        <v>0</v>
      </c>
      <c r="AO357" s="12">
        <v>0</v>
      </c>
      <c r="AP357" s="12">
        <v>0</v>
      </c>
      <c r="AQ357" s="12">
        <v>0</v>
      </c>
      <c r="AR357" s="12">
        <v>0</v>
      </c>
      <c r="AS357" s="12">
        <v>0</v>
      </c>
      <c r="AT357" s="12">
        <v>0</v>
      </c>
      <c r="AU357" s="12">
        <v>0</v>
      </c>
      <c r="AV357" s="12">
        <v>0</v>
      </c>
      <c r="AW357" s="12">
        <v>0</v>
      </c>
      <c r="AX357" s="12">
        <v>0</v>
      </c>
      <c r="AY357" s="12">
        <v>0</v>
      </c>
      <c r="AZ357" s="12">
        <v>0</v>
      </c>
      <c r="BA357" s="12">
        <v>0</v>
      </c>
    </row>
    <row r="358" spans="1:53" x14ac:dyDescent="0.3">
      <c r="A358" s="7">
        <f t="shared" si="84"/>
        <v>0</v>
      </c>
      <c r="B358" s="7">
        <f t="shared" si="85"/>
        <v>0</v>
      </c>
      <c r="C358" s="7">
        <f t="shared" si="86"/>
        <v>0</v>
      </c>
      <c r="D358" s="5" t="str">
        <f t="shared" si="90"/>
        <v>837</v>
      </c>
      <c r="E358" s="5" t="str">
        <f t="shared" si="90"/>
        <v>ML27A00005M</v>
      </c>
      <c r="F358" s="5"/>
      <c r="G358" s="5"/>
      <c r="H358" s="11" t="s">
        <v>49</v>
      </c>
      <c r="I358" s="11"/>
      <c r="J358" s="12">
        <v>0</v>
      </c>
      <c r="K358" s="11" t="s">
        <v>919</v>
      </c>
      <c r="L358" s="12">
        <v>0</v>
      </c>
      <c r="M358" s="12">
        <v>0</v>
      </c>
      <c r="N358" s="12">
        <v>0</v>
      </c>
      <c r="O358" s="12">
        <v>0</v>
      </c>
      <c r="P358" s="12">
        <v>0</v>
      </c>
      <c r="Q358" s="12">
        <v>0</v>
      </c>
      <c r="R358" s="12">
        <v>0</v>
      </c>
      <c r="S358" s="12">
        <v>0</v>
      </c>
      <c r="T358" s="12">
        <v>0</v>
      </c>
      <c r="U358" s="12">
        <v>0</v>
      </c>
      <c r="V358" s="12">
        <v>0</v>
      </c>
      <c r="W358" s="12">
        <v>0</v>
      </c>
      <c r="X358" s="12">
        <v>0</v>
      </c>
      <c r="Y358" s="12">
        <v>0</v>
      </c>
      <c r="Z358" s="12">
        <v>0</v>
      </c>
      <c r="AA358" s="12">
        <v>0</v>
      </c>
      <c r="AB358" s="12">
        <v>0</v>
      </c>
      <c r="AC358" s="12">
        <v>0</v>
      </c>
      <c r="AD358" s="12">
        <v>0</v>
      </c>
      <c r="AE358" s="12">
        <v>0</v>
      </c>
      <c r="AF358" s="12">
        <v>0</v>
      </c>
      <c r="AG358" s="12">
        <v>0</v>
      </c>
      <c r="AH358" s="12">
        <v>0</v>
      </c>
      <c r="AI358" s="12">
        <v>0</v>
      </c>
      <c r="AJ358" s="12">
        <v>0</v>
      </c>
      <c r="AK358" s="12">
        <v>0</v>
      </c>
      <c r="AL358" s="12">
        <v>0</v>
      </c>
      <c r="AM358" s="12">
        <v>0</v>
      </c>
      <c r="AN358" s="12">
        <v>0</v>
      </c>
      <c r="AO358" s="12">
        <v>0</v>
      </c>
      <c r="AP358" s="12">
        <v>0</v>
      </c>
      <c r="AQ358" s="12">
        <v>0</v>
      </c>
      <c r="AR358" s="12">
        <v>0</v>
      </c>
      <c r="AS358" s="12">
        <v>0</v>
      </c>
      <c r="AT358" s="12">
        <v>0</v>
      </c>
      <c r="AU358" s="12">
        <v>0</v>
      </c>
      <c r="AV358" s="12">
        <v>0</v>
      </c>
      <c r="AW358" s="12">
        <v>0</v>
      </c>
      <c r="AX358" s="12">
        <v>0</v>
      </c>
      <c r="AY358" s="12">
        <v>0</v>
      </c>
      <c r="AZ358" s="12">
        <v>0</v>
      </c>
      <c r="BA358" s="12">
        <v>0</v>
      </c>
    </row>
    <row r="359" spans="1:53" x14ac:dyDescent="0.3">
      <c r="A359" s="7">
        <f t="shared" si="84"/>
        <v>7322</v>
      </c>
      <c r="B359" s="7">
        <f t="shared" si="85"/>
        <v>7322</v>
      </c>
      <c r="C359" s="7">
        <f t="shared" si="86"/>
        <v>7322</v>
      </c>
      <c r="D359" s="5" t="str">
        <f t="shared" si="90"/>
        <v>837</v>
      </c>
      <c r="E359" s="5" t="str">
        <f t="shared" si="90"/>
        <v>ML27A00005M</v>
      </c>
      <c r="F359" s="5"/>
      <c r="G359" s="6"/>
      <c r="H359" s="11" t="s">
        <v>920</v>
      </c>
      <c r="I359" s="11"/>
      <c r="J359" s="12">
        <v>0</v>
      </c>
      <c r="K359" s="11" t="s">
        <v>921</v>
      </c>
      <c r="L359" s="12">
        <v>0</v>
      </c>
      <c r="M359" s="12">
        <v>1046</v>
      </c>
      <c r="N359" s="12">
        <v>1046</v>
      </c>
      <c r="O359" s="12">
        <v>1046</v>
      </c>
      <c r="P359" s="12">
        <v>1046</v>
      </c>
      <c r="Q359" s="12">
        <v>1046</v>
      </c>
      <c r="R359" s="12">
        <v>1046</v>
      </c>
      <c r="S359" s="12">
        <v>1046</v>
      </c>
      <c r="T359" s="12">
        <v>1046</v>
      </c>
      <c r="U359" s="12">
        <v>1046</v>
      </c>
      <c r="V359" s="12">
        <v>1046</v>
      </c>
      <c r="W359" s="12">
        <v>1046</v>
      </c>
      <c r="X359" s="12">
        <v>1046</v>
      </c>
      <c r="Y359" s="12">
        <v>1046</v>
      </c>
      <c r="Z359" s="12">
        <v>1046</v>
      </c>
      <c r="AA359" s="12">
        <v>1046</v>
      </c>
      <c r="AB359" s="12">
        <v>1046</v>
      </c>
      <c r="AC359" s="12">
        <v>1046</v>
      </c>
      <c r="AD359" s="12">
        <v>1046</v>
      </c>
      <c r="AE359" s="12">
        <v>1046</v>
      </c>
      <c r="AF359" s="12">
        <v>1046</v>
      </c>
      <c r="AG359" s="12">
        <v>1046</v>
      </c>
      <c r="AH359" s="12">
        <v>1046</v>
      </c>
      <c r="AI359" s="12">
        <v>1046</v>
      </c>
      <c r="AJ359" s="12">
        <v>1046</v>
      </c>
      <c r="AK359" s="12">
        <v>1046</v>
      </c>
      <c r="AL359" s="12">
        <v>1046</v>
      </c>
      <c r="AM359" s="12">
        <v>1046</v>
      </c>
      <c r="AN359" s="12">
        <v>1046</v>
      </c>
      <c r="AO359" s="12">
        <v>1046</v>
      </c>
      <c r="AP359" s="12">
        <v>1046</v>
      </c>
      <c r="AQ359" s="12">
        <v>1046</v>
      </c>
      <c r="AR359" s="12">
        <v>1046</v>
      </c>
      <c r="AS359" s="12">
        <v>1046</v>
      </c>
      <c r="AT359" s="12">
        <v>1046</v>
      </c>
      <c r="AU359" s="12">
        <v>1046</v>
      </c>
      <c r="AV359" s="12">
        <v>1046</v>
      </c>
      <c r="AW359" s="12">
        <v>0</v>
      </c>
      <c r="AX359" s="12">
        <v>0</v>
      </c>
      <c r="AY359" s="12">
        <v>0</v>
      </c>
      <c r="AZ359" s="12">
        <v>0</v>
      </c>
      <c r="BA359" s="12">
        <v>0</v>
      </c>
    </row>
    <row r="360" spans="1:53" x14ac:dyDescent="0.3">
      <c r="A360" s="7">
        <f t="shared" si="84"/>
        <v>5956</v>
      </c>
      <c r="B360" s="7">
        <f t="shared" si="85"/>
        <v>0</v>
      </c>
      <c r="C360" s="7">
        <f t="shared" si="86"/>
        <v>10000</v>
      </c>
      <c r="D360" s="5" t="str">
        <f t="shared" si="90"/>
        <v>837</v>
      </c>
      <c r="E360" s="13" t="s">
        <v>804</v>
      </c>
      <c r="F360" s="5"/>
      <c r="G360" s="13" t="s">
        <v>958</v>
      </c>
      <c r="H360" s="13" t="s">
        <v>49</v>
      </c>
      <c r="I360" s="11" t="s">
        <v>49</v>
      </c>
      <c r="J360" s="12">
        <v>0</v>
      </c>
      <c r="K360" s="11" t="s">
        <v>916</v>
      </c>
      <c r="L360" s="12">
        <v>0</v>
      </c>
      <c r="M360" s="12">
        <v>30164</v>
      </c>
      <c r="N360" s="12">
        <v>0</v>
      </c>
      <c r="O360" s="12">
        <v>0</v>
      </c>
      <c r="P360" s="12">
        <v>0</v>
      </c>
      <c r="Q360" s="12">
        <v>0</v>
      </c>
      <c r="R360" s="12">
        <v>0</v>
      </c>
      <c r="S360" s="12">
        <v>0</v>
      </c>
      <c r="T360" s="12">
        <v>5956</v>
      </c>
      <c r="U360" s="12">
        <v>0</v>
      </c>
      <c r="V360" s="12">
        <v>0</v>
      </c>
      <c r="W360" s="12">
        <v>0</v>
      </c>
      <c r="X360" s="12">
        <v>0</v>
      </c>
      <c r="Y360" s="12">
        <v>0</v>
      </c>
      <c r="Z360" s="12">
        <v>0</v>
      </c>
      <c r="AA360" s="12">
        <v>0</v>
      </c>
      <c r="AB360" s="12">
        <v>10000</v>
      </c>
      <c r="AC360" s="12">
        <v>0</v>
      </c>
      <c r="AD360" s="12">
        <v>0</v>
      </c>
      <c r="AE360" s="12">
        <v>0</v>
      </c>
      <c r="AF360" s="12">
        <v>0</v>
      </c>
      <c r="AG360" s="12">
        <v>0</v>
      </c>
      <c r="AH360" s="12">
        <v>0</v>
      </c>
      <c r="AI360" s="12">
        <v>10000</v>
      </c>
      <c r="AJ360" s="12">
        <v>0</v>
      </c>
      <c r="AK360" s="12">
        <v>0</v>
      </c>
      <c r="AL360" s="12">
        <v>0</v>
      </c>
      <c r="AM360" s="12">
        <v>4000</v>
      </c>
      <c r="AN360" s="12">
        <v>0</v>
      </c>
      <c r="AO360" s="12">
        <v>0</v>
      </c>
      <c r="AP360" s="12">
        <v>0</v>
      </c>
      <c r="AQ360" s="12">
        <v>208</v>
      </c>
      <c r="AR360" s="12">
        <v>0</v>
      </c>
      <c r="AS360" s="12">
        <v>0</v>
      </c>
      <c r="AT360" s="12">
        <v>0</v>
      </c>
      <c r="AU360" s="12">
        <v>0</v>
      </c>
      <c r="AV360" s="12">
        <v>0</v>
      </c>
      <c r="AW360" s="12">
        <v>5956</v>
      </c>
      <c r="AX360" s="12">
        <v>20000</v>
      </c>
      <c r="AY360" s="12">
        <v>4000</v>
      </c>
      <c r="AZ360" s="12">
        <v>208</v>
      </c>
      <c r="BA360" s="12">
        <v>0</v>
      </c>
    </row>
    <row r="361" spans="1:53" x14ac:dyDescent="0.3">
      <c r="A361" s="7">
        <f t="shared" si="84"/>
        <v>90441</v>
      </c>
      <c r="B361" s="7">
        <f t="shared" si="85"/>
        <v>54705</v>
      </c>
      <c r="C361" s="7">
        <f t="shared" si="86"/>
        <v>-15295</v>
      </c>
      <c r="D361" s="5" t="str">
        <f t="shared" si="90"/>
        <v>837</v>
      </c>
      <c r="E361" s="5" t="str">
        <f t="shared" si="90"/>
        <v>ML27A060004A</v>
      </c>
      <c r="F361" s="5"/>
      <c r="G361" s="5"/>
      <c r="H361" s="6"/>
      <c r="I361" s="11"/>
      <c r="J361" s="12">
        <v>0</v>
      </c>
      <c r="K361" s="11" t="s">
        <v>917</v>
      </c>
      <c r="L361" s="12">
        <v>13771</v>
      </c>
      <c r="M361" s="12">
        <v>-16393</v>
      </c>
      <c r="N361" s="12">
        <v>13771</v>
      </c>
      <c r="O361" s="12">
        <v>13771</v>
      </c>
      <c r="P361" s="12">
        <v>13771</v>
      </c>
      <c r="Q361" s="12">
        <v>13771</v>
      </c>
      <c r="R361" s="12">
        <v>13771</v>
      </c>
      <c r="S361" s="12">
        <v>13771</v>
      </c>
      <c r="T361" s="12">
        <v>7815</v>
      </c>
      <c r="U361" s="12">
        <v>7815</v>
      </c>
      <c r="V361" s="12">
        <v>7815</v>
      </c>
      <c r="W361" s="12">
        <v>7815</v>
      </c>
      <c r="X361" s="12">
        <v>7815</v>
      </c>
      <c r="Y361" s="12">
        <v>7815</v>
      </c>
      <c r="Z361" s="12">
        <v>7815</v>
      </c>
      <c r="AA361" s="12">
        <v>7815</v>
      </c>
      <c r="AB361" s="12">
        <v>-2185</v>
      </c>
      <c r="AC361" s="12">
        <v>-2185</v>
      </c>
      <c r="AD361" s="12">
        <v>-2185</v>
      </c>
      <c r="AE361" s="12">
        <v>-2185</v>
      </c>
      <c r="AF361" s="12">
        <v>-2185</v>
      </c>
      <c r="AG361" s="12">
        <v>-2185</v>
      </c>
      <c r="AH361" s="12">
        <v>-2185</v>
      </c>
      <c r="AI361" s="12">
        <v>-12185</v>
      </c>
      <c r="AJ361" s="12">
        <v>-12185</v>
      </c>
      <c r="AK361" s="12">
        <v>-12185</v>
      </c>
      <c r="AL361" s="12">
        <v>-12185</v>
      </c>
      <c r="AM361" s="12">
        <v>-16185</v>
      </c>
      <c r="AN361" s="12">
        <v>-16185</v>
      </c>
      <c r="AO361" s="12">
        <v>-16185</v>
      </c>
      <c r="AP361" s="12">
        <v>-16185</v>
      </c>
      <c r="AQ361" s="12">
        <v>-16393</v>
      </c>
      <c r="AR361" s="12">
        <v>-16393</v>
      </c>
      <c r="AS361" s="12">
        <v>-16393</v>
      </c>
      <c r="AT361" s="12">
        <v>-16393</v>
      </c>
      <c r="AU361" s="12">
        <v>-16393</v>
      </c>
      <c r="AV361" s="12">
        <v>-16393</v>
      </c>
      <c r="AW361" s="12">
        <v>0</v>
      </c>
      <c r="AX361" s="12">
        <v>0</v>
      </c>
      <c r="AY361" s="12">
        <v>0</v>
      </c>
      <c r="AZ361" s="12">
        <v>0</v>
      </c>
      <c r="BA361" s="12">
        <v>0</v>
      </c>
    </row>
    <row r="362" spans="1:53" x14ac:dyDescent="0.3">
      <c r="A362" s="7">
        <f t="shared" si="84"/>
        <v>0</v>
      </c>
      <c r="B362" s="7">
        <f t="shared" si="85"/>
        <v>0</v>
      </c>
      <c r="C362" s="7">
        <f t="shared" si="86"/>
        <v>0</v>
      </c>
      <c r="D362" s="5" t="str">
        <f t="shared" si="90"/>
        <v>837</v>
      </c>
      <c r="E362" s="5" t="str">
        <f t="shared" si="90"/>
        <v>ML27A060004A</v>
      </c>
      <c r="F362" s="5"/>
      <c r="G362" s="5"/>
      <c r="H362" s="11" t="s">
        <v>782</v>
      </c>
      <c r="I362" s="11" t="s">
        <v>783</v>
      </c>
      <c r="J362" s="12">
        <v>15434</v>
      </c>
      <c r="K362" s="11" t="s">
        <v>918</v>
      </c>
      <c r="L362" s="12">
        <v>0</v>
      </c>
      <c r="M362" s="12">
        <v>0</v>
      </c>
      <c r="N362" s="12">
        <v>0</v>
      </c>
      <c r="O362" s="12">
        <v>0</v>
      </c>
      <c r="P362" s="12">
        <v>0</v>
      </c>
      <c r="Q362" s="12">
        <v>0</v>
      </c>
      <c r="R362" s="12">
        <v>0</v>
      </c>
      <c r="S362" s="12">
        <v>0</v>
      </c>
      <c r="T362" s="12">
        <v>0</v>
      </c>
      <c r="U362" s="12">
        <v>0</v>
      </c>
      <c r="V362" s="12">
        <v>0</v>
      </c>
      <c r="W362" s="12">
        <v>0</v>
      </c>
      <c r="X362" s="12">
        <v>0</v>
      </c>
      <c r="Y362" s="12">
        <v>0</v>
      </c>
      <c r="Z362" s="12">
        <v>0</v>
      </c>
      <c r="AA362" s="12">
        <v>0</v>
      </c>
      <c r="AB362" s="12">
        <v>0</v>
      </c>
      <c r="AC362" s="12">
        <v>0</v>
      </c>
      <c r="AD362" s="12">
        <v>0</v>
      </c>
      <c r="AE362" s="12">
        <v>0</v>
      </c>
      <c r="AF362" s="12">
        <v>0</v>
      </c>
      <c r="AG362" s="12">
        <v>0</v>
      </c>
      <c r="AH362" s="12">
        <v>0</v>
      </c>
      <c r="AI362" s="12">
        <v>0</v>
      </c>
      <c r="AJ362" s="12">
        <v>0</v>
      </c>
      <c r="AK362" s="12">
        <v>0</v>
      </c>
      <c r="AL362" s="12">
        <v>0</v>
      </c>
      <c r="AM362" s="12">
        <v>0</v>
      </c>
      <c r="AN362" s="12">
        <v>0</v>
      </c>
      <c r="AO362" s="12">
        <v>0</v>
      </c>
      <c r="AP362" s="12">
        <v>0</v>
      </c>
      <c r="AQ362" s="12">
        <v>0</v>
      </c>
      <c r="AR362" s="12">
        <v>0</v>
      </c>
      <c r="AS362" s="12">
        <v>0</v>
      </c>
      <c r="AT362" s="12">
        <v>0</v>
      </c>
      <c r="AU362" s="12">
        <v>0</v>
      </c>
      <c r="AV362" s="12">
        <v>0</v>
      </c>
      <c r="AW362" s="12">
        <v>0</v>
      </c>
      <c r="AX362" s="12">
        <v>0</v>
      </c>
      <c r="AY362" s="12">
        <v>0</v>
      </c>
      <c r="AZ362" s="12">
        <v>0</v>
      </c>
      <c r="BA362" s="12">
        <v>0</v>
      </c>
    </row>
    <row r="363" spans="1:53" x14ac:dyDescent="0.3">
      <c r="A363" s="7">
        <f t="shared" si="84"/>
        <v>0</v>
      </c>
      <c r="B363" s="7">
        <f t="shared" si="85"/>
        <v>0</v>
      </c>
      <c r="C363" s="7">
        <f t="shared" si="86"/>
        <v>0</v>
      </c>
      <c r="D363" s="5" t="str">
        <f t="shared" si="90"/>
        <v>837</v>
      </c>
      <c r="E363" s="5" t="str">
        <f t="shared" si="90"/>
        <v>ML27A060004A</v>
      </c>
      <c r="F363" s="5"/>
      <c r="G363" s="5"/>
      <c r="H363" s="11" t="s">
        <v>49</v>
      </c>
      <c r="I363" s="11"/>
      <c r="J363" s="12">
        <v>0</v>
      </c>
      <c r="K363" s="11" t="s">
        <v>919</v>
      </c>
      <c r="L363" s="12">
        <v>0</v>
      </c>
      <c r="M363" s="12">
        <v>0</v>
      </c>
      <c r="N363" s="12">
        <v>0</v>
      </c>
      <c r="O363" s="12">
        <v>0</v>
      </c>
      <c r="P363" s="12">
        <v>0</v>
      </c>
      <c r="Q363" s="12">
        <v>0</v>
      </c>
      <c r="R363" s="12">
        <v>0</v>
      </c>
      <c r="S363" s="12">
        <v>0</v>
      </c>
      <c r="T363" s="12">
        <v>0</v>
      </c>
      <c r="U363" s="12">
        <v>0</v>
      </c>
      <c r="V363" s="12">
        <v>0</v>
      </c>
      <c r="W363" s="12">
        <v>0</v>
      </c>
      <c r="X363" s="12">
        <v>0</v>
      </c>
      <c r="Y363" s="12">
        <v>0</v>
      </c>
      <c r="Z363" s="12">
        <v>0</v>
      </c>
      <c r="AA363" s="12">
        <v>0</v>
      </c>
      <c r="AB363" s="12">
        <v>0</v>
      </c>
      <c r="AC363" s="12">
        <v>0</v>
      </c>
      <c r="AD363" s="12">
        <v>0</v>
      </c>
      <c r="AE363" s="12">
        <v>0</v>
      </c>
      <c r="AF363" s="12">
        <v>0</v>
      </c>
      <c r="AG363" s="12">
        <v>0</v>
      </c>
      <c r="AH363" s="12">
        <v>0</v>
      </c>
      <c r="AI363" s="12">
        <v>0</v>
      </c>
      <c r="AJ363" s="12">
        <v>0</v>
      </c>
      <c r="AK363" s="12">
        <v>0</v>
      </c>
      <c r="AL363" s="12">
        <v>0</v>
      </c>
      <c r="AM363" s="12">
        <v>0</v>
      </c>
      <c r="AN363" s="12">
        <v>0</v>
      </c>
      <c r="AO363" s="12">
        <v>0</v>
      </c>
      <c r="AP363" s="12">
        <v>0</v>
      </c>
      <c r="AQ363" s="12">
        <v>0</v>
      </c>
      <c r="AR363" s="12">
        <v>0</v>
      </c>
      <c r="AS363" s="12">
        <v>0</v>
      </c>
      <c r="AT363" s="12">
        <v>0</v>
      </c>
      <c r="AU363" s="12">
        <v>0</v>
      </c>
      <c r="AV363" s="12">
        <v>0</v>
      </c>
      <c r="AW363" s="12">
        <v>0</v>
      </c>
      <c r="AX363" s="12">
        <v>0</v>
      </c>
      <c r="AY363" s="12">
        <v>0</v>
      </c>
      <c r="AZ363" s="12">
        <v>0</v>
      </c>
      <c r="BA363" s="12">
        <v>0</v>
      </c>
    </row>
    <row r="364" spans="1:53" x14ac:dyDescent="0.3">
      <c r="A364" s="7">
        <f t="shared" si="84"/>
        <v>90441</v>
      </c>
      <c r="B364" s="7">
        <f t="shared" si="85"/>
        <v>54705</v>
      </c>
      <c r="C364" s="7">
        <f t="shared" si="86"/>
        <v>-15295</v>
      </c>
      <c r="D364" s="5" t="str">
        <f t="shared" si="90"/>
        <v>837</v>
      </c>
      <c r="E364" s="5" t="str">
        <f t="shared" si="90"/>
        <v>ML27A060004A</v>
      </c>
      <c r="F364" s="5"/>
      <c r="G364" s="6"/>
      <c r="H364" s="11" t="s">
        <v>920</v>
      </c>
      <c r="I364" s="11"/>
      <c r="J364" s="12">
        <v>0</v>
      </c>
      <c r="K364" s="11" t="s">
        <v>921</v>
      </c>
      <c r="L364" s="12">
        <v>0</v>
      </c>
      <c r="M364" s="12">
        <v>-16393</v>
      </c>
      <c r="N364" s="12">
        <v>13771</v>
      </c>
      <c r="O364" s="12">
        <v>13771</v>
      </c>
      <c r="P364" s="12">
        <v>13771</v>
      </c>
      <c r="Q364" s="12">
        <v>13771</v>
      </c>
      <c r="R364" s="12">
        <v>13771</v>
      </c>
      <c r="S364" s="12">
        <v>13771</v>
      </c>
      <c r="T364" s="12">
        <v>7815</v>
      </c>
      <c r="U364" s="12">
        <v>7815</v>
      </c>
      <c r="V364" s="12">
        <v>7815</v>
      </c>
      <c r="W364" s="12">
        <v>7815</v>
      </c>
      <c r="X364" s="12">
        <v>7815</v>
      </c>
      <c r="Y364" s="12">
        <v>7815</v>
      </c>
      <c r="Z364" s="12">
        <v>7815</v>
      </c>
      <c r="AA364" s="12">
        <v>7815</v>
      </c>
      <c r="AB364" s="12">
        <v>-2185</v>
      </c>
      <c r="AC364" s="12">
        <v>-2185</v>
      </c>
      <c r="AD364" s="12">
        <v>-2185</v>
      </c>
      <c r="AE364" s="12">
        <v>-2185</v>
      </c>
      <c r="AF364" s="12">
        <v>-2185</v>
      </c>
      <c r="AG364" s="12">
        <v>-2185</v>
      </c>
      <c r="AH364" s="12">
        <v>-2185</v>
      </c>
      <c r="AI364" s="12">
        <v>-12185</v>
      </c>
      <c r="AJ364" s="12">
        <v>-12185</v>
      </c>
      <c r="AK364" s="12">
        <v>-12185</v>
      </c>
      <c r="AL364" s="12">
        <v>-12185</v>
      </c>
      <c r="AM364" s="12">
        <v>-16185</v>
      </c>
      <c r="AN364" s="12">
        <v>-16185</v>
      </c>
      <c r="AO364" s="12">
        <v>-16185</v>
      </c>
      <c r="AP364" s="12">
        <v>-16185</v>
      </c>
      <c r="AQ364" s="12">
        <v>-16393</v>
      </c>
      <c r="AR364" s="12">
        <v>-16393</v>
      </c>
      <c r="AS364" s="12">
        <v>-16393</v>
      </c>
      <c r="AT364" s="12">
        <v>-16393</v>
      </c>
      <c r="AU364" s="12">
        <v>-16393</v>
      </c>
      <c r="AV364" s="12">
        <v>-16393</v>
      </c>
      <c r="AW364" s="12">
        <v>0</v>
      </c>
      <c r="AX364" s="12">
        <v>0</v>
      </c>
      <c r="AY364" s="12">
        <v>0</v>
      </c>
      <c r="AZ364" s="12">
        <v>0</v>
      </c>
      <c r="BA364" s="12">
        <v>0</v>
      </c>
    </row>
    <row r="365" spans="1:53" x14ac:dyDescent="0.3">
      <c r="A365" s="7">
        <f t="shared" si="84"/>
        <v>0</v>
      </c>
      <c r="B365" s="7">
        <f t="shared" si="85"/>
        <v>0</v>
      </c>
      <c r="C365" s="7">
        <f t="shared" si="86"/>
        <v>0</v>
      </c>
      <c r="D365" s="13" t="s">
        <v>959</v>
      </c>
      <c r="E365" s="13" t="s">
        <v>818</v>
      </c>
      <c r="F365" s="5"/>
      <c r="G365" s="13" t="s">
        <v>1038</v>
      </c>
      <c r="H365" s="13" t="s">
        <v>49</v>
      </c>
      <c r="I365" s="11" t="s">
        <v>49</v>
      </c>
      <c r="J365" s="12">
        <v>0</v>
      </c>
      <c r="K365" s="11" t="s">
        <v>916</v>
      </c>
      <c r="L365" s="12">
        <v>0</v>
      </c>
      <c r="M365" s="12">
        <v>0</v>
      </c>
      <c r="N365" s="12">
        <v>0</v>
      </c>
      <c r="O365" s="12">
        <v>0</v>
      </c>
      <c r="P365" s="12">
        <v>0</v>
      </c>
      <c r="Q365" s="12">
        <v>0</v>
      </c>
      <c r="R365" s="12">
        <v>0</v>
      </c>
      <c r="S365" s="12">
        <v>0</v>
      </c>
      <c r="T365" s="12">
        <v>0</v>
      </c>
      <c r="U365" s="12">
        <v>0</v>
      </c>
      <c r="V365" s="12">
        <v>0</v>
      </c>
      <c r="W365" s="12">
        <v>0</v>
      </c>
      <c r="X365" s="12">
        <v>0</v>
      </c>
      <c r="Y365" s="12">
        <v>0</v>
      </c>
      <c r="Z365" s="12">
        <v>0</v>
      </c>
      <c r="AA365" s="12">
        <v>0</v>
      </c>
      <c r="AB365" s="12">
        <v>0</v>
      </c>
      <c r="AC365" s="12">
        <v>0</v>
      </c>
      <c r="AD365" s="12">
        <v>0</v>
      </c>
      <c r="AE365" s="12">
        <v>0</v>
      </c>
      <c r="AF365" s="12">
        <v>0</v>
      </c>
      <c r="AG365" s="12">
        <v>0</v>
      </c>
      <c r="AH365" s="12">
        <v>0</v>
      </c>
      <c r="AI365" s="12">
        <v>0</v>
      </c>
      <c r="AJ365" s="12">
        <v>0</v>
      </c>
      <c r="AK365" s="12">
        <v>0</v>
      </c>
      <c r="AL365" s="12">
        <v>0</v>
      </c>
      <c r="AM365" s="12">
        <v>0</v>
      </c>
      <c r="AN365" s="12">
        <v>0</v>
      </c>
      <c r="AO365" s="12">
        <v>0</v>
      </c>
      <c r="AP365" s="12">
        <v>0</v>
      </c>
      <c r="AQ365" s="12">
        <v>0</v>
      </c>
      <c r="AR365" s="12">
        <v>0</v>
      </c>
      <c r="AS365" s="12">
        <v>0</v>
      </c>
      <c r="AT365" s="12">
        <v>0</v>
      </c>
      <c r="AU365" s="12">
        <v>0</v>
      </c>
      <c r="AV365" s="12">
        <v>0</v>
      </c>
      <c r="AW365" s="12">
        <v>0</v>
      </c>
      <c r="AX365" s="12">
        <v>0</v>
      </c>
      <c r="AY365" s="12">
        <v>0</v>
      </c>
      <c r="AZ365" s="12">
        <v>0</v>
      </c>
      <c r="BA365" s="12">
        <v>0</v>
      </c>
    </row>
    <row r="366" spans="1:53" x14ac:dyDescent="0.3">
      <c r="A366" s="7">
        <f t="shared" si="84"/>
        <v>209783</v>
      </c>
      <c r="B366" s="7">
        <f t="shared" si="85"/>
        <v>209783</v>
      </c>
      <c r="C366" s="7">
        <f t="shared" si="86"/>
        <v>209783</v>
      </c>
      <c r="D366" s="5" t="str">
        <f t="shared" ref="D366:E374" si="91">D365</f>
        <v>841</v>
      </c>
      <c r="E366" s="5" t="str">
        <f t="shared" si="91"/>
        <v>ML27A020010A</v>
      </c>
      <c r="F366" s="5"/>
      <c r="G366" s="5"/>
      <c r="H366" s="6"/>
      <c r="I366" s="11"/>
      <c r="J366" s="12">
        <v>0</v>
      </c>
      <c r="K366" s="11" t="s">
        <v>917</v>
      </c>
      <c r="L366" s="12">
        <v>29969</v>
      </c>
      <c r="M366" s="12">
        <v>29969</v>
      </c>
      <c r="N366" s="12">
        <v>29969</v>
      </c>
      <c r="O366" s="12">
        <v>29969</v>
      </c>
      <c r="P366" s="12">
        <v>29969</v>
      </c>
      <c r="Q366" s="12">
        <v>29969</v>
      </c>
      <c r="R366" s="12">
        <v>29969</v>
      </c>
      <c r="S366" s="12">
        <v>29969</v>
      </c>
      <c r="T366" s="12">
        <v>29969</v>
      </c>
      <c r="U366" s="12">
        <v>29969</v>
      </c>
      <c r="V366" s="12">
        <v>29969</v>
      </c>
      <c r="W366" s="12">
        <v>29969</v>
      </c>
      <c r="X366" s="12">
        <v>29969</v>
      </c>
      <c r="Y366" s="12">
        <v>29969</v>
      </c>
      <c r="Z366" s="12">
        <v>29969</v>
      </c>
      <c r="AA366" s="12">
        <v>29969</v>
      </c>
      <c r="AB366" s="12">
        <v>29969</v>
      </c>
      <c r="AC366" s="12">
        <v>29969</v>
      </c>
      <c r="AD366" s="12">
        <v>29969</v>
      </c>
      <c r="AE366" s="12">
        <v>29969</v>
      </c>
      <c r="AF366" s="12">
        <v>29969</v>
      </c>
      <c r="AG366" s="12">
        <v>29969</v>
      </c>
      <c r="AH366" s="12">
        <v>29969</v>
      </c>
      <c r="AI366" s="12">
        <v>29969</v>
      </c>
      <c r="AJ366" s="12">
        <v>29969</v>
      </c>
      <c r="AK366" s="12">
        <v>29969</v>
      </c>
      <c r="AL366" s="12">
        <v>29969</v>
      </c>
      <c r="AM366" s="12">
        <v>29969</v>
      </c>
      <c r="AN366" s="12">
        <v>29969</v>
      </c>
      <c r="AO366" s="12">
        <v>29969</v>
      </c>
      <c r="AP366" s="12">
        <v>29969</v>
      </c>
      <c r="AQ366" s="12">
        <v>29969</v>
      </c>
      <c r="AR366" s="12">
        <v>29969</v>
      </c>
      <c r="AS366" s="12">
        <v>29969</v>
      </c>
      <c r="AT366" s="12">
        <v>29969</v>
      </c>
      <c r="AU366" s="12">
        <v>29969</v>
      </c>
      <c r="AV366" s="12">
        <v>29969</v>
      </c>
      <c r="AW366" s="12">
        <v>0</v>
      </c>
      <c r="AX366" s="12">
        <v>0</v>
      </c>
      <c r="AY366" s="12">
        <v>0</v>
      </c>
      <c r="AZ366" s="12">
        <v>0</v>
      </c>
      <c r="BA366" s="12">
        <v>0</v>
      </c>
    </row>
    <row r="367" spans="1:53" x14ac:dyDescent="0.3">
      <c r="A367" s="7">
        <f t="shared" si="84"/>
        <v>0</v>
      </c>
      <c r="B367" s="7">
        <f t="shared" si="85"/>
        <v>0</v>
      </c>
      <c r="C367" s="7">
        <f t="shared" si="86"/>
        <v>0</v>
      </c>
      <c r="D367" s="5" t="str">
        <f t="shared" si="91"/>
        <v>841</v>
      </c>
      <c r="E367" s="5" t="str">
        <f t="shared" si="91"/>
        <v>ML27A020010A</v>
      </c>
      <c r="F367" s="5"/>
      <c r="G367" s="5"/>
      <c r="H367" s="11" t="s">
        <v>780</v>
      </c>
      <c r="I367" s="11" t="s">
        <v>781</v>
      </c>
      <c r="J367" s="12">
        <v>15142</v>
      </c>
      <c r="K367" s="11" t="s">
        <v>918</v>
      </c>
      <c r="L367" s="12">
        <v>0</v>
      </c>
      <c r="M367" s="12">
        <v>0</v>
      </c>
      <c r="N367" s="12">
        <v>0</v>
      </c>
      <c r="O367" s="12">
        <v>0</v>
      </c>
      <c r="P367" s="12">
        <v>0</v>
      </c>
      <c r="Q367" s="12">
        <v>0</v>
      </c>
      <c r="R367" s="12">
        <v>0</v>
      </c>
      <c r="S367" s="12">
        <v>0</v>
      </c>
      <c r="T367" s="12">
        <v>0</v>
      </c>
      <c r="U367" s="12">
        <v>0</v>
      </c>
      <c r="V367" s="12">
        <v>0</v>
      </c>
      <c r="W367" s="12">
        <v>0</v>
      </c>
      <c r="X367" s="12">
        <v>0</v>
      </c>
      <c r="Y367" s="12">
        <v>0</v>
      </c>
      <c r="Z367" s="12">
        <v>0</v>
      </c>
      <c r="AA367" s="12">
        <v>0</v>
      </c>
      <c r="AB367" s="12">
        <v>0</v>
      </c>
      <c r="AC367" s="12">
        <v>0</v>
      </c>
      <c r="AD367" s="12">
        <v>0</v>
      </c>
      <c r="AE367" s="12">
        <v>0</v>
      </c>
      <c r="AF367" s="12">
        <v>0</v>
      </c>
      <c r="AG367" s="12">
        <v>0</v>
      </c>
      <c r="AH367" s="12">
        <v>0</v>
      </c>
      <c r="AI367" s="12">
        <v>0</v>
      </c>
      <c r="AJ367" s="12">
        <v>0</v>
      </c>
      <c r="AK367" s="12">
        <v>0</v>
      </c>
      <c r="AL367" s="12">
        <v>0</v>
      </c>
      <c r="AM367" s="12">
        <v>0</v>
      </c>
      <c r="AN367" s="12">
        <v>0</v>
      </c>
      <c r="AO367" s="12">
        <v>0</v>
      </c>
      <c r="AP367" s="12">
        <v>0</v>
      </c>
      <c r="AQ367" s="12">
        <v>0</v>
      </c>
      <c r="AR367" s="12">
        <v>0</v>
      </c>
      <c r="AS367" s="12">
        <v>0</v>
      </c>
      <c r="AT367" s="12">
        <v>0</v>
      </c>
      <c r="AU367" s="12">
        <v>0</v>
      </c>
      <c r="AV367" s="12">
        <v>0</v>
      </c>
      <c r="AW367" s="12">
        <v>0</v>
      </c>
      <c r="AX367" s="12">
        <v>0</v>
      </c>
      <c r="AY367" s="12">
        <v>0</v>
      </c>
      <c r="AZ367" s="12">
        <v>0</v>
      </c>
      <c r="BA367" s="12">
        <v>0</v>
      </c>
    </row>
    <row r="368" spans="1:53" x14ac:dyDescent="0.3">
      <c r="A368" s="7">
        <f t="shared" si="84"/>
        <v>0</v>
      </c>
      <c r="B368" s="7">
        <f t="shared" si="85"/>
        <v>0</v>
      </c>
      <c r="C368" s="7">
        <f t="shared" si="86"/>
        <v>0</v>
      </c>
      <c r="D368" s="5" t="str">
        <f t="shared" si="91"/>
        <v>841</v>
      </c>
      <c r="E368" s="5" t="str">
        <f t="shared" si="91"/>
        <v>ML27A020010A</v>
      </c>
      <c r="F368" s="5"/>
      <c r="G368" s="5"/>
      <c r="H368" s="11" t="s">
        <v>49</v>
      </c>
      <c r="I368" s="11"/>
      <c r="J368" s="12">
        <v>0</v>
      </c>
      <c r="K368" s="11" t="s">
        <v>919</v>
      </c>
      <c r="L368" s="12">
        <v>0</v>
      </c>
      <c r="M368" s="12">
        <v>0</v>
      </c>
      <c r="N368" s="12">
        <v>0</v>
      </c>
      <c r="O368" s="12">
        <v>0</v>
      </c>
      <c r="P368" s="12">
        <v>0</v>
      </c>
      <c r="Q368" s="12">
        <v>0</v>
      </c>
      <c r="R368" s="12">
        <v>0</v>
      </c>
      <c r="S368" s="12">
        <v>0</v>
      </c>
      <c r="T368" s="12">
        <v>0</v>
      </c>
      <c r="U368" s="12">
        <v>0</v>
      </c>
      <c r="V368" s="12">
        <v>0</v>
      </c>
      <c r="W368" s="12">
        <v>0</v>
      </c>
      <c r="X368" s="12">
        <v>0</v>
      </c>
      <c r="Y368" s="12">
        <v>0</v>
      </c>
      <c r="Z368" s="12">
        <v>0</v>
      </c>
      <c r="AA368" s="12">
        <v>0</v>
      </c>
      <c r="AB368" s="12">
        <v>0</v>
      </c>
      <c r="AC368" s="12">
        <v>0</v>
      </c>
      <c r="AD368" s="12">
        <v>0</v>
      </c>
      <c r="AE368" s="12">
        <v>0</v>
      </c>
      <c r="AF368" s="12">
        <v>0</v>
      </c>
      <c r="AG368" s="12">
        <v>0</v>
      </c>
      <c r="AH368" s="12">
        <v>0</v>
      </c>
      <c r="AI368" s="12">
        <v>0</v>
      </c>
      <c r="AJ368" s="12">
        <v>0</v>
      </c>
      <c r="AK368" s="12">
        <v>0</v>
      </c>
      <c r="AL368" s="12">
        <v>0</v>
      </c>
      <c r="AM368" s="12">
        <v>0</v>
      </c>
      <c r="AN368" s="12">
        <v>0</v>
      </c>
      <c r="AO368" s="12">
        <v>0</v>
      </c>
      <c r="AP368" s="12">
        <v>0</v>
      </c>
      <c r="AQ368" s="12">
        <v>0</v>
      </c>
      <c r="AR368" s="12">
        <v>0</v>
      </c>
      <c r="AS368" s="12">
        <v>0</v>
      </c>
      <c r="AT368" s="12">
        <v>0</v>
      </c>
      <c r="AU368" s="12">
        <v>0</v>
      </c>
      <c r="AV368" s="12">
        <v>0</v>
      </c>
      <c r="AW368" s="12">
        <v>0</v>
      </c>
      <c r="AX368" s="12">
        <v>0</v>
      </c>
      <c r="AY368" s="12">
        <v>0</v>
      </c>
      <c r="AZ368" s="12">
        <v>0</v>
      </c>
      <c r="BA368" s="12">
        <v>0</v>
      </c>
    </row>
    <row r="369" spans="1:53" x14ac:dyDescent="0.3">
      <c r="A369" s="7">
        <f t="shared" si="84"/>
        <v>209783</v>
      </c>
      <c r="B369" s="7">
        <f t="shared" si="85"/>
        <v>209783</v>
      </c>
      <c r="C369" s="7">
        <f t="shared" si="86"/>
        <v>209783</v>
      </c>
      <c r="D369" s="5" t="str">
        <f t="shared" si="91"/>
        <v>841</v>
      </c>
      <c r="E369" s="5" t="str">
        <f t="shared" si="91"/>
        <v>ML27A020010A</v>
      </c>
      <c r="F369" s="5"/>
      <c r="G369" s="6"/>
      <c r="H369" s="11" t="s">
        <v>920</v>
      </c>
      <c r="I369" s="11"/>
      <c r="J369" s="12">
        <v>0</v>
      </c>
      <c r="K369" s="11" t="s">
        <v>921</v>
      </c>
      <c r="L369" s="12">
        <v>0</v>
      </c>
      <c r="M369" s="12">
        <v>29969</v>
      </c>
      <c r="N369" s="12">
        <v>29969</v>
      </c>
      <c r="O369" s="12">
        <v>29969</v>
      </c>
      <c r="P369" s="12">
        <v>29969</v>
      </c>
      <c r="Q369" s="12">
        <v>29969</v>
      </c>
      <c r="R369" s="12">
        <v>29969</v>
      </c>
      <c r="S369" s="12">
        <v>29969</v>
      </c>
      <c r="T369" s="12">
        <v>29969</v>
      </c>
      <c r="U369" s="12">
        <v>29969</v>
      </c>
      <c r="V369" s="12">
        <v>29969</v>
      </c>
      <c r="W369" s="12">
        <v>29969</v>
      </c>
      <c r="X369" s="12">
        <v>29969</v>
      </c>
      <c r="Y369" s="12">
        <v>29969</v>
      </c>
      <c r="Z369" s="12">
        <v>29969</v>
      </c>
      <c r="AA369" s="12">
        <v>29969</v>
      </c>
      <c r="AB369" s="12">
        <v>29969</v>
      </c>
      <c r="AC369" s="12">
        <v>29969</v>
      </c>
      <c r="AD369" s="12">
        <v>29969</v>
      </c>
      <c r="AE369" s="12">
        <v>29969</v>
      </c>
      <c r="AF369" s="12">
        <v>29969</v>
      </c>
      <c r="AG369" s="12">
        <v>29969</v>
      </c>
      <c r="AH369" s="12">
        <v>29969</v>
      </c>
      <c r="AI369" s="12">
        <v>29969</v>
      </c>
      <c r="AJ369" s="12">
        <v>29969</v>
      </c>
      <c r="AK369" s="12">
        <v>29969</v>
      </c>
      <c r="AL369" s="12">
        <v>29969</v>
      </c>
      <c r="AM369" s="12">
        <v>29969</v>
      </c>
      <c r="AN369" s="12">
        <v>29969</v>
      </c>
      <c r="AO369" s="12">
        <v>29969</v>
      </c>
      <c r="AP369" s="12">
        <v>29969</v>
      </c>
      <c r="AQ369" s="12">
        <v>29969</v>
      </c>
      <c r="AR369" s="12">
        <v>29969</v>
      </c>
      <c r="AS369" s="12">
        <v>29969</v>
      </c>
      <c r="AT369" s="12">
        <v>29969</v>
      </c>
      <c r="AU369" s="12">
        <v>29969</v>
      </c>
      <c r="AV369" s="12">
        <v>29969</v>
      </c>
      <c r="AW369" s="12">
        <v>0</v>
      </c>
      <c r="AX369" s="12">
        <v>0</v>
      </c>
      <c r="AY369" s="12">
        <v>0</v>
      </c>
      <c r="AZ369" s="12">
        <v>0</v>
      </c>
      <c r="BA369" s="12">
        <v>0</v>
      </c>
    </row>
    <row r="370" spans="1:53" x14ac:dyDescent="0.3">
      <c r="A370" s="7">
        <f t="shared" si="84"/>
        <v>0</v>
      </c>
      <c r="B370" s="7">
        <f t="shared" si="85"/>
        <v>6000</v>
      </c>
      <c r="C370" s="7">
        <f t="shared" si="86"/>
        <v>5400</v>
      </c>
      <c r="D370" s="5" t="str">
        <f t="shared" si="91"/>
        <v>841</v>
      </c>
      <c r="E370" s="13" t="s">
        <v>817</v>
      </c>
      <c r="F370" s="5"/>
      <c r="G370" s="13" t="s">
        <v>960</v>
      </c>
      <c r="H370" s="13" t="s">
        <v>49</v>
      </c>
      <c r="I370" s="11" t="s">
        <v>49</v>
      </c>
      <c r="J370" s="12">
        <v>0</v>
      </c>
      <c r="K370" s="11" t="s">
        <v>916</v>
      </c>
      <c r="L370" s="12">
        <v>0</v>
      </c>
      <c r="M370" s="12">
        <v>29768</v>
      </c>
      <c r="N370" s="12">
        <v>0</v>
      </c>
      <c r="O370" s="12">
        <v>0</v>
      </c>
      <c r="P370" s="12">
        <v>0</v>
      </c>
      <c r="Q370" s="12">
        <v>0</v>
      </c>
      <c r="R370" s="12">
        <v>0</v>
      </c>
      <c r="S370" s="12">
        <v>0</v>
      </c>
      <c r="T370" s="12">
        <v>0</v>
      </c>
      <c r="U370" s="12">
        <v>6000</v>
      </c>
      <c r="V370" s="12">
        <v>0</v>
      </c>
      <c r="W370" s="12">
        <v>0</v>
      </c>
      <c r="X370" s="12">
        <v>0</v>
      </c>
      <c r="Y370" s="12">
        <v>0</v>
      </c>
      <c r="Z370" s="12">
        <v>0</v>
      </c>
      <c r="AA370" s="12">
        <v>0</v>
      </c>
      <c r="AB370" s="12">
        <v>5400</v>
      </c>
      <c r="AC370" s="12">
        <v>0</v>
      </c>
      <c r="AD370" s="12">
        <v>0</v>
      </c>
      <c r="AE370" s="12">
        <v>0</v>
      </c>
      <c r="AF370" s="12">
        <v>0</v>
      </c>
      <c r="AG370" s="12">
        <v>0</v>
      </c>
      <c r="AH370" s="12">
        <v>0</v>
      </c>
      <c r="AI370" s="12">
        <v>4000</v>
      </c>
      <c r="AJ370" s="12">
        <v>4000</v>
      </c>
      <c r="AK370" s="12">
        <v>2000</v>
      </c>
      <c r="AL370" s="12">
        <v>0</v>
      </c>
      <c r="AM370" s="12">
        <v>6446</v>
      </c>
      <c r="AN370" s="12">
        <v>0</v>
      </c>
      <c r="AO370" s="12">
        <v>0</v>
      </c>
      <c r="AP370" s="12">
        <v>0</v>
      </c>
      <c r="AQ370" s="12">
        <v>1900</v>
      </c>
      <c r="AR370" s="12">
        <v>0</v>
      </c>
      <c r="AS370" s="12">
        <v>0</v>
      </c>
      <c r="AT370" s="12">
        <v>22</v>
      </c>
      <c r="AU370" s="12">
        <v>0</v>
      </c>
      <c r="AV370" s="12">
        <v>0</v>
      </c>
      <c r="AW370" s="12">
        <v>6000</v>
      </c>
      <c r="AX370" s="12">
        <v>15400</v>
      </c>
      <c r="AY370" s="12">
        <v>6446</v>
      </c>
      <c r="AZ370" s="12">
        <v>1922</v>
      </c>
      <c r="BA370" s="12">
        <v>0</v>
      </c>
    </row>
    <row r="371" spans="1:53" x14ac:dyDescent="0.3">
      <c r="A371" s="7">
        <f t="shared" si="84"/>
        <v>82544</v>
      </c>
      <c r="B371" s="7">
        <f t="shared" si="85"/>
        <v>40544</v>
      </c>
      <c r="C371" s="7">
        <f t="shared" si="86"/>
        <v>2744</v>
      </c>
      <c r="D371" s="5" t="str">
        <f t="shared" si="91"/>
        <v>841</v>
      </c>
      <c r="E371" s="5" t="str">
        <f t="shared" si="91"/>
        <v>ML27A020028A</v>
      </c>
      <c r="F371" s="5"/>
      <c r="G371" s="5"/>
      <c r="H371" s="6"/>
      <c r="I371" s="11"/>
      <c r="J371" s="12">
        <v>0</v>
      </c>
      <c r="K371" s="11" t="s">
        <v>917</v>
      </c>
      <c r="L371" s="12">
        <v>11792</v>
      </c>
      <c r="M371" s="12">
        <v>-17976</v>
      </c>
      <c r="N371" s="12">
        <v>11792</v>
      </c>
      <c r="O371" s="12">
        <v>11792</v>
      </c>
      <c r="P371" s="12">
        <v>11792</v>
      </c>
      <c r="Q371" s="12">
        <v>11792</v>
      </c>
      <c r="R371" s="12">
        <v>11792</v>
      </c>
      <c r="S371" s="12">
        <v>11792</v>
      </c>
      <c r="T371" s="12">
        <v>11792</v>
      </c>
      <c r="U371" s="12">
        <v>5792</v>
      </c>
      <c r="V371" s="12">
        <v>5792</v>
      </c>
      <c r="W371" s="12">
        <v>5792</v>
      </c>
      <c r="X371" s="12">
        <v>5792</v>
      </c>
      <c r="Y371" s="12">
        <v>5792</v>
      </c>
      <c r="Z371" s="12">
        <v>5792</v>
      </c>
      <c r="AA371" s="12">
        <v>5792</v>
      </c>
      <c r="AB371" s="12">
        <v>392</v>
      </c>
      <c r="AC371" s="12">
        <v>392</v>
      </c>
      <c r="AD371" s="12">
        <v>392</v>
      </c>
      <c r="AE371" s="12">
        <v>392</v>
      </c>
      <c r="AF371" s="12">
        <v>392</v>
      </c>
      <c r="AG371" s="12">
        <v>392</v>
      </c>
      <c r="AH371" s="12">
        <v>392</v>
      </c>
      <c r="AI371" s="12">
        <v>-3608</v>
      </c>
      <c r="AJ371" s="12">
        <v>-7608</v>
      </c>
      <c r="AK371" s="12">
        <v>-9608</v>
      </c>
      <c r="AL371" s="12">
        <v>-9608</v>
      </c>
      <c r="AM371" s="12">
        <v>-16054</v>
      </c>
      <c r="AN371" s="12">
        <v>-16054</v>
      </c>
      <c r="AO371" s="12">
        <v>-16054</v>
      </c>
      <c r="AP371" s="12">
        <v>-16054</v>
      </c>
      <c r="AQ371" s="12">
        <v>-17954</v>
      </c>
      <c r="AR371" s="12">
        <v>-17954</v>
      </c>
      <c r="AS371" s="12">
        <v>-17954</v>
      </c>
      <c r="AT371" s="12">
        <v>-17976</v>
      </c>
      <c r="AU371" s="12">
        <v>-17976</v>
      </c>
      <c r="AV371" s="12">
        <v>-17976</v>
      </c>
      <c r="AW371" s="12">
        <v>0</v>
      </c>
      <c r="AX371" s="12">
        <v>0</v>
      </c>
      <c r="AY371" s="12">
        <v>0</v>
      </c>
      <c r="AZ371" s="12">
        <v>0</v>
      </c>
      <c r="BA371" s="12">
        <v>0</v>
      </c>
    </row>
    <row r="372" spans="1:53" x14ac:dyDescent="0.3">
      <c r="A372" s="7">
        <f t="shared" si="84"/>
        <v>0</v>
      </c>
      <c r="B372" s="7">
        <f t="shared" si="85"/>
        <v>0</v>
      </c>
      <c r="C372" s="7">
        <f t="shared" si="86"/>
        <v>0</v>
      </c>
      <c r="D372" s="5" t="str">
        <f t="shared" si="91"/>
        <v>841</v>
      </c>
      <c r="E372" s="5" t="str">
        <f t="shared" si="91"/>
        <v>ML27A020028A</v>
      </c>
      <c r="F372" s="5"/>
      <c r="G372" s="5"/>
      <c r="H372" s="11" t="s">
        <v>782</v>
      </c>
      <c r="I372" s="11" t="s">
        <v>783</v>
      </c>
      <c r="J372" s="12">
        <v>8904</v>
      </c>
      <c r="K372" s="11" t="s">
        <v>918</v>
      </c>
      <c r="L372" s="12">
        <v>0</v>
      </c>
      <c r="M372" s="12">
        <v>0</v>
      </c>
      <c r="N372" s="12">
        <v>0</v>
      </c>
      <c r="O372" s="12">
        <v>0</v>
      </c>
      <c r="P372" s="12">
        <v>0</v>
      </c>
      <c r="Q372" s="12">
        <v>0</v>
      </c>
      <c r="R372" s="12">
        <v>0</v>
      </c>
      <c r="S372" s="12">
        <v>0</v>
      </c>
      <c r="T372" s="12">
        <v>0</v>
      </c>
      <c r="U372" s="12">
        <v>0</v>
      </c>
      <c r="V372" s="12">
        <v>0</v>
      </c>
      <c r="W372" s="12">
        <v>0</v>
      </c>
      <c r="X372" s="12">
        <v>0</v>
      </c>
      <c r="Y372" s="12">
        <v>0</v>
      </c>
      <c r="Z372" s="12">
        <v>0</v>
      </c>
      <c r="AA372" s="12">
        <v>0</v>
      </c>
      <c r="AB372" s="12">
        <v>0</v>
      </c>
      <c r="AC372" s="12">
        <v>0</v>
      </c>
      <c r="AD372" s="12">
        <v>0</v>
      </c>
      <c r="AE372" s="12">
        <v>0</v>
      </c>
      <c r="AF372" s="12">
        <v>0</v>
      </c>
      <c r="AG372" s="12">
        <v>0</v>
      </c>
      <c r="AH372" s="12">
        <v>0</v>
      </c>
      <c r="AI372" s="12">
        <v>0</v>
      </c>
      <c r="AJ372" s="12">
        <v>0</v>
      </c>
      <c r="AK372" s="12">
        <v>0</v>
      </c>
      <c r="AL372" s="12">
        <v>0</v>
      </c>
      <c r="AM372" s="12">
        <v>0</v>
      </c>
      <c r="AN372" s="12">
        <v>0</v>
      </c>
      <c r="AO372" s="12">
        <v>0</v>
      </c>
      <c r="AP372" s="12">
        <v>0</v>
      </c>
      <c r="AQ372" s="12">
        <v>0</v>
      </c>
      <c r="AR372" s="12">
        <v>0</v>
      </c>
      <c r="AS372" s="12">
        <v>0</v>
      </c>
      <c r="AT372" s="12">
        <v>0</v>
      </c>
      <c r="AU372" s="12">
        <v>0</v>
      </c>
      <c r="AV372" s="12">
        <v>0</v>
      </c>
      <c r="AW372" s="12">
        <v>0</v>
      </c>
      <c r="AX372" s="12">
        <v>0</v>
      </c>
      <c r="AY372" s="12">
        <v>0</v>
      </c>
      <c r="AZ372" s="12">
        <v>0</v>
      </c>
      <c r="BA372" s="12">
        <v>0</v>
      </c>
    </row>
    <row r="373" spans="1:53" x14ac:dyDescent="0.3">
      <c r="A373" s="7">
        <f t="shared" si="84"/>
        <v>0</v>
      </c>
      <c r="B373" s="7">
        <f t="shared" si="85"/>
        <v>0</v>
      </c>
      <c r="C373" s="7">
        <f t="shared" si="86"/>
        <v>0</v>
      </c>
      <c r="D373" s="5" t="str">
        <f t="shared" si="91"/>
        <v>841</v>
      </c>
      <c r="E373" s="5" t="str">
        <f t="shared" si="91"/>
        <v>ML27A020028A</v>
      </c>
      <c r="F373" s="5"/>
      <c r="G373" s="5"/>
      <c r="H373" s="11" t="s">
        <v>49</v>
      </c>
      <c r="I373" s="11"/>
      <c r="J373" s="12">
        <v>0</v>
      </c>
      <c r="K373" s="11" t="s">
        <v>919</v>
      </c>
      <c r="L373" s="12">
        <v>0</v>
      </c>
      <c r="M373" s="12">
        <v>0</v>
      </c>
      <c r="N373" s="12">
        <v>0</v>
      </c>
      <c r="O373" s="12">
        <v>0</v>
      </c>
      <c r="P373" s="12">
        <v>0</v>
      </c>
      <c r="Q373" s="12">
        <v>0</v>
      </c>
      <c r="R373" s="12">
        <v>0</v>
      </c>
      <c r="S373" s="12">
        <v>0</v>
      </c>
      <c r="T373" s="12">
        <v>0</v>
      </c>
      <c r="U373" s="12">
        <v>0</v>
      </c>
      <c r="V373" s="12">
        <v>0</v>
      </c>
      <c r="W373" s="12">
        <v>0</v>
      </c>
      <c r="X373" s="12">
        <v>0</v>
      </c>
      <c r="Y373" s="12">
        <v>0</v>
      </c>
      <c r="Z373" s="12">
        <v>0</v>
      </c>
      <c r="AA373" s="12">
        <v>0</v>
      </c>
      <c r="AB373" s="12">
        <v>0</v>
      </c>
      <c r="AC373" s="12">
        <v>0</v>
      </c>
      <c r="AD373" s="12">
        <v>0</v>
      </c>
      <c r="AE373" s="12">
        <v>0</v>
      </c>
      <c r="AF373" s="12">
        <v>0</v>
      </c>
      <c r="AG373" s="12">
        <v>0</v>
      </c>
      <c r="AH373" s="12">
        <v>0</v>
      </c>
      <c r="AI373" s="12">
        <v>0</v>
      </c>
      <c r="AJ373" s="12">
        <v>0</v>
      </c>
      <c r="AK373" s="12">
        <v>0</v>
      </c>
      <c r="AL373" s="12">
        <v>0</v>
      </c>
      <c r="AM373" s="12">
        <v>0</v>
      </c>
      <c r="AN373" s="12">
        <v>0</v>
      </c>
      <c r="AO373" s="12">
        <v>0</v>
      </c>
      <c r="AP373" s="12">
        <v>0</v>
      </c>
      <c r="AQ373" s="12">
        <v>0</v>
      </c>
      <c r="AR373" s="12">
        <v>0</v>
      </c>
      <c r="AS373" s="12">
        <v>0</v>
      </c>
      <c r="AT373" s="12">
        <v>0</v>
      </c>
      <c r="AU373" s="12">
        <v>0</v>
      </c>
      <c r="AV373" s="12">
        <v>0</v>
      </c>
      <c r="AW373" s="12">
        <v>0</v>
      </c>
      <c r="AX373" s="12">
        <v>0</v>
      </c>
      <c r="AY373" s="12">
        <v>0</v>
      </c>
      <c r="AZ373" s="12">
        <v>0</v>
      </c>
      <c r="BA373" s="12">
        <v>0</v>
      </c>
    </row>
    <row r="374" spans="1:53" x14ac:dyDescent="0.3">
      <c r="A374" s="7">
        <f t="shared" si="84"/>
        <v>82544</v>
      </c>
      <c r="B374" s="7">
        <f t="shared" si="85"/>
        <v>40544</v>
      </c>
      <c r="C374" s="7">
        <f t="shared" si="86"/>
        <v>2744</v>
      </c>
      <c r="D374" s="5" t="str">
        <f t="shared" si="91"/>
        <v>841</v>
      </c>
      <c r="E374" s="5" t="str">
        <f t="shared" si="91"/>
        <v>ML27A020028A</v>
      </c>
      <c r="F374" s="5"/>
      <c r="G374" s="6"/>
      <c r="H374" s="11" t="s">
        <v>920</v>
      </c>
      <c r="I374" s="11"/>
      <c r="J374" s="12">
        <v>0</v>
      </c>
      <c r="K374" s="11" t="s">
        <v>921</v>
      </c>
      <c r="L374" s="12">
        <v>0</v>
      </c>
      <c r="M374" s="12">
        <v>-17976</v>
      </c>
      <c r="N374" s="12">
        <v>11792</v>
      </c>
      <c r="O374" s="12">
        <v>11792</v>
      </c>
      <c r="P374" s="12">
        <v>11792</v>
      </c>
      <c r="Q374" s="12">
        <v>11792</v>
      </c>
      <c r="R374" s="12">
        <v>11792</v>
      </c>
      <c r="S374" s="12">
        <v>11792</v>
      </c>
      <c r="T374" s="12">
        <v>11792</v>
      </c>
      <c r="U374" s="12">
        <v>5792</v>
      </c>
      <c r="V374" s="12">
        <v>5792</v>
      </c>
      <c r="W374" s="12">
        <v>5792</v>
      </c>
      <c r="X374" s="12">
        <v>5792</v>
      </c>
      <c r="Y374" s="12">
        <v>5792</v>
      </c>
      <c r="Z374" s="12">
        <v>5792</v>
      </c>
      <c r="AA374" s="12">
        <v>5792</v>
      </c>
      <c r="AB374" s="12">
        <v>392</v>
      </c>
      <c r="AC374" s="12">
        <v>392</v>
      </c>
      <c r="AD374" s="12">
        <v>392</v>
      </c>
      <c r="AE374" s="12">
        <v>392</v>
      </c>
      <c r="AF374" s="12">
        <v>392</v>
      </c>
      <c r="AG374" s="12">
        <v>392</v>
      </c>
      <c r="AH374" s="12">
        <v>392</v>
      </c>
      <c r="AI374" s="12">
        <v>-3608</v>
      </c>
      <c r="AJ374" s="12">
        <v>-7608</v>
      </c>
      <c r="AK374" s="12">
        <v>-9608</v>
      </c>
      <c r="AL374" s="12">
        <v>-9608</v>
      </c>
      <c r="AM374" s="12">
        <v>-16054</v>
      </c>
      <c r="AN374" s="12">
        <v>-16054</v>
      </c>
      <c r="AO374" s="12">
        <v>-16054</v>
      </c>
      <c r="AP374" s="12">
        <v>-16054</v>
      </c>
      <c r="AQ374" s="12">
        <v>-17954</v>
      </c>
      <c r="AR374" s="12">
        <v>-17954</v>
      </c>
      <c r="AS374" s="12">
        <v>-17954</v>
      </c>
      <c r="AT374" s="12">
        <v>-17976</v>
      </c>
      <c r="AU374" s="12">
        <v>-17976</v>
      </c>
      <c r="AV374" s="12">
        <v>-17976</v>
      </c>
      <c r="AW374" s="12">
        <v>0</v>
      </c>
      <c r="AX374" s="12">
        <v>0</v>
      </c>
      <c r="AY374" s="12">
        <v>0</v>
      </c>
      <c r="AZ374" s="12">
        <v>0</v>
      </c>
      <c r="BA374" s="12">
        <v>0</v>
      </c>
    </row>
    <row r="375" spans="1:53" x14ac:dyDescent="0.3">
      <c r="A375" s="7">
        <f t="shared" si="84"/>
        <v>0</v>
      </c>
      <c r="B375" s="7">
        <f t="shared" si="85"/>
        <v>220</v>
      </c>
      <c r="C375" s="7">
        <f t="shared" si="86"/>
        <v>320</v>
      </c>
      <c r="D375" s="13"/>
      <c r="E375" s="13" t="s">
        <v>846</v>
      </c>
      <c r="F375" s="5"/>
      <c r="G375" s="13" t="s">
        <v>1039</v>
      </c>
      <c r="H375" s="13" t="s">
        <v>49</v>
      </c>
      <c r="I375" s="11" t="s">
        <v>49</v>
      </c>
      <c r="J375" s="12">
        <v>0</v>
      </c>
      <c r="K375" s="11" t="s">
        <v>916</v>
      </c>
      <c r="L375" s="12">
        <v>0</v>
      </c>
      <c r="M375" s="12">
        <v>8964</v>
      </c>
      <c r="N375" s="12">
        <v>0</v>
      </c>
      <c r="O375" s="12">
        <v>0</v>
      </c>
      <c r="P375" s="12">
        <v>0</v>
      </c>
      <c r="Q375" s="12">
        <v>0</v>
      </c>
      <c r="R375" s="12">
        <v>0</v>
      </c>
      <c r="S375" s="12">
        <v>0</v>
      </c>
      <c r="T375" s="12">
        <v>0</v>
      </c>
      <c r="U375" s="12">
        <v>220</v>
      </c>
      <c r="V375" s="12">
        <v>0</v>
      </c>
      <c r="W375" s="12">
        <v>0</v>
      </c>
      <c r="X375" s="12">
        <v>0</v>
      </c>
      <c r="Y375" s="12">
        <v>0</v>
      </c>
      <c r="Z375" s="12">
        <v>0</v>
      </c>
      <c r="AA375" s="12">
        <v>0</v>
      </c>
      <c r="AB375" s="12">
        <v>320</v>
      </c>
      <c r="AC375" s="12">
        <v>0</v>
      </c>
      <c r="AD375" s="12">
        <v>0</v>
      </c>
      <c r="AE375" s="12">
        <v>0</v>
      </c>
      <c r="AF375" s="12">
        <v>0</v>
      </c>
      <c r="AG375" s="12">
        <v>0</v>
      </c>
      <c r="AH375" s="12">
        <v>0</v>
      </c>
      <c r="AI375" s="12">
        <v>0</v>
      </c>
      <c r="AJ375" s="12">
        <v>0</v>
      </c>
      <c r="AK375" s="12">
        <v>600</v>
      </c>
      <c r="AL375" s="12">
        <v>0</v>
      </c>
      <c r="AM375" s="12">
        <v>2800</v>
      </c>
      <c r="AN375" s="12">
        <v>0</v>
      </c>
      <c r="AO375" s="12">
        <v>100</v>
      </c>
      <c r="AP375" s="12">
        <v>0</v>
      </c>
      <c r="AQ375" s="12">
        <v>1170.8</v>
      </c>
      <c r="AR375" s="12">
        <v>2200</v>
      </c>
      <c r="AS375" s="12">
        <v>0</v>
      </c>
      <c r="AT375" s="12">
        <v>1553.2</v>
      </c>
      <c r="AU375" s="12">
        <v>0</v>
      </c>
      <c r="AV375" s="12">
        <v>0</v>
      </c>
      <c r="AW375" s="12">
        <v>220</v>
      </c>
      <c r="AX375" s="12">
        <v>920</v>
      </c>
      <c r="AY375" s="12">
        <v>2900</v>
      </c>
      <c r="AZ375" s="12">
        <v>4924</v>
      </c>
      <c r="BA375" s="12">
        <v>0</v>
      </c>
    </row>
    <row r="376" spans="1:53" x14ac:dyDescent="0.3">
      <c r="A376" s="7">
        <f t="shared" si="84"/>
        <v>139342</v>
      </c>
      <c r="B376" s="7">
        <f t="shared" si="85"/>
        <v>137802</v>
      </c>
      <c r="C376" s="7">
        <f t="shared" si="86"/>
        <v>135562</v>
      </c>
      <c r="D376" s="5"/>
      <c r="E376" s="5" t="str">
        <f t="shared" ref="E376:E379" si="92">E375</f>
        <v>ML27A020046A</v>
      </c>
      <c r="F376" s="5"/>
      <c r="G376" s="5"/>
      <c r="H376" s="6"/>
      <c r="I376" s="11"/>
      <c r="J376" s="12">
        <v>0</v>
      </c>
      <c r="K376" s="11" t="s">
        <v>917</v>
      </c>
      <c r="L376" s="12">
        <v>19906</v>
      </c>
      <c r="M376" s="12">
        <v>10942</v>
      </c>
      <c r="N376" s="12">
        <v>19906</v>
      </c>
      <c r="O376" s="12">
        <v>19906</v>
      </c>
      <c r="P376" s="12">
        <v>19906</v>
      </c>
      <c r="Q376" s="12">
        <v>19906</v>
      </c>
      <c r="R376" s="12">
        <v>19906</v>
      </c>
      <c r="S376" s="12">
        <v>19906</v>
      </c>
      <c r="T376" s="12">
        <v>19906</v>
      </c>
      <c r="U376" s="12">
        <v>19686</v>
      </c>
      <c r="V376" s="12">
        <v>19686</v>
      </c>
      <c r="W376" s="12">
        <v>19686</v>
      </c>
      <c r="X376" s="12">
        <v>19686</v>
      </c>
      <c r="Y376" s="12">
        <v>19686</v>
      </c>
      <c r="Z376" s="12">
        <v>19686</v>
      </c>
      <c r="AA376" s="12">
        <v>19686</v>
      </c>
      <c r="AB376" s="12">
        <v>19366</v>
      </c>
      <c r="AC376" s="12">
        <v>19366</v>
      </c>
      <c r="AD376" s="12">
        <v>19366</v>
      </c>
      <c r="AE376" s="12">
        <v>19366</v>
      </c>
      <c r="AF376" s="12">
        <v>19366</v>
      </c>
      <c r="AG376" s="12">
        <v>19366</v>
      </c>
      <c r="AH376" s="12">
        <v>19366</v>
      </c>
      <c r="AI376" s="12">
        <v>19366</v>
      </c>
      <c r="AJ376" s="12">
        <v>19366</v>
      </c>
      <c r="AK376" s="12">
        <v>18766</v>
      </c>
      <c r="AL376" s="12">
        <v>18766</v>
      </c>
      <c r="AM376" s="12">
        <v>15966</v>
      </c>
      <c r="AN376" s="12">
        <v>15966</v>
      </c>
      <c r="AO376" s="12">
        <v>15866</v>
      </c>
      <c r="AP376" s="12">
        <v>15866</v>
      </c>
      <c r="AQ376" s="12">
        <v>14695.2</v>
      </c>
      <c r="AR376" s="12">
        <v>12495.2</v>
      </c>
      <c r="AS376" s="12">
        <v>12495.2</v>
      </c>
      <c r="AT376" s="12">
        <v>10942</v>
      </c>
      <c r="AU376" s="12">
        <v>10942</v>
      </c>
      <c r="AV376" s="12">
        <v>10942</v>
      </c>
      <c r="AW376" s="12">
        <v>0</v>
      </c>
      <c r="AX376" s="12">
        <v>0</v>
      </c>
      <c r="AY376" s="12">
        <v>0</v>
      </c>
      <c r="AZ376" s="12">
        <v>0</v>
      </c>
      <c r="BA376" s="12">
        <v>0</v>
      </c>
    </row>
    <row r="377" spans="1:53" x14ac:dyDescent="0.3">
      <c r="A377" s="7">
        <f t="shared" si="84"/>
        <v>0</v>
      </c>
      <c r="B377" s="7">
        <f t="shared" si="85"/>
        <v>0</v>
      </c>
      <c r="C377" s="7">
        <f t="shared" si="86"/>
        <v>0</v>
      </c>
      <c r="D377" s="5"/>
      <c r="E377" s="5" t="str">
        <f t="shared" si="92"/>
        <v>ML27A020046A</v>
      </c>
      <c r="F377" s="5"/>
      <c r="G377" s="5"/>
      <c r="H377" s="11" t="s">
        <v>776</v>
      </c>
      <c r="I377" s="11" t="s">
        <v>777</v>
      </c>
      <c r="J377" s="12"/>
      <c r="K377" s="11" t="s">
        <v>918</v>
      </c>
      <c r="L377" s="12">
        <v>0</v>
      </c>
      <c r="M377" s="12">
        <v>0</v>
      </c>
      <c r="N377" s="12">
        <v>0</v>
      </c>
      <c r="O377" s="12">
        <v>0</v>
      </c>
      <c r="P377" s="12">
        <v>0</v>
      </c>
      <c r="Q377" s="12">
        <v>0</v>
      </c>
      <c r="R377" s="12">
        <v>0</v>
      </c>
      <c r="S377" s="12">
        <v>0</v>
      </c>
      <c r="T377" s="12">
        <v>0</v>
      </c>
      <c r="U377" s="12">
        <v>0</v>
      </c>
      <c r="V377" s="12">
        <v>0</v>
      </c>
      <c r="W377" s="12">
        <v>0</v>
      </c>
      <c r="X377" s="12">
        <v>0</v>
      </c>
      <c r="Y377" s="12">
        <v>0</v>
      </c>
      <c r="Z377" s="12">
        <v>0</v>
      </c>
      <c r="AA377" s="12">
        <v>0</v>
      </c>
      <c r="AB377" s="12">
        <v>0</v>
      </c>
      <c r="AC377" s="12">
        <v>0</v>
      </c>
      <c r="AD377" s="12">
        <v>0</v>
      </c>
      <c r="AE377" s="12">
        <v>0</v>
      </c>
      <c r="AF377" s="12">
        <v>0</v>
      </c>
      <c r="AG377" s="12">
        <v>0</v>
      </c>
      <c r="AH377" s="12">
        <v>0</v>
      </c>
      <c r="AI377" s="12">
        <v>0</v>
      </c>
      <c r="AJ377" s="12">
        <v>0</v>
      </c>
      <c r="AK377" s="12">
        <v>0</v>
      </c>
      <c r="AL377" s="12">
        <v>0</v>
      </c>
      <c r="AM377" s="12">
        <v>0</v>
      </c>
      <c r="AN377" s="12">
        <v>0</v>
      </c>
      <c r="AO377" s="12">
        <v>0</v>
      </c>
      <c r="AP377" s="12">
        <v>0</v>
      </c>
      <c r="AQ377" s="12">
        <v>0</v>
      </c>
      <c r="AR377" s="12">
        <v>0</v>
      </c>
      <c r="AS377" s="12">
        <v>0</v>
      </c>
      <c r="AT377" s="12">
        <v>0</v>
      </c>
      <c r="AU377" s="12">
        <v>0</v>
      </c>
      <c r="AV377" s="12">
        <v>0</v>
      </c>
      <c r="AW377" s="12">
        <v>0</v>
      </c>
      <c r="AX377" s="12">
        <v>0</v>
      </c>
      <c r="AY377" s="12">
        <v>0</v>
      </c>
      <c r="AZ377" s="12">
        <v>0</v>
      </c>
      <c r="BA377" s="12">
        <v>0</v>
      </c>
    </row>
    <row r="378" spans="1:53" x14ac:dyDescent="0.3">
      <c r="A378" s="7">
        <f t="shared" si="84"/>
        <v>0</v>
      </c>
      <c r="B378" s="7">
        <f t="shared" si="85"/>
        <v>0</v>
      </c>
      <c r="C378" s="7">
        <f t="shared" si="86"/>
        <v>0</v>
      </c>
      <c r="D378" s="5"/>
      <c r="E378" s="5" t="str">
        <f t="shared" si="92"/>
        <v>ML27A020046A</v>
      </c>
      <c r="F378" s="5"/>
      <c r="G378" s="5"/>
      <c r="H378" s="11" t="s">
        <v>49</v>
      </c>
      <c r="I378" s="11"/>
      <c r="J378" s="12">
        <v>0</v>
      </c>
      <c r="K378" s="11" t="s">
        <v>919</v>
      </c>
      <c r="L378" s="12">
        <v>0</v>
      </c>
      <c r="M378" s="12">
        <v>0</v>
      </c>
      <c r="N378" s="12">
        <v>0</v>
      </c>
      <c r="O378" s="12">
        <v>0</v>
      </c>
      <c r="P378" s="12">
        <v>0</v>
      </c>
      <c r="Q378" s="12">
        <v>0</v>
      </c>
      <c r="R378" s="12">
        <v>0</v>
      </c>
      <c r="S378" s="12">
        <v>0</v>
      </c>
      <c r="T378" s="12">
        <v>0</v>
      </c>
      <c r="U378" s="12">
        <v>0</v>
      </c>
      <c r="V378" s="12">
        <v>0</v>
      </c>
      <c r="W378" s="12">
        <v>0</v>
      </c>
      <c r="X378" s="12">
        <v>0</v>
      </c>
      <c r="Y378" s="12">
        <v>0</v>
      </c>
      <c r="Z378" s="12">
        <v>0</v>
      </c>
      <c r="AA378" s="12">
        <v>0</v>
      </c>
      <c r="AB378" s="12">
        <v>0</v>
      </c>
      <c r="AC378" s="12">
        <v>0</v>
      </c>
      <c r="AD378" s="12">
        <v>0</v>
      </c>
      <c r="AE378" s="12">
        <v>0</v>
      </c>
      <c r="AF378" s="12">
        <v>0</v>
      </c>
      <c r="AG378" s="12">
        <v>0</v>
      </c>
      <c r="AH378" s="12">
        <v>0</v>
      </c>
      <c r="AI378" s="12">
        <v>0</v>
      </c>
      <c r="AJ378" s="12">
        <v>0</v>
      </c>
      <c r="AK378" s="12">
        <v>0</v>
      </c>
      <c r="AL378" s="12">
        <v>0</v>
      </c>
      <c r="AM378" s="12">
        <v>0</v>
      </c>
      <c r="AN378" s="12">
        <v>0</v>
      </c>
      <c r="AO378" s="12">
        <v>0</v>
      </c>
      <c r="AP378" s="12">
        <v>0</v>
      </c>
      <c r="AQ378" s="12">
        <v>0</v>
      </c>
      <c r="AR378" s="12">
        <v>0</v>
      </c>
      <c r="AS378" s="12">
        <v>0</v>
      </c>
      <c r="AT378" s="12">
        <v>0</v>
      </c>
      <c r="AU378" s="12">
        <v>0</v>
      </c>
      <c r="AV378" s="12">
        <v>0</v>
      </c>
      <c r="AW378" s="12">
        <v>0</v>
      </c>
      <c r="AX378" s="12">
        <v>0</v>
      </c>
      <c r="AY378" s="12">
        <v>0</v>
      </c>
      <c r="AZ378" s="12">
        <v>0</v>
      </c>
      <c r="BA378" s="12">
        <v>0</v>
      </c>
    </row>
    <row r="379" spans="1:53" x14ac:dyDescent="0.3">
      <c r="A379" s="7">
        <f t="shared" si="84"/>
        <v>139342</v>
      </c>
      <c r="B379" s="7">
        <f t="shared" si="85"/>
        <v>137802</v>
      </c>
      <c r="C379" s="7">
        <f t="shared" si="86"/>
        <v>135562</v>
      </c>
      <c r="D379" s="5"/>
      <c r="E379" s="5" t="str">
        <f t="shared" si="92"/>
        <v>ML27A020046A</v>
      </c>
      <c r="F379" s="5"/>
      <c r="G379" s="6"/>
      <c r="H379" s="11" t="s">
        <v>920</v>
      </c>
      <c r="I379" s="11"/>
      <c r="J379" s="12">
        <v>0</v>
      </c>
      <c r="K379" s="11" t="s">
        <v>921</v>
      </c>
      <c r="L379" s="12">
        <v>0</v>
      </c>
      <c r="M379" s="12">
        <v>10942</v>
      </c>
      <c r="N379" s="12">
        <v>19906</v>
      </c>
      <c r="O379" s="12">
        <v>19906</v>
      </c>
      <c r="P379" s="12">
        <v>19906</v>
      </c>
      <c r="Q379" s="12">
        <v>19906</v>
      </c>
      <c r="R379" s="12">
        <v>19906</v>
      </c>
      <c r="S379" s="12">
        <v>19906</v>
      </c>
      <c r="T379" s="12">
        <v>19906</v>
      </c>
      <c r="U379" s="12">
        <v>19686</v>
      </c>
      <c r="V379" s="12">
        <v>19686</v>
      </c>
      <c r="W379" s="12">
        <v>19686</v>
      </c>
      <c r="X379" s="12">
        <v>19686</v>
      </c>
      <c r="Y379" s="12">
        <v>19686</v>
      </c>
      <c r="Z379" s="12">
        <v>19686</v>
      </c>
      <c r="AA379" s="12">
        <v>19686</v>
      </c>
      <c r="AB379" s="12">
        <v>19366</v>
      </c>
      <c r="AC379" s="12">
        <v>19366</v>
      </c>
      <c r="AD379" s="12">
        <v>19366</v>
      </c>
      <c r="AE379" s="12">
        <v>19366</v>
      </c>
      <c r="AF379" s="12">
        <v>19366</v>
      </c>
      <c r="AG379" s="12">
        <v>19366</v>
      </c>
      <c r="AH379" s="12">
        <v>19366</v>
      </c>
      <c r="AI379" s="12">
        <v>19366</v>
      </c>
      <c r="AJ379" s="12">
        <v>19366</v>
      </c>
      <c r="AK379" s="12">
        <v>18766</v>
      </c>
      <c r="AL379" s="12">
        <v>18766</v>
      </c>
      <c r="AM379" s="12">
        <v>15966</v>
      </c>
      <c r="AN379" s="12">
        <v>15966</v>
      </c>
      <c r="AO379" s="12">
        <v>15866</v>
      </c>
      <c r="AP379" s="12">
        <v>15866</v>
      </c>
      <c r="AQ379" s="12">
        <v>14695.2</v>
      </c>
      <c r="AR379" s="12">
        <v>12495.2</v>
      </c>
      <c r="AS379" s="12">
        <v>12495.2</v>
      </c>
      <c r="AT379" s="12">
        <v>10942</v>
      </c>
      <c r="AU379" s="12">
        <v>10942</v>
      </c>
      <c r="AV379" s="12">
        <v>10942</v>
      </c>
      <c r="AW379" s="12">
        <v>0</v>
      </c>
      <c r="AX379" s="12">
        <v>0</v>
      </c>
      <c r="AY379" s="12">
        <v>0</v>
      </c>
      <c r="AZ379" s="12">
        <v>0</v>
      </c>
      <c r="BA379" s="12">
        <v>0</v>
      </c>
    </row>
    <row r="380" spans="1:53" x14ac:dyDescent="0.3">
      <c r="A380" s="7">
        <f t="shared" si="84"/>
        <v>0</v>
      </c>
      <c r="B380" s="7">
        <f t="shared" si="85"/>
        <v>0</v>
      </c>
      <c r="C380" s="7">
        <f t="shared" si="86"/>
        <v>0</v>
      </c>
      <c r="D380" s="13" t="s">
        <v>961</v>
      </c>
      <c r="E380" s="13" t="s">
        <v>849</v>
      </c>
      <c r="F380" s="5"/>
      <c r="G380" s="13" t="s">
        <v>1040</v>
      </c>
      <c r="H380" s="13" t="s">
        <v>49</v>
      </c>
      <c r="I380" s="11" t="s">
        <v>49</v>
      </c>
      <c r="J380" s="12">
        <v>0</v>
      </c>
      <c r="K380" s="11" t="s">
        <v>916</v>
      </c>
      <c r="L380" s="12">
        <v>0</v>
      </c>
      <c r="M380" s="12">
        <v>0</v>
      </c>
      <c r="N380" s="12">
        <v>0</v>
      </c>
      <c r="O380" s="12">
        <v>0</v>
      </c>
      <c r="P380" s="12">
        <v>0</v>
      </c>
      <c r="Q380" s="12">
        <v>0</v>
      </c>
      <c r="R380" s="12">
        <v>0</v>
      </c>
      <c r="S380" s="12">
        <v>0</v>
      </c>
      <c r="T380" s="12">
        <v>0</v>
      </c>
      <c r="U380" s="12">
        <v>0</v>
      </c>
      <c r="V380" s="12">
        <v>0</v>
      </c>
      <c r="W380" s="12">
        <v>0</v>
      </c>
      <c r="X380" s="12">
        <v>0</v>
      </c>
      <c r="Y380" s="12">
        <v>0</v>
      </c>
      <c r="Z380" s="12">
        <v>0</v>
      </c>
      <c r="AA380" s="12">
        <v>0</v>
      </c>
      <c r="AB380" s="12">
        <v>0</v>
      </c>
      <c r="AC380" s="12">
        <v>0</v>
      </c>
      <c r="AD380" s="12">
        <v>0</v>
      </c>
      <c r="AE380" s="12">
        <v>0</v>
      </c>
      <c r="AF380" s="12">
        <v>0</v>
      </c>
      <c r="AG380" s="12">
        <v>0</v>
      </c>
      <c r="AH380" s="12">
        <v>0</v>
      </c>
      <c r="AI380" s="12">
        <v>0</v>
      </c>
      <c r="AJ380" s="12">
        <v>0</v>
      </c>
      <c r="AK380" s="12">
        <v>0</v>
      </c>
      <c r="AL380" s="12">
        <v>0</v>
      </c>
      <c r="AM380" s="12">
        <v>0</v>
      </c>
      <c r="AN380" s="12">
        <v>0</v>
      </c>
      <c r="AO380" s="12">
        <v>0</v>
      </c>
      <c r="AP380" s="12">
        <v>0</v>
      </c>
      <c r="AQ380" s="12">
        <v>0</v>
      </c>
      <c r="AR380" s="12">
        <v>0</v>
      </c>
      <c r="AS380" s="12">
        <v>0</v>
      </c>
      <c r="AT380" s="12">
        <v>0</v>
      </c>
      <c r="AU380" s="12">
        <v>0</v>
      </c>
      <c r="AV380" s="12">
        <v>0</v>
      </c>
      <c r="AW380" s="12">
        <v>0</v>
      </c>
      <c r="AX380" s="12">
        <v>0</v>
      </c>
      <c r="AY380" s="12">
        <v>0</v>
      </c>
      <c r="AZ380" s="12">
        <v>0</v>
      </c>
      <c r="BA380" s="12">
        <v>0</v>
      </c>
    </row>
    <row r="381" spans="1:53" x14ac:dyDescent="0.3">
      <c r="A381" s="7">
        <f t="shared" si="84"/>
        <v>252959</v>
      </c>
      <c r="B381" s="7">
        <f t="shared" si="85"/>
        <v>252959</v>
      </c>
      <c r="C381" s="7">
        <f t="shared" si="86"/>
        <v>252959</v>
      </c>
      <c r="D381" s="5" t="str">
        <f t="shared" ref="D381:E389" si="93">D380</f>
        <v>856</v>
      </c>
      <c r="E381" s="5" t="str">
        <f t="shared" si="93"/>
        <v>ML27A060030A</v>
      </c>
      <c r="F381" s="5"/>
      <c r="G381" s="5"/>
      <c r="H381" s="6"/>
      <c r="I381" s="11"/>
      <c r="J381" s="12">
        <v>0</v>
      </c>
      <c r="K381" s="11" t="s">
        <v>917</v>
      </c>
      <c r="L381" s="12">
        <v>36137</v>
      </c>
      <c r="M381" s="12">
        <v>36137</v>
      </c>
      <c r="N381" s="12">
        <v>36137</v>
      </c>
      <c r="O381" s="12">
        <v>36137</v>
      </c>
      <c r="P381" s="12">
        <v>36137</v>
      </c>
      <c r="Q381" s="12">
        <v>36137</v>
      </c>
      <c r="R381" s="12">
        <v>36137</v>
      </c>
      <c r="S381" s="12">
        <v>36137</v>
      </c>
      <c r="T381" s="12">
        <v>36137</v>
      </c>
      <c r="U381" s="12">
        <v>36137</v>
      </c>
      <c r="V381" s="12">
        <v>36137</v>
      </c>
      <c r="W381" s="12">
        <v>36137</v>
      </c>
      <c r="X381" s="12">
        <v>36137</v>
      </c>
      <c r="Y381" s="12">
        <v>36137</v>
      </c>
      <c r="Z381" s="12">
        <v>36137</v>
      </c>
      <c r="AA381" s="12">
        <v>36137</v>
      </c>
      <c r="AB381" s="12">
        <v>36137</v>
      </c>
      <c r="AC381" s="12">
        <v>36137</v>
      </c>
      <c r="AD381" s="12">
        <v>36137</v>
      </c>
      <c r="AE381" s="12">
        <v>36137</v>
      </c>
      <c r="AF381" s="12">
        <v>36137</v>
      </c>
      <c r="AG381" s="12">
        <v>36137</v>
      </c>
      <c r="AH381" s="12">
        <v>36137</v>
      </c>
      <c r="AI381" s="12">
        <v>36137</v>
      </c>
      <c r="AJ381" s="12">
        <v>36137</v>
      </c>
      <c r="AK381" s="12">
        <v>36137</v>
      </c>
      <c r="AL381" s="12">
        <v>36137</v>
      </c>
      <c r="AM381" s="12">
        <v>36137</v>
      </c>
      <c r="AN381" s="12">
        <v>36137</v>
      </c>
      <c r="AO381" s="12">
        <v>36137</v>
      </c>
      <c r="AP381" s="12">
        <v>36137</v>
      </c>
      <c r="AQ381" s="12">
        <v>36137</v>
      </c>
      <c r="AR381" s="12">
        <v>36137</v>
      </c>
      <c r="AS381" s="12">
        <v>36137</v>
      </c>
      <c r="AT381" s="12">
        <v>36137</v>
      </c>
      <c r="AU381" s="12">
        <v>36137</v>
      </c>
      <c r="AV381" s="12">
        <v>36137</v>
      </c>
      <c r="AW381" s="12">
        <v>0</v>
      </c>
      <c r="AX381" s="12">
        <v>0</v>
      </c>
      <c r="AY381" s="12">
        <v>0</v>
      </c>
      <c r="AZ381" s="12">
        <v>0</v>
      </c>
      <c r="BA381" s="12">
        <v>0</v>
      </c>
    </row>
    <row r="382" spans="1:53" x14ac:dyDescent="0.3">
      <c r="A382" s="7">
        <f t="shared" si="84"/>
        <v>0</v>
      </c>
      <c r="B382" s="7">
        <f t="shared" si="85"/>
        <v>0</v>
      </c>
      <c r="C382" s="7">
        <f t="shared" si="86"/>
        <v>0</v>
      </c>
      <c r="D382" s="5" t="str">
        <f t="shared" si="93"/>
        <v>856</v>
      </c>
      <c r="E382" s="5" t="str">
        <f t="shared" si="93"/>
        <v>ML27A060030A</v>
      </c>
      <c r="F382" s="5"/>
      <c r="G382" s="5"/>
      <c r="H382" s="11" t="s">
        <v>780</v>
      </c>
      <c r="I382" s="11" t="s">
        <v>781</v>
      </c>
      <c r="J382" s="12"/>
      <c r="K382" s="11" t="s">
        <v>918</v>
      </c>
      <c r="L382" s="12">
        <v>0</v>
      </c>
      <c r="M382" s="12">
        <v>0</v>
      </c>
      <c r="N382" s="12">
        <v>0</v>
      </c>
      <c r="O382" s="12">
        <v>0</v>
      </c>
      <c r="P382" s="12">
        <v>0</v>
      </c>
      <c r="Q382" s="12">
        <v>0</v>
      </c>
      <c r="R382" s="12">
        <v>0</v>
      </c>
      <c r="S382" s="12">
        <v>0</v>
      </c>
      <c r="T382" s="12">
        <v>0</v>
      </c>
      <c r="U382" s="12">
        <v>0</v>
      </c>
      <c r="V382" s="12">
        <v>0</v>
      </c>
      <c r="W382" s="12">
        <v>0</v>
      </c>
      <c r="X382" s="12">
        <v>0</v>
      </c>
      <c r="Y382" s="12">
        <v>0</v>
      </c>
      <c r="Z382" s="12">
        <v>0</v>
      </c>
      <c r="AA382" s="12">
        <v>0</v>
      </c>
      <c r="AB382" s="12">
        <v>0</v>
      </c>
      <c r="AC382" s="12">
        <v>0</v>
      </c>
      <c r="AD382" s="12">
        <v>0</v>
      </c>
      <c r="AE382" s="12">
        <v>0</v>
      </c>
      <c r="AF382" s="12">
        <v>0</v>
      </c>
      <c r="AG382" s="12">
        <v>0</v>
      </c>
      <c r="AH382" s="12">
        <v>0</v>
      </c>
      <c r="AI382" s="12">
        <v>0</v>
      </c>
      <c r="AJ382" s="12">
        <v>0</v>
      </c>
      <c r="AK382" s="12">
        <v>0</v>
      </c>
      <c r="AL382" s="12">
        <v>0</v>
      </c>
      <c r="AM382" s="12">
        <v>0</v>
      </c>
      <c r="AN382" s="12">
        <v>0</v>
      </c>
      <c r="AO382" s="12">
        <v>0</v>
      </c>
      <c r="AP382" s="12">
        <v>0</v>
      </c>
      <c r="AQ382" s="12">
        <v>0</v>
      </c>
      <c r="AR382" s="12">
        <v>0</v>
      </c>
      <c r="AS382" s="12">
        <v>0</v>
      </c>
      <c r="AT382" s="12">
        <v>0</v>
      </c>
      <c r="AU382" s="12">
        <v>0</v>
      </c>
      <c r="AV382" s="12">
        <v>0</v>
      </c>
      <c r="AW382" s="12">
        <v>0</v>
      </c>
      <c r="AX382" s="12">
        <v>0</v>
      </c>
      <c r="AY382" s="12">
        <v>0</v>
      </c>
      <c r="AZ382" s="12">
        <v>0</v>
      </c>
      <c r="BA382" s="12">
        <v>0</v>
      </c>
    </row>
    <row r="383" spans="1:53" x14ac:dyDescent="0.3">
      <c r="A383" s="7">
        <f t="shared" si="84"/>
        <v>0</v>
      </c>
      <c r="B383" s="7">
        <f t="shared" si="85"/>
        <v>0</v>
      </c>
      <c r="C383" s="7">
        <f t="shared" si="86"/>
        <v>0</v>
      </c>
      <c r="D383" s="5" t="str">
        <f t="shared" si="93"/>
        <v>856</v>
      </c>
      <c r="E383" s="5" t="str">
        <f t="shared" si="93"/>
        <v>ML27A060030A</v>
      </c>
      <c r="F383" s="5"/>
      <c r="G383" s="5"/>
      <c r="H383" s="11" t="s">
        <v>49</v>
      </c>
      <c r="I383" s="11"/>
      <c r="J383" s="12">
        <v>0</v>
      </c>
      <c r="K383" s="11" t="s">
        <v>919</v>
      </c>
      <c r="L383" s="12">
        <v>0</v>
      </c>
      <c r="M383" s="12">
        <v>0</v>
      </c>
      <c r="N383" s="12">
        <v>0</v>
      </c>
      <c r="O383" s="12">
        <v>0</v>
      </c>
      <c r="P383" s="12">
        <v>0</v>
      </c>
      <c r="Q383" s="12">
        <v>0</v>
      </c>
      <c r="R383" s="12">
        <v>0</v>
      </c>
      <c r="S383" s="12">
        <v>0</v>
      </c>
      <c r="T383" s="12">
        <v>0</v>
      </c>
      <c r="U383" s="12">
        <v>0</v>
      </c>
      <c r="V383" s="12">
        <v>0</v>
      </c>
      <c r="W383" s="12">
        <v>0</v>
      </c>
      <c r="X383" s="12">
        <v>0</v>
      </c>
      <c r="Y383" s="12">
        <v>0</v>
      </c>
      <c r="Z383" s="12">
        <v>0</v>
      </c>
      <c r="AA383" s="12">
        <v>0</v>
      </c>
      <c r="AB383" s="12">
        <v>0</v>
      </c>
      <c r="AC383" s="12">
        <v>0</v>
      </c>
      <c r="AD383" s="12">
        <v>0</v>
      </c>
      <c r="AE383" s="12">
        <v>0</v>
      </c>
      <c r="AF383" s="12">
        <v>0</v>
      </c>
      <c r="AG383" s="12">
        <v>0</v>
      </c>
      <c r="AH383" s="12">
        <v>0</v>
      </c>
      <c r="AI383" s="12">
        <v>0</v>
      </c>
      <c r="AJ383" s="12">
        <v>0</v>
      </c>
      <c r="AK383" s="12">
        <v>0</v>
      </c>
      <c r="AL383" s="12">
        <v>0</v>
      </c>
      <c r="AM383" s="12">
        <v>0</v>
      </c>
      <c r="AN383" s="12">
        <v>0</v>
      </c>
      <c r="AO383" s="12">
        <v>0</v>
      </c>
      <c r="AP383" s="12">
        <v>0</v>
      </c>
      <c r="AQ383" s="12">
        <v>0</v>
      </c>
      <c r="AR383" s="12">
        <v>0</v>
      </c>
      <c r="AS383" s="12">
        <v>0</v>
      </c>
      <c r="AT383" s="12">
        <v>0</v>
      </c>
      <c r="AU383" s="12">
        <v>0</v>
      </c>
      <c r="AV383" s="12">
        <v>0</v>
      </c>
      <c r="AW383" s="12">
        <v>0</v>
      </c>
      <c r="AX383" s="12">
        <v>0</v>
      </c>
      <c r="AY383" s="12">
        <v>0</v>
      </c>
      <c r="AZ383" s="12">
        <v>0</v>
      </c>
      <c r="BA383" s="12">
        <v>0</v>
      </c>
    </row>
    <row r="384" spans="1:53" x14ac:dyDescent="0.3">
      <c r="A384" s="7">
        <f t="shared" si="84"/>
        <v>252959</v>
      </c>
      <c r="B384" s="7">
        <f t="shared" si="85"/>
        <v>252959</v>
      </c>
      <c r="C384" s="7">
        <f t="shared" si="86"/>
        <v>252959</v>
      </c>
      <c r="D384" s="5" t="str">
        <f t="shared" si="93"/>
        <v>856</v>
      </c>
      <c r="E384" s="5" t="str">
        <f t="shared" si="93"/>
        <v>ML27A060030A</v>
      </c>
      <c r="F384" s="5"/>
      <c r="G384" s="6"/>
      <c r="H384" s="11" t="s">
        <v>920</v>
      </c>
      <c r="I384" s="11"/>
      <c r="J384" s="12">
        <v>0</v>
      </c>
      <c r="K384" s="11" t="s">
        <v>921</v>
      </c>
      <c r="L384" s="12">
        <v>0</v>
      </c>
      <c r="M384" s="12">
        <v>36137</v>
      </c>
      <c r="N384" s="12">
        <v>36137</v>
      </c>
      <c r="O384" s="12">
        <v>36137</v>
      </c>
      <c r="P384" s="12">
        <v>36137</v>
      </c>
      <c r="Q384" s="12">
        <v>36137</v>
      </c>
      <c r="R384" s="12">
        <v>36137</v>
      </c>
      <c r="S384" s="12">
        <v>36137</v>
      </c>
      <c r="T384" s="12">
        <v>36137</v>
      </c>
      <c r="U384" s="12">
        <v>36137</v>
      </c>
      <c r="V384" s="12">
        <v>36137</v>
      </c>
      <c r="W384" s="12">
        <v>36137</v>
      </c>
      <c r="X384" s="12">
        <v>36137</v>
      </c>
      <c r="Y384" s="12">
        <v>36137</v>
      </c>
      <c r="Z384" s="12">
        <v>36137</v>
      </c>
      <c r="AA384" s="12">
        <v>36137</v>
      </c>
      <c r="AB384" s="12">
        <v>36137</v>
      </c>
      <c r="AC384" s="12">
        <v>36137</v>
      </c>
      <c r="AD384" s="12">
        <v>36137</v>
      </c>
      <c r="AE384" s="12">
        <v>36137</v>
      </c>
      <c r="AF384" s="12">
        <v>36137</v>
      </c>
      <c r="AG384" s="12">
        <v>36137</v>
      </c>
      <c r="AH384" s="12">
        <v>36137</v>
      </c>
      <c r="AI384" s="12">
        <v>36137</v>
      </c>
      <c r="AJ384" s="12">
        <v>36137</v>
      </c>
      <c r="AK384" s="12">
        <v>36137</v>
      </c>
      <c r="AL384" s="12">
        <v>36137</v>
      </c>
      <c r="AM384" s="12">
        <v>36137</v>
      </c>
      <c r="AN384" s="12">
        <v>36137</v>
      </c>
      <c r="AO384" s="12">
        <v>36137</v>
      </c>
      <c r="AP384" s="12">
        <v>36137</v>
      </c>
      <c r="AQ384" s="12">
        <v>36137</v>
      </c>
      <c r="AR384" s="12">
        <v>36137</v>
      </c>
      <c r="AS384" s="12">
        <v>36137</v>
      </c>
      <c r="AT384" s="12">
        <v>36137</v>
      </c>
      <c r="AU384" s="12">
        <v>36137</v>
      </c>
      <c r="AV384" s="12">
        <v>36137</v>
      </c>
      <c r="AW384" s="12">
        <v>0</v>
      </c>
      <c r="AX384" s="12">
        <v>0</v>
      </c>
      <c r="AY384" s="12">
        <v>0</v>
      </c>
      <c r="AZ384" s="12">
        <v>0</v>
      </c>
      <c r="BA384" s="12">
        <v>0</v>
      </c>
    </row>
    <row r="385" spans="1:53" x14ac:dyDescent="0.3">
      <c r="A385" s="7">
        <f t="shared" si="84"/>
        <v>0</v>
      </c>
      <c r="B385" s="7">
        <f t="shared" si="85"/>
        <v>258</v>
      </c>
      <c r="C385" s="7">
        <f t="shared" si="86"/>
        <v>0</v>
      </c>
      <c r="D385" s="5" t="str">
        <f t="shared" si="93"/>
        <v>856</v>
      </c>
      <c r="E385" s="13" t="s">
        <v>848</v>
      </c>
      <c r="F385" s="5"/>
      <c r="G385" s="13" t="s">
        <v>962</v>
      </c>
      <c r="H385" s="13" t="s">
        <v>49</v>
      </c>
      <c r="I385" s="11" t="s">
        <v>49</v>
      </c>
      <c r="J385" s="12">
        <v>0</v>
      </c>
      <c r="K385" s="11" t="s">
        <v>916</v>
      </c>
      <c r="L385" s="12">
        <v>0</v>
      </c>
      <c r="M385" s="12">
        <v>13974</v>
      </c>
      <c r="N385" s="12">
        <v>0</v>
      </c>
      <c r="O385" s="12">
        <v>0</v>
      </c>
      <c r="P385" s="12">
        <v>0</v>
      </c>
      <c r="Q385" s="12">
        <v>0</v>
      </c>
      <c r="R385" s="12">
        <v>0</v>
      </c>
      <c r="S385" s="12">
        <v>0</v>
      </c>
      <c r="T385" s="12">
        <v>0</v>
      </c>
      <c r="U385" s="12">
        <v>258</v>
      </c>
      <c r="V385" s="12">
        <v>0</v>
      </c>
      <c r="W385" s="12">
        <v>0</v>
      </c>
      <c r="X385" s="12">
        <v>0</v>
      </c>
      <c r="Y385" s="12">
        <v>0</v>
      </c>
      <c r="Z385" s="12">
        <v>0</v>
      </c>
      <c r="AA385" s="12">
        <v>0</v>
      </c>
      <c r="AB385" s="12">
        <v>0</v>
      </c>
      <c r="AC385" s="12">
        <v>0</v>
      </c>
      <c r="AD385" s="12">
        <v>0</v>
      </c>
      <c r="AE385" s="12">
        <v>0</v>
      </c>
      <c r="AF385" s="12">
        <v>0</v>
      </c>
      <c r="AG385" s="12">
        <v>0</v>
      </c>
      <c r="AH385" s="12">
        <v>0</v>
      </c>
      <c r="AI385" s="12">
        <v>0</v>
      </c>
      <c r="AJ385" s="12">
        <v>0</v>
      </c>
      <c r="AK385" s="12">
        <v>900</v>
      </c>
      <c r="AL385" s="12">
        <v>0</v>
      </c>
      <c r="AM385" s="12">
        <v>3900</v>
      </c>
      <c r="AN385" s="12">
        <v>0</v>
      </c>
      <c r="AO385" s="12">
        <v>450</v>
      </c>
      <c r="AP385" s="12">
        <v>0</v>
      </c>
      <c r="AQ385" s="12">
        <v>2056.1999999999998</v>
      </c>
      <c r="AR385" s="12">
        <v>3600</v>
      </c>
      <c r="AS385" s="12">
        <v>0</v>
      </c>
      <c r="AT385" s="12">
        <v>2809.8</v>
      </c>
      <c r="AU385" s="12">
        <v>0</v>
      </c>
      <c r="AV385" s="12">
        <v>0</v>
      </c>
      <c r="AW385" s="12">
        <v>258</v>
      </c>
      <c r="AX385" s="12">
        <v>900</v>
      </c>
      <c r="AY385" s="12">
        <v>4350</v>
      </c>
      <c r="AZ385" s="12">
        <v>8466</v>
      </c>
      <c r="BA385" s="12">
        <v>0</v>
      </c>
    </row>
    <row r="386" spans="1:53" x14ac:dyDescent="0.3">
      <c r="A386" s="7">
        <f t="shared" si="84"/>
        <v>0</v>
      </c>
      <c r="B386" s="7">
        <f t="shared" si="85"/>
        <v>-1806</v>
      </c>
      <c r="C386" s="7">
        <f t="shared" si="86"/>
        <v>-1806</v>
      </c>
      <c r="D386" s="5" t="str">
        <f t="shared" si="93"/>
        <v>856</v>
      </c>
      <c r="E386" s="5" t="str">
        <f t="shared" si="93"/>
        <v>ML27A060031A</v>
      </c>
      <c r="F386" s="5"/>
      <c r="G386" s="5"/>
      <c r="H386" s="6"/>
      <c r="I386" s="11"/>
      <c r="J386" s="12">
        <v>0</v>
      </c>
      <c r="K386" s="11" t="s">
        <v>917</v>
      </c>
      <c r="L386" s="12">
        <v>0</v>
      </c>
      <c r="M386" s="12">
        <v>-13974</v>
      </c>
      <c r="N386" s="12">
        <v>0</v>
      </c>
      <c r="O386" s="12">
        <v>0</v>
      </c>
      <c r="P386" s="12">
        <v>0</v>
      </c>
      <c r="Q386" s="12">
        <v>0</v>
      </c>
      <c r="R386" s="12">
        <v>0</v>
      </c>
      <c r="S386" s="12">
        <v>0</v>
      </c>
      <c r="T386" s="12">
        <v>0</v>
      </c>
      <c r="U386" s="12">
        <v>-258</v>
      </c>
      <c r="V386" s="12">
        <v>-258</v>
      </c>
      <c r="W386" s="12">
        <v>-258</v>
      </c>
      <c r="X386" s="12">
        <v>-258</v>
      </c>
      <c r="Y386" s="12">
        <v>-258</v>
      </c>
      <c r="Z386" s="12">
        <v>-258</v>
      </c>
      <c r="AA386" s="12">
        <v>-258</v>
      </c>
      <c r="AB386" s="12">
        <v>-258</v>
      </c>
      <c r="AC386" s="12">
        <v>-258</v>
      </c>
      <c r="AD386" s="12">
        <v>-258</v>
      </c>
      <c r="AE386" s="12">
        <v>-258</v>
      </c>
      <c r="AF386" s="12">
        <v>-258</v>
      </c>
      <c r="AG386" s="12">
        <v>-258</v>
      </c>
      <c r="AH386" s="12">
        <v>-258</v>
      </c>
      <c r="AI386" s="12">
        <v>-258</v>
      </c>
      <c r="AJ386" s="12">
        <v>-258</v>
      </c>
      <c r="AK386" s="12">
        <v>-1158</v>
      </c>
      <c r="AL386" s="12">
        <v>-1158</v>
      </c>
      <c r="AM386" s="12">
        <v>-5058</v>
      </c>
      <c r="AN386" s="12">
        <v>-5058</v>
      </c>
      <c r="AO386" s="12">
        <v>-5508</v>
      </c>
      <c r="AP386" s="12">
        <v>-5508</v>
      </c>
      <c r="AQ386" s="12">
        <v>-7564.2</v>
      </c>
      <c r="AR386" s="12">
        <v>-11164.2</v>
      </c>
      <c r="AS386" s="12">
        <v>-11164.2</v>
      </c>
      <c r="AT386" s="12">
        <v>-13974</v>
      </c>
      <c r="AU386" s="12">
        <v>-13974</v>
      </c>
      <c r="AV386" s="12">
        <v>-13974</v>
      </c>
      <c r="AW386" s="12">
        <v>0</v>
      </c>
      <c r="AX386" s="12">
        <v>0</v>
      </c>
      <c r="AY386" s="12">
        <v>0</v>
      </c>
      <c r="AZ386" s="12">
        <v>0</v>
      </c>
      <c r="BA386" s="12">
        <v>0</v>
      </c>
    </row>
    <row r="387" spans="1:53" x14ac:dyDescent="0.3">
      <c r="A387" s="7">
        <f t="shared" si="84"/>
        <v>0</v>
      </c>
      <c r="B387" s="7">
        <f t="shared" si="85"/>
        <v>3024</v>
      </c>
      <c r="C387" s="7">
        <f t="shared" si="86"/>
        <v>6048</v>
      </c>
      <c r="D387" s="5" t="str">
        <f t="shared" si="93"/>
        <v>856</v>
      </c>
      <c r="E387" s="5" t="str">
        <f t="shared" si="93"/>
        <v>ML27A060031A</v>
      </c>
      <c r="F387" s="5"/>
      <c r="G387" s="5"/>
      <c r="H387" s="11" t="s">
        <v>778</v>
      </c>
      <c r="I387" s="11" t="s">
        <v>779</v>
      </c>
      <c r="J387" s="12"/>
      <c r="K387" s="11" t="s">
        <v>918</v>
      </c>
      <c r="L387" s="12">
        <v>0</v>
      </c>
      <c r="M387" s="12">
        <v>33072</v>
      </c>
      <c r="N387" s="12">
        <v>0</v>
      </c>
      <c r="O387" s="12">
        <v>0</v>
      </c>
      <c r="P387" s="12">
        <v>0</v>
      </c>
      <c r="Q387" s="12">
        <v>0</v>
      </c>
      <c r="R387" s="12">
        <v>0</v>
      </c>
      <c r="S387" s="12">
        <v>0</v>
      </c>
      <c r="T387" s="12">
        <v>0</v>
      </c>
      <c r="U387" s="12">
        <v>0</v>
      </c>
      <c r="V387" s="12">
        <v>0</v>
      </c>
      <c r="W387" s="12">
        <v>3024</v>
      </c>
      <c r="X387" s="12">
        <v>0</v>
      </c>
      <c r="Y387" s="12">
        <v>0</v>
      </c>
      <c r="Z387" s="12">
        <v>0</v>
      </c>
      <c r="AA387" s="12">
        <v>0</v>
      </c>
      <c r="AB387" s="12">
        <v>0</v>
      </c>
      <c r="AC387" s="12">
        <v>0</v>
      </c>
      <c r="AD387" s="12">
        <v>6048</v>
      </c>
      <c r="AE387" s="12">
        <v>0</v>
      </c>
      <c r="AF387" s="12">
        <v>0</v>
      </c>
      <c r="AG387" s="12">
        <v>0</v>
      </c>
      <c r="AH387" s="12">
        <v>0</v>
      </c>
      <c r="AI387" s="12">
        <v>0</v>
      </c>
      <c r="AJ387" s="12">
        <v>0</v>
      </c>
      <c r="AK387" s="12">
        <v>24000</v>
      </c>
      <c r="AL387" s="12">
        <v>0</v>
      </c>
      <c r="AM387" s="12">
        <v>0</v>
      </c>
      <c r="AN387" s="12">
        <v>0</v>
      </c>
      <c r="AO387" s="12">
        <v>0</v>
      </c>
      <c r="AP387" s="12">
        <v>0</v>
      </c>
      <c r="AQ387" s="12">
        <v>0</v>
      </c>
      <c r="AR387" s="12">
        <v>0</v>
      </c>
      <c r="AS387" s="12">
        <v>0</v>
      </c>
      <c r="AT387" s="12">
        <v>0</v>
      </c>
      <c r="AU387" s="12">
        <v>0</v>
      </c>
      <c r="AV387" s="12">
        <v>0</v>
      </c>
      <c r="AW387" s="12">
        <v>3024</v>
      </c>
      <c r="AX387" s="12">
        <v>30048</v>
      </c>
      <c r="AY387" s="12">
        <v>0</v>
      </c>
      <c r="AZ387" s="12">
        <v>0</v>
      </c>
      <c r="BA387" s="12">
        <v>0</v>
      </c>
    </row>
    <row r="388" spans="1:53" x14ac:dyDescent="0.3">
      <c r="A388" s="7">
        <f t="shared" si="84"/>
        <v>0</v>
      </c>
      <c r="B388" s="7">
        <f t="shared" si="85"/>
        <v>3024</v>
      </c>
      <c r="C388" s="7">
        <f t="shared" si="86"/>
        <v>6048</v>
      </c>
      <c r="D388" s="5" t="str">
        <f t="shared" si="93"/>
        <v>856</v>
      </c>
      <c r="E388" s="5" t="str">
        <f t="shared" si="93"/>
        <v>ML27A060031A</v>
      </c>
      <c r="F388" s="5"/>
      <c r="G388" s="5"/>
      <c r="H388" s="11" t="s">
        <v>49</v>
      </c>
      <c r="I388" s="11"/>
      <c r="J388" s="12">
        <v>0</v>
      </c>
      <c r="K388" s="11" t="s">
        <v>919</v>
      </c>
      <c r="L388" s="12">
        <v>0</v>
      </c>
      <c r="M388" s="12">
        <v>33072</v>
      </c>
      <c r="N388" s="12">
        <v>0</v>
      </c>
      <c r="O388" s="12">
        <v>0</v>
      </c>
      <c r="P388" s="12">
        <v>0</v>
      </c>
      <c r="Q388" s="12">
        <v>0</v>
      </c>
      <c r="R388" s="12">
        <v>0</v>
      </c>
      <c r="S388" s="12">
        <v>0</v>
      </c>
      <c r="T388" s="12">
        <v>0</v>
      </c>
      <c r="U388" s="12">
        <v>0</v>
      </c>
      <c r="V388" s="12">
        <v>0</v>
      </c>
      <c r="W388" s="12">
        <v>3024</v>
      </c>
      <c r="X388" s="12">
        <v>0</v>
      </c>
      <c r="Y388" s="12">
        <v>0</v>
      </c>
      <c r="Z388" s="12">
        <v>0</v>
      </c>
      <c r="AA388" s="12">
        <v>0</v>
      </c>
      <c r="AB388" s="12">
        <v>0</v>
      </c>
      <c r="AC388" s="12">
        <v>0</v>
      </c>
      <c r="AD388" s="12">
        <v>6048</v>
      </c>
      <c r="AE388" s="12">
        <v>0</v>
      </c>
      <c r="AF388" s="12">
        <v>0</v>
      </c>
      <c r="AG388" s="12">
        <v>0</v>
      </c>
      <c r="AH388" s="12">
        <v>0</v>
      </c>
      <c r="AI388" s="12">
        <v>0</v>
      </c>
      <c r="AJ388" s="12">
        <v>0</v>
      </c>
      <c r="AK388" s="12">
        <v>24000</v>
      </c>
      <c r="AL388" s="12">
        <v>0</v>
      </c>
      <c r="AM388" s="12">
        <v>0</v>
      </c>
      <c r="AN388" s="12">
        <v>0</v>
      </c>
      <c r="AO388" s="12">
        <v>0</v>
      </c>
      <c r="AP388" s="12">
        <v>0</v>
      </c>
      <c r="AQ388" s="12">
        <v>0</v>
      </c>
      <c r="AR388" s="12">
        <v>0</v>
      </c>
      <c r="AS388" s="12">
        <v>0</v>
      </c>
      <c r="AT388" s="12">
        <v>0</v>
      </c>
      <c r="AU388" s="12">
        <v>0</v>
      </c>
      <c r="AV388" s="12">
        <v>0</v>
      </c>
      <c r="AW388" s="12">
        <v>3024</v>
      </c>
      <c r="AX388" s="12">
        <v>30048</v>
      </c>
      <c r="AY388" s="12">
        <v>0</v>
      </c>
      <c r="AZ388" s="12">
        <v>0</v>
      </c>
      <c r="BA388" s="12">
        <v>0</v>
      </c>
    </row>
    <row r="389" spans="1:53" x14ac:dyDescent="0.3">
      <c r="A389" s="7">
        <f t="shared" si="84"/>
        <v>0</v>
      </c>
      <c r="B389" s="7">
        <f t="shared" si="85"/>
        <v>13314</v>
      </c>
      <c r="C389" s="7">
        <f t="shared" si="86"/>
        <v>49602</v>
      </c>
      <c r="D389" s="5" t="str">
        <f t="shared" si="93"/>
        <v>856</v>
      </c>
      <c r="E389" s="5" t="str">
        <f t="shared" si="93"/>
        <v>ML27A060031A</v>
      </c>
      <c r="F389" s="5"/>
      <c r="G389" s="6"/>
      <c r="H389" s="11" t="s">
        <v>920</v>
      </c>
      <c r="I389" s="11"/>
      <c r="J389" s="12">
        <v>0</v>
      </c>
      <c r="K389" s="11" t="s">
        <v>921</v>
      </c>
      <c r="L389" s="12">
        <v>0</v>
      </c>
      <c r="M389" s="12">
        <v>19098</v>
      </c>
      <c r="N389" s="12">
        <v>0</v>
      </c>
      <c r="O389" s="12">
        <v>0</v>
      </c>
      <c r="P389" s="12">
        <v>0</v>
      </c>
      <c r="Q389" s="12">
        <v>0</v>
      </c>
      <c r="R389" s="12">
        <v>0</v>
      </c>
      <c r="S389" s="12">
        <v>0</v>
      </c>
      <c r="T389" s="12">
        <v>0</v>
      </c>
      <c r="U389" s="12">
        <v>-258</v>
      </c>
      <c r="V389" s="12">
        <v>-258</v>
      </c>
      <c r="W389" s="12">
        <v>2766</v>
      </c>
      <c r="X389" s="12">
        <v>2766</v>
      </c>
      <c r="Y389" s="12">
        <v>2766</v>
      </c>
      <c r="Z389" s="12">
        <v>2766</v>
      </c>
      <c r="AA389" s="12">
        <v>2766</v>
      </c>
      <c r="AB389" s="12">
        <v>2766</v>
      </c>
      <c r="AC389" s="12">
        <v>2766</v>
      </c>
      <c r="AD389" s="12">
        <v>8814</v>
      </c>
      <c r="AE389" s="12">
        <v>8814</v>
      </c>
      <c r="AF389" s="12">
        <v>8814</v>
      </c>
      <c r="AG389" s="12">
        <v>8814</v>
      </c>
      <c r="AH389" s="12">
        <v>8814</v>
      </c>
      <c r="AI389" s="12">
        <v>8814</v>
      </c>
      <c r="AJ389" s="12">
        <v>8814</v>
      </c>
      <c r="AK389" s="12">
        <v>31914</v>
      </c>
      <c r="AL389" s="12">
        <v>31914</v>
      </c>
      <c r="AM389" s="12">
        <v>28014</v>
      </c>
      <c r="AN389" s="12">
        <v>28014</v>
      </c>
      <c r="AO389" s="12">
        <v>27564</v>
      </c>
      <c r="AP389" s="12">
        <v>27564</v>
      </c>
      <c r="AQ389" s="12">
        <v>25507.8</v>
      </c>
      <c r="AR389" s="12">
        <v>21907.8</v>
      </c>
      <c r="AS389" s="12">
        <v>21907.8</v>
      </c>
      <c r="AT389" s="12">
        <v>19098</v>
      </c>
      <c r="AU389" s="12">
        <v>19098</v>
      </c>
      <c r="AV389" s="12">
        <v>19098</v>
      </c>
      <c r="AW389" s="12">
        <v>0</v>
      </c>
      <c r="AX389" s="12">
        <v>0</v>
      </c>
      <c r="AY389" s="12">
        <v>0</v>
      </c>
      <c r="AZ389" s="12">
        <v>0</v>
      </c>
      <c r="BA389" s="12">
        <v>0</v>
      </c>
    </row>
    <row r="390" spans="1:53" x14ac:dyDescent="0.3">
      <c r="A390" s="7">
        <f t="shared" ref="A390:A399" si="94">SUM(N390:T390)</f>
        <v>0</v>
      </c>
      <c r="B390" s="7">
        <f t="shared" ref="B390:B399" si="95">SUM(U390:AA390)</f>
        <v>392</v>
      </c>
      <c r="C390" s="7">
        <f t="shared" ref="C390:C399" si="96">SUM(AB390:AH390)</f>
        <v>320</v>
      </c>
      <c r="D390" s="13"/>
      <c r="E390" s="13" t="s">
        <v>847</v>
      </c>
      <c r="F390" s="5"/>
      <c r="G390" s="13" t="s">
        <v>1041</v>
      </c>
      <c r="H390" s="13" t="s">
        <v>49</v>
      </c>
      <c r="I390" s="11" t="s">
        <v>49</v>
      </c>
      <c r="J390" s="12">
        <v>0</v>
      </c>
      <c r="K390" s="11" t="s">
        <v>916</v>
      </c>
      <c r="L390" s="12">
        <v>0</v>
      </c>
      <c r="M390" s="12">
        <v>10336</v>
      </c>
      <c r="N390" s="12">
        <v>0</v>
      </c>
      <c r="O390" s="12">
        <v>0</v>
      </c>
      <c r="P390" s="12">
        <v>0</v>
      </c>
      <c r="Q390" s="12">
        <v>0</v>
      </c>
      <c r="R390" s="12">
        <v>0</v>
      </c>
      <c r="S390" s="12">
        <v>0</v>
      </c>
      <c r="T390" s="12">
        <v>0</v>
      </c>
      <c r="U390" s="12">
        <v>392</v>
      </c>
      <c r="V390" s="12">
        <v>0</v>
      </c>
      <c r="W390" s="12">
        <v>0</v>
      </c>
      <c r="X390" s="12">
        <v>0</v>
      </c>
      <c r="Y390" s="12">
        <v>0</v>
      </c>
      <c r="Z390" s="12">
        <v>0</v>
      </c>
      <c r="AA390" s="12">
        <v>0</v>
      </c>
      <c r="AB390" s="12">
        <v>320</v>
      </c>
      <c r="AC390" s="12">
        <v>0</v>
      </c>
      <c r="AD390" s="12">
        <v>0</v>
      </c>
      <c r="AE390" s="12">
        <v>0</v>
      </c>
      <c r="AF390" s="12">
        <v>0</v>
      </c>
      <c r="AG390" s="12">
        <v>0</v>
      </c>
      <c r="AH390" s="12">
        <v>0</v>
      </c>
      <c r="AI390" s="12">
        <v>0</v>
      </c>
      <c r="AJ390" s="12">
        <v>0</v>
      </c>
      <c r="AK390" s="12">
        <v>600</v>
      </c>
      <c r="AL390" s="12">
        <v>0</v>
      </c>
      <c r="AM390" s="12">
        <v>2800</v>
      </c>
      <c r="AN390" s="12">
        <v>0</v>
      </c>
      <c r="AO390" s="12">
        <v>300</v>
      </c>
      <c r="AP390" s="12">
        <v>0</v>
      </c>
      <c r="AQ390" s="12">
        <v>1570.8</v>
      </c>
      <c r="AR390" s="12">
        <v>2400</v>
      </c>
      <c r="AS390" s="12">
        <v>0</v>
      </c>
      <c r="AT390" s="12">
        <v>1953.2</v>
      </c>
      <c r="AU390" s="12">
        <v>0</v>
      </c>
      <c r="AV390" s="12">
        <v>0</v>
      </c>
      <c r="AW390" s="12">
        <v>392</v>
      </c>
      <c r="AX390" s="12">
        <v>920</v>
      </c>
      <c r="AY390" s="12">
        <v>3100</v>
      </c>
      <c r="AZ390" s="12">
        <v>5924</v>
      </c>
      <c r="BA390" s="12">
        <v>0</v>
      </c>
    </row>
    <row r="391" spans="1:53" x14ac:dyDescent="0.3">
      <c r="A391" s="7">
        <f t="shared" si="94"/>
        <v>191100</v>
      </c>
      <c r="B391" s="7">
        <f t="shared" si="95"/>
        <v>188356</v>
      </c>
      <c r="C391" s="7">
        <f t="shared" si="96"/>
        <v>186116</v>
      </c>
      <c r="D391" s="5"/>
      <c r="E391" s="5" t="str">
        <f t="shared" ref="E391:E394" si="97">E390</f>
        <v>ML27A060033A</v>
      </c>
      <c r="F391" s="5"/>
      <c r="G391" s="5"/>
      <c r="H391" s="6"/>
      <c r="I391" s="11"/>
      <c r="J391" s="12">
        <v>0</v>
      </c>
      <c r="K391" s="11" t="s">
        <v>917</v>
      </c>
      <c r="L391" s="12">
        <v>27300</v>
      </c>
      <c r="M391" s="12">
        <v>16964</v>
      </c>
      <c r="N391" s="12">
        <v>27300</v>
      </c>
      <c r="O391" s="12">
        <v>27300</v>
      </c>
      <c r="P391" s="12">
        <v>27300</v>
      </c>
      <c r="Q391" s="12">
        <v>27300</v>
      </c>
      <c r="R391" s="12">
        <v>27300</v>
      </c>
      <c r="S391" s="12">
        <v>27300</v>
      </c>
      <c r="T391" s="12">
        <v>27300</v>
      </c>
      <c r="U391" s="12">
        <v>26908</v>
      </c>
      <c r="V391" s="12">
        <v>26908</v>
      </c>
      <c r="W391" s="12">
        <v>26908</v>
      </c>
      <c r="X391" s="12">
        <v>26908</v>
      </c>
      <c r="Y391" s="12">
        <v>26908</v>
      </c>
      <c r="Z391" s="12">
        <v>26908</v>
      </c>
      <c r="AA391" s="12">
        <v>26908</v>
      </c>
      <c r="AB391" s="12">
        <v>26588</v>
      </c>
      <c r="AC391" s="12">
        <v>26588</v>
      </c>
      <c r="AD391" s="12">
        <v>26588</v>
      </c>
      <c r="AE391" s="12">
        <v>26588</v>
      </c>
      <c r="AF391" s="12">
        <v>26588</v>
      </c>
      <c r="AG391" s="12">
        <v>26588</v>
      </c>
      <c r="AH391" s="12">
        <v>26588</v>
      </c>
      <c r="AI391" s="12">
        <v>26588</v>
      </c>
      <c r="AJ391" s="12">
        <v>26588</v>
      </c>
      <c r="AK391" s="12">
        <v>25988</v>
      </c>
      <c r="AL391" s="12">
        <v>25988</v>
      </c>
      <c r="AM391" s="12">
        <v>23188</v>
      </c>
      <c r="AN391" s="12">
        <v>23188</v>
      </c>
      <c r="AO391" s="12">
        <v>22888</v>
      </c>
      <c r="AP391" s="12">
        <v>22888</v>
      </c>
      <c r="AQ391" s="12">
        <v>21317.200000000001</v>
      </c>
      <c r="AR391" s="12">
        <v>18917.2</v>
      </c>
      <c r="AS391" s="12">
        <v>18917.2</v>
      </c>
      <c r="AT391" s="12">
        <v>16964</v>
      </c>
      <c r="AU391" s="12">
        <v>16964</v>
      </c>
      <c r="AV391" s="12">
        <v>16964</v>
      </c>
      <c r="AW391" s="12">
        <v>0</v>
      </c>
      <c r="AX391" s="12">
        <v>0</v>
      </c>
      <c r="AY391" s="12">
        <v>0</v>
      </c>
      <c r="AZ391" s="12">
        <v>0</v>
      </c>
      <c r="BA391" s="12">
        <v>0</v>
      </c>
    </row>
    <row r="392" spans="1:53" x14ac:dyDescent="0.3">
      <c r="A392" s="7">
        <f t="shared" si="94"/>
        <v>0</v>
      </c>
      <c r="B392" s="7">
        <f t="shared" si="95"/>
        <v>0</v>
      </c>
      <c r="C392" s="7">
        <f t="shared" si="96"/>
        <v>0</v>
      </c>
      <c r="D392" s="5"/>
      <c r="E392" s="5" t="str">
        <f t="shared" si="97"/>
        <v>ML27A060033A</v>
      </c>
      <c r="F392" s="5"/>
      <c r="G392" s="5"/>
      <c r="H392" s="11" t="s">
        <v>776</v>
      </c>
      <c r="I392" s="11" t="s">
        <v>777</v>
      </c>
      <c r="J392" s="12"/>
      <c r="K392" s="11" t="s">
        <v>918</v>
      </c>
      <c r="L392" s="12">
        <v>0</v>
      </c>
      <c r="M392" s="12">
        <v>0</v>
      </c>
      <c r="N392" s="12">
        <v>0</v>
      </c>
      <c r="O392" s="12">
        <v>0</v>
      </c>
      <c r="P392" s="12">
        <v>0</v>
      </c>
      <c r="Q392" s="12">
        <v>0</v>
      </c>
      <c r="R392" s="12">
        <v>0</v>
      </c>
      <c r="S392" s="12">
        <v>0</v>
      </c>
      <c r="T392" s="12">
        <v>0</v>
      </c>
      <c r="U392" s="12">
        <v>0</v>
      </c>
      <c r="V392" s="12">
        <v>0</v>
      </c>
      <c r="W392" s="12">
        <v>0</v>
      </c>
      <c r="X392" s="12">
        <v>0</v>
      </c>
      <c r="Y392" s="12">
        <v>0</v>
      </c>
      <c r="Z392" s="12">
        <v>0</v>
      </c>
      <c r="AA392" s="12">
        <v>0</v>
      </c>
      <c r="AB392" s="12">
        <v>0</v>
      </c>
      <c r="AC392" s="12">
        <v>0</v>
      </c>
      <c r="AD392" s="12">
        <v>0</v>
      </c>
      <c r="AE392" s="12">
        <v>0</v>
      </c>
      <c r="AF392" s="12">
        <v>0</v>
      </c>
      <c r="AG392" s="12">
        <v>0</v>
      </c>
      <c r="AH392" s="12">
        <v>0</v>
      </c>
      <c r="AI392" s="12">
        <v>0</v>
      </c>
      <c r="AJ392" s="12">
        <v>0</v>
      </c>
      <c r="AK392" s="12">
        <v>0</v>
      </c>
      <c r="AL392" s="12">
        <v>0</v>
      </c>
      <c r="AM392" s="12">
        <v>0</v>
      </c>
      <c r="AN392" s="12">
        <v>0</v>
      </c>
      <c r="AO392" s="12">
        <v>0</v>
      </c>
      <c r="AP392" s="12">
        <v>0</v>
      </c>
      <c r="AQ392" s="12">
        <v>0</v>
      </c>
      <c r="AR392" s="12">
        <v>0</v>
      </c>
      <c r="AS392" s="12">
        <v>0</v>
      </c>
      <c r="AT392" s="12">
        <v>0</v>
      </c>
      <c r="AU392" s="12">
        <v>0</v>
      </c>
      <c r="AV392" s="12">
        <v>0</v>
      </c>
      <c r="AW392" s="12">
        <v>0</v>
      </c>
      <c r="AX392" s="12">
        <v>0</v>
      </c>
      <c r="AY392" s="12">
        <v>0</v>
      </c>
      <c r="AZ392" s="12">
        <v>0</v>
      </c>
      <c r="BA392" s="12">
        <v>0</v>
      </c>
    </row>
    <row r="393" spans="1:53" x14ac:dyDescent="0.3">
      <c r="A393" s="7">
        <f t="shared" si="94"/>
        <v>0</v>
      </c>
      <c r="B393" s="7">
        <f t="shared" si="95"/>
        <v>0</v>
      </c>
      <c r="C393" s="7">
        <f t="shared" si="96"/>
        <v>0</v>
      </c>
      <c r="D393" s="5"/>
      <c r="E393" s="5" t="str">
        <f t="shared" si="97"/>
        <v>ML27A060033A</v>
      </c>
      <c r="F393" s="5"/>
      <c r="G393" s="5"/>
      <c r="H393" s="11" t="s">
        <v>49</v>
      </c>
      <c r="I393" s="11"/>
      <c r="J393" s="12">
        <v>0</v>
      </c>
      <c r="K393" s="11" t="s">
        <v>919</v>
      </c>
      <c r="L393" s="12">
        <v>0</v>
      </c>
      <c r="M393" s="12">
        <v>0</v>
      </c>
      <c r="N393" s="12">
        <v>0</v>
      </c>
      <c r="O393" s="12">
        <v>0</v>
      </c>
      <c r="P393" s="12">
        <v>0</v>
      </c>
      <c r="Q393" s="12">
        <v>0</v>
      </c>
      <c r="R393" s="12">
        <v>0</v>
      </c>
      <c r="S393" s="12">
        <v>0</v>
      </c>
      <c r="T393" s="12">
        <v>0</v>
      </c>
      <c r="U393" s="12">
        <v>0</v>
      </c>
      <c r="V393" s="12">
        <v>0</v>
      </c>
      <c r="W393" s="12">
        <v>0</v>
      </c>
      <c r="X393" s="12">
        <v>0</v>
      </c>
      <c r="Y393" s="12">
        <v>0</v>
      </c>
      <c r="Z393" s="12">
        <v>0</v>
      </c>
      <c r="AA393" s="12">
        <v>0</v>
      </c>
      <c r="AB393" s="12">
        <v>0</v>
      </c>
      <c r="AC393" s="12">
        <v>0</v>
      </c>
      <c r="AD393" s="12">
        <v>0</v>
      </c>
      <c r="AE393" s="12">
        <v>0</v>
      </c>
      <c r="AF393" s="12">
        <v>0</v>
      </c>
      <c r="AG393" s="12">
        <v>0</v>
      </c>
      <c r="AH393" s="12">
        <v>0</v>
      </c>
      <c r="AI393" s="12">
        <v>0</v>
      </c>
      <c r="AJ393" s="12">
        <v>0</v>
      </c>
      <c r="AK393" s="12">
        <v>0</v>
      </c>
      <c r="AL393" s="12">
        <v>0</v>
      </c>
      <c r="AM393" s="12">
        <v>0</v>
      </c>
      <c r="AN393" s="12">
        <v>0</v>
      </c>
      <c r="AO393" s="12">
        <v>0</v>
      </c>
      <c r="AP393" s="12">
        <v>0</v>
      </c>
      <c r="AQ393" s="12">
        <v>0</v>
      </c>
      <c r="AR393" s="12">
        <v>0</v>
      </c>
      <c r="AS393" s="12">
        <v>0</v>
      </c>
      <c r="AT393" s="12">
        <v>0</v>
      </c>
      <c r="AU393" s="12">
        <v>0</v>
      </c>
      <c r="AV393" s="12">
        <v>0</v>
      </c>
      <c r="AW393" s="12">
        <v>0</v>
      </c>
      <c r="AX393" s="12">
        <v>0</v>
      </c>
      <c r="AY393" s="12">
        <v>0</v>
      </c>
      <c r="AZ393" s="12">
        <v>0</v>
      </c>
      <c r="BA393" s="12">
        <v>0</v>
      </c>
    </row>
    <row r="394" spans="1:53" x14ac:dyDescent="0.3">
      <c r="A394" s="7">
        <f t="shared" si="94"/>
        <v>191100</v>
      </c>
      <c r="B394" s="7">
        <f t="shared" si="95"/>
        <v>188356</v>
      </c>
      <c r="C394" s="7">
        <f t="shared" si="96"/>
        <v>186116</v>
      </c>
      <c r="D394" s="5"/>
      <c r="E394" s="5" t="str">
        <f t="shared" si="97"/>
        <v>ML27A060033A</v>
      </c>
      <c r="F394" s="5"/>
      <c r="G394" s="6"/>
      <c r="H394" s="11" t="s">
        <v>920</v>
      </c>
      <c r="I394" s="11"/>
      <c r="J394" s="12">
        <v>0</v>
      </c>
      <c r="K394" s="11" t="s">
        <v>921</v>
      </c>
      <c r="L394" s="12">
        <v>0</v>
      </c>
      <c r="M394" s="12">
        <v>16964</v>
      </c>
      <c r="N394" s="12">
        <v>27300</v>
      </c>
      <c r="O394" s="12">
        <v>27300</v>
      </c>
      <c r="P394" s="12">
        <v>27300</v>
      </c>
      <c r="Q394" s="12">
        <v>27300</v>
      </c>
      <c r="R394" s="12">
        <v>27300</v>
      </c>
      <c r="S394" s="12">
        <v>27300</v>
      </c>
      <c r="T394" s="12">
        <v>27300</v>
      </c>
      <c r="U394" s="12">
        <v>26908</v>
      </c>
      <c r="V394" s="12">
        <v>26908</v>
      </c>
      <c r="W394" s="12">
        <v>26908</v>
      </c>
      <c r="X394" s="12">
        <v>26908</v>
      </c>
      <c r="Y394" s="12">
        <v>26908</v>
      </c>
      <c r="Z394" s="12">
        <v>26908</v>
      </c>
      <c r="AA394" s="12">
        <v>26908</v>
      </c>
      <c r="AB394" s="12">
        <v>26588</v>
      </c>
      <c r="AC394" s="12">
        <v>26588</v>
      </c>
      <c r="AD394" s="12">
        <v>26588</v>
      </c>
      <c r="AE394" s="12">
        <v>26588</v>
      </c>
      <c r="AF394" s="12">
        <v>26588</v>
      </c>
      <c r="AG394" s="12">
        <v>26588</v>
      </c>
      <c r="AH394" s="12">
        <v>26588</v>
      </c>
      <c r="AI394" s="12">
        <v>26588</v>
      </c>
      <c r="AJ394" s="12">
        <v>26588</v>
      </c>
      <c r="AK394" s="12">
        <v>25988</v>
      </c>
      <c r="AL394" s="12">
        <v>25988</v>
      </c>
      <c r="AM394" s="12">
        <v>23188</v>
      </c>
      <c r="AN394" s="12">
        <v>23188</v>
      </c>
      <c r="AO394" s="12">
        <v>22888</v>
      </c>
      <c r="AP394" s="12">
        <v>22888</v>
      </c>
      <c r="AQ394" s="12">
        <v>21317.200000000001</v>
      </c>
      <c r="AR394" s="12">
        <v>18917.2</v>
      </c>
      <c r="AS394" s="12">
        <v>18917.2</v>
      </c>
      <c r="AT394" s="12">
        <v>16964</v>
      </c>
      <c r="AU394" s="12">
        <v>16964</v>
      </c>
      <c r="AV394" s="12">
        <v>16964</v>
      </c>
      <c r="AW394" s="12">
        <v>0</v>
      </c>
      <c r="AX394" s="12">
        <v>0</v>
      </c>
      <c r="AY394" s="12">
        <v>0</v>
      </c>
      <c r="AZ394" s="12">
        <v>0</v>
      </c>
      <c r="BA394" s="12">
        <v>0</v>
      </c>
    </row>
    <row r="395" spans="1:53" x14ac:dyDescent="0.3">
      <c r="A395" s="7">
        <f t="shared" si="94"/>
        <v>0</v>
      </c>
      <c r="B395" s="7">
        <f t="shared" si="95"/>
        <v>18</v>
      </c>
      <c r="C395" s="7">
        <f t="shared" si="96"/>
        <v>1750</v>
      </c>
      <c r="D395" s="13"/>
      <c r="E395" s="13" t="s">
        <v>870</v>
      </c>
      <c r="F395" s="5"/>
      <c r="G395" s="13" t="s">
        <v>1042</v>
      </c>
      <c r="H395" s="13" t="s">
        <v>49</v>
      </c>
      <c r="I395" s="11" t="s">
        <v>49</v>
      </c>
      <c r="J395" s="12">
        <v>0</v>
      </c>
      <c r="K395" s="11" t="s">
        <v>916</v>
      </c>
      <c r="L395" s="12">
        <v>0</v>
      </c>
      <c r="M395" s="12">
        <v>2518</v>
      </c>
      <c r="N395" s="12">
        <v>0</v>
      </c>
      <c r="O395" s="12">
        <v>0</v>
      </c>
      <c r="P395" s="12">
        <v>0</v>
      </c>
      <c r="Q395" s="12">
        <v>0</v>
      </c>
      <c r="R395" s="12">
        <v>0</v>
      </c>
      <c r="S395" s="12">
        <v>0</v>
      </c>
      <c r="T395" s="12">
        <v>0</v>
      </c>
      <c r="U395" s="12">
        <v>0</v>
      </c>
      <c r="V395" s="12">
        <v>0</v>
      </c>
      <c r="W395" s="12">
        <v>0</v>
      </c>
      <c r="X395" s="12">
        <v>0</v>
      </c>
      <c r="Y395" s="12">
        <v>0</v>
      </c>
      <c r="Z395" s="12">
        <v>0</v>
      </c>
      <c r="AA395" s="12">
        <v>18</v>
      </c>
      <c r="AB395" s="12">
        <v>1750</v>
      </c>
      <c r="AC395" s="12">
        <v>0</v>
      </c>
      <c r="AD395" s="12">
        <v>0</v>
      </c>
      <c r="AE395" s="12">
        <v>0</v>
      </c>
      <c r="AF395" s="12">
        <v>0</v>
      </c>
      <c r="AG395" s="12">
        <v>0</v>
      </c>
      <c r="AH395" s="12">
        <v>0</v>
      </c>
      <c r="AI395" s="12">
        <v>0</v>
      </c>
      <c r="AJ395" s="12">
        <v>0</v>
      </c>
      <c r="AK395" s="12">
        <v>0</v>
      </c>
      <c r="AL395" s="12">
        <v>0</v>
      </c>
      <c r="AM395" s="12">
        <v>0</v>
      </c>
      <c r="AN395" s="12">
        <v>500</v>
      </c>
      <c r="AO395" s="12">
        <v>0</v>
      </c>
      <c r="AP395" s="12">
        <v>0</v>
      </c>
      <c r="AQ395" s="12">
        <v>250</v>
      </c>
      <c r="AR395" s="12">
        <v>0</v>
      </c>
      <c r="AS395" s="12">
        <v>0</v>
      </c>
      <c r="AT395" s="12">
        <v>0</v>
      </c>
      <c r="AU395" s="12">
        <v>0</v>
      </c>
      <c r="AV395" s="12">
        <v>0</v>
      </c>
      <c r="AW395" s="12">
        <v>0</v>
      </c>
      <c r="AX395" s="12">
        <v>1768</v>
      </c>
      <c r="AY395" s="12">
        <v>500</v>
      </c>
      <c r="AZ395" s="12">
        <v>250</v>
      </c>
      <c r="BA395" s="12">
        <v>0</v>
      </c>
    </row>
    <row r="396" spans="1:53" x14ac:dyDescent="0.3">
      <c r="A396" s="7">
        <f t="shared" si="94"/>
        <v>136304</v>
      </c>
      <c r="B396" s="7">
        <f t="shared" si="95"/>
        <v>136286</v>
      </c>
      <c r="C396" s="7">
        <f t="shared" si="96"/>
        <v>123928</v>
      </c>
      <c r="D396" s="5"/>
      <c r="E396" s="5" t="str">
        <f t="shared" ref="E396:E399" si="98">E395</f>
        <v>0404-001627</v>
      </c>
      <c r="F396" s="5"/>
      <c r="G396" s="5"/>
      <c r="H396" s="6"/>
      <c r="I396" s="11"/>
      <c r="J396" s="12">
        <v>0</v>
      </c>
      <c r="K396" s="11" t="s">
        <v>917</v>
      </c>
      <c r="L396" s="12">
        <v>19472</v>
      </c>
      <c r="M396" s="12">
        <v>16954</v>
      </c>
      <c r="N396" s="12">
        <v>19472</v>
      </c>
      <c r="O396" s="12">
        <v>19472</v>
      </c>
      <c r="P396" s="12">
        <v>19472</v>
      </c>
      <c r="Q396" s="12">
        <v>19472</v>
      </c>
      <c r="R396" s="12">
        <v>19472</v>
      </c>
      <c r="S396" s="12">
        <v>19472</v>
      </c>
      <c r="T396" s="12">
        <v>19472</v>
      </c>
      <c r="U396" s="12">
        <v>19472</v>
      </c>
      <c r="V396" s="12">
        <v>19472</v>
      </c>
      <c r="W396" s="12">
        <v>19472</v>
      </c>
      <c r="X396" s="12">
        <v>19472</v>
      </c>
      <c r="Y396" s="12">
        <v>19472</v>
      </c>
      <c r="Z396" s="12">
        <v>19472</v>
      </c>
      <c r="AA396" s="12">
        <v>19454</v>
      </c>
      <c r="AB396" s="12">
        <v>17704</v>
      </c>
      <c r="AC396" s="12">
        <v>17704</v>
      </c>
      <c r="AD396" s="12">
        <v>17704</v>
      </c>
      <c r="AE396" s="12">
        <v>17704</v>
      </c>
      <c r="AF396" s="12">
        <v>17704</v>
      </c>
      <c r="AG396" s="12">
        <v>17704</v>
      </c>
      <c r="AH396" s="12">
        <v>17704</v>
      </c>
      <c r="AI396" s="12">
        <v>17704</v>
      </c>
      <c r="AJ396" s="12">
        <v>17704</v>
      </c>
      <c r="AK396" s="12">
        <v>17704</v>
      </c>
      <c r="AL396" s="12">
        <v>17704</v>
      </c>
      <c r="AM396" s="12">
        <v>17704</v>
      </c>
      <c r="AN396" s="12">
        <v>17204</v>
      </c>
      <c r="AO396" s="12">
        <v>17204</v>
      </c>
      <c r="AP396" s="12">
        <v>17204</v>
      </c>
      <c r="AQ396" s="12">
        <v>16954</v>
      </c>
      <c r="AR396" s="12">
        <v>16954</v>
      </c>
      <c r="AS396" s="12">
        <v>16954</v>
      </c>
      <c r="AT396" s="12">
        <v>16954</v>
      </c>
      <c r="AU396" s="12">
        <v>16954</v>
      </c>
      <c r="AV396" s="12">
        <v>16954</v>
      </c>
      <c r="AW396" s="12">
        <v>0</v>
      </c>
      <c r="AX396" s="12">
        <v>0</v>
      </c>
      <c r="AY396" s="12">
        <v>0</v>
      </c>
      <c r="AZ396" s="12">
        <v>0</v>
      </c>
      <c r="BA396" s="12">
        <v>0</v>
      </c>
    </row>
    <row r="397" spans="1:53" x14ac:dyDescent="0.3">
      <c r="A397" s="7">
        <f t="shared" si="94"/>
        <v>0</v>
      </c>
      <c r="B397" s="7">
        <f t="shared" si="95"/>
        <v>0</v>
      </c>
      <c r="C397" s="7">
        <f t="shared" si="96"/>
        <v>0</v>
      </c>
      <c r="D397" s="5"/>
      <c r="E397" s="5" t="str">
        <f t="shared" si="98"/>
        <v>0404-001627</v>
      </c>
      <c r="F397" s="5"/>
      <c r="G397" s="5"/>
      <c r="H397" s="11" t="s">
        <v>762</v>
      </c>
      <c r="I397" s="11" t="s">
        <v>763</v>
      </c>
      <c r="J397" s="12"/>
      <c r="K397" s="11" t="s">
        <v>918</v>
      </c>
      <c r="L397" s="12">
        <v>0</v>
      </c>
      <c r="M397" s="12">
        <v>0</v>
      </c>
      <c r="N397" s="12">
        <v>0</v>
      </c>
      <c r="O397" s="12">
        <v>0</v>
      </c>
      <c r="P397" s="12">
        <v>0</v>
      </c>
      <c r="Q397" s="12">
        <v>0</v>
      </c>
      <c r="R397" s="12">
        <v>0</v>
      </c>
      <c r="S397" s="12">
        <v>0</v>
      </c>
      <c r="T397" s="12">
        <v>0</v>
      </c>
      <c r="U397" s="12">
        <v>0</v>
      </c>
      <c r="V397" s="12">
        <v>0</v>
      </c>
      <c r="W397" s="12">
        <v>0</v>
      </c>
      <c r="X397" s="12">
        <v>0</v>
      </c>
      <c r="Y397" s="12">
        <v>0</v>
      </c>
      <c r="Z397" s="12">
        <v>0</v>
      </c>
      <c r="AA397" s="12">
        <v>0</v>
      </c>
      <c r="AB397" s="12">
        <v>0</v>
      </c>
      <c r="AC397" s="12">
        <v>0</v>
      </c>
      <c r="AD397" s="12">
        <v>0</v>
      </c>
      <c r="AE397" s="12">
        <v>0</v>
      </c>
      <c r="AF397" s="12">
        <v>0</v>
      </c>
      <c r="AG397" s="12">
        <v>0</v>
      </c>
      <c r="AH397" s="12">
        <v>0</v>
      </c>
      <c r="AI397" s="12">
        <v>0</v>
      </c>
      <c r="AJ397" s="12">
        <v>0</v>
      </c>
      <c r="AK397" s="12">
        <v>0</v>
      </c>
      <c r="AL397" s="12">
        <v>0</v>
      </c>
      <c r="AM397" s="12">
        <v>0</v>
      </c>
      <c r="AN397" s="12">
        <v>0</v>
      </c>
      <c r="AO397" s="12">
        <v>0</v>
      </c>
      <c r="AP397" s="12">
        <v>0</v>
      </c>
      <c r="AQ397" s="12">
        <v>0</v>
      </c>
      <c r="AR397" s="12">
        <v>0</v>
      </c>
      <c r="AS397" s="12">
        <v>0</v>
      </c>
      <c r="AT397" s="12">
        <v>0</v>
      </c>
      <c r="AU397" s="12">
        <v>0</v>
      </c>
      <c r="AV397" s="12">
        <v>0</v>
      </c>
      <c r="AW397" s="12">
        <v>0</v>
      </c>
      <c r="AX397" s="12">
        <v>0</v>
      </c>
      <c r="AY397" s="12">
        <v>0</v>
      </c>
      <c r="AZ397" s="12">
        <v>0</v>
      </c>
      <c r="BA397" s="12">
        <v>0</v>
      </c>
    </row>
    <row r="398" spans="1:53" x14ac:dyDescent="0.3">
      <c r="A398" s="7">
        <f t="shared" si="94"/>
        <v>0</v>
      </c>
      <c r="B398" s="7">
        <f t="shared" si="95"/>
        <v>0</v>
      </c>
      <c r="C398" s="7">
        <f t="shared" si="96"/>
        <v>0</v>
      </c>
      <c r="D398" s="5"/>
      <c r="E398" s="5" t="str">
        <f t="shared" si="98"/>
        <v>0404-001627</v>
      </c>
      <c r="F398" s="5"/>
      <c r="G398" s="5"/>
      <c r="H398" s="11" t="s">
        <v>49</v>
      </c>
      <c r="I398" s="11"/>
      <c r="J398" s="12">
        <v>0</v>
      </c>
      <c r="K398" s="11" t="s">
        <v>919</v>
      </c>
      <c r="L398" s="12">
        <v>0</v>
      </c>
      <c r="M398" s="12">
        <v>0</v>
      </c>
      <c r="N398" s="12">
        <v>0</v>
      </c>
      <c r="O398" s="12">
        <v>0</v>
      </c>
      <c r="P398" s="12">
        <v>0</v>
      </c>
      <c r="Q398" s="12">
        <v>0</v>
      </c>
      <c r="R398" s="12">
        <v>0</v>
      </c>
      <c r="S398" s="12">
        <v>0</v>
      </c>
      <c r="T398" s="12">
        <v>0</v>
      </c>
      <c r="U398" s="12">
        <v>0</v>
      </c>
      <c r="V398" s="12">
        <v>0</v>
      </c>
      <c r="W398" s="12">
        <v>0</v>
      </c>
      <c r="X398" s="12">
        <v>0</v>
      </c>
      <c r="Y398" s="12">
        <v>0</v>
      </c>
      <c r="Z398" s="12">
        <v>0</v>
      </c>
      <c r="AA398" s="12">
        <v>0</v>
      </c>
      <c r="AB398" s="12">
        <v>0</v>
      </c>
      <c r="AC398" s="12">
        <v>0</v>
      </c>
      <c r="AD398" s="12">
        <v>0</v>
      </c>
      <c r="AE398" s="12">
        <v>0</v>
      </c>
      <c r="AF398" s="12">
        <v>0</v>
      </c>
      <c r="AG398" s="12">
        <v>0</v>
      </c>
      <c r="AH398" s="12">
        <v>0</v>
      </c>
      <c r="AI398" s="12">
        <v>0</v>
      </c>
      <c r="AJ398" s="12">
        <v>0</v>
      </c>
      <c r="AK398" s="12">
        <v>0</v>
      </c>
      <c r="AL398" s="12">
        <v>0</v>
      </c>
      <c r="AM398" s="12">
        <v>0</v>
      </c>
      <c r="AN398" s="12">
        <v>0</v>
      </c>
      <c r="AO398" s="12">
        <v>0</v>
      </c>
      <c r="AP398" s="12">
        <v>0</v>
      </c>
      <c r="AQ398" s="12">
        <v>0</v>
      </c>
      <c r="AR398" s="12">
        <v>0</v>
      </c>
      <c r="AS398" s="12">
        <v>0</v>
      </c>
      <c r="AT398" s="12">
        <v>0</v>
      </c>
      <c r="AU398" s="12">
        <v>0</v>
      </c>
      <c r="AV398" s="12">
        <v>0</v>
      </c>
      <c r="AW398" s="12">
        <v>0</v>
      </c>
      <c r="AX398" s="12">
        <v>0</v>
      </c>
      <c r="AY398" s="12">
        <v>0</v>
      </c>
      <c r="AZ398" s="12">
        <v>0</v>
      </c>
      <c r="BA398" s="12">
        <v>0</v>
      </c>
    </row>
    <row r="399" spans="1:53" x14ac:dyDescent="0.3">
      <c r="A399" s="7">
        <f t="shared" si="94"/>
        <v>136304</v>
      </c>
      <c r="B399" s="7">
        <f t="shared" si="95"/>
        <v>136286</v>
      </c>
      <c r="C399" s="7">
        <f t="shared" si="96"/>
        <v>123928</v>
      </c>
      <c r="D399" s="5"/>
      <c r="E399" s="5" t="str">
        <f t="shared" si="98"/>
        <v>0404-001627</v>
      </c>
      <c r="F399" s="6"/>
      <c r="G399" s="6"/>
      <c r="H399" s="11" t="s">
        <v>920</v>
      </c>
      <c r="I399" s="11"/>
      <c r="J399" s="12">
        <v>0</v>
      </c>
      <c r="K399" s="11" t="s">
        <v>921</v>
      </c>
      <c r="L399" s="12">
        <v>0</v>
      </c>
      <c r="M399" s="12">
        <v>16954</v>
      </c>
      <c r="N399" s="12">
        <v>19472</v>
      </c>
      <c r="O399" s="12">
        <v>19472</v>
      </c>
      <c r="P399" s="12">
        <v>19472</v>
      </c>
      <c r="Q399" s="12">
        <v>19472</v>
      </c>
      <c r="R399" s="12">
        <v>19472</v>
      </c>
      <c r="S399" s="12">
        <v>19472</v>
      </c>
      <c r="T399" s="12">
        <v>19472</v>
      </c>
      <c r="U399" s="12">
        <v>19472</v>
      </c>
      <c r="V399" s="12">
        <v>19472</v>
      </c>
      <c r="W399" s="12">
        <v>19472</v>
      </c>
      <c r="X399" s="12">
        <v>19472</v>
      </c>
      <c r="Y399" s="12">
        <v>19472</v>
      </c>
      <c r="Z399" s="12">
        <v>19472</v>
      </c>
      <c r="AA399" s="12">
        <v>19454</v>
      </c>
      <c r="AB399" s="12">
        <v>17704</v>
      </c>
      <c r="AC399" s="12">
        <v>17704</v>
      </c>
      <c r="AD399" s="12">
        <v>17704</v>
      </c>
      <c r="AE399" s="12">
        <v>17704</v>
      </c>
      <c r="AF399" s="12">
        <v>17704</v>
      </c>
      <c r="AG399" s="12">
        <v>17704</v>
      </c>
      <c r="AH399" s="12">
        <v>17704</v>
      </c>
      <c r="AI399" s="12">
        <v>17704</v>
      </c>
      <c r="AJ399" s="12">
        <v>17704</v>
      </c>
      <c r="AK399" s="12">
        <v>17704</v>
      </c>
      <c r="AL399" s="12">
        <v>17704</v>
      </c>
      <c r="AM399" s="12">
        <v>17704</v>
      </c>
      <c r="AN399" s="12">
        <v>17204</v>
      </c>
      <c r="AO399" s="12">
        <v>17204</v>
      </c>
      <c r="AP399" s="12">
        <v>17204</v>
      </c>
      <c r="AQ399" s="12">
        <v>16954</v>
      </c>
      <c r="AR399" s="12">
        <v>16954</v>
      </c>
      <c r="AS399" s="12">
        <v>16954</v>
      </c>
      <c r="AT399" s="12">
        <v>16954</v>
      </c>
      <c r="AU399" s="12">
        <v>16954</v>
      </c>
      <c r="AV399" s="12">
        <v>16954</v>
      </c>
      <c r="AW399" s="12">
        <v>0</v>
      </c>
      <c r="AX399" s="12">
        <v>0</v>
      </c>
      <c r="AY399" s="12">
        <v>0</v>
      </c>
      <c r="AZ399" s="12">
        <v>0</v>
      </c>
      <c r="BA399" s="12">
        <v>0</v>
      </c>
    </row>
  </sheetData>
  <autoFilter ref="D4:WXI154"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2:W155"/>
  <sheetViews>
    <sheetView showGridLines="0" showZeros="0" workbookViewId="0">
      <selection activeCell="J24" sqref="J24"/>
    </sheetView>
  </sheetViews>
  <sheetFormatPr defaultColWidth="9" defaultRowHeight="16.5" x14ac:dyDescent="0.3"/>
  <cols>
    <col min="1" max="1" width="9" style="1"/>
    <col min="2" max="2" width="12.875" style="1" bestFit="1" customWidth="1"/>
    <col min="3" max="3" width="9" style="1"/>
    <col min="4" max="4" width="9.875" style="1" bestFit="1" customWidth="1"/>
    <col min="5" max="16384" width="9" style="1"/>
  </cols>
  <sheetData>
    <row r="2" spans="2:23" x14ac:dyDescent="0.3">
      <c r="N2" s="1" t="s">
        <v>1050</v>
      </c>
    </row>
    <row r="3" spans="2:23" x14ac:dyDescent="0.3">
      <c r="N3" s="1" t="s">
        <v>1051</v>
      </c>
    </row>
    <row r="4" spans="2:23" x14ac:dyDescent="0.3">
      <c r="B4" s="1" t="s">
        <v>1052</v>
      </c>
      <c r="D4" s="17">
        <v>3</v>
      </c>
      <c r="E4" s="17">
        <v>4</v>
      </c>
      <c r="F4" s="17">
        <v>4</v>
      </c>
      <c r="G4" s="17">
        <v>4</v>
      </c>
      <c r="H4" s="17">
        <v>4</v>
      </c>
      <c r="I4" s="17">
        <v>4</v>
      </c>
      <c r="J4" s="17">
        <v>5</v>
      </c>
      <c r="K4" s="17">
        <v>5</v>
      </c>
      <c r="L4" s="17">
        <v>5</v>
      </c>
      <c r="M4" s="17">
        <v>5</v>
      </c>
      <c r="N4" s="17">
        <v>5</v>
      </c>
      <c r="O4" s="17">
        <v>6</v>
      </c>
      <c r="P4" s="17">
        <v>6</v>
      </c>
      <c r="Q4" s="17">
        <v>6</v>
      </c>
      <c r="R4" s="17">
        <v>6</v>
      </c>
      <c r="S4" s="17">
        <v>7</v>
      </c>
    </row>
    <row r="5" spans="2:23" x14ac:dyDescent="0.3">
      <c r="B5" s="32" t="s">
        <v>976</v>
      </c>
      <c r="C5" s="32" t="s">
        <v>963</v>
      </c>
      <c r="D5" s="14" t="s">
        <v>1043</v>
      </c>
      <c r="E5" s="35" t="s">
        <v>1044</v>
      </c>
      <c r="F5" s="35"/>
      <c r="G5" s="35"/>
      <c r="H5" s="35"/>
      <c r="I5" s="35"/>
      <c r="J5" s="35" t="s">
        <v>1045</v>
      </c>
      <c r="K5" s="35"/>
      <c r="L5" s="35"/>
      <c r="M5" s="35"/>
      <c r="N5" s="35"/>
      <c r="O5" s="35" t="s">
        <v>1046</v>
      </c>
      <c r="P5" s="35"/>
      <c r="Q5" s="35"/>
      <c r="R5" s="35"/>
      <c r="S5" s="14" t="s">
        <v>1047</v>
      </c>
      <c r="T5" s="33"/>
      <c r="U5" s="34"/>
      <c r="V5" s="34"/>
      <c r="W5" s="34"/>
    </row>
    <row r="6" spans="2:23" s="2" customFormat="1" x14ac:dyDescent="0.3">
      <c r="B6" s="32"/>
      <c r="C6" s="32"/>
      <c r="D6" s="15" t="s">
        <v>1048</v>
      </c>
      <c r="E6" s="15" t="s">
        <v>964</v>
      </c>
      <c r="F6" s="15" t="s">
        <v>965</v>
      </c>
      <c r="G6" s="15" t="s">
        <v>966</v>
      </c>
      <c r="H6" s="15" t="s">
        <v>967</v>
      </c>
      <c r="I6" s="15" t="s">
        <v>968</v>
      </c>
      <c r="J6" s="15" t="s">
        <v>969</v>
      </c>
      <c r="K6" s="15" t="s">
        <v>0</v>
      </c>
      <c r="L6" s="15" t="s">
        <v>1</v>
      </c>
      <c r="M6" s="15" t="s">
        <v>2</v>
      </c>
      <c r="N6" s="15" t="s">
        <v>970</v>
      </c>
      <c r="O6" s="15" t="s">
        <v>3</v>
      </c>
      <c r="P6" s="15" t="s">
        <v>4</v>
      </c>
      <c r="Q6" s="15" t="s">
        <v>5</v>
      </c>
      <c r="R6" s="15" t="s">
        <v>971</v>
      </c>
      <c r="S6" s="15" t="s">
        <v>1049</v>
      </c>
      <c r="T6" s="16">
        <v>3</v>
      </c>
      <c r="U6" s="16">
        <v>4</v>
      </c>
      <c r="V6" s="16">
        <v>5</v>
      </c>
      <c r="W6" s="16">
        <v>6</v>
      </c>
    </row>
    <row r="7" spans="2:23" x14ac:dyDescent="0.3">
      <c r="B7" s="18" t="s">
        <v>838</v>
      </c>
      <c r="C7" s="19">
        <f>SUMIFS(Visibilty_ERP!L:L,Visibilty_ERP!$E:$E,RTF!$B7)</f>
        <v>200601</v>
      </c>
      <c r="D7" s="19">
        <f>SUMIFS(Visibilty_ERP!A:A,Visibilty_ERP!$E:$E,RTF!$B7,Visibilty_ERP!$K:$K,"RTF")</f>
        <v>0</v>
      </c>
      <c r="E7" s="19">
        <f>SUMIFS(Visibilty_ERP!B:B,Visibilty_ERP!$E:$E,RTF!$B7,Visibilty_ERP!$K:$K,"RTF")</f>
        <v>0</v>
      </c>
      <c r="F7" s="19">
        <f>SUMIFS(Visibilty_ERP!C:C,Visibilty_ERP!$E:$E,RTF!$B7,Visibilty_ERP!$K:$K,"RTF")</f>
        <v>0</v>
      </c>
      <c r="G7" s="19">
        <f>SUMIFS(Visibilty_ERP!AI:AI,Visibilty_ERP!$E:$E,RTF!$B7,Visibilty_ERP!$K:$K,"RTF")</f>
        <v>0</v>
      </c>
      <c r="H7" s="19">
        <f>SUMIFS(Visibilty_ERP!AJ:AJ,Visibilty_ERP!$E:$E,RTF!$B7,Visibilty_ERP!$K:$K,"RTF")</f>
        <v>0</v>
      </c>
      <c r="I7" s="19">
        <f>SUMIFS(Visibilty_ERP!AK:AK,Visibilty_ERP!$E:$E,RTF!$B7,Visibilty_ERP!$K:$K,"RTF")</f>
        <v>0</v>
      </c>
      <c r="J7" s="19">
        <f>SUMIFS(Visibilty_ERP!AL:AL,Visibilty_ERP!$E:$E,RTF!$B7,Visibilty_ERP!$K:$K,"RTF")</f>
        <v>0</v>
      </c>
      <c r="K7" s="19">
        <f>SUMIFS(Visibilty_ERP!AM:AM,Visibilty_ERP!$E:$E,RTF!$B7,Visibilty_ERP!$K:$K,"RTF")</f>
        <v>0</v>
      </c>
      <c r="L7" s="19">
        <f>SUMIFS(Visibilty_ERP!AN:AN,Visibilty_ERP!$E:$E,RTF!$B7,Visibilty_ERP!$K:$K,"RTF")</f>
        <v>0</v>
      </c>
      <c r="M7" s="19">
        <f>SUMIFS(Visibilty_ERP!AO:AO,Visibilty_ERP!$E:$E,RTF!$B7,Visibilty_ERP!$K:$K,"RTF")</f>
        <v>0</v>
      </c>
      <c r="N7" s="19">
        <f>SUMIFS(Visibilty_ERP!AP:AP,Visibilty_ERP!$E:$E,RTF!$B7,Visibilty_ERP!$K:$K,"RTF")</f>
        <v>0</v>
      </c>
      <c r="O7" s="19">
        <f>SUMIFS(Visibilty_ERP!AQ:AQ,Visibilty_ERP!$E:$E,RTF!$B7,Visibilty_ERP!$K:$K,"RTF")</f>
        <v>0</v>
      </c>
      <c r="P7" s="19">
        <f>SUMIFS(Visibilty_ERP!AR:AR,Visibilty_ERP!$E:$E,RTF!$B7,Visibilty_ERP!$K:$K,"RTF")</f>
        <v>0</v>
      </c>
      <c r="Q7" s="19">
        <f>SUMIFS(Visibilty_ERP!AS:AS,Visibilty_ERP!$E:$E,RTF!$B7,Visibilty_ERP!$K:$K,"RTF")</f>
        <v>0</v>
      </c>
      <c r="R7" s="19">
        <f>SUMIFS(Visibilty_ERP!AT:AT,Visibilty_ERP!$E:$E,RTF!$B7,Visibilty_ERP!$K:$K,"RTF")</f>
        <v>0</v>
      </c>
      <c r="S7" s="19">
        <f>SUMIFS(Visibilty_ERP!AU:AU,Visibilty_ERP!$E:$E,RTF!$B7,Visibilty_ERP!$K:$K,"RTF")</f>
        <v>0</v>
      </c>
      <c r="T7" s="1">
        <f>SUMIFS($D7:$S7,$D$4:$S$4,T$6)</f>
        <v>0</v>
      </c>
      <c r="U7" s="1">
        <f t="shared" ref="U7:W34" si="0">SUMIFS($D7:$S7,$D$4:$S$4,U$6)</f>
        <v>0</v>
      </c>
      <c r="V7" s="1">
        <f t="shared" si="0"/>
        <v>0</v>
      </c>
      <c r="W7" s="1">
        <f t="shared" si="0"/>
        <v>0</v>
      </c>
    </row>
    <row r="8" spans="2:23" x14ac:dyDescent="0.3">
      <c r="B8" s="18" t="s">
        <v>760</v>
      </c>
      <c r="C8" s="19">
        <f>SUMIFS(Visibilty_ERP!L:L,Visibilty_ERP!$E:$E,RTF!$B8)</f>
        <v>51329</v>
      </c>
      <c r="D8" s="19">
        <f>SUMIFS(Visibilty_ERP!A:A,Visibilty_ERP!$E:$E,RTF!$B8,Visibilty_ERP!$K:$K,"RTF")</f>
        <v>0</v>
      </c>
      <c r="E8" s="19">
        <f>SUMIFS(Visibilty_ERP!B:B,Visibilty_ERP!$E:$E,RTF!$B8,Visibilty_ERP!$K:$K,"RTF")</f>
        <v>0</v>
      </c>
      <c r="F8" s="19">
        <f>SUMIFS(Visibilty_ERP!C:C,Visibilty_ERP!$E:$E,RTF!$B8,Visibilty_ERP!$K:$K,"RTF")</f>
        <v>0</v>
      </c>
      <c r="G8" s="19">
        <f>SUMIFS(Visibilty_ERP!AI:AI,Visibilty_ERP!$E:$E,RTF!$B8,Visibilty_ERP!$K:$K,"RTF")</f>
        <v>0</v>
      </c>
      <c r="H8" s="19">
        <f>SUMIFS(Visibilty_ERP!AJ:AJ,Visibilty_ERP!$E:$E,RTF!$B8,Visibilty_ERP!$K:$K,"RTF")</f>
        <v>0</v>
      </c>
      <c r="I8" s="19">
        <f>SUMIFS(Visibilty_ERP!AK:AK,Visibilty_ERP!$E:$E,RTF!$B8,Visibilty_ERP!$K:$K,"RTF")</f>
        <v>0</v>
      </c>
      <c r="J8" s="19">
        <f>SUMIFS(Visibilty_ERP!AL:AL,Visibilty_ERP!$E:$E,RTF!$B8,Visibilty_ERP!$K:$K,"RTF")</f>
        <v>0</v>
      </c>
      <c r="K8" s="19">
        <f>SUMIFS(Visibilty_ERP!AM:AM,Visibilty_ERP!$E:$E,RTF!$B8,Visibilty_ERP!$K:$K,"RTF")</f>
        <v>0</v>
      </c>
      <c r="L8" s="19">
        <f>SUMIFS(Visibilty_ERP!AN:AN,Visibilty_ERP!$E:$E,RTF!$B8,Visibilty_ERP!$K:$K,"RTF")</f>
        <v>0</v>
      </c>
      <c r="M8" s="19">
        <f>SUMIFS(Visibilty_ERP!AO:AO,Visibilty_ERP!$E:$E,RTF!$B8,Visibilty_ERP!$K:$K,"RTF")</f>
        <v>0</v>
      </c>
      <c r="N8" s="19">
        <f>SUMIFS(Visibilty_ERP!AP:AP,Visibilty_ERP!$E:$E,RTF!$B8,Visibilty_ERP!$K:$K,"RTF")</f>
        <v>0</v>
      </c>
      <c r="O8" s="19">
        <f>SUMIFS(Visibilty_ERP!AQ:AQ,Visibilty_ERP!$E:$E,RTF!$B8,Visibilty_ERP!$K:$K,"RTF")</f>
        <v>0</v>
      </c>
      <c r="P8" s="19">
        <f>SUMIFS(Visibilty_ERP!AR:AR,Visibilty_ERP!$E:$E,RTF!$B8,Visibilty_ERP!$K:$K,"RTF")</f>
        <v>0</v>
      </c>
      <c r="Q8" s="19">
        <f>SUMIFS(Visibilty_ERP!AS:AS,Visibilty_ERP!$E:$E,RTF!$B8,Visibilty_ERP!$K:$K,"RTF")</f>
        <v>0</v>
      </c>
      <c r="R8" s="19">
        <f>SUMIFS(Visibilty_ERP!AT:AT,Visibilty_ERP!$E:$E,RTF!$B8,Visibilty_ERP!$K:$K,"RTF")</f>
        <v>0</v>
      </c>
      <c r="S8" s="19">
        <f>SUMIFS(Visibilty_ERP!AU:AU,Visibilty_ERP!$E:$E,RTF!$B8,Visibilty_ERP!$K:$K,"RTF")</f>
        <v>0</v>
      </c>
      <c r="T8" s="1">
        <f t="shared" ref="T8:T34" si="1">SUMIFS($D8:$S8,$D$4:$S$4,T$6)</f>
        <v>0</v>
      </c>
      <c r="U8" s="1">
        <f t="shared" si="0"/>
        <v>0</v>
      </c>
      <c r="V8" s="1">
        <f t="shared" si="0"/>
        <v>0</v>
      </c>
      <c r="W8" s="1">
        <f t="shared" si="0"/>
        <v>0</v>
      </c>
    </row>
    <row r="9" spans="2:23" x14ac:dyDescent="0.3">
      <c r="B9" s="18" t="s">
        <v>865</v>
      </c>
      <c r="C9" s="19">
        <f>SUMIFS(Visibilty_ERP!L:L,Visibilty_ERP!$E:$E,RTF!$B9)</f>
        <v>2770</v>
      </c>
      <c r="D9" s="19">
        <f>SUMIFS(Visibilty_ERP!A:A,Visibilty_ERP!$E:$E,RTF!$B9,Visibilty_ERP!$K:$K,"RTF")</f>
        <v>0</v>
      </c>
      <c r="E9" s="19">
        <f>SUMIFS(Visibilty_ERP!B:B,Visibilty_ERP!$E:$E,RTF!$B9,Visibilty_ERP!$K:$K,"RTF")</f>
        <v>0</v>
      </c>
      <c r="F9" s="19">
        <f>SUMIFS(Visibilty_ERP!C:C,Visibilty_ERP!$E:$E,RTF!$B9,Visibilty_ERP!$K:$K,"RTF")</f>
        <v>0</v>
      </c>
      <c r="G9" s="19">
        <f>SUMIFS(Visibilty_ERP!AI:AI,Visibilty_ERP!$E:$E,RTF!$B9,Visibilty_ERP!$K:$K,"RTF")</f>
        <v>0</v>
      </c>
      <c r="H9" s="19">
        <f>SUMIFS(Visibilty_ERP!AJ:AJ,Visibilty_ERP!$E:$E,RTF!$B9,Visibilty_ERP!$K:$K,"RTF")</f>
        <v>0</v>
      </c>
      <c r="I9" s="19">
        <f>SUMIFS(Visibilty_ERP!AK:AK,Visibilty_ERP!$E:$E,RTF!$B9,Visibilty_ERP!$K:$K,"RTF")</f>
        <v>0</v>
      </c>
      <c r="J9" s="19">
        <f>SUMIFS(Visibilty_ERP!AL:AL,Visibilty_ERP!$E:$E,RTF!$B9,Visibilty_ERP!$K:$K,"RTF")</f>
        <v>0</v>
      </c>
      <c r="K9" s="19">
        <f>SUMIFS(Visibilty_ERP!AM:AM,Visibilty_ERP!$E:$E,RTF!$B9,Visibilty_ERP!$K:$K,"RTF")</f>
        <v>0</v>
      </c>
      <c r="L9" s="19">
        <f>SUMIFS(Visibilty_ERP!AN:AN,Visibilty_ERP!$E:$E,RTF!$B9,Visibilty_ERP!$K:$K,"RTF")</f>
        <v>0</v>
      </c>
      <c r="M9" s="19">
        <f>SUMIFS(Visibilty_ERP!AO:AO,Visibilty_ERP!$E:$E,RTF!$B9,Visibilty_ERP!$K:$K,"RTF")</f>
        <v>0</v>
      </c>
      <c r="N9" s="19">
        <f>SUMIFS(Visibilty_ERP!AP:AP,Visibilty_ERP!$E:$E,RTF!$B9,Visibilty_ERP!$K:$K,"RTF")</f>
        <v>0</v>
      </c>
      <c r="O9" s="19">
        <f>SUMIFS(Visibilty_ERP!AQ:AQ,Visibilty_ERP!$E:$E,RTF!$B9,Visibilty_ERP!$K:$K,"RTF")</f>
        <v>0</v>
      </c>
      <c r="P9" s="19">
        <f>SUMIFS(Visibilty_ERP!AR:AR,Visibilty_ERP!$E:$E,RTF!$B9,Visibilty_ERP!$K:$K,"RTF")</f>
        <v>0</v>
      </c>
      <c r="Q9" s="19">
        <f>SUMIFS(Visibilty_ERP!AS:AS,Visibilty_ERP!$E:$E,RTF!$B9,Visibilty_ERP!$K:$K,"RTF")</f>
        <v>0</v>
      </c>
      <c r="R9" s="19">
        <f>SUMIFS(Visibilty_ERP!AT:AT,Visibilty_ERP!$E:$E,RTF!$B9,Visibilty_ERP!$K:$K,"RTF")</f>
        <v>0</v>
      </c>
      <c r="S9" s="19">
        <f>SUMIFS(Visibilty_ERP!AU:AU,Visibilty_ERP!$E:$E,RTF!$B9,Visibilty_ERP!$K:$K,"RTF")</f>
        <v>0</v>
      </c>
      <c r="T9" s="1">
        <f t="shared" si="1"/>
        <v>0</v>
      </c>
      <c r="U9" s="1">
        <f t="shared" si="0"/>
        <v>0</v>
      </c>
      <c r="V9" s="1">
        <f t="shared" si="0"/>
        <v>0</v>
      </c>
      <c r="W9" s="1">
        <f t="shared" si="0"/>
        <v>0</v>
      </c>
    </row>
    <row r="10" spans="2:23" x14ac:dyDescent="0.3">
      <c r="B10" s="18" t="s">
        <v>868</v>
      </c>
      <c r="C10" s="19">
        <f>SUMIFS(Visibilty_ERP!L:L,Visibilty_ERP!$E:$E,RTF!$B10)</f>
        <v>3121</v>
      </c>
      <c r="D10" s="19">
        <f>SUMIFS(Visibilty_ERP!A:A,Visibilty_ERP!$E:$E,RTF!$B10,Visibilty_ERP!$K:$K,"RTF")</f>
        <v>0</v>
      </c>
      <c r="E10" s="19">
        <f>SUMIFS(Visibilty_ERP!B:B,Visibilty_ERP!$E:$E,RTF!$B10,Visibilty_ERP!$K:$K,"RTF")</f>
        <v>0</v>
      </c>
      <c r="F10" s="19">
        <f>SUMIFS(Visibilty_ERP!C:C,Visibilty_ERP!$E:$E,RTF!$B10,Visibilty_ERP!$K:$K,"RTF")</f>
        <v>0</v>
      </c>
      <c r="G10" s="19">
        <f>SUMIFS(Visibilty_ERP!AI:AI,Visibilty_ERP!$E:$E,RTF!$B10,Visibilty_ERP!$K:$K,"RTF")</f>
        <v>0</v>
      </c>
      <c r="H10" s="19">
        <f>SUMIFS(Visibilty_ERP!AJ:AJ,Visibilty_ERP!$E:$E,RTF!$B10,Visibilty_ERP!$K:$K,"RTF")</f>
        <v>0</v>
      </c>
      <c r="I10" s="19">
        <f>SUMIFS(Visibilty_ERP!AK:AK,Visibilty_ERP!$E:$E,RTF!$B10,Visibilty_ERP!$K:$K,"RTF")</f>
        <v>0</v>
      </c>
      <c r="J10" s="19">
        <f>SUMIFS(Visibilty_ERP!AL:AL,Visibilty_ERP!$E:$E,RTF!$B10,Visibilty_ERP!$K:$K,"RTF")</f>
        <v>0</v>
      </c>
      <c r="K10" s="19">
        <f>SUMIFS(Visibilty_ERP!AM:AM,Visibilty_ERP!$E:$E,RTF!$B10,Visibilty_ERP!$K:$K,"RTF")</f>
        <v>2500</v>
      </c>
      <c r="L10" s="19">
        <f>SUMIFS(Visibilty_ERP!AN:AN,Visibilty_ERP!$E:$E,RTF!$B10,Visibilty_ERP!$K:$K,"RTF")</f>
        <v>0</v>
      </c>
      <c r="M10" s="19">
        <f>SUMIFS(Visibilty_ERP!AO:AO,Visibilty_ERP!$E:$E,RTF!$B10,Visibilty_ERP!$K:$K,"RTF")</f>
        <v>0</v>
      </c>
      <c r="N10" s="19">
        <f>SUMIFS(Visibilty_ERP!AP:AP,Visibilty_ERP!$E:$E,RTF!$B10,Visibilty_ERP!$K:$K,"RTF")</f>
        <v>0</v>
      </c>
      <c r="O10" s="19">
        <f>SUMIFS(Visibilty_ERP!AQ:AQ,Visibilty_ERP!$E:$E,RTF!$B10,Visibilty_ERP!$K:$K,"RTF")</f>
        <v>0</v>
      </c>
      <c r="P10" s="19">
        <f>SUMIFS(Visibilty_ERP!AR:AR,Visibilty_ERP!$E:$E,RTF!$B10,Visibilty_ERP!$K:$K,"RTF")</f>
        <v>0</v>
      </c>
      <c r="Q10" s="19">
        <f>SUMIFS(Visibilty_ERP!AS:AS,Visibilty_ERP!$E:$E,RTF!$B10,Visibilty_ERP!$K:$K,"RTF")</f>
        <v>0</v>
      </c>
      <c r="R10" s="19">
        <f>SUMIFS(Visibilty_ERP!AT:AT,Visibilty_ERP!$E:$E,RTF!$B10,Visibilty_ERP!$K:$K,"RTF")</f>
        <v>0</v>
      </c>
      <c r="S10" s="19">
        <f>SUMIFS(Visibilty_ERP!AU:AU,Visibilty_ERP!$E:$E,RTF!$B10,Visibilty_ERP!$K:$K,"RTF")</f>
        <v>0</v>
      </c>
      <c r="T10" s="1">
        <f t="shared" si="1"/>
        <v>0</v>
      </c>
      <c r="U10" s="1">
        <f t="shared" si="0"/>
        <v>0</v>
      </c>
      <c r="V10" s="1">
        <f t="shared" si="0"/>
        <v>2500</v>
      </c>
      <c r="W10" s="1">
        <f t="shared" si="0"/>
        <v>0</v>
      </c>
    </row>
    <row r="11" spans="2:23" x14ac:dyDescent="0.3">
      <c r="B11" s="18" t="s">
        <v>809</v>
      </c>
      <c r="C11" s="19">
        <f>SUMIFS(Visibilty_ERP!L:L,Visibilty_ERP!$E:$E,RTF!$B11)</f>
        <v>81090</v>
      </c>
      <c r="D11" s="19">
        <f>SUMIFS(Visibilty_ERP!A:A,Visibilty_ERP!$E:$E,RTF!$B11,Visibilty_ERP!$K:$K,"RTF")</f>
        <v>0</v>
      </c>
      <c r="E11" s="19">
        <f>SUMIFS(Visibilty_ERP!B:B,Visibilty_ERP!$E:$E,RTF!$B11,Visibilty_ERP!$K:$K,"RTF")</f>
        <v>0</v>
      </c>
      <c r="F11" s="19">
        <f>SUMIFS(Visibilty_ERP!C:C,Visibilty_ERP!$E:$E,RTF!$B11,Visibilty_ERP!$K:$K,"RTF")</f>
        <v>7800</v>
      </c>
      <c r="G11" s="19">
        <f>SUMIFS(Visibilty_ERP!AI:AI,Visibilty_ERP!$E:$E,RTF!$B11,Visibilty_ERP!$K:$K,"RTF")</f>
        <v>0</v>
      </c>
      <c r="H11" s="19">
        <f>SUMIFS(Visibilty_ERP!AJ:AJ,Visibilty_ERP!$E:$E,RTF!$B11,Visibilty_ERP!$K:$K,"RTF")</f>
        <v>0</v>
      </c>
      <c r="I11" s="19">
        <f>SUMIFS(Visibilty_ERP!AK:AK,Visibilty_ERP!$E:$E,RTF!$B11,Visibilty_ERP!$K:$K,"RTF")</f>
        <v>0</v>
      </c>
      <c r="J11" s="19">
        <f>SUMIFS(Visibilty_ERP!AL:AL,Visibilty_ERP!$E:$E,RTF!$B11,Visibilty_ERP!$K:$K,"RTF")</f>
        <v>0</v>
      </c>
      <c r="K11" s="19">
        <f>SUMIFS(Visibilty_ERP!AM:AM,Visibilty_ERP!$E:$E,RTF!$B11,Visibilty_ERP!$K:$K,"RTF")</f>
        <v>0</v>
      </c>
      <c r="L11" s="19">
        <f>SUMIFS(Visibilty_ERP!AN:AN,Visibilty_ERP!$E:$E,RTF!$B11,Visibilty_ERP!$K:$K,"RTF")</f>
        <v>0</v>
      </c>
      <c r="M11" s="19">
        <f>SUMIFS(Visibilty_ERP!AO:AO,Visibilty_ERP!$E:$E,RTF!$B11,Visibilty_ERP!$K:$K,"RTF")</f>
        <v>0</v>
      </c>
      <c r="N11" s="19">
        <f>SUMIFS(Visibilty_ERP!AP:AP,Visibilty_ERP!$E:$E,RTF!$B11,Visibilty_ERP!$K:$K,"RTF")</f>
        <v>0</v>
      </c>
      <c r="O11" s="19">
        <f>SUMIFS(Visibilty_ERP!AQ:AQ,Visibilty_ERP!$E:$E,RTF!$B11,Visibilty_ERP!$K:$K,"RTF")</f>
        <v>0</v>
      </c>
      <c r="P11" s="19">
        <f>SUMIFS(Visibilty_ERP!AR:AR,Visibilty_ERP!$E:$E,RTF!$B11,Visibilty_ERP!$K:$K,"RTF")</f>
        <v>0</v>
      </c>
      <c r="Q11" s="19">
        <f>SUMIFS(Visibilty_ERP!AS:AS,Visibilty_ERP!$E:$E,RTF!$B11,Visibilty_ERP!$K:$K,"RTF")</f>
        <v>0</v>
      </c>
      <c r="R11" s="19">
        <f>SUMIFS(Visibilty_ERP!AT:AT,Visibilty_ERP!$E:$E,RTF!$B11,Visibilty_ERP!$K:$K,"RTF")</f>
        <v>0</v>
      </c>
      <c r="S11" s="19">
        <f>SUMIFS(Visibilty_ERP!AU:AU,Visibilty_ERP!$E:$E,RTF!$B11,Visibilty_ERP!$K:$K,"RTF")</f>
        <v>0</v>
      </c>
      <c r="T11" s="1">
        <f t="shared" si="1"/>
        <v>0</v>
      </c>
      <c r="U11" s="1">
        <f t="shared" si="0"/>
        <v>7800</v>
      </c>
      <c r="V11" s="1">
        <f t="shared" si="0"/>
        <v>0</v>
      </c>
      <c r="W11" s="1">
        <f t="shared" si="0"/>
        <v>0</v>
      </c>
    </row>
    <row r="12" spans="2:23" x14ac:dyDescent="0.3">
      <c r="B12" s="18" t="s">
        <v>787</v>
      </c>
      <c r="C12" s="19">
        <f>SUMIFS(Visibilty_ERP!L:L,Visibilty_ERP!$E:$E,RTF!$B12)</f>
        <v>86639</v>
      </c>
      <c r="D12" s="19">
        <f>SUMIFS(Visibilty_ERP!A:A,Visibilty_ERP!$E:$E,RTF!$B12,Visibilty_ERP!$K:$K,"RTF")</f>
        <v>0</v>
      </c>
      <c r="E12" s="19">
        <f>SUMIFS(Visibilty_ERP!B:B,Visibilty_ERP!$E:$E,RTF!$B12,Visibilty_ERP!$K:$K,"RTF")</f>
        <v>0</v>
      </c>
      <c r="F12" s="19">
        <f>SUMIFS(Visibilty_ERP!C:C,Visibilty_ERP!$E:$E,RTF!$B12,Visibilty_ERP!$K:$K,"RTF")</f>
        <v>25000</v>
      </c>
      <c r="G12" s="19">
        <f>SUMIFS(Visibilty_ERP!AI:AI,Visibilty_ERP!$E:$E,RTF!$B12,Visibilty_ERP!$K:$K,"RTF")</f>
        <v>15000</v>
      </c>
      <c r="H12" s="19">
        <f>SUMIFS(Visibilty_ERP!AJ:AJ,Visibilty_ERP!$E:$E,RTF!$B12,Visibilty_ERP!$K:$K,"RTF")</f>
        <v>2500</v>
      </c>
      <c r="I12" s="19">
        <f>SUMIFS(Visibilty_ERP!AK:AK,Visibilty_ERP!$E:$E,RTF!$B12,Visibilty_ERP!$K:$K,"RTF")</f>
        <v>0</v>
      </c>
      <c r="J12" s="19">
        <f>SUMIFS(Visibilty_ERP!AL:AL,Visibilty_ERP!$E:$E,RTF!$B12,Visibilty_ERP!$K:$K,"RTF")</f>
        <v>25000</v>
      </c>
      <c r="K12" s="19">
        <f>SUMIFS(Visibilty_ERP!AM:AM,Visibilty_ERP!$E:$E,RTF!$B12,Visibilty_ERP!$K:$K,"RTF")</f>
        <v>0</v>
      </c>
      <c r="L12" s="19">
        <f>SUMIFS(Visibilty_ERP!AN:AN,Visibilty_ERP!$E:$E,RTF!$B12,Visibilty_ERP!$K:$K,"RTF")</f>
        <v>0</v>
      </c>
      <c r="M12" s="19">
        <f>SUMIFS(Visibilty_ERP!AO:AO,Visibilty_ERP!$E:$E,RTF!$B12,Visibilty_ERP!$K:$K,"RTF")</f>
        <v>0</v>
      </c>
      <c r="N12" s="19">
        <f>SUMIFS(Visibilty_ERP!AP:AP,Visibilty_ERP!$E:$E,RTF!$B12,Visibilty_ERP!$K:$K,"RTF")</f>
        <v>12500</v>
      </c>
      <c r="O12" s="19">
        <f>SUMIFS(Visibilty_ERP!AQ:AQ,Visibilty_ERP!$E:$E,RTF!$B12,Visibilty_ERP!$K:$K,"RTF")</f>
        <v>0</v>
      </c>
      <c r="P12" s="19">
        <f>SUMIFS(Visibilty_ERP!AR:AR,Visibilty_ERP!$E:$E,RTF!$B12,Visibilty_ERP!$K:$K,"RTF")</f>
        <v>0</v>
      </c>
      <c r="Q12" s="19">
        <f>SUMIFS(Visibilty_ERP!AS:AS,Visibilty_ERP!$E:$E,RTF!$B12,Visibilty_ERP!$K:$K,"RTF")</f>
        <v>0</v>
      </c>
      <c r="R12" s="19">
        <f>SUMIFS(Visibilty_ERP!AT:AT,Visibilty_ERP!$E:$E,RTF!$B12,Visibilty_ERP!$K:$K,"RTF")</f>
        <v>0</v>
      </c>
      <c r="S12" s="19">
        <f>SUMIFS(Visibilty_ERP!AU:AU,Visibilty_ERP!$E:$E,RTF!$B12,Visibilty_ERP!$K:$K,"RTF")</f>
        <v>0</v>
      </c>
      <c r="T12" s="1">
        <f t="shared" si="1"/>
        <v>0</v>
      </c>
      <c r="U12" s="1">
        <f t="shared" si="0"/>
        <v>42500</v>
      </c>
      <c r="V12" s="1">
        <f t="shared" si="0"/>
        <v>37500</v>
      </c>
      <c r="W12" s="1">
        <f t="shared" si="0"/>
        <v>0</v>
      </c>
    </row>
    <row r="13" spans="2:23" x14ac:dyDescent="0.3">
      <c r="B13" s="18" t="s">
        <v>853</v>
      </c>
      <c r="C13" s="19">
        <f>SUMIFS(Visibilty_ERP!L:L,Visibilty_ERP!$E:$E,RTF!$B13)</f>
        <v>37260</v>
      </c>
      <c r="D13" s="19">
        <f>SUMIFS(Visibilty_ERP!A:A,Visibilty_ERP!$E:$E,RTF!$B13,Visibilty_ERP!$K:$K,"RTF")</f>
        <v>0</v>
      </c>
      <c r="E13" s="19">
        <f>SUMIFS(Visibilty_ERP!B:B,Visibilty_ERP!$E:$E,RTF!$B13,Visibilty_ERP!$K:$K,"RTF")</f>
        <v>0</v>
      </c>
      <c r="F13" s="19">
        <f>SUMIFS(Visibilty_ERP!C:C,Visibilty_ERP!$E:$E,RTF!$B13,Visibilty_ERP!$K:$K,"RTF")</f>
        <v>0</v>
      </c>
      <c r="G13" s="19">
        <f>SUMIFS(Visibilty_ERP!AI:AI,Visibilty_ERP!$E:$E,RTF!$B13,Visibilty_ERP!$K:$K,"RTF")</f>
        <v>0</v>
      </c>
      <c r="H13" s="19">
        <f>SUMIFS(Visibilty_ERP!AJ:AJ,Visibilty_ERP!$E:$E,RTF!$B13,Visibilty_ERP!$K:$K,"RTF")</f>
        <v>0</v>
      </c>
      <c r="I13" s="19">
        <f>SUMIFS(Visibilty_ERP!AK:AK,Visibilty_ERP!$E:$E,RTF!$B13,Visibilty_ERP!$K:$K,"RTF")</f>
        <v>0</v>
      </c>
      <c r="J13" s="19">
        <f>SUMIFS(Visibilty_ERP!AL:AL,Visibilty_ERP!$E:$E,RTF!$B13,Visibilty_ERP!$K:$K,"RTF")</f>
        <v>0</v>
      </c>
      <c r="K13" s="19">
        <f>SUMIFS(Visibilty_ERP!AM:AM,Visibilty_ERP!$E:$E,RTF!$B13,Visibilty_ERP!$K:$K,"RTF")</f>
        <v>0</v>
      </c>
      <c r="L13" s="19">
        <f>SUMIFS(Visibilty_ERP!AN:AN,Visibilty_ERP!$E:$E,RTF!$B13,Visibilty_ERP!$K:$K,"RTF")</f>
        <v>0</v>
      </c>
      <c r="M13" s="19">
        <f>SUMIFS(Visibilty_ERP!AO:AO,Visibilty_ERP!$E:$E,RTF!$B13,Visibilty_ERP!$K:$K,"RTF")</f>
        <v>0</v>
      </c>
      <c r="N13" s="19">
        <f>SUMIFS(Visibilty_ERP!AP:AP,Visibilty_ERP!$E:$E,RTF!$B13,Visibilty_ERP!$K:$K,"RTF")</f>
        <v>0</v>
      </c>
      <c r="O13" s="19">
        <f>SUMIFS(Visibilty_ERP!AQ:AQ,Visibilty_ERP!$E:$E,RTF!$B13,Visibilty_ERP!$K:$K,"RTF")</f>
        <v>0</v>
      </c>
      <c r="P13" s="19">
        <f>SUMIFS(Visibilty_ERP!AR:AR,Visibilty_ERP!$E:$E,RTF!$B13,Visibilty_ERP!$K:$K,"RTF")</f>
        <v>0</v>
      </c>
      <c r="Q13" s="19">
        <f>SUMIFS(Visibilty_ERP!AS:AS,Visibilty_ERP!$E:$E,RTF!$B13,Visibilty_ERP!$K:$K,"RTF")</f>
        <v>0</v>
      </c>
      <c r="R13" s="19">
        <f>SUMIFS(Visibilty_ERP!AT:AT,Visibilty_ERP!$E:$E,RTF!$B13,Visibilty_ERP!$K:$K,"RTF")</f>
        <v>0</v>
      </c>
      <c r="S13" s="19">
        <f>SUMIFS(Visibilty_ERP!AU:AU,Visibilty_ERP!$E:$E,RTF!$B13,Visibilty_ERP!$K:$K,"RTF")</f>
        <v>0</v>
      </c>
      <c r="T13" s="1">
        <f t="shared" si="1"/>
        <v>0</v>
      </c>
      <c r="U13" s="1">
        <f t="shared" si="0"/>
        <v>0</v>
      </c>
      <c r="V13" s="1">
        <f t="shared" si="0"/>
        <v>0</v>
      </c>
      <c r="W13" s="1">
        <f t="shared" si="0"/>
        <v>0</v>
      </c>
    </row>
    <row r="14" spans="2:23" x14ac:dyDescent="0.3">
      <c r="B14" s="18" t="s">
        <v>862</v>
      </c>
      <c r="C14" s="19">
        <f>SUMIFS(Visibilty_ERP!L:L,Visibilty_ERP!$E:$E,RTF!$B14)</f>
        <v>6631</v>
      </c>
      <c r="D14" s="19">
        <f>SUMIFS(Visibilty_ERP!A:A,Visibilty_ERP!$E:$E,RTF!$B14,Visibilty_ERP!$K:$K,"RTF")</f>
        <v>0</v>
      </c>
      <c r="E14" s="19">
        <f>SUMIFS(Visibilty_ERP!B:B,Visibilty_ERP!$E:$E,RTF!$B14,Visibilty_ERP!$K:$K,"RTF")</f>
        <v>0</v>
      </c>
      <c r="F14" s="19">
        <f>SUMIFS(Visibilty_ERP!C:C,Visibilty_ERP!$E:$E,RTF!$B14,Visibilty_ERP!$K:$K,"RTF")</f>
        <v>0</v>
      </c>
      <c r="G14" s="19">
        <f>SUMIFS(Visibilty_ERP!AI:AI,Visibilty_ERP!$E:$E,RTF!$B14,Visibilty_ERP!$K:$K,"RTF")</f>
        <v>0</v>
      </c>
      <c r="H14" s="19">
        <f>SUMIFS(Visibilty_ERP!AJ:AJ,Visibilty_ERP!$E:$E,RTF!$B14,Visibilty_ERP!$K:$K,"RTF")</f>
        <v>0</v>
      </c>
      <c r="I14" s="19">
        <f>SUMIFS(Visibilty_ERP!AK:AK,Visibilty_ERP!$E:$E,RTF!$B14,Visibilty_ERP!$K:$K,"RTF")</f>
        <v>0</v>
      </c>
      <c r="J14" s="19">
        <f>SUMIFS(Visibilty_ERP!AL:AL,Visibilty_ERP!$E:$E,RTF!$B14,Visibilty_ERP!$K:$K,"RTF")</f>
        <v>0</v>
      </c>
      <c r="K14" s="19">
        <f>SUMIFS(Visibilty_ERP!AM:AM,Visibilty_ERP!$E:$E,RTF!$B14,Visibilty_ERP!$K:$K,"RTF")</f>
        <v>0</v>
      </c>
      <c r="L14" s="19">
        <f>SUMIFS(Visibilty_ERP!AN:AN,Visibilty_ERP!$E:$E,RTF!$B14,Visibilty_ERP!$K:$K,"RTF")</f>
        <v>0</v>
      </c>
      <c r="M14" s="19">
        <f>SUMIFS(Visibilty_ERP!AO:AO,Visibilty_ERP!$E:$E,RTF!$B14,Visibilty_ERP!$K:$K,"RTF")</f>
        <v>0</v>
      </c>
      <c r="N14" s="19">
        <f>SUMIFS(Visibilty_ERP!AP:AP,Visibilty_ERP!$E:$E,RTF!$B14,Visibilty_ERP!$K:$K,"RTF")</f>
        <v>0</v>
      </c>
      <c r="O14" s="19">
        <f>SUMIFS(Visibilty_ERP!AQ:AQ,Visibilty_ERP!$E:$E,RTF!$B14,Visibilty_ERP!$K:$K,"RTF")</f>
        <v>0</v>
      </c>
      <c r="P14" s="19">
        <f>SUMIFS(Visibilty_ERP!AR:AR,Visibilty_ERP!$E:$E,RTF!$B14,Visibilty_ERP!$K:$K,"RTF")</f>
        <v>0</v>
      </c>
      <c r="Q14" s="19">
        <f>SUMIFS(Visibilty_ERP!AS:AS,Visibilty_ERP!$E:$E,RTF!$B14,Visibilty_ERP!$K:$K,"RTF")</f>
        <v>0</v>
      </c>
      <c r="R14" s="19">
        <f>SUMIFS(Visibilty_ERP!AT:AT,Visibilty_ERP!$E:$E,RTF!$B14,Visibilty_ERP!$K:$K,"RTF")</f>
        <v>0</v>
      </c>
      <c r="S14" s="19">
        <f>SUMIFS(Visibilty_ERP!AU:AU,Visibilty_ERP!$E:$E,RTF!$B14,Visibilty_ERP!$K:$K,"RTF")</f>
        <v>0</v>
      </c>
      <c r="T14" s="1">
        <f t="shared" si="1"/>
        <v>0</v>
      </c>
      <c r="U14" s="1">
        <f t="shared" si="0"/>
        <v>0</v>
      </c>
      <c r="V14" s="1">
        <f t="shared" si="0"/>
        <v>0</v>
      </c>
      <c r="W14" s="1">
        <f t="shared" si="0"/>
        <v>0</v>
      </c>
    </row>
    <row r="15" spans="2:23" x14ac:dyDescent="0.3">
      <c r="B15" s="18" t="s">
        <v>839</v>
      </c>
      <c r="C15" s="19">
        <f>SUMIFS(Visibilty_ERP!L:L,Visibilty_ERP!$E:$E,RTF!$B15)</f>
        <v>74945</v>
      </c>
      <c r="D15" s="19">
        <f>SUMIFS(Visibilty_ERP!A:A,Visibilty_ERP!$E:$E,RTF!$B15,Visibilty_ERP!$K:$K,"RTF")</f>
        <v>0</v>
      </c>
      <c r="E15" s="19">
        <f>SUMIFS(Visibilty_ERP!B:B,Visibilty_ERP!$E:$E,RTF!$B15,Visibilty_ERP!$K:$K,"RTF")</f>
        <v>0</v>
      </c>
      <c r="F15" s="19">
        <f>SUMIFS(Visibilty_ERP!C:C,Visibilty_ERP!$E:$E,RTF!$B15,Visibilty_ERP!$K:$K,"RTF")</f>
        <v>0</v>
      </c>
      <c r="G15" s="19">
        <f>SUMIFS(Visibilty_ERP!AI:AI,Visibilty_ERP!$E:$E,RTF!$B15,Visibilty_ERP!$K:$K,"RTF")</f>
        <v>0</v>
      </c>
      <c r="H15" s="19">
        <f>SUMIFS(Visibilty_ERP!AJ:AJ,Visibilty_ERP!$E:$E,RTF!$B15,Visibilty_ERP!$K:$K,"RTF")</f>
        <v>0</v>
      </c>
      <c r="I15" s="19">
        <f>SUMIFS(Visibilty_ERP!AK:AK,Visibilty_ERP!$E:$E,RTF!$B15,Visibilty_ERP!$K:$K,"RTF")</f>
        <v>0</v>
      </c>
      <c r="J15" s="19">
        <f>SUMIFS(Visibilty_ERP!AL:AL,Visibilty_ERP!$E:$E,RTF!$B15,Visibilty_ERP!$K:$K,"RTF")</f>
        <v>0</v>
      </c>
      <c r="K15" s="19">
        <f>SUMIFS(Visibilty_ERP!AM:AM,Visibilty_ERP!$E:$E,RTF!$B15,Visibilty_ERP!$K:$K,"RTF")</f>
        <v>0</v>
      </c>
      <c r="L15" s="19">
        <f>SUMIFS(Visibilty_ERP!AN:AN,Visibilty_ERP!$E:$E,RTF!$B15,Visibilty_ERP!$K:$K,"RTF")</f>
        <v>0</v>
      </c>
      <c r="M15" s="19">
        <f>SUMIFS(Visibilty_ERP!AO:AO,Visibilty_ERP!$E:$E,RTF!$B15,Visibilty_ERP!$K:$K,"RTF")</f>
        <v>0</v>
      </c>
      <c r="N15" s="19">
        <f>SUMIFS(Visibilty_ERP!AP:AP,Visibilty_ERP!$E:$E,RTF!$B15,Visibilty_ERP!$K:$K,"RTF")</f>
        <v>0</v>
      </c>
      <c r="O15" s="19">
        <f>SUMIFS(Visibilty_ERP!AQ:AQ,Visibilty_ERP!$E:$E,RTF!$B15,Visibilty_ERP!$K:$K,"RTF")</f>
        <v>0</v>
      </c>
      <c r="P15" s="19">
        <f>SUMIFS(Visibilty_ERP!AR:AR,Visibilty_ERP!$E:$E,RTF!$B15,Visibilty_ERP!$K:$K,"RTF")</f>
        <v>0</v>
      </c>
      <c r="Q15" s="19">
        <f>SUMIFS(Visibilty_ERP!AS:AS,Visibilty_ERP!$E:$E,RTF!$B15,Visibilty_ERP!$K:$K,"RTF")</f>
        <v>0</v>
      </c>
      <c r="R15" s="19">
        <f>SUMIFS(Visibilty_ERP!AT:AT,Visibilty_ERP!$E:$E,RTF!$B15,Visibilty_ERP!$K:$K,"RTF")</f>
        <v>0</v>
      </c>
      <c r="S15" s="19">
        <f>SUMIFS(Visibilty_ERP!AU:AU,Visibilty_ERP!$E:$E,RTF!$B15,Visibilty_ERP!$K:$K,"RTF")</f>
        <v>0</v>
      </c>
      <c r="T15" s="1">
        <f t="shared" si="1"/>
        <v>0</v>
      </c>
      <c r="U15" s="1">
        <f t="shared" si="0"/>
        <v>0</v>
      </c>
      <c r="V15" s="1">
        <f t="shared" si="0"/>
        <v>0</v>
      </c>
      <c r="W15" s="1">
        <f t="shared" si="0"/>
        <v>0</v>
      </c>
    </row>
    <row r="16" spans="2:23" x14ac:dyDescent="0.3">
      <c r="B16" s="18" t="s">
        <v>869</v>
      </c>
      <c r="C16" s="19">
        <f>SUMIFS(Visibilty_ERP!L:L,Visibilty_ERP!$E:$E,RTF!$B16)</f>
        <v>17217</v>
      </c>
      <c r="D16" s="19">
        <f>SUMIFS(Visibilty_ERP!A:A,Visibilty_ERP!$E:$E,RTF!$B16,Visibilty_ERP!$K:$K,"RTF")</f>
        <v>0</v>
      </c>
      <c r="E16" s="19">
        <f>SUMIFS(Visibilty_ERP!B:B,Visibilty_ERP!$E:$E,RTF!$B16,Visibilty_ERP!$K:$K,"RTF")</f>
        <v>0</v>
      </c>
      <c r="F16" s="19">
        <f>SUMIFS(Visibilty_ERP!C:C,Visibilty_ERP!$E:$E,RTF!$B16,Visibilty_ERP!$K:$K,"RTF")</f>
        <v>0</v>
      </c>
      <c r="G16" s="19">
        <f>SUMIFS(Visibilty_ERP!AI:AI,Visibilty_ERP!$E:$E,RTF!$B16,Visibilty_ERP!$K:$K,"RTF")</f>
        <v>0</v>
      </c>
      <c r="H16" s="19">
        <f>SUMIFS(Visibilty_ERP!AJ:AJ,Visibilty_ERP!$E:$E,RTF!$B16,Visibilty_ERP!$K:$K,"RTF")</f>
        <v>0</v>
      </c>
      <c r="I16" s="19">
        <f>SUMIFS(Visibilty_ERP!AK:AK,Visibilty_ERP!$E:$E,RTF!$B16,Visibilty_ERP!$K:$K,"RTF")</f>
        <v>0</v>
      </c>
      <c r="J16" s="19">
        <f>SUMIFS(Visibilty_ERP!AL:AL,Visibilty_ERP!$E:$E,RTF!$B16,Visibilty_ERP!$K:$K,"RTF")</f>
        <v>0</v>
      </c>
      <c r="K16" s="19">
        <f>SUMIFS(Visibilty_ERP!AM:AM,Visibilty_ERP!$E:$E,RTF!$B16,Visibilty_ERP!$K:$K,"RTF")</f>
        <v>0</v>
      </c>
      <c r="L16" s="19">
        <f>SUMIFS(Visibilty_ERP!AN:AN,Visibilty_ERP!$E:$E,RTF!$B16,Visibilty_ERP!$K:$K,"RTF")</f>
        <v>0</v>
      </c>
      <c r="M16" s="19">
        <f>SUMIFS(Visibilty_ERP!AO:AO,Visibilty_ERP!$E:$E,RTF!$B16,Visibilty_ERP!$K:$K,"RTF")</f>
        <v>0</v>
      </c>
      <c r="N16" s="19">
        <f>SUMIFS(Visibilty_ERP!AP:AP,Visibilty_ERP!$E:$E,RTF!$B16,Visibilty_ERP!$K:$K,"RTF")</f>
        <v>0</v>
      </c>
      <c r="O16" s="19">
        <f>SUMIFS(Visibilty_ERP!AQ:AQ,Visibilty_ERP!$E:$E,RTF!$B16,Visibilty_ERP!$K:$K,"RTF")</f>
        <v>0</v>
      </c>
      <c r="P16" s="19">
        <f>SUMIFS(Visibilty_ERP!AR:AR,Visibilty_ERP!$E:$E,RTF!$B16,Visibilty_ERP!$K:$K,"RTF")</f>
        <v>0</v>
      </c>
      <c r="Q16" s="19">
        <f>SUMIFS(Visibilty_ERP!AS:AS,Visibilty_ERP!$E:$E,RTF!$B16,Visibilty_ERP!$K:$K,"RTF")</f>
        <v>0</v>
      </c>
      <c r="R16" s="19">
        <f>SUMIFS(Visibilty_ERP!AT:AT,Visibilty_ERP!$E:$E,RTF!$B16,Visibilty_ERP!$K:$K,"RTF")</f>
        <v>0</v>
      </c>
      <c r="S16" s="19">
        <f>SUMIFS(Visibilty_ERP!AU:AU,Visibilty_ERP!$E:$E,RTF!$B16,Visibilty_ERP!$K:$K,"RTF")</f>
        <v>0</v>
      </c>
      <c r="T16" s="1">
        <f t="shared" si="1"/>
        <v>0</v>
      </c>
      <c r="U16" s="1">
        <f t="shared" si="0"/>
        <v>0</v>
      </c>
      <c r="V16" s="1">
        <f t="shared" si="0"/>
        <v>0</v>
      </c>
      <c r="W16" s="1">
        <f t="shared" si="0"/>
        <v>0</v>
      </c>
    </row>
    <row r="17" spans="2:23" x14ac:dyDescent="0.3">
      <c r="B17" s="18" t="s">
        <v>827</v>
      </c>
      <c r="C17" s="19">
        <f>SUMIFS(Visibilty_ERP!L:L,Visibilty_ERP!$E:$E,RTF!$B17)</f>
        <v>528184</v>
      </c>
      <c r="D17" s="19">
        <f>SUMIFS(Visibilty_ERP!A:A,Visibilty_ERP!$E:$E,RTF!$B17,Visibilty_ERP!$K:$K,"RTF")</f>
        <v>0</v>
      </c>
      <c r="E17" s="19">
        <f>SUMIFS(Visibilty_ERP!B:B,Visibilty_ERP!$E:$E,RTF!$B17,Visibilty_ERP!$K:$K,"RTF")</f>
        <v>0</v>
      </c>
      <c r="F17" s="19">
        <f>SUMIFS(Visibilty_ERP!C:C,Visibilty_ERP!$E:$E,RTF!$B17,Visibilty_ERP!$K:$K,"RTF")</f>
        <v>0</v>
      </c>
      <c r="G17" s="19">
        <f>SUMIFS(Visibilty_ERP!AI:AI,Visibilty_ERP!$E:$E,RTF!$B17,Visibilty_ERP!$K:$K,"RTF")</f>
        <v>0</v>
      </c>
      <c r="H17" s="19">
        <f>SUMIFS(Visibilty_ERP!AJ:AJ,Visibilty_ERP!$E:$E,RTF!$B17,Visibilty_ERP!$K:$K,"RTF")</f>
        <v>0</v>
      </c>
      <c r="I17" s="19">
        <f>SUMIFS(Visibilty_ERP!AK:AK,Visibilty_ERP!$E:$E,RTF!$B17,Visibilty_ERP!$K:$K,"RTF")</f>
        <v>0</v>
      </c>
      <c r="J17" s="19">
        <f>SUMIFS(Visibilty_ERP!AL:AL,Visibilty_ERP!$E:$E,RTF!$B17,Visibilty_ERP!$K:$K,"RTF")</f>
        <v>0</v>
      </c>
      <c r="K17" s="19">
        <f>SUMIFS(Visibilty_ERP!AM:AM,Visibilty_ERP!$E:$E,RTF!$B17,Visibilty_ERP!$K:$K,"RTF")</f>
        <v>0</v>
      </c>
      <c r="L17" s="19">
        <f>SUMIFS(Visibilty_ERP!AN:AN,Visibilty_ERP!$E:$E,RTF!$B17,Visibilty_ERP!$K:$K,"RTF")</f>
        <v>0</v>
      </c>
      <c r="M17" s="19">
        <f>SUMIFS(Visibilty_ERP!AO:AO,Visibilty_ERP!$E:$E,RTF!$B17,Visibilty_ERP!$K:$K,"RTF")</f>
        <v>0</v>
      </c>
      <c r="N17" s="19">
        <f>SUMIFS(Visibilty_ERP!AP:AP,Visibilty_ERP!$E:$E,RTF!$B17,Visibilty_ERP!$K:$K,"RTF")</f>
        <v>0</v>
      </c>
      <c r="O17" s="19">
        <f>SUMIFS(Visibilty_ERP!AQ:AQ,Visibilty_ERP!$E:$E,RTF!$B17,Visibilty_ERP!$K:$K,"RTF")</f>
        <v>0</v>
      </c>
      <c r="P17" s="19">
        <f>SUMIFS(Visibilty_ERP!AR:AR,Visibilty_ERP!$E:$E,RTF!$B17,Visibilty_ERP!$K:$K,"RTF")</f>
        <v>0</v>
      </c>
      <c r="Q17" s="19">
        <f>SUMIFS(Visibilty_ERP!AS:AS,Visibilty_ERP!$E:$E,RTF!$B17,Visibilty_ERP!$K:$K,"RTF")</f>
        <v>0</v>
      </c>
      <c r="R17" s="19">
        <f>SUMIFS(Visibilty_ERP!AT:AT,Visibilty_ERP!$E:$E,RTF!$B17,Visibilty_ERP!$K:$K,"RTF")</f>
        <v>0</v>
      </c>
      <c r="S17" s="19">
        <f>SUMIFS(Visibilty_ERP!AU:AU,Visibilty_ERP!$E:$E,RTF!$B17,Visibilty_ERP!$K:$K,"RTF")</f>
        <v>0</v>
      </c>
      <c r="T17" s="1">
        <f t="shared" si="1"/>
        <v>0</v>
      </c>
      <c r="U17" s="1">
        <f t="shared" si="0"/>
        <v>0</v>
      </c>
      <c r="V17" s="1">
        <f t="shared" si="0"/>
        <v>0</v>
      </c>
      <c r="W17" s="1">
        <f t="shared" si="0"/>
        <v>0</v>
      </c>
    </row>
    <row r="18" spans="2:23" x14ac:dyDescent="0.3">
      <c r="B18" s="18" t="s">
        <v>872</v>
      </c>
      <c r="C18" s="19">
        <f>SUMIFS(Visibilty_ERP!L:L,Visibilty_ERP!$E:$E,RTF!$B18)</f>
        <v>15413</v>
      </c>
      <c r="D18" s="19">
        <f>SUMIFS(Visibilty_ERP!A:A,Visibilty_ERP!$E:$E,RTF!$B18,Visibilty_ERP!$K:$K,"RTF")</f>
        <v>0</v>
      </c>
      <c r="E18" s="19">
        <f>SUMIFS(Visibilty_ERP!B:B,Visibilty_ERP!$E:$E,RTF!$B18,Visibilty_ERP!$K:$K,"RTF")</f>
        <v>0</v>
      </c>
      <c r="F18" s="19">
        <f>SUMIFS(Visibilty_ERP!C:C,Visibilty_ERP!$E:$E,RTF!$B18,Visibilty_ERP!$K:$K,"RTF")</f>
        <v>0</v>
      </c>
      <c r="G18" s="19">
        <f>SUMIFS(Visibilty_ERP!AI:AI,Visibilty_ERP!$E:$E,RTF!$B18,Visibilty_ERP!$K:$K,"RTF")</f>
        <v>0</v>
      </c>
      <c r="H18" s="19">
        <f>SUMIFS(Visibilty_ERP!AJ:AJ,Visibilty_ERP!$E:$E,RTF!$B18,Visibilty_ERP!$K:$K,"RTF")</f>
        <v>0</v>
      </c>
      <c r="I18" s="19">
        <f>SUMIFS(Visibilty_ERP!AK:AK,Visibilty_ERP!$E:$E,RTF!$B18,Visibilty_ERP!$K:$K,"RTF")</f>
        <v>0</v>
      </c>
      <c r="J18" s="19">
        <f>SUMIFS(Visibilty_ERP!AL:AL,Visibilty_ERP!$E:$E,RTF!$B18,Visibilty_ERP!$K:$K,"RTF")</f>
        <v>0</v>
      </c>
      <c r="K18" s="19">
        <f>SUMIFS(Visibilty_ERP!AM:AM,Visibilty_ERP!$E:$E,RTF!$B18,Visibilty_ERP!$K:$K,"RTF")</f>
        <v>0</v>
      </c>
      <c r="L18" s="19">
        <f>SUMIFS(Visibilty_ERP!AN:AN,Visibilty_ERP!$E:$E,RTF!$B18,Visibilty_ERP!$K:$K,"RTF")</f>
        <v>0</v>
      </c>
      <c r="M18" s="19">
        <f>SUMIFS(Visibilty_ERP!AO:AO,Visibilty_ERP!$E:$E,RTF!$B18,Visibilty_ERP!$K:$K,"RTF")</f>
        <v>0</v>
      </c>
      <c r="N18" s="19">
        <f>SUMIFS(Visibilty_ERP!AP:AP,Visibilty_ERP!$E:$E,RTF!$B18,Visibilty_ERP!$K:$K,"RTF")</f>
        <v>0</v>
      </c>
      <c r="O18" s="19">
        <f>SUMIFS(Visibilty_ERP!AQ:AQ,Visibilty_ERP!$E:$E,RTF!$B18,Visibilty_ERP!$K:$K,"RTF")</f>
        <v>0</v>
      </c>
      <c r="P18" s="19">
        <f>SUMIFS(Visibilty_ERP!AR:AR,Visibilty_ERP!$E:$E,RTF!$B18,Visibilty_ERP!$K:$K,"RTF")</f>
        <v>0</v>
      </c>
      <c r="Q18" s="19">
        <f>SUMIFS(Visibilty_ERP!AS:AS,Visibilty_ERP!$E:$E,RTF!$B18,Visibilty_ERP!$K:$K,"RTF")</f>
        <v>0</v>
      </c>
      <c r="R18" s="19">
        <f>SUMIFS(Visibilty_ERP!AT:AT,Visibilty_ERP!$E:$E,RTF!$B18,Visibilty_ERP!$K:$K,"RTF")</f>
        <v>0</v>
      </c>
      <c r="S18" s="19">
        <f>SUMIFS(Visibilty_ERP!AU:AU,Visibilty_ERP!$E:$E,RTF!$B18,Visibilty_ERP!$K:$K,"RTF")</f>
        <v>0</v>
      </c>
      <c r="T18" s="1">
        <f t="shared" si="1"/>
        <v>0</v>
      </c>
      <c r="U18" s="1">
        <f t="shared" si="0"/>
        <v>0</v>
      </c>
      <c r="V18" s="1">
        <f t="shared" si="0"/>
        <v>0</v>
      </c>
      <c r="W18" s="1">
        <f t="shared" si="0"/>
        <v>0</v>
      </c>
    </row>
    <row r="19" spans="2:23" x14ac:dyDescent="0.3">
      <c r="B19" s="18" t="s">
        <v>789</v>
      </c>
      <c r="C19" s="19">
        <f>SUMIFS(Visibilty_ERP!L:L,Visibilty_ERP!$E:$E,RTF!$B19)</f>
        <v>162557</v>
      </c>
      <c r="D19" s="19">
        <f>SUMIFS(Visibilty_ERP!A:A,Visibilty_ERP!$E:$E,RTF!$B19,Visibilty_ERP!$K:$K,"RTF")</f>
        <v>0</v>
      </c>
      <c r="E19" s="19">
        <f>SUMIFS(Visibilty_ERP!B:B,Visibilty_ERP!$E:$E,RTF!$B19,Visibilty_ERP!$K:$K,"RTF")</f>
        <v>0</v>
      </c>
      <c r="F19" s="19">
        <f>SUMIFS(Visibilty_ERP!C:C,Visibilty_ERP!$E:$E,RTF!$B19,Visibilty_ERP!$K:$K,"RTF")</f>
        <v>0</v>
      </c>
      <c r="G19" s="19">
        <f>SUMIFS(Visibilty_ERP!AI:AI,Visibilty_ERP!$E:$E,RTF!$B19,Visibilty_ERP!$K:$K,"RTF")</f>
        <v>60000</v>
      </c>
      <c r="H19" s="19">
        <f>SUMIFS(Visibilty_ERP!AJ:AJ,Visibilty_ERP!$E:$E,RTF!$B19,Visibilty_ERP!$K:$K,"RTF")</f>
        <v>0</v>
      </c>
      <c r="I19" s="19">
        <f>SUMIFS(Visibilty_ERP!AK:AK,Visibilty_ERP!$E:$E,RTF!$B19,Visibilty_ERP!$K:$K,"RTF")</f>
        <v>0</v>
      </c>
      <c r="J19" s="19">
        <f>SUMIFS(Visibilty_ERP!AL:AL,Visibilty_ERP!$E:$E,RTF!$B19,Visibilty_ERP!$K:$K,"RTF")</f>
        <v>0</v>
      </c>
      <c r="K19" s="19">
        <f>SUMIFS(Visibilty_ERP!AM:AM,Visibilty_ERP!$E:$E,RTF!$B19,Visibilty_ERP!$K:$K,"RTF")</f>
        <v>0</v>
      </c>
      <c r="L19" s="19">
        <f>SUMIFS(Visibilty_ERP!AN:AN,Visibilty_ERP!$E:$E,RTF!$B19,Visibilty_ERP!$K:$K,"RTF")</f>
        <v>0</v>
      </c>
      <c r="M19" s="19">
        <f>SUMIFS(Visibilty_ERP!AO:AO,Visibilty_ERP!$E:$E,RTF!$B19,Visibilty_ERP!$K:$K,"RTF")</f>
        <v>0</v>
      </c>
      <c r="N19" s="19">
        <f>SUMIFS(Visibilty_ERP!AP:AP,Visibilty_ERP!$E:$E,RTF!$B19,Visibilty_ERP!$K:$K,"RTF")</f>
        <v>0</v>
      </c>
      <c r="O19" s="19">
        <f>SUMIFS(Visibilty_ERP!AQ:AQ,Visibilty_ERP!$E:$E,RTF!$B19,Visibilty_ERP!$K:$K,"RTF")</f>
        <v>0</v>
      </c>
      <c r="P19" s="19">
        <f>SUMIFS(Visibilty_ERP!AR:AR,Visibilty_ERP!$E:$E,RTF!$B19,Visibilty_ERP!$K:$K,"RTF")</f>
        <v>0</v>
      </c>
      <c r="Q19" s="19">
        <f>SUMIFS(Visibilty_ERP!AS:AS,Visibilty_ERP!$E:$E,RTF!$B19,Visibilty_ERP!$K:$K,"RTF")</f>
        <v>0</v>
      </c>
      <c r="R19" s="19">
        <f>SUMIFS(Visibilty_ERP!AT:AT,Visibilty_ERP!$E:$E,RTF!$B19,Visibilty_ERP!$K:$K,"RTF")</f>
        <v>0</v>
      </c>
      <c r="S19" s="19">
        <f>SUMIFS(Visibilty_ERP!AU:AU,Visibilty_ERP!$E:$E,RTF!$B19,Visibilty_ERP!$K:$K,"RTF")</f>
        <v>0</v>
      </c>
      <c r="T19" s="1">
        <f t="shared" si="1"/>
        <v>0</v>
      </c>
      <c r="U19" s="1">
        <f t="shared" si="0"/>
        <v>60000</v>
      </c>
      <c r="V19" s="1">
        <f t="shared" si="0"/>
        <v>0</v>
      </c>
      <c r="W19" s="1">
        <f t="shared" si="0"/>
        <v>0</v>
      </c>
    </row>
    <row r="20" spans="2:23" x14ac:dyDescent="0.3">
      <c r="B20" s="18" t="s">
        <v>800</v>
      </c>
      <c r="C20" s="19">
        <f>SUMIFS(Visibilty_ERP!L:L,Visibilty_ERP!$E:$E,RTF!$B20)</f>
        <v>65292</v>
      </c>
      <c r="D20" s="19">
        <f>SUMIFS(Visibilty_ERP!A:A,Visibilty_ERP!$E:$E,RTF!$B20,Visibilty_ERP!$K:$K,"RTF")</f>
        <v>0</v>
      </c>
      <c r="E20" s="19">
        <f>SUMIFS(Visibilty_ERP!B:B,Visibilty_ERP!$E:$E,RTF!$B20,Visibilty_ERP!$K:$K,"RTF")</f>
        <v>0</v>
      </c>
      <c r="F20" s="19">
        <f>SUMIFS(Visibilty_ERP!C:C,Visibilty_ERP!$E:$E,RTF!$B20,Visibilty_ERP!$K:$K,"RTF")</f>
        <v>0</v>
      </c>
      <c r="G20" s="19">
        <f>SUMIFS(Visibilty_ERP!AI:AI,Visibilty_ERP!$E:$E,RTF!$B20,Visibilty_ERP!$K:$K,"RTF")</f>
        <v>0</v>
      </c>
      <c r="H20" s="19">
        <f>SUMIFS(Visibilty_ERP!AJ:AJ,Visibilty_ERP!$E:$E,RTF!$B20,Visibilty_ERP!$K:$K,"RTF")</f>
        <v>0</v>
      </c>
      <c r="I20" s="19">
        <f>SUMIFS(Visibilty_ERP!AK:AK,Visibilty_ERP!$E:$E,RTF!$B20,Visibilty_ERP!$K:$K,"RTF")</f>
        <v>0</v>
      </c>
      <c r="J20" s="19">
        <f>SUMIFS(Visibilty_ERP!AL:AL,Visibilty_ERP!$E:$E,RTF!$B20,Visibilty_ERP!$K:$K,"RTF")</f>
        <v>0</v>
      </c>
      <c r="K20" s="19">
        <f>SUMIFS(Visibilty_ERP!AM:AM,Visibilty_ERP!$E:$E,RTF!$B20,Visibilty_ERP!$K:$K,"RTF")</f>
        <v>0</v>
      </c>
      <c r="L20" s="19">
        <f>SUMIFS(Visibilty_ERP!AN:AN,Visibilty_ERP!$E:$E,RTF!$B20,Visibilty_ERP!$K:$K,"RTF")</f>
        <v>0</v>
      </c>
      <c r="M20" s="19">
        <f>SUMIFS(Visibilty_ERP!AO:AO,Visibilty_ERP!$E:$E,RTF!$B20,Visibilty_ERP!$K:$K,"RTF")</f>
        <v>0</v>
      </c>
      <c r="N20" s="19">
        <f>SUMIFS(Visibilty_ERP!AP:AP,Visibilty_ERP!$E:$E,RTF!$B20,Visibilty_ERP!$K:$K,"RTF")</f>
        <v>0</v>
      </c>
      <c r="O20" s="19">
        <f>SUMIFS(Visibilty_ERP!AQ:AQ,Visibilty_ERP!$E:$E,RTF!$B20,Visibilty_ERP!$K:$K,"RTF")</f>
        <v>0</v>
      </c>
      <c r="P20" s="19">
        <f>SUMIFS(Visibilty_ERP!AR:AR,Visibilty_ERP!$E:$E,RTF!$B20,Visibilty_ERP!$K:$K,"RTF")</f>
        <v>0</v>
      </c>
      <c r="Q20" s="19">
        <f>SUMIFS(Visibilty_ERP!AS:AS,Visibilty_ERP!$E:$E,RTF!$B20,Visibilty_ERP!$K:$K,"RTF")</f>
        <v>0</v>
      </c>
      <c r="R20" s="19">
        <f>SUMIFS(Visibilty_ERP!AT:AT,Visibilty_ERP!$E:$E,RTF!$B20,Visibilty_ERP!$K:$K,"RTF")</f>
        <v>0</v>
      </c>
      <c r="S20" s="19">
        <f>SUMIFS(Visibilty_ERP!AU:AU,Visibilty_ERP!$E:$E,RTF!$B20,Visibilty_ERP!$K:$K,"RTF")</f>
        <v>0</v>
      </c>
      <c r="T20" s="1">
        <f t="shared" si="1"/>
        <v>0</v>
      </c>
      <c r="U20" s="1">
        <f t="shared" si="0"/>
        <v>0</v>
      </c>
      <c r="V20" s="1">
        <f t="shared" si="0"/>
        <v>0</v>
      </c>
      <c r="W20" s="1">
        <f t="shared" si="0"/>
        <v>0</v>
      </c>
    </row>
    <row r="21" spans="2:23" x14ac:dyDescent="0.3">
      <c r="B21" s="18" t="s">
        <v>845</v>
      </c>
      <c r="C21" s="19">
        <f>SUMIFS(Visibilty_ERP!L:L,Visibilty_ERP!$E:$E,RTF!$B21)</f>
        <v>99815</v>
      </c>
      <c r="D21" s="19">
        <f>SUMIFS(Visibilty_ERP!A:A,Visibilty_ERP!$E:$E,RTF!$B21,Visibilty_ERP!$K:$K,"RTF")</f>
        <v>0</v>
      </c>
      <c r="E21" s="19">
        <f>SUMIFS(Visibilty_ERP!B:B,Visibilty_ERP!$E:$E,RTF!$B21,Visibilty_ERP!$K:$K,"RTF")</f>
        <v>0</v>
      </c>
      <c r="F21" s="19">
        <f>SUMIFS(Visibilty_ERP!C:C,Visibilty_ERP!$E:$E,RTF!$B21,Visibilty_ERP!$K:$K,"RTF")</f>
        <v>0</v>
      </c>
      <c r="G21" s="19">
        <f>SUMIFS(Visibilty_ERP!AI:AI,Visibilty_ERP!$E:$E,RTF!$B21,Visibilty_ERP!$K:$K,"RTF")</f>
        <v>0</v>
      </c>
      <c r="H21" s="19">
        <f>SUMIFS(Visibilty_ERP!AJ:AJ,Visibilty_ERP!$E:$E,RTF!$B21,Visibilty_ERP!$K:$K,"RTF")</f>
        <v>0</v>
      </c>
      <c r="I21" s="19">
        <f>SUMIFS(Visibilty_ERP!AK:AK,Visibilty_ERP!$E:$E,RTF!$B21,Visibilty_ERP!$K:$K,"RTF")</f>
        <v>0</v>
      </c>
      <c r="J21" s="19">
        <f>SUMIFS(Visibilty_ERP!AL:AL,Visibilty_ERP!$E:$E,RTF!$B21,Visibilty_ERP!$K:$K,"RTF")</f>
        <v>0</v>
      </c>
      <c r="K21" s="19">
        <f>SUMIFS(Visibilty_ERP!AM:AM,Visibilty_ERP!$E:$E,RTF!$B21,Visibilty_ERP!$K:$K,"RTF")</f>
        <v>0</v>
      </c>
      <c r="L21" s="19">
        <f>SUMIFS(Visibilty_ERP!AN:AN,Visibilty_ERP!$E:$E,RTF!$B21,Visibilty_ERP!$K:$K,"RTF")</f>
        <v>0</v>
      </c>
      <c r="M21" s="19">
        <f>SUMIFS(Visibilty_ERP!AO:AO,Visibilty_ERP!$E:$E,RTF!$B21,Visibilty_ERP!$K:$K,"RTF")</f>
        <v>0</v>
      </c>
      <c r="N21" s="19">
        <f>SUMIFS(Visibilty_ERP!AP:AP,Visibilty_ERP!$E:$E,RTF!$B21,Visibilty_ERP!$K:$K,"RTF")</f>
        <v>0</v>
      </c>
      <c r="O21" s="19">
        <f>SUMIFS(Visibilty_ERP!AQ:AQ,Visibilty_ERP!$E:$E,RTF!$B21,Visibilty_ERP!$K:$K,"RTF")</f>
        <v>0</v>
      </c>
      <c r="P21" s="19">
        <f>SUMIFS(Visibilty_ERP!AR:AR,Visibilty_ERP!$E:$E,RTF!$B21,Visibilty_ERP!$K:$K,"RTF")</f>
        <v>0</v>
      </c>
      <c r="Q21" s="19">
        <f>SUMIFS(Visibilty_ERP!AS:AS,Visibilty_ERP!$E:$E,RTF!$B21,Visibilty_ERP!$K:$K,"RTF")</f>
        <v>0</v>
      </c>
      <c r="R21" s="19">
        <f>SUMIFS(Visibilty_ERP!AT:AT,Visibilty_ERP!$E:$E,RTF!$B21,Visibilty_ERP!$K:$K,"RTF")</f>
        <v>0</v>
      </c>
      <c r="S21" s="19">
        <f>SUMIFS(Visibilty_ERP!AU:AU,Visibilty_ERP!$E:$E,RTF!$B21,Visibilty_ERP!$K:$K,"RTF")</f>
        <v>0</v>
      </c>
      <c r="T21" s="1">
        <f t="shared" si="1"/>
        <v>0</v>
      </c>
      <c r="U21" s="1">
        <f t="shared" si="0"/>
        <v>0</v>
      </c>
      <c r="V21" s="1">
        <f t="shared" si="0"/>
        <v>0</v>
      </c>
      <c r="W21" s="1">
        <f t="shared" si="0"/>
        <v>0</v>
      </c>
    </row>
    <row r="22" spans="2:23" x14ac:dyDescent="0.3">
      <c r="B22" s="18" t="s">
        <v>768</v>
      </c>
      <c r="C22" s="19">
        <f>SUMIFS(Visibilty_ERP!L:L,Visibilty_ERP!$E:$E,RTF!$B22)</f>
        <v>121161</v>
      </c>
      <c r="D22" s="19">
        <f>SUMIFS(Visibilty_ERP!A:A,Visibilty_ERP!$E:$E,RTF!$B22,Visibilty_ERP!$K:$K,"RTF")</f>
        <v>9000</v>
      </c>
      <c r="E22" s="19">
        <f>SUMIFS(Visibilty_ERP!B:B,Visibilty_ERP!$E:$E,RTF!$B22,Visibilty_ERP!$K:$K,"RTF")</f>
        <v>0</v>
      </c>
      <c r="F22" s="19">
        <f>SUMIFS(Visibilty_ERP!C:C,Visibilty_ERP!$E:$E,RTF!$B22,Visibilty_ERP!$K:$K,"RTF")</f>
        <v>36000</v>
      </c>
      <c r="G22" s="19">
        <f>SUMIFS(Visibilty_ERP!AI:AI,Visibilty_ERP!$E:$E,RTF!$B22,Visibilty_ERP!$K:$K,"RTF")</f>
        <v>30000</v>
      </c>
      <c r="H22" s="19">
        <f>SUMIFS(Visibilty_ERP!AJ:AJ,Visibilty_ERP!$E:$E,RTF!$B22,Visibilty_ERP!$K:$K,"RTF")</f>
        <v>0</v>
      </c>
      <c r="I22" s="19">
        <f>SUMIFS(Visibilty_ERP!AK:AK,Visibilty_ERP!$E:$E,RTF!$B22,Visibilty_ERP!$K:$K,"RTF")</f>
        <v>0</v>
      </c>
      <c r="J22" s="19">
        <f>SUMIFS(Visibilty_ERP!AL:AL,Visibilty_ERP!$E:$E,RTF!$B22,Visibilty_ERP!$K:$K,"RTF")</f>
        <v>0</v>
      </c>
      <c r="K22" s="19">
        <f>SUMIFS(Visibilty_ERP!AM:AM,Visibilty_ERP!$E:$E,RTF!$B22,Visibilty_ERP!$K:$K,"RTF")</f>
        <v>0</v>
      </c>
      <c r="L22" s="19">
        <f>SUMIFS(Visibilty_ERP!AN:AN,Visibilty_ERP!$E:$E,RTF!$B22,Visibilty_ERP!$K:$K,"RTF")</f>
        <v>0</v>
      </c>
      <c r="M22" s="19">
        <f>SUMIFS(Visibilty_ERP!AO:AO,Visibilty_ERP!$E:$E,RTF!$B22,Visibilty_ERP!$K:$K,"RTF")</f>
        <v>0</v>
      </c>
      <c r="N22" s="19">
        <f>SUMIFS(Visibilty_ERP!AP:AP,Visibilty_ERP!$E:$E,RTF!$B22,Visibilty_ERP!$K:$K,"RTF")</f>
        <v>0</v>
      </c>
      <c r="O22" s="19">
        <f>SUMIFS(Visibilty_ERP!AQ:AQ,Visibilty_ERP!$E:$E,RTF!$B22,Visibilty_ERP!$K:$K,"RTF")</f>
        <v>0</v>
      </c>
      <c r="P22" s="19">
        <f>SUMIFS(Visibilty_ERP!AR:AR,Visibilty_ERP!$E:$E,RTF!$B22,Visibilty_ERP!$K:$K,"RTF")</f>
        <v>0</v>
      </c>
      <c r="Q22" s="19">
        <f>SUMIFS(Visibilty_ERP!AS:AS,Visibilty_ERP!$E:$E,RTF!$B22,Visibilty_ERP!$K:$K,"RTF")</f>
        <v>0</v>
      </c>
      <c r="R22" s="19">
        <f>SUMIFS(Visibilty_ERP!AT:AT,Visibilty_ERP!$E:$E,RTF!$B22,Visibilty_ERP!$K:$K,"RTF")</f>
        <v>0</v>
      </c>
      <c r="S22" s="19">
        <f>SUMIFS(Visibilty_ERP!AU:AU,Visibilty_ERP!$E:$E,RTF!$B22,Visibilty_ERP!$K:$K,"RTF")</f>
        <v>0</v>
      </c>
      <c r="T22" s="1">
        <f t="shared" si="1"/>
        <v>9000</v>
      </c>
      <c r="U22" s="1">
        <f t="shared" si="0"/>
        <v>66000</v>
      </c>
      <c r="V22" s="1">
        <f t="shared" si="0"/>
        <v>0</v>
      </c>
      <c r="W22" s="1">
        <f t="shared" si="0"/>
        <v>0</v>
      </c>
    </row>
    <row r="23" spans="2:23" x14ac:dyDescent="0.3">
      <c r="B23" s="18" t="s">
        <v>771</v>
      </c>
      <c r="C23" s="19">
        <f>SUMIFS(Visibilty_ERP!L:L,Visibilty_ERP!$E:$E,RTF!$B23)</f>
        <v>131132</v>
      </c>
      <c r="D23" s="19">
        <f>SUMIFS(Visibilty_ERP!A:A,Visibilty_ERP!$E:$E,RTF!$B23,Visibilty_ERP!$K:$K,"RTF")</f>
        <v>0</v>
      </c>
      <c r="E23" s="19">
        <f>SUMIFS(Visibilty_ERP!B:B,Visibilty_ERP!$E:$E,RTF!$B23,Visibilty_ERP!$K:$K,"RTF")</f>
        <v>0</v>
      </c>
      <c r="F23" s="19">
        <f>SUMIFS(Visibilty_ERP!C:C,Visibilty_ERP!$E:$E,RTF!$B23,Visibilty_ERP!$K:$K,"RTF")</f>
        <v>63000</v>
      </c>
      <c r="G23" s="19">
        <f>SUMIFS(Visibilty_ERP!AI:AI,Visibilty_ERP!$E:$E,RTF!$B23,Visibilty_ERP!$K:$K,"RTF")</f>
        <v>0</v>
      </c>
      <c r="H23" s="19">
        <f>SUMIFS(Visibilty_ERP!AJ:AJ,Visibilty_ERP!$E:$E,RTF!$B23,Visibilty_ERP!$K:$K,"RTF")</f>
        <v>0</v>
      </c>
      <c r="I23" s="19">
        <f>SUMIFS(Visibilty_ERP!AK:AK,Visibilty_ERP!$E:$E,RTF!$B23,Visibilty_ERP!$K:$K,"RTF")</f>
        <v>0</v>
      </c>
      <c r="J23" s="19">
        <f>SUMIFS(Visibilty_ERP!AL:AL,Visibilty_ERP!$E:$E,RTF!$B23,Visibilty_ERP!$K:$K,"RTF")</f>
        <v>0</v>
      </c>
      <c r="K23" s="19">
        <f>SUMIFS(Visibilty_ERP!AM:AM,Visibilty_ERP!$E:$E,RTF!$B23,Visibilty_ERP!$K:$K,"RTF")</f>
        <v>0</v>
      </c>
      <c r="L23" s="19">
        <f>SUMIFS(Visibilty_ERP!AN:AN,Visibilty_ERP!$E:$E,RTF!$B23,Visibilty_ERP!$K:$K,"RTF")</f>
        <v>0</v>
      </c>
      <c r="M23" s="19">
        <f>SUMIFS(Visibilty_ERP!AO:AO,Visibilty_ERP!$E:$E,RTF!$B23,Visibilty_ERP!$K:$K,"RTF")</f>
        <v>0</v>
      </c>
      <c r="N23" s="19">
        <f>SUMIFS(Visibilty_ERP!AP:AP,Visibilty_ERP!$E:$E,RTF!$B23,Visibilty_ERP!$K:$K,"RTF")</f>
        <v>0</v>
      </c>
      <c r="O23" s="19">
        <f>SUMIFS(Visibilty_ERP!AQ:AQ,Visibilty_ERP!$E:$E,RTF!$B23,Visibilty_ERP!$K:$K,"RTF")</f>
        <v>0</v>
      </c>
      <c r="P23" s="19">
        <f>SUMIFS(Visibilty_ERP!AR:AR,Visibilty_ERP!$E:$E,RTF!$B23,Visibilty_ERP!$K:$K,"RTF")</f>
        <v>0</v>
      </c>
      <c r="Q23" s="19">
        <f>SUMIFS(Visibilty_ERP!AS:AS,Visibilty_ERP!$E:$E,RTF!$B23,Visibilty_ERP!$K:$K,"RTF")</f>
        <v>0</v>
      </c>
      <c r="R23" s="19">
        <f>SUMIFS(Visibilty_ERP!AT:AT,Visibilty_ERP!$E:$E,RTF!$B23,Visibilty_ERP!$K:$K,"RTF")</f>
        <v>0</v>
      </c>
      <c r="S23" s="19">
        <f>SUMIFS(Visibilty_ERP!AU:AU,Visibilty_ERP!$E:$E,RTF!$B23,Visibilty_ERP!$K:$K,"RTF")</f>
        <v>0</v>
      </c>
      <c r="T23" s="1">
        <f t="shared" si="1"/>
        <v>0</v>
      </c>
      <c r="U23" s="1">
        <f t="shared" si="0"/>
        <v>63000</v>
      </c>
      <c r="V23" s="1">
        <f t="shared" si="0"/>
        <v>0</v>
      </c>
      <c r="W23" s="1">
        <f t="shared" si="0"/>
        <v>0</v>
      </c>
    </row>
    <row r="24" spans="2:23" x14ac:dyDescent="0.3">
      <c r="B24" s="18" t="s">
        <v>858</v>
      </c>
      <c r="C24" s="19">
        <f>SUMIFS(Visibilty_ERP!L:L,Visibilty_ERP!$E:$E,RTF!$B24)</f>
        <v>9583</v>
      </c>
      <c r="D24" s="19">
        <f>SUMIFS(Visibilty_ERP!A:A,Visibilty_ERP!$E:$E,RTF!$B24,Visibilty_ERP!$K:$K,"RTF")</f>
        <v>0</v>
      </c>
      <c r="E24" s="19">
        <f>SUMIFS(Visibilty_ERP!B:B,Visibilty_ERP!$E:$E,RTF!$B24,Visibilty_ERP!$K:$K,"RTF")</f>
        <v>0</v>
      </c>
      <c r="F24" s="19">
        <f>SUMIFS(Visibilty_ERP!C:C,Visibilty_ERP!$E:$E,RTF!$B24,Visibilty_ERP!$K:$K,"RTF")</f>
        <v>5100</v>
      </c>
      <c r="G24" s="19">
        <f>SUMIFS(Visibilty_ERP!AI:AI,Visibilty_ERP!$E:$E,RTF!$B24,Visibilty_ERP!$K:$K,"RTF")</f>
        <v>0</v>
      </c>
      <c r="H24" s="19">
        <f>SUMIFS(Visibilty_ERP!AJ:AJ,Visibilty_ERP!$E:$E,RTF!$B24,Visibilty_ERP!$K:$K,"RTF")</f>
        <v>0</v>
      </c>
      <c r="I24" s="19">
        <f>SUMIFS(Visibilty_ERP!AK:AK,Visibilty_ERP!$E:$E,RTF!$B24,Visibilty_ERP!$K:$K,"RTF")</f>
        <v>0</v>
      </c>
      <c r="J24" s="19">
        <f>SUMIFS(Visibilty_ERP!AL:AL,Visibilty_ERP!$E:$E,RTF!$B24,Visibilty_ERP!$K:$K,"RTF")</f>
        <v>0</v>
      </c>
      <c r="K24" s="19">
        <f>SUMIFS(Visibilty_ERP!AM:AM,Visibilty_ERP!$E:$E,RTF!$B24,Visibilty_ERP!$K:$K,"RTF")</f>
        <v>0</v>
      </c>
      <c r="L24" s="19">
        <f>SUMIFS(Visibilty_ERP!AN:AN,Visibilty_ERP!$E:$E,RTF!$B24,Visibilty_ERP!$K:$K,"RTF")</f>
        <v>3060</v>
      </c>
      <c r="M24" s="19">
        <f>SUMIFS(Visibilty_ERP!AO:AO,Visibilty_ERP!$E:$E,RTF!$B24,Visibilty_ERP!$K:$K,"RTF")</f>
        <v>0</v>
      </c>
      <c r="N24" s="19">
        <f>SUMIFS(Visibilty_ERP!AP:AP,Visibilty_ERP!$E:$E,RTF!$B24,Visibilty_ERP!$K:$K,"RTF")</f>
        <v>0</v>
      </c>
      <c r="O24" s="19">
        <f>SUMIFS(Visibilty_ERP!AQ:AQ,Visibilty_ERP!$E:$E,RTF!$B24,Visibilty_ERP!$K:$K,"RTF")</f>
        <v>6120</v>
      </c>
      <c r="P24" s="19">
        <f>SUMIFS(Visibilty_ERP!AR:AR,Visibilty_ERP!$E:$E,RTF!$B24,Visibilty_ERP!$K:$K,"RTF")</f>
        <v>0</v>
      </c>
      <c r="Q24" s="19">
        <f>SUMIFS(Visibilty_ERP!AS:AS,Visibilty_ERP!$E:$E,RTF!$B24,Visibilty_ERP!$K:$K,"RTF")</f>
        <v>0</v>
      </c>
      <c r="R24" s="19">
        <f>SUMIFS(Visibilty_ERP!AT:AT,Visibilty_ERP!$E:$E,RTF!$B24,Visibilty_ERP!$K:$K,"RTF")</f>
        <v>0</v>
      </c>
      <c r="S24" s="19">
        <f>SUMIFS(Visibilty_ERP!AU:AU,Visibilty_ERP!$E:$E,RTF!$B24,Visibilty_ERP!$K:$K,"RTF")</f>
        <v>0</v>
      </c>
      <c r="T24" s="1">
        <f t="shared" si="1"/>
        <v>0</v>
      </c>
      <c r="U24" s="1">
        <f t="shared" si="0"/>
        <v>5100</v>
      </c>
      <c r="V24" s="1">
        <f t="shared" si="0"/>
        <v>3060</v>
      </c>
      <c r="W24" s="1">
        <f t="shared" si="0"/>
        <v>6120</v>
      </c>
    </row>
    <row r="25" spans="2:23" x14ac:dyDescent="0.3">
      <c r="B25" s="18" t="s">
        <v>830</v>
      </c>
      <c r="C25" s="19">
        <f>SUMIFS(Visibilty_ERP!L:L,Visibilty_ERP!$E:$E,RTF!$B25)</f>
        <v>1130465</v>
      </c>
      <c r="D25" s="19">
        <f>SUMIFS(Visibilty_ERP!A:A,Visibilty_ERP!$E:$E,RTF!$B25,Visibilty_ERP!$K:$K,"RTF")</f>
        <v>0</v>
      </c>
      <c r="E25" s="19">
        <f>SUMIFS(Visibilty_ERP!B:B,Visibilty_ERP!$E:$E,RTF!$B25,Visibilty_ERP!$K:$K,"RTF")</f>
        <v>0</v>
      </c>
      <c r="F25" s="19">
        <f>SUMIFS(Visibilty_ERP!C:C,Visibilty_ERP!$E:$E,RTF!$B25,Visibilty_ERP!$K:$K,"RTF")</f>
        <v>0</v>
      </c>
      <c r="G25" s="19">
        <f>SUMIFS(Visibilty_ERP!AI:AI,Visibilty_ERP!$E:$E,RTF!$B25,Visibilty_ERP!$K:$K,"RTF")</f>
        <v>0</v>
      </c>
      <c r="H25" s="19">
        <f>SUMIFS(Visibilty_ERP!AJ:AJ,Visibilty_ERP!$E:$E,RTF!$B25,Visibilty_ERP!$K:$K,"RTF")</f>
        <v>0</v>
      </c>
      <c r="I25" s="19">
        <f>SUMIFS(Visibilty_ERP!AK:AK,Visibilty_ERP!$E:$E,RTF!$B25,Visibilty_ERP!$K:$K,"RTF")</f>
        <v>0</v>
      </c>
      <c r="J25" s="19">
        <f>SUMIFS(Visibilty_ERP!AL:AL,Visibilty_ERP!$E:$E,RTF!$B25,Visibilty_ERP!$K:$K,"RTF")</f>
        <v>0</v>
      </c>
      <c r="K25" s="19">
        <f>SUMIFS(Visibilty_ERP!AM:AM,Visibilty_ERP!$E:$E,RTF!$B25,Visibilty_ERP!$K:$K,"RTF")</f>
        <v>0</v>
      </c>
      <c r="L25" s="19">
        <f>SUMIFS(Visibilty_ERP!AN:AN,Visibilty_ERP!$E:$E,RTF!$B25,Visibilty_ERP!$K:$K,"RTF")</f>
        <v>0</v>
      </c>
      <c r="M25" s="19">
        <f>SUMIFS(Visibilty_ERP!AO:AO,Visibilty_ERP!$E:$E,RTF!$B25,Visibilty_ERP!$K:$K,"RTF")</f>
        <v>0</v>
      </c>
      <c r="N25" s="19">
        <f>SUMIFS(Visibilty_ERP!AP:AP,Visibilty_ERP!$E:$E,RTF!$B25,Visibilty_ERP!$K:$K,"RTF")</f>
        <v>0</v>
      </c>
      <c r="O25" s="19">
        <f>SUMIFS(Visibilty_ERP!AQ:AQ,Visibilty_ERP!$E:$E,RTF!$B25,Visibilty_ERP!$K:$K,"RTF")</f>
        <v>0</v>
      </c>
      <c r="P25" s="19">
        <f>SUMIFS(Visibilty_ERP!AR:AR,Visibilty_ERP!$E:$E,RTF!$B25,Visibilty_ERP!$K:$K,"RTF")</f>
        <v>0</v>
      </c>
      <c r="Q25" s="19">
        <f>SUMIFS(Visibilty_ERP!AS:AS,Visibilty_ERP!$E:$E,RTF!$B25,Visibilty_ERP!$K:$K,"RTF")</f>
        <v>0</v>
      </c>
      <c r="R25" s="19">
        <f>SUMIFS(Visibilty_ERP!AT:AT,Visibilty_ERP!$E:$E,RTF!$B25,Visibilty_ERP!$K:$K,"RTF")</f>
        <v>0</v>
      </c>
      <c r="S25" s="19">
        <f>SUMIFS(Visibilty_ERP!AU:AU,Visibilty_ERP!$E:$E,RTF!$B25,Visibilty_ERP!$K:$K,"RTF")</f>
        <v>0</v>
      </c>
      <c r="T25" s="1">
        <f t="shared" si="1"/>
        <v>0</v>
      </c>
      <c r="U25" s="1">
        <f t="shared" si="0"/>
        <v>0</v>
      </c>
      <c r="V25" s="1">
        <f t="shared" si="0"/>
        <v>0</v>
      </c>
      <c r="W25" s="1">
        <f t="shared" si="0"/>
        <v>0</v>
      </c>
    </row>
    <row r="26" spans="2:23" x14ac:dyDescent="0.3">
      <c r="B26" s="18" t="s">
        <v>831</v>
      </c>
      <c r="C26" s="19">
        <f>SUMIFS(Visibilty_ERP!L:L,Visibilty_ERP!$E:$E,RTF!$B26)</f>
        <v>764099</v>
      </c>
      <c r="D26" s="19">
        <f>SUMIFS(Visibilty_ERP!A:A,Visibilty_ERP!$E:$E,RTF!$B26,Visibilty_ERP!$K:$K,"RTF")</f>
        <v>0</v>
      </c>
      <c r="E26" s="19">
        <f>SUMIFS(Visibilty_ERP!B:B,Visibilty_ERP!$E:$E,RTF!$B26,Visibilty_ERP!$K:$K,"RTF")</f>
        <v>0</v>
      </c>
      <c r="F26" s="19">
        <f>SUMIFS(Visibilty_ERP!C:C,Visibilty_ERP!$E:$E,RTF!$B26,Visibilty_ERP!$K:$K,"RTF")</f>
        <v>0</v>
      </c>
      <c r="G26" s="19">
        <f>SUMIFS(Visibilty_ERP!AI:AI,Visibilty_ERP!$E:$E,RTF!$B26,Visibilty_ERP!$K:$K,"RTF")</f>
        <v>0</v>
      </c>
      <c r="H26" s="19">
        <f>SUMIFS(Visibilty_ERP!AJ:AJ,Visibilty_ERP!$E:$E,RTF!$B26,Visibilty_ERP!$K:$K,"RTF")</f>
        <v>0</v>
      </c>
      <c r="I26" s="19">
        <f>SUMIFS(Visibilty_ERP!AK:AK,Visibilty_ERP!$E:$E,RTF!$B26,Visibilty_ERP!$K:$K,"RTF")</f>
        <v>0</v>
      </c>
      <c r="J26" s="19">
        <f>SUMIFS(Visibilty_ERP!AL:AL,Visibilty_ERP!$E:$E,RTF!$B26,Visibilty_ERP!$K:$K,"RTF")</f>
        <v>0</v>
      </c>
      <c r="K26" s="19">
        <f>SUMIFS(Visibilty_ERP!AM:AM,Visibilty_ERP!$E:$E,RTF!$B26,Visibilty_ERP!$K:$K,"RTF")</f>
        <v>0</v>
      </c>
      <c r="L26" s="19">
        <f>SUMIFS(Visibilty_ERP!AN:AN,Visibilty_ERP!$E:$E,RTF!$B26,Visibilty_ERP!$K:$K,"RTF")</f>
        <v>0</v>
      </c>
      <c r="M26" s="19">
        <f>SUMIFS(Visibilty_ERP!AO:AO,Visibilty_ERP!$E:$E,RTF!$B26,Visibilty_ERP!$K:$K,"RTF")</f>
        <v>0</v>
      </c>
      <c r="N26" s="19">
        <f>SUMIFS(Visibilty_ERP!AP:AP,Visibilty_ERP!$E:$E,RTF!$B26,Visibilty_ERP!$K:$K,"RTF")</f>
        <v>0</v>
      </c>
      <c r="O26" s="19">
        <f>SUMIFS(Visibilty_ERP!AQ:AQ,Visibilty_ERP!$E:$E,RTF!$B26,Visibilty_ERP!$K:$K,"RTF")</f>
        <v>0</v>
      </c>
      <c r="P26" s="19">
        <f>SUMIFS(Visibilty_ERP!AR:AR,Visibilty_ERP!$E:$E,RTF!$B26,Visibilty_ERP!$K:$K,"RTF")</f>
        <v>0</v>
      </c>
      <c r="Q26" s="19">
        <f>SUMIFS(Visibilty_ERP!AS:AS,Visibilty_ERP!$E:$E,RTF!$B26,Visibilty_ERP!$K:$K,"RTF")</f>
        <v>0</v>
      </c>
      <c r="R26" s="19">
        <f>SUMIFS(Visibilty_ERP!AT:AT,Visibilty_ERP!$E:$E,RTF!$B26,Visibilty_ERP!$K:$K,"RTF")</f>
        <v>0</v>
      </c>
      <c r="S26" s="19">
        <f>SUMIFS(Visibilty_ERP!AU:AU,Visibilty_ERP!$E:$E,RTF!$B26,Visibilty_ERP!$K:$K,"RTF")</f>
        <v>0</v>
      </c>
      <c r="T26" s="1">
        <f t="shared" si="1"/>
        <v>0</v>
      </c>
      <c r="U26" s="1">
        <f t="shared" si="0"/>
        <v>0</v>
      </c>
      <c r="V26" s="1">
        <f t="shared" si="0"/>
        <v>0</v>
      </c>
      <c r="W26" s="1">
        <f t="shared" si="0"/>
        <v>0</v>
      </c>
    </row>
    <row r="27" spans="2:23" x14ac:dyDescent="0.3">
      <c r="B27" s="18" t="s">
        <v>859</v>
      </c>
      <c r="C27" s="19">
        <f>SUMIFS(Visibilty_ERP!L:L,Visibilty_ERP!$E:$E,RTF!$B27)</f>
        <v>5880</v>
      </c>
      <c r="D27" s="19">
        <f>SUMIFS(Visibilty_ERP!A:A,Visibilty_ERP!$E:$E,RTF!$B27,Visibilty_ERP!$K:$K,"RTF")</f>
        <v>0</v>
      </c>
      <c r="E27" s="19">
        <f>SUMIFS(Visibilty_ERP!B:B,Visibilty_ERP!$E:$E,RTF!$B27,Visibilty_ERP!$K:$K,"RTF")</f>
        <v>0</v>
      </c>
      <c r="F27" s="19">
        <f>SUMIFS(Visibilty_ERP!C:C,Visibilty_ERP!$E:$E,RTF!$B27,Visibilty_ERP!$K:$K,"RTF")</f>
        <v>0</v>
      </c>
      <c r="G27" s="19">
        <f>SUMIFS(Visibilty_ERP!AI:AI,Visibilty_ERP!$E:$E,RTF!$B27,Visibilty_ERP!$K:$K,"RTF")</f>
        <v>0</v>
      </c>
      <c r="H27" s="19">
        <f>SUMIFS(Visibilty_ERP!AJ:AJ,Visibilty_ERP!$E:$E,RTF!$B27,Visibilty_ERP!$K:$K,"RTF")</f>
        <v>0</v>
      </c>
      <c r="I27" s="19">
        <f>SUMIFS(Visibilty_ERP!AK:AK,Visibilty_ERP!$E:$E,RTF!$B27,Visibilty_ERP!$K:$K,"RTF")</f>
        <v>0</v>
      </c>
      <c r="J27" s="19">
        <f>SUMIFS(Visibilty_ERP!AL:AL,Visibilty_ERP!$E:$E,RTF!$B27,Visibilty_ERP!$K:$K,"RTF")</f>
        <v>0</v>
      </c>
      <c r="K27" s="19">
        <f>SUMIFS(Visibilty_ERP!AM:AM,Visibilty_ERP!$E:$E,RTF!$B27,Visibilty_ERP!$K:$K,"RTF")</f>
        <v>0</v>
      </c>
      <c r="L27" s="19">
        <f>SUMIFS(Visibilty_ERP!AN:AN,Visibilty_ERP!$E:$E,RTF!$B27,Visibilty_ERP!$K:$K,"RTF")</f>
        <v>0</v>
      </c>
      <c r="M27" s="19">
        <f>SUMIFS(Visibilty_ERP!AO:AO,Visibilty_ERP!$E:$E,RTF!$B27,Visibilty_ERP!$K:$K,"RTF")</f>
        <v>0</v>
      </c>
      <c r="N27" s="19">
        <f>SUMIFS(Visibilty_ERP!AP:AP,Visibilty_ERP!$E:$E,RTF!$B27,Visibilty_ERP!$K:$K,"RTF")</f>
        <v>0</v>
      </c>
      <c r="O27" s="19">
        <f>SUMIFS(Visibilty_ERP!AQ:AQ,Visibilty_ERP!$E:$E,RTF!$B27,Visibilty_ERP!$K:$K,"RTF")</f>
        <v>0</v>
      </c>
      <c r="P27" s="19">
        <f>SUMIFS(Visibilty_ERP!AR:AR,Visibilty_ERP!$E:$E,RTF!$B27,Visibilty_ERP!$K:$K,"RTF")</f>
        <v>0</v>
      </c>
      <c r="Q27" s="19">
        <f>SUMIFS(Visibilty_ERP!AS:AS,Visibilty_ERP!$E:$E,RTF!$B27,Visibilty_ERP!$K:$K,"RTF")</f>
        <v>0</v>
      </c>
      <c r="R27" s="19">
        <f>SUMIFS(Visibilty_ERP!AT:AT,Visibilty_ERP!$E:$E,RTF!$B27,Visibilty_ERP!$K:$K,"RTF")</f>
        <v>0</v>
      </c>
      <c r="S27" s="19">
        <f>SUMIFS(Visibilty_ERP!AU:AU,Visibilty_ERP!$E:$E,RTF!$B27,Visibilty_ERP!$K:$K,"RTF")</f>
        <v>0</v>
      </c>
      <c r="T27" s="1">
        <f t="shared" si="1"/>
        <v>0</v>
      </c>
      <c r="U27" s="1">
        <f t="shared" si="0"/>
        <v>0</v>
      </c>
      <c r="V27" s="1">
        <f t="shared" si="0"/>
        <v>0</v>
      </c>
      <c r="W27" s="1">
        <f t="shared" si="0"/>
        <v>0</v>
      </c>
    </row>
    <row r="28" spans="2:23" x14ac:dyDescent="0.3">
      <c r="B28" s="18" t="s">
        <v>790</v>
      </c>
      <c r="C28" s="19">
        <f>SUMIFS(Visibilty_ERP!L:L,Visibilty_ERP!$E:$E,RTF!$B28)</f>
        <v>120501</v>
      </c>
      <c r="D28" s="19">
        <f>SUMIFS(Visibilty_ERP!A:A,Visibilty_ERP!$E:$E,RTF!$B28,Visibilty_ERP!$K:$K,"RTF")</f>
        <v>150000</v>
      </c>
      <c r="E28" s="19">
        <f>SUMIFS(Visibilty_ERP!B:B,Visibilty_ERP!$E:$E,RTF!$B28,Visibilty_ERP!$K:$K,"RTF")</f>
        <v>0</v>
      </c>
      <c r="F28" s="19">
        <f>SUMIFS(Visibilty_ERP!C:C,Visibilty_ERP!$E:$E,RTF!$B28,Visibilty_ERP!$K:$K,"RTF")</f>
        <v>0</v>
      </c>
      <c r="G28" s="19">
        <f>SUMIFS(Visibilty_ERP!AI:AI,Visibilty_ERP!$E:$E,RTF!$B28,Visibilty_ERP!$K:$K,"RTF")</f>
        <v>0</v>
      </c>
      <c r="H28" s="19">
        <f>SUMIFS(Visibilty_ERP!AJ:AJ,Visibilty_ERP!$E:$E,RTF!$B28,Visibilty_ERP!$K:$K,"RTF")</f>
        <v>0</v>
      </c>
      <c r="I28" s="19">
        <f>SUMIFS(Visibilty_ERP!AK:AK,Visibilty_ERP!$E:$E,RTF!$B28,Visibilty_ERP!$K:$K,"RTF")</f>
        <v>0</v>
      </c>
      <c r="J28" s="19">
        <f>SUMIFS(Visibilty_ERP!AL:AL,Visibilty_ERP!$E:$E,RTF!$B28,Visibilty_ERP!$K:$K,"RTF")</f>
        <v>0</v>
      </c>
      <c r="K28" s="19">
        <f>SUMIFS(Visibilty_ERP!AM:AM,Visibilty_ERP!$E:$E,RTF!$B28,Visibilty_ERP!$K:$K,"RTF")</f>
        <v>0</v>
      </c>
      <c r="L28" s="19">
        <f>SUMIFS(Visibilty_ERP!AN:AN,Visibilty_ERP!$E:$E,RTF!$B28,Visibilty_ERP!$K:$K,"RTF")</f>
        <v>0</v>
      </c>
      <c r="M28" s="19">
        <f>SUMIFS(Visibilty_ERP!AO:AO,Visibilty_ERP!$E:$E,RTF!$B28,Visibilty_ERP!$K:$K,"RTF")</f>
        <v>0</v>
      </c>
      <c r="N28" s="19">
        <f>SUMIFS(Visibilty_ERP!AP:AP,Visibilty_ERP!$E:$E,RTF!$B28,Visibilty_ERP!$K:$K,"RTF")</f>
        <v>0</v>
      </c>
      <c r="O28" s="19">
        <f>SUMIFS(Visibilty_ERP!AQ:AQ,Visibilty_ERP!$E:$E,RTF!$B28,Visibilty_ERP!$K:$K,"RTF")</f>
        <v>0</v>
      </c>
      <c r="P28" s="19">
        <f>SUMIFS(Visibilty_ERP!AR:AR,Visibilty_ERP!$E:$E,RTF!$B28,Visibilty_ERP!$K:$K,"RTF")</f>
        <v>0</v>
      </c>
      <c r="Q28" s="19">
        <f>SUMIFS(Visibilty_ERP!AS:AS,Visibilty_ERP!$E:$E,RTF!$B28,Visibilty_ERP!$K:$K,"RTF")</f>
        <v>0</v>
      </c>
      <c r="R28" s="19">
        <f>SUMIFS(Visibilty_ERP!AT:AT,Visibilty_ERP!$E:$E,RTF!$B28,Visibilty_ERP!$K:$K,"RTF")</f>
        <v>0</v>
      </c>
      <c r="S28" s="19">
        <f>SUMIFS(Visibilty_ERP!AU:AU,Visibilty_ERP!$E:$E,RTF!$B28,Visibilty_ERP!$K:$K,"RTF")</f>
        <v>0</v>
      </c>
      <c r="T28" s="1">
        <f t="shared" si="1"/>
        <v>150000</v>
      </c>
      <c r="U28" s="1">
        <f t="shared" si="0"/>
        <v>0</v>
      </c>
      <c r="V28" s="1">
        <f t="shared" si="0"/>
        <v>0</v>
      </c>
      <c r="W28" s="1">
        <f t="shared" si="0"/>
        <v>0</v>
      </c>
    </row>
    <row r="29" spans="2:23" x14ac:dyDescent="0.3">
      <c r="B29" s="18" t="s">
        <v>821</v>
      </c>
      <c r="C29" s="19">
        <f>SUMIFS(Visibilty_ERP!L:L,Visibilty_ERP!$E:$E,RTF!$B29)</f>
        <v>1894705</v>
      </c>
      <c r="D29" s="19">
        <f>SUMIFS(Visibilty_ERP!A:A,Visibilty_ERP!$E:$E,RTF!$B29,Visibilty_ERP!$K:$K,"RTF")</f>
        <v>0</v>
      </c>
      <c r="E29" s="19">
        <f>SUMIFS(Visibilty_ERP!B:B,Visibilty_ERP!$E:$E,RTF!$B29,Visibilty_ERP!$K:$K,"RTF")</f>
        <v>0</v>
      </c>
      <c r="F29" s="19">
        <f>SUMIFS(Visibilty_ERP!C:C,Visibilty_ERP!$E:$E,RTF!$B29,Visibilty_ERP!$K:$K,"RTF")</f>
        <v>0</v>
      </c>
      <c r="G29" s="19">
        <f>SUMIFS(Visibilty_ERP!AI:AI,Visibilty_ERP!$E:$E,RTF!$B29,Visibilty_ERP!$K:$K,"RTF")</f>
        <v>0</v>
      </c>
      <c r="H29" s="19">
        <f>SUMIFS(Visibilty_ERP!AJ:AJ,Visibilty_ERP!$E:$E,RTF!$B29,Visibilty_ERP!$K:$K,"RTF")</f>
        <v>1000000</v>
      </c>
      <c r="I29" s="19">
        <f>SUMIFS(Visibilty_ERP!AK:AK,Visibilty_ERP!$E:$E,RTF!$B29,Visibilty_ERP!$K:$K,"RTF")</f>
        <v>0</v>
      </c>
      <c r="J29" s="19">
        <f>SUMIFS(Visibilty_ERP!AL:AL,Visibilty_ERP!$E:$E,RTF!$B29,Visibilty_ERP!$K:$K,"RTF")</f>
        <v>0</v>
      </c>
      <c r="K29" s="19">
        <f>SUMIFS(Visibilty_ERP!AM:AM,Visibilty_ERP!$E:$E,RTF!$B29,Visibilty_ERP!$K:$K,"RTF")</f>
        <v>0</v>
      </c>
      <c r="L29" s="19">
        <f>SUMIFS(Visibilty_ERP!AN:AN,Visibilty_ERP!$E:$E,RTF!$B29,Visibilty_ERP!$K:$K,"RTF")</f>
        <v>0</v>
      </c>
      <c r="M29" s="19">
        <f>SUMIFS(Visibilty_ERP!AO:AO,Visibilty_ERP!$E:$E,RTF!$B29,Visibilty_ERP!$K:$K,"RTF")</f>
        <v>600000</v>
      </c>
      <c r="N29" s="19">
        <f>SUMIFS(Visibilty_ERP!AP:AP,Visibilty_ERP!$E:$E,RTF!$B29,Visibilty_ERP!$K:$K,"RTF")</f>
        <v>0</v>
      </c>
      <c r="O29" s="19">
        <f>SUMIFS(Visibilty_ERP!AQ:AQ,Visibilty_ERP!$E:$E,RTF!$B29,Visibilty_ERP!$K:$K,"RTF")</f>
        <v>0</v>
      </c>
      <c r="P29" s="19">
        <f>SUMIFS(Visibilty_ERP!AR:AR,Visibilty_ERP!$E:$E,RTF!$B29,Visibilty_ERP!$K:$K,"RTF")</f>
        <v>0</v>
      </c>
      <c r="Q29" s="19">
        <f>SUMIFS(Visibilty_ERP!AS:AS,Visibilty_ERP!$E:$E,RTF!$B29,Visibilty_ERP!$K:$K,"RTF")</f>
        <v>600000</v>
      </c>
      <c r="R29" s="19">
        <f>SUMIFS(Visibilty_ERP!AT:AT,Visibilty_ERP!$E:$E,RTF!$B29,Visibilty_ERP!$K:$K,"RTF")</f>
        <v>0</v>
      </c>
      <c r="S29" s="19">
        <f>SUMIFS(Visibilty_ERP!AU:AU,Visibilty_ERP!$E:$E,RTF!$B29,Visibilty_ERP!$K:$K,"RTF")</f>
        <v>0</v>
      </c>
      <c r="T29" s="1">
        <f t="shared" si="1"/>
        <v>0</v>
      </c>
      <c r="U29" s="1">
        <f t="shared" si="0"/>
        <v>1000000</v>
      </c>
      <c r="V29" s="1">
        <f t="shared" si="0"/>
        <v>600000</v>
      </c>
      <c r="W29" s="1">
        <f t="shared" si="0"/>
        <v>600000</v>
      </c>
    </row>
    <row r="30" spans="2:23" x14ac:dyDescent="0.3">
      <c r="B30" s="18" t="s">
        <v>822</v>
      </c>
      <c r="C30" s="19">
        <f>SUMIFS(Visibilty_ERP!L:L,Visibilty_ERP!$E:$E,RTF!$B30)</f>
        <v>841827</v>
      </c>
      <c r="D30" s="19">
        <f>SUMIFS(Visibilty_ERP!A:A,Visibilty_ERP!$E:$E,RTF!$B30,Visibilty_ERP!$K:$K,"RTF")</f>
        <v>918000</v>
      </c>
      <c r="E30" s="19">
        <f>SUMIFS(Visibilty_ERP!B:B,Visibilty_ERP!$E:$E,RTF!$B30,Visibilty_ERP!$K:$K,"RTF")</f>
        <v>0</v>
      </c>
      <c r="F30" s="19">
        <f>SUMIFS(Visibilty_ERP!C:C,Visibilty_ERP!$E:$E,RTF!$B30,Visibilty_ERP!$K:$K,"RTF")</f>
        <v>0</v>
      </c>
      <c r="G30" s="19">
        <f>SUMIFS(Visibilty_ERP!AI:AI,Visibilty_ERP!$E:$E,RTF!$B30,Visibilty_ERP!$K:$K,"RTF")</f>
        <v>0</v>
      </c>
      <c r="H30" s="19">
        <f>SUMIFS(Visibilty_ERP!AJ:AJ,Visibilty_ERP!$E:$E,RTF!$B30,Visibilty_ERP!$K:$K,"RTF")</f>
        <v>0</v>
      </c>
      <c r="I30" s="19">
        <f>SUMIFS(Visibilty_ERP!AK:AK,Visibilty_ERP!$E:$E,RTF!$B30,Visibilty_ERP!$K:$K,"RTF")</f>
        <v>999000</v>
      </c>
      <c r="J30" s="19">
        <f>SUMIFS(Visibilty_ERP!AL:AL,Visibilty_ERP!$E:$E,RTF!$B30,Visibilty_ERP!$K:$K,"RTF")</f>
        <v>0</v>
      </c>
      <c r="K30" s="19">
        <f>SUMIFS(Visibilty_ERP!AM:AM,Visibilty_ERP!$E:$E,RTF!$B30,Visibilty_ERP!$K:$K,"RTF")</f>
        <v>0</v>
      </c>
      <c r="L30" s="19">
        <f>SUMIFS(Visibilty_ERP!AN:AN,Visibilty_ERP!$E:$E,RTF!$B30,Visibilty_ERP!$K:$K,"RTF")</f>
        <v>0</v>
      </c>
      <c r="M30" s="19">
        <f>SUMIFS(Visibilty_ERP!AO:AO,Visibilty_ERP!$E:$E,RTF!$B30,Visibilty_ERP!$K:$K,"RTF")</f>
        <v>999000</v>
      </c>
      <c r="N30" s="19">
        <f>SUMIFS(Visibilty_ERP!AP:AP,Visibilty_ERP!$E:$E,RTF!$B30,Visibilty_ERP!$K:$K,"RTF")</f>
        <v>0</v>
      </c>
      <c r="O30" s="19">
        <f>SUMIFS(Visibilty_ERP!AQ:AQ,Visibilty_ERP!$E:$E,RTF!$B30,Visibilty_ERP!$K:$K,"RTF")</f>
        <v>0</v>
      </c>
      <c r="P30" s="19">
        <f>SUMIFS(Visibilty_ERP!AR:AR,Visibilty_ERP!$E:$E,RTF!$B30,Visibilty_ERP!$K:$K,"RTF")</f>
        <v>0</v>
      </c>
      <c r="Q30" s="19">
        <f>SUMIFS(Visibilty_ERP!AS:AS,Visibilty_ERP!$E:$E,RTF!$B30,Visibilty_ERP!$K:$K,"RTF")</f>
        <v>600000</v>
      </c>
      <c r="R30" s="19">
        <f>SUMIFS(Visibilty_ERP!AT:AT,Visibilty_ERP!$E:$E,RTF!$B30,Visibilty_ERP!$K:$K,"RTF")</f>
        <v>0</v>
      </c>
      <c r="S30" s="19">
        <f>SUMIFS(Visibilty_ERP!AU:AU,Visibilty_ERP!$E:$E,RTF!$B30,Visibilty_ERP!$K:$K,"RTF")</f>
        <v>0</v>
      </c>
      <c r="T30" s="1">
        <f t="shared" si="1"/>
        <v>918000</v>
      </c>
      <c r="U30" s="1">
        <f t="shared" si="0"/>
        <v>999000</v>
      </c>
      <c r="V30" s="1">
        <f t="shared" si="0"/>
        <v>999000</v>
      </c>
      <c r="W30" s="1">
        <f t="shared" si="0"/>
        <v>600000</v>
      </c>
    </row>
    <row r="31" spans="2:23" x14ac:dyDescent="0.3">
      <c r="B31" s="18" t="s">
        <v>813</v>
      </c>
      <c r="C31" s="19">
        <f>SUMIFS(Visibilty_ERP!L:L,Visibilty_ERP!$E:$E,RTF!$B31)</f>
        <v>64716</v>
      </c>
      <c r="D31" s="19">
        <f>SUMIFS(Visibilty_ERP!A:A,Visibilty_ERP!$E:$E,RTF!$B31,Visibilty_ERP!$K:$K,"RTF")</f>
        <v>0</v>
      </c>
      <c r="E31" s="19">
        <f>SUMIFS(Visibilty_ERP!B:B,Visibilty_ERP!$E:$E,RTF!$B31,Visibilty_ERP!$K:$K,"RTF")</f>
        <v>0</v>
      </c>
      <c r="F31" s="19">
        <f>SUMIFS(Visibilty_ERP!C:C,Visibilty_ERP!$E:$E,RTF!$B31,Visibilty_ERP!$K:$K,"RTF")</f>
        <v>0</v>
      </c>
      <c r="G31" s="19">
        <f>SUMIFS(Visibilty_ERP!AI:AI,Visibilty_ERP!$E:$E,RTF!$B31,Visibilty_ERP!$K:$K,"RTF")</f>
        <v>0</v>
      </c>
      <c r="H31" s="19">
        <f>SUMIFS(Visibilty_ERP!AJ:AJ,Visibilty_ERP!$E:$E,RTF!$B31,Visibilty_ERP!$K:$K,"RTF")</f>
        <v>0</v>
      </c>
      <c r="I31" s="19">
        <f>SUMIFS(Visibilty_ERP!AK:AK,Visibilty_ERP!$E:$E,RTF!$B31,Visibilty_ERP!$K:$K,"RTF")</f>
        <v>0</v>
      </c>
      <c r="J31" s="19">
        <f>SUMIFS(Visibilty_ERP!AL:AL,Visibilty_ERP!$E:$E,RTF!$B31,Visibilty_ERP!$K:$K,"RTF")</f>
        <v>0</v>
      </c>
      <c r="K31" s="19">
        <f>SUMIFS(Visibilty_ERP!AM:AM,Visibilty_ERP!$E:$E,RTF!$B31,Visibilty_ERP!$K:$K,"RTF")</f>
        <v>0</v>
      </c>
      <c r="L31" s="19">
        <f>SUMIFS(Visibilty_ERP!AN:AN,Visibilty_ERP!$E:$E,RTF!$B31,Visibilty_ERP!$K:$K,"RTF")</f>
        <v>0</v>
      </c>
      <c r="M31" s="19">
        <f>SUMIFS(Visibilty_ERP!AO:AO,Visibilty_ERP!$E:$E,RTF!$B31,Visibilty_ERP!$K:$K,"RTF")</f>
        <v>0</v>
      </c>
      <c r="N31" s="19">
        <f>SUMIFS(Visibilty_ERP!AP:AP,Visibilty_ERP!$E:$E,RTF!$B31,Visibilty_ERP!$K:$K,"RTF")</f>
        <v>0</v>
      </c>
      <c r="O31" s="19">
        <f>SUMIFS(Visibilty_ERP!AQ:AQ,Visibilty_ERP!$E:$E,RTF!$B31,Visibilty_ERP!$K:$K,"RTF")</f>
        <v>0</v>
      </c>
      <c r="P31" s="19">
        <f>SUMIFS(Visibilty_ERP!AR:AR,Visibilty_ERP!$E:$E,RTF!$B31,Visibilty_ERP!$K:$K,"RTF")</f>
        <v>0</v>
      </c>
      <c r="Q31" s="19">
        <f>SUMIFS(Visibilty_ERP!AS:AS,Visibilty_ERP!$E:$E,RTF!$B31,Visibilty_ERP!$K:$K,"RTF")</f>
        <v>0</v>
      </c>
      <c r="R31" s="19">
        <f>SUMIFS(Visibilty_ERP!AT:AT,Visibilty_ERP!$E:$E,RTF!$B31,Visibilty_ERP!$K:$K,"RTF")</f>
        <v>0</v>
      </c>
      <c r="S31" s="19">
        <f>SUMIFS(Visibilty_ERP!AU:AU,Visibilty_ERP!$E:$E,RTF!$B31,Visibilty_ERP!$K:$K,"RTF")</f>
        <v>0</v>
      </c>
      <c r="T31" s="1">
        <f t="shared" si="1"/>
        <v>0</v>
      </c>
      <c r="U31" s="1">
        <f t="shared" si="0"/>
        <v>0</v>
      </c>
      <c r="V31" s="1">
        <f t="shared" si="0"/>
        <v>0</v>
      </c>
      <c r="W31" s="1">
        <f t="shared" si="0"/>
        <v>0</v>
      </c>
    </row>
    <row r="32" spans="2:23" x14ac:dyDescent="0.3">
      <c r="B32" s="18" t="s">
        <v>814</v>
      </c>
      <c r="C32" s="19">
        <f>SUMIFS(Visibilty_ERP!L:L,Visibilty_ERP!$E:$E,RTF!$B32)</f>
        <v>88369</v>
      </c>
      <c r="D32" s="19">
        <f>SUMIFS(Visibilty_ERP!A:A,Visibilty_ERP!$E:$E,RTF!$B32,Visibilty_ERP!$K:$K,"RTF")</f>
        <v>0</v>
      </c>
      <c r="E32" s="19">
        <f>SUMIFS(Visibilty_ERP!B:B,Visibilty_ERP!$E:$E,RTF!$B32,Visibilty_ERP!$K:$K,"RTF")</f>
        <v>0</v>
      </c>
      <c r="F32" s="19">
        <f>SUMIFS(Visibilty_ERP!C:C,Visibilty_ERP!$E:$E,RTF!$B32,Visibilty_ERP!$K:$K,"RTF")</f>
        <v>0</v>
      </c>
      <c r="G32" s="19">
        <f>SUMIFS(Visibilty_ERP!AI:AI,Visibilty_ERP!$E:$E,RTF!$B32,Visibilty_ERP!$K:$K,"RTF")</f>
        <v>0</v>
      </c>
      <c r="H32" s="19">
        <f>SUMIFS(Visibilty_ERP!AJ:AJ,Visibilty_ERP!$E:$E,RTF!$B32,Visibilty_ERP!$K:$K,"RTF")</f>
        <v>0</v>
      </c>
      <c r="I32" s="19">
        <f>SUMIFS(Visibilty_ERP!AK:AK,Visibilty_ERP!$E:$E,RTF!$B32,Visibilty_ERP!$K:$K,"RTF")</f>
        <v>0</v>
      </c>
      <c r="J32" s="19">
        <f>SUMIFS(Visibilty_ERP!AL:AL,Visibilty_ERP!$E:$E,RTF!$B32,Visibilty_ERP!$K:$K,"RTF")</f>
        <v>0</v>
      </c>
      <c r="K32" s="19">
        <f>SUMIFS(Visibilty_ERP!AM:AM,Visibilty_ERP!$E:$E,RTF!$B32,Visibilty_ERP!$K:$K,"RTF")</f>
        <v>0</v>
      </c>
      <c r="L32" s="19">
        <f>SUMIFS(Visibilty_ERP!AN:AN,Visibilty_ERP!$E:$E,RTF!$B32,Visibilty_ERP!$K:$K,"RTF")</f>
        <v>0</v>
      </c>
      <c r="M32" s="19">
        <f>SUMIFS(Visibilty_ERP!AO:AO,Visibilty_ERP!$E:$E,RTF!$B32,Visibilty_ERP!$K:$K,"RTF")</f>
        <v>0</v>
      </c>
      <c r="N32" s="19">
        <f>SUMIFS(Visibilty_ERP!AP:AP,Visibilty_ERP!$E:$E,RTF!$B32,Visibilty_ERP!$K:$K,"RTF")</f>
        <v>0</v>
      </c>
      <c r="O32" s="19">
        <f>SUMIFS(Visibilty_ERP!AQ:AQ,Visibilty_ERP!$E:$E,RTF!$B32,Visibilty_ERP!$K:$K,"RTF")</f>
        <v>0</v>
      </c>
      <c r="P32" s="19">
        <f>SUMIFS(Visibilty_ERP!AR:AR,Visibilty_ERP!$E:$E,RTF!$B32,Visibilty_ERP!$K:$K,"RTF")</f>
        <v>0</v>
      </c>
      <c r="Q32" s="19">
        <f>SUMIFS(Visibilty_ERP!AS:AS,Visibilty_ERP!$E:$E,RTF!$B32,Visibilty_ERP!$K:$K,"RTF")</f>
        <v>0</v>
      </c>
      <c r="R32" s="19">
        <f>SUMIFS(Visibilty_ERP!AT:AT,Visibilty_ERP!$E:$E,RTF!$B32,Visibilty_ERP!$K:$K,"RTF")</f>
        <v>0</v>
      </c>
      <c r="S32" s="19">
        <f>SUMIFS(Visibilty_ERP!AU:AU,Visibilty_ERP!$E:$E,RTF!$B32,Visibilty_ERP!$K:$K,"RTF")</f>
        <v>0</v>
      </c>
      <c r="T32" s="1">
        <f t="shared" si="1"/>
        <v>0</v>
      </c>
      <c r="U32" s="1">
        <f t="shared" si="0"/>
        <v>0</v>
      </c>
      <c r="V32" s="1">
        <f t="shared" si="0"/>
        <v>0</v>
      </c>
      <c r="W32" s="1">
        <f t="shared" si="0"/>
        <v>0</v>
      </c>
    </row>
    <row r="33" spans="2:23" x14ac:dyDescent="0.3">
      <c r="B33" s="18" t="s">
        <v>801</v>
      </c>
      <c r="C33" s="19">
        <f>SUMIFS(Visibilty_ERP!L:L,Visibilty_ERP!$E:$E,RTF!$B33)</f>
        <v>16446</v>
      </c>
      <c r="D33" s="19">
        <f>SUMIFS(Visibilty_ERP!A:A,Visibilty_ERP!$E:$E,RTF!$B33,Visibilty_ERP!$K:$K,"RTF")</f>
        <v>0</v>
      </c>
      <c r="E33" s="19">
        <f>SUMIFS(Visibilty_ERP!B:B,Visibilty_ERP!$E:$E,RTF!$B33,Visibilty_ERP!$K:$K,"RTF")</f>
        <v>0</v>
      </c>
      <c r="F33" s="19">
        <f>SUMIFS(Visibilty_ERP!C:C,Visibilty_ERP!$E:$E,RTF!$B33,Visibilty_ERP!$K:$K,"RTF")</f>
        <v>0</v>
      </c>
      <c r="G33" s="19">
        <f>SUMIFS(Visibilty_ERP!AI:AI,Visibilty_ERP!$E:$E,RTF!$B33,Visibilty_ERP!$K:$K,"RTF")</f>
        <v>0</v>
      </c>
      <c r="H33" s="19">
        <f>SUMIFS(Visibilty_ERP!AJ:AJ,Visibilty_ERP!$E:$E,RTF!$B33,Visibilty_ERP!$K:$K,"RTF")</f>
        <v>0</v>
      </c>
      <c r="I33" s="19">
        <f>SUMIFS(Visibilty_ERP!AK:AK,Visibilty_ERP!$E:$E,RTF!$B33,Visibilty_ERP!$K:$K,"RTF")</f>
        <v>0</v>
      </c>
      <c r="J33" s="19">
        <f>SUMIFS(Visibilty_ERP!AL:AL,Visibilty_ERP!$E:$E,RTF!$B33,Visibilty_ERP!$K:$K,"RTF")</f>
        <v>0</v>
      </c>
      <c r="K33" s="19">
        <f>SUMIFS(Visibilty_ERP!AM:AM,Visibilty_ERP!$E:$E,RTF!$B33,Visibilty_ERP!$K:$K,"RTF")</f>
        <v>0</v>
      </c>
      <c r="L33" s="19">
        <f>SUMIFS(Visibilty_ERP!AN:AN,Visibilty_ERP!$E:$E,RTF!$B33,Visibilty_ERP!$K:$K,"RTF")</f>
        <v>0</v>
      </c>
      <c r="M33" s="19">
        <f>SUMIFS(Visibilty_ERP!AO:AO,Visibilty_ERP!$E:$E,RTF!$B33,Visibilty_ERP!$K:$K,"RTF")</f>
        <v>0</v>
      </c>
      <c r="N33" s="19">
        <f>SUMIFS(Visibilty_ERP!AP:AP,Visibilty_ERP!$E:$E,RTF!$B33,Visibilty_ERP!$K:$K,"RTF")</f>
        <v>0</v>
      </c>
      <c r="O33" s="19">
        <f>SUMIFS(Visibilty_ERP!AQ:AQ,Visibilty_ERP!$E:$E,RTF!$B33,Visibilty_ERP!$K:$K,"RTF")</f>
        <v>0</v>
      </c>
      <c r="P33" s="19">
        <f>SUMIFS(Visibilty_ERP!AR:AR,Visibilty_ERP!$E:$E,RTF!$B33,Visibilty_ERP!$K:$K,"RTF")</f>
        <v>0</v>
      </c>
      <c r="Q33" s="19">
        <f>SUMIFS(Visibilty_ERP!AS:AS,Visibilty_ERP!$E:$E,RTF!$B33,Visibilty_ERP!$K:$K,"RTF")</f>
        <v>0</v>
      </c>
      <c r="R33" s="19">
        <f>SUMIFS(Visibilty_ERP!AT:AT,Visibilty_ERP!$E:$E,RTF!$B33,Visibilty_ERP!$K:$K,"RTF")</f>
        <v>0</v>
      </c>
      <c r="S33" s="19">
        <f>SUMIFS(Visibilty_ERP!AU:AU,Visibilty_ERP!$E:$E,RTF!$B33,Visibilty_ERP!$K:$K,"RTF")</f>
        <v>0</v>
      </c>
      <c r="T33" s="1">
        <f t="shared" si="1"/>
        <v>0</v>
      </c>
      <c r="U33" s="1">
        <f t="shared" si="0"/>
        <v>0</v>
      </c>
      <c r="V33" s="1">
        <f t="shared" si="0"/>
        <v>0</v>
      </c>
      <c r="W33" s="1">
        <f t="shared" si="0"/>
        <v>0</v>
      </c>
    </row>
    <row r="34" spans="2:23" x14ac:dyDescent="0.3">
      <c r="B34" s="18" t="s">
        <v>815</v>
      </c>
      <c r="C34" s="19">
        <f>SUMIFS(Visibilty_ERP!L:L,Visibilty_ERP!$E:$E,RTF!$B34)</f>
        <v>117013</v>
      </c>
      <c r="D34" s="19">
        <f>SUMIFS(Visibilty_ERP!A:A,Visibilty_ERP!$E:$E,RTF!$B34,Visibilty_ERP!$K:$K,"RTF")</f>
        <v>0</v>
      </c>
      <c r="E34" s="19">
        <f>SUMIFS(Visibilty_ERP!B:B,Visibilty_ERP!$E:$E,RTF!$B34,Visibilty_ERP!$K:$K,"RTF")</f>
        <v>0</v>
      </c>
      <c r="F34" s="19">
        <f>SUMIFS(Visibilty_ERP!C:C,Visibilty_ERP!$E:$E,RTF!$B34,Visibilty_ERP!$K:$K,"RTF")</f>
        <v>0</v>
      </c>
      <c r="G34" s="19">
        <f>SUMIFS(Visibilty_ERP!AI:AI,Visibilty_ERP!$E:$E,RTF!$B34,Visibilty_ERP!$K:$K,"RTF")</f>
        <v>0</v>
      </c>
      <c r="H34" s="19">
        <f>SUMIFS(Visibilty_ERP!AJ:AJ,Visibilty_ERP!$E:$E,RTF!$B34,Visibilty_ERP!$K:$K,"RTF")</f>
        <v>0</v>
      </c>
      <c r="I34" s="19">
        <f>SUMIFS(Visibilty_ERP!AK:AK,Visibilty_ERP!$E:$E,RTF!$B34,Visibilty_ERP!$K:$K,"RTF")</f>
        <v>0</v>
      </c>
      <c r="J34" s="19">
        <f>SUMIFS(Visibilty_ERP!AL:AL,Visibilty_ERP!$E:$E,RTF!$B34,Visibilty_ERP!$K:$K,"RTF")</f>
        <v>0</v>
      </c>
      <c r="K34" s="19">
        <f>SUMIFS(Visibilty_ERP!AM:AM,Visibilty_ERP!$E:$E,RTF!$B34,Visibilty_ERP!$K:$K,"RTF")</f>
        <v>0</v>
      </c>
      <c r="L34" s="19">
        <f>SUMIFS(Visibilty_ERP!AN:AN,Visibilty_ERP!$E:$E,RTF!$B34,Visibilty_ERP!$K:$K,"RTF")</f>
        <v>0</v>
      </c>
      <c r="M34" s="19">
        <f>SUMIFS(Visibilty_ERP!AO:AO,Visibilty_ERP!$E:$E,RTF!$B34,Visibilty_ERP!$K:$K,"RTF")</f>
        <v>0</v>
      </c>
      <c r="N34" s="19">
        <f>SUMIFS(Visibilty_ERP!AP:AP,Visibilty_ERP!$E:$E,RTF!$B34,Visibilty_ERP!$K:$K,"RTF")</f>
        <v>0</v>
      </c>
      <c r="O34" s="19">
        <f>SUMIFS(Visibilty_ERP!AQ:AQ,Visibilty_ERP!$E:$E,RTF!$B34,Visibilty_ERP!$K:$K,"RTF")</f>
        <v>0</v>
      </c>
      <c r="P34" s="19">
        <f>SUMIFS(Visibilty_ERP!AR:AR,Visibilty_ERP!$E:$E,RTF!$B34,Visibilty_ERP!$K:$K,"RTF")</f>
        <v>0</v>
      </c>
      <c r="Q34" s="19">
        <f>SUMIFS(Visibilty_ERP!AS:AS,Visibilty_ERP!$E:$E,RTF!$B34,Visibilty_ERP!$K:$K,"RTF")</f>
        <v>0</v>
      </c>
      <c r="R34" s="19">
        <f>SUMIFS(Visibilty_ERP!AT:AT,Visibilty_ERP!$E:$E,RTF!$B34,Visibilty_ERP!$K:$K,"RTF")</f>
        <v>0</v>
      </c>
      <c r="S34" s="19">
        <f>SUMIFS(Visibilty_ERP!AU:AU,Visibilty_ERP!$E:$E,RTF!$B34,Visibilty_ERP!$K:$K,"RTF")</f>
        <v>0</v>
      </c>
      <c r="T34" s="1">
        <f t="shared" si="1"/>
        <v>0</v>
      </c>
      <c r="U34" s="1">
        <f t="shared" si="0"/>
        <v>0</v>
      </c>
      <c r="V34" s="1">
        <f t="shared" si="0"/>
        <v>0</v>
      </c>
      <c r="W34" s="1">
        <f t="shared" si="0"/>
        <v>0</v>
      </c>
    </row>
    <row r="35" spans="2:23" x14ac:dyDescent="0.3">
      <c r="B35" s="18" t="s">
        <v>816</v>
      </c>
      <c r="C35" s="19">
        <f>SUMIFS(Visibilty_ERP!L:L,Visibilty_ERP!$E:$E,RTF!$B35)</f>
        <v>34843</v>
      </c>
      <c r="D35" s="19">
        <f>SUMIFS(Visibilty_ERP!A:A,Visibilty_ERP!$E:$E,RTF!$B35,Visibilty_ERP!$K:$K,"RTF")</f>
        <v>0</v>
      </c>
      <c r="E35" s="19">
        <f>SUMIFS(Visibilty_ERP!B:B,Visibilty_ERP!$E:$E,RTF!$B35,Visibilty_ERP!$K:$K,"RTF")</f>
        <v>0</v>
      </c>
      <c r="F35" s="19">
        <f>SUMIFS(Visibilty_ERP!C:C,Visibilty_ERP!$E:$E,RTF!$B35,Visibilty_ERP!$K:$K,"RTF")</f>
        <v>0</v>
      </c>
      <c r="G35" s="19">
        <f>SUMIFS(Visibilty_ERP!AI:AI,Visibilty_ERP!$E:$E,RTF!$B35,Visibilty_ERP!$K:$K,"RTF")</f>
        <v>0</v>
      </c>
      <c r="H35" s="19">
        <f>SUMIFS(Visibilty_ERP!AJ:AJ,Visibilty_ERP!$E:$E,RTF!$B35,Visibilty_ERP!$K:$K,"RTF")</f>
        <v>0</v>
      </c>
      <c r="I35" s="19">
        <f>SUMIFS(Visibilty_ERP!AK:AK,Visibilty_ERP!$E:$E,RTF!$B35,Visibilty_ERP!$K:$K,"RTF")</f>
        <v>0</v>
      </c>
      <c r="J35" s="19">
        <f>SUMIFS(Visibilty_ERP!AL:AL,Visibilty_ERP!$E:$E,RTF!$B35,Visibilty_ERP!$K:$K,"RTF")</f>
        <v>0</v>
      </c>
      <c r="K35" s="19">
        <f>SUMIFS(Visibilty_ERP!AM:AM,Visibilty_ERP!$E:$E,RTF!$B35,Visibilty_ERP!$K:$K,"RTF")</f>
        <v>0</v>
      </c>
      <c r="L35" s="19">
        <f>SUMIFS(Visibilty_ERP!AN:AN,Visibilty_ERP!$E:$E,RTF!$B35,Visibilty_ERP!$K:$K,"RTF")</f>
        <v>0</v>
      </c>
      <c r="M35" s="19">
        <f>SUMIFS(Visibilty_ERP!AO:AO,Visibilty_ERP!$E:$E,RTF!$B35,Visibilty_ERP!$K:$K,"RTF")</f>
        <v>0</v>
      </c>
      <c r="N35" s="19">
        <f>SUMIFS(Visibilty_ERP!AP:AP,Visibilty_ERP!$E:$E,RTF!$B35,Visibilty_ERP!$K:$K,"RTF")</f>
        <v>0</v>
      </c>
      <c r="O35" s="19">
        <f>SUMIFS(Visibilty_ERP!AQ:AQ,Visibilty_ERP!$E:$E,RTF!$B35,Visibilty_ERP!$K:$K,"RTF")</f>
        <v>0</v>
      </c>
      <c r="P35" s="19">
        <f>SUMIFS(Visibilty_ERP!AR:AR,Visibilty_ERP!$E:$E,RTF!$B35,Visibilty_ERP!$K:$K,"RTF")</f>
        <v>0</v>
      </c>
      <c r="Q35" s="19">
        <f>SUMIFS(Visibilty_ERP!AS:AS,Visibilty_ERP!$E:$E,RTF!$B35,Visibilty_ERP!$K:$K,"RTF")</f>
        <v>0</v>
      </c>
      <c r="R35" s="19">
        <f>SUMIFS(Visibilty_ERP!AT:AT,Visibilty_ERP!$E:$E,RTF!$B35,Visibilty_ERP!$K:$K,"RTF")</f>
        <v>0</v>
      </c>
      <c r="S35" s="19">
        <f>SUMIFS(Visibilty_ERP!AU:AU,Visibilty_ERP!$E:$E,RTF!$B35,Visibilty_ERP!$K:$K,"RTF")</f>
        <v>0</v>
      </c>
      <c r="T35" s="1">
        <f t="shared" ref="T35:W85" si="2">SUMIFS($D35:$S35,$D$4:$S$4,T$6)</f>
        <v>0</v>
      </c>
      <c r="U35" s="1">
        <f t="shared" si="2"/>
        <v>0</v>
      </c>
      <c r="V35" s="1">
        <f t="shared" si="2"/>
        <v>0</v>
      </c>
      <c r="W35" s="1">
        <f t="shared" si="2"/>
        <v>0</v>
      </c>
    </row>
    <row r="36" spans="2:23" x14ac:dyDescent="0.3">
      <c r="B36" s="18" t="s">
        <v>834</v>
      </c>
      <c r="C36" s="19">
        <f>SUMIFS(Visibilty_ERP!L:L,Visibilty_ERP!$E:$E,RTF!$B36)</f>
        <v>7111</v>
      </c>
      <c r="D36" s="19">
        <f>SUMIFS(Visibilty_ERP!A:A,Visibilty_ERP!$E:$E,RTF!$B36,Visibilty_ERP!$K:$K,"RTF")</f>
        <v>0</v>
      </c>
      <c r="E36" s="19">
        <f>SUMIFS(Visibilty_ERP!B:B,Visibilty_ERP!$E:$E,RTF!$B36,Visibilty_ERP!$K:$K,"RTF")</f>
        <v>0</v>
      </c>
      <c r="F36" s="19">
        <f>SUMIFS(Visibilty_ERP!C:C,Visibilty_ERP!$E:$E,RTF!$B36,Visibilty_ERP!$K:$K,"RTF")</f>
        <v>0</v>
      </c>
      <c r="G36" s="19">
        <f>SUMIFS(Visibilty_ERP!AI:AI,Visibilty_ERP!$E:$E,RTF!$B36,Visibilty_ERP!$K:$K,"RTF")</f>
        <v>0</v>
      </c>
      <c r="H36" s="19">
        <f>SUMIFS(Visibilty_ERP!AJ:AJ,Visibilty_ERP!$E:$E,RTF!$B36,Visibilty_ERP!$K:$K,"RTF")</f>
        <v>0</v>
      </c>
      <c r="I36" s="19">
        <f>SUMIFS(Visibilty_ERP!AK:AK,Visibilty_ERP!$E:$E,RTF!$B36,Visibilty_ERP!$K:$K,"RTF")</f>
        <v>0</v>
      </c>
      <c r="J36" s="19">
        <f>SUMIFS(Visibilty_ERP!AL:AL,Visibilty_ERP!$E:$E,RTF!$B36,Visibilty_ERP!$K:$K,"RTF")</f>
        <v>0</v>
      </c>
      <c r="K36" s="19">
        <f>SUMIFS(Visibilty_ERP!AM:AM,Visibilty_ERP!$E:$E,RTF!$B36,Visibilty_ERP!$K:$K,"RTF")</f>
        <v>0</v>
      </c>
      <c r="L36" s="19">
        <f>SUMIFS(Visibilty_ERP!AN:AN,Visibilty_ERP!$E:$E,RTF!$B36,Visibilty_ERP!$K:$K,"RTF")</f>
        <v>0</v>
      </c>
      <c r="M36" s="19">
        <f>SUMIFS(Visibilty_ERP!AO:AO,Visibilty_ERP!$E:$E,RTF!$B36,Visibilty_ERP!$K:$K,"RTF")</f>
        <v>0</v>
      </c>
      <c r="N36" s="19">
        <f>SUMIFS(Visibilty_ERP!AP:AP,Visibilty_ERP!$E:$E,RTF!$B36,Visibilty_ERP!$K:$K,"RTF")</f>
        <v>0</v>
      </c>
      <c r="O36" s="19">
        <f>SUMIFS(Visibilty_ERP!AQ:AQ,Visibilty_ERP!$E:$E,RTF!$B36,Visibilty_ERP!$K:$K,"RTF")</f>
        <v>0</v>
      </c>
      <c r="P36" s="19">
        <f>SUMIFS(Visibilty_ERP!AR:AR,Visibilty_ERP!$E:$E,RTF!$B36,Visibilty_ERP!$K:$K,"RTF")</f>
        <v>0</v>
      </c>
      <c r="Q36" s="19">
        <f>SUMIFS(Visibilty_ERP!AS:AS,Visibilty_ERP!$E:$E,RTF!$B36,Visibilty_ERP!$K:$K,"RTF")</f>
        <v>0</v>
      </c>
      <c r="R36" s="19">
        <f>SUMIFS(Visibilty_ERP!AT:AT,Visibilty_ERP!$E:$E,RTF!$B36,Visibilty_ERP!$K:$K,"RTF")</f>
        <v>0</v>
      </c>
      <c r="S36" s="19">
        <f>SUMIFS(Visibilty_ERP!AU:AU,Visibilty_ERP!$E:$E,RTF!$B36,Visibilty_ERP!$K:$K,"RTF")</f>
        <v>0</v>
      </c>
      <c r="T36" s="1">
        <f t="shared" si="2"/>
        <v>0</v>
      </c>
      <c r="U36" s="1">
        <f t="shared" si="2"/>
        <v>0</v>
      </c>
      <c r="V36" s="1">
        <f t="shared" si="2"/>
        <v>0</v>
      </c>
      <c r="W36" s="1">
        <f t="shared" si="2"/>
        <v>0</v>
      </c>
    </row>
    <row r="37" spans="2:23" x14ac:dyDescent="0.3">
      <c r="B37" s="18" t="s">
        <v>855</v>
      </c>
      <c r="C37" s="19">
        <f>SUMIFS(Visibilty_ERP!L:L,Visibilty_ERP!$E:$E,RTF!$B37)</f>
        <v>147</v>
      </c>
      <c r="D37" s="19">
        <f>SUMIFS(Visibilty_ERP!A:A,Visibilty_ERP!$E:$E,RTF!$B37,Visibilty_ERP!$K:$K,"RTF")</f>
        <v>0</v>
      </c>
      <c r="E37" s="19">
        <f>SUMIFS(Visibilty_ERP!B:B,Visibilty_ERP!$E:$E,RTF!$B37,Visibilty_ERP!$K:$K,"RTF")</f>
        <v>0</v>
      </c>
      <c r="F37" s="19">
        <f>SUMIFS(Visibilty_ERP!C:C,Visibilty_ERP!$E:$E,RTF!$B37,Visibilty_ERP!$K:$K,"RTF")</f>
        <v>0</v>
      </c>
      <c r="G37" s="19">
        <f>SUMIFS(Visibilty_ERP!AI:AI,Visibilty_ERP!$E:$E,RTF!$B37,Visibilty_ERP!$K:$K,"RTF")</f>
        <v>0</v>
      </c>
      <c r="H37" s="19">
        <f>SUMIFS(Visibilty_ERP!AJ:AJ,Visibilty_ERP!$E:$E,RTF!$B37,Visibilty_ERP!$K:$K,"RTF")</f>
        <v>0</v>
      </c>
      <c r="I37" s="19">
        <f>SUMIFS(Visibilty_ERP!AK:AK,Visibilty_ERP!$E:$E,RTF!$B37,Visibilty_ERP!$K:$K,"RTF")</f>
        <v>0</v>
      </c>
      <c r="J37" s="19">
        <f>SUMIFS(Visibilty_ERP!AL:AL,Visibilty_ERP!$E:$E,RTF!$B37,Visibilty_ERP!$K:$K,"RTF")</f>
        <v>0</v>
      </c>
      <c r="K37" s="19">
        <f>SUMIFS(Visibilty_ERP!AM:AM,Visibilty_ERP!$E:$E,RTF!$B37,Visibilty_ERP!$K:$K,"RTF")</f>
        <v>0</v>
      </c>
      <c r="L37" s="19">
        <f>SUMIFS(Visibilty_ERP!AN:AN,Visibilty_ERP!$E:$E,RTF!$B37,Visibilty_ERP!$K:$K,"RTF")</f>
        <v>0</v>
      </c>
      <c r="M37" s="19">
        <f>SUMIFS(Visibilty_ERP!AO:AO,Visibilty_ERP!$E:$E,RTF!$B37,Visibilty_ERP!$K:$K,"RTF")</f>
        <v>0</v>
      </c>
      <c r="N37" s="19">
        <f>SUMIFS(Visibilty_ERP!AP:AP,Visibilty_ERP!$E:$E,RTF!$B37,Visibilty_ERP!$K:$K,"RTF")</f>
        <v>0</v>
      </c>
      <c r="O37" s="19">
        <f>SUMIFS(Visibilty_ERP!AQ:AQ,Visibilty_ERP!$E:$E,RTF!$B37,Visibilty_ERP!$K:$K,"RTF")</f>
        <v>0</v>
      </c>
      <c r="P37" s="19">
        <f>SUMIFS(Visibilty_ERP!AR:AR,Visibilty_ERP!$E:$E,RTF!$B37,Visibilty_ERP!$K:$K,"RTF")</f>
        <v>0</v>
      </c>
      <c r="Q37" s="19">
        <f>SUMIFS(Visibilty_ERP!AS:AS,Visibilty_ERP!$E:$E,RTF!$B37,Visibilty_ERP!$K:$K,"RTF")</f>
        <v>0</v>
      </c>
      <c r="R37" s="19">
        <f>SUMIFS(Visibilty_ERP!AT:AT,Visibilty_ERP!$E:$E,RTF!$B37,Visibilty_ERP!$K:$K,"RTF")</f>
        <v>0</v>
      </c>
      <c r="S37" s="19">
        <f>SUMIFS(Visibilty_ERP!AU:AU,Visibilty_ERP!$E:$E,RTF!$B37,Visibilty_ERP!$K:$K,"RTF")</f>
        <v>0</v>
      </c>
      <c r="T37" s="1">
        <f t="shared" si="2"/>
        <v>0</v>
      </c>
      <c r="U37" s="1">
        <f t="shared" si="2"/>
        <v>0</v>
      </c>
      <c r="V37" s="1">
        <f t="shared" si="2"/>
        <v>0</v>
      </c>
      <c r="W37" s="1">
        <f t="shared" si="2"/>
        <v>0</v>
      </c>
    </row>
    <row r="38" spans="2:23" x14ac:dyDescent="0.3">
      <c r="B38" s="18" t="s">
        <v>799</v>
      </c>
      <c r="C38" s="19">
        <f>SUMIFS(Visibilty_ERP!L:L,Visibilty_ERP!$E:$E,RTF!$B38)</f>
        <v>65499</v>
      </c>
      <c r="D38" s="19">
        <f>SUMIFS(Visibilty_ERP!A:A,Visibilty_ERP!$E:$E,RTF!$B38,Visibilty_ERP!$K:$K,"RTF")</f>
        <v>0</v>
      </c>
      <c r="E38" s="19">
        <f>SUMIFS(Visibilty_ERP!B:B,Visibilty_ERP!$E:$E,RTF!$B38,Visibilty_ERP!$K:$K,"RTF")</f>
        <v>15000</v>
      </c>
      <c r="F38" s="19">
        <f>SUMIFS(Visibilty_ERP!C:C,Visibilty_ERP!$E:$E,RTF!$B38,Visibilty_ERP!$K:$K,"RTF")</f>
        <v>15000</v>
      </c>
      <c r="G38" s="19">
        <f>SUMIFS(Visibilty_ERP!AI:AI,Visibilty_ERP!$E:$E,RTF!$B38,Visibilty_ERP!$K:$K,"RTF")</f>
        <v>0</v>
      </c>
      <c r="H38" s="19">
        <f>SUMIFS(Visibilty_ERP!AJ:AJ,Visibilty_ERP!$E:$E,RTF!$B38,Visibilty_ERP!$K:$K,"RTF")</f>
        <v>0</v>
      </c>
      <c r="I38" s="19">
        <f>SUMIFS(Visibilty_ERP!AK:AK,Visibilty_ERP!$E:$E,RTF!$B38,Visibilty_ERP!$K:$K,"RTF")</f>
        <v>2500</v>
      </c>
      <c r="J38" s="19">
        <f>SUMIFS(Visibilty_ERP!AL:AL,Visibilty_ERP!$E:$E,RTF!$B38,Visibilty_ERP!$K:$K,"RTF")</f>
        <v>0</v>
      </c>
      <c r="K38" s="19">
        <f>SUMIFS(Visibilty_ERP!AM:AM,Visibilty_ERP!$E:$E,RTF!$B38,Visibilty_ERP!$K:$K,"RTF")</f>
        <v>0</v>
      </c>
      <c r="L38" s="19">
        <f>SUMIFS(Visibilty_ERP!AN:AN,Visibilty_ERP!$E:$E,RTF!$B38,Visibilty_ERP!$K:$K,"RTF")</f>
        <v>0</v>
      </c>
      <c r="M38" s="19">
        <f>SUMIFS(Visibilty_ERP!AO:AO,Visibilty_ERP!$E:$E,RTF!$B38,Visibilty_ERP!$K:$K,"RTF")</f>
        <v>0</v>
      </c>
      <c r="N38" s="19">
        <f>SUMIFS(Visibilty_ERP!AP:AP,Visibilty_ERP!$E:$E,RTF!$B38,Visibilty_ERP!$K:$K,"RTF")</f>
        <v>0</v>
      </c>
      <c r="O38" s="19">
        <f>SUMIFS(Visibilty_ERP!AQ:AQ,Visibilty_ERP!$E:$E,RTF!$B38,Visibilty_ERP!$K:$K,"RTF")</f>
        <v>0</v>
      </c>
      <c r="P38" s="19">
        <f>SUMIFS(Visibilty_ERP!AR:AR,Visibilty_ERP!$E:$E,RTF!$B38,Visibilty_ERP!$K:$K,"RTF")</f>
        <v>0</v>
      </c>
      <c r="Q38" s="19">
        <f>SUMIFS(Visibilty_ERP!AS:AS,Visibilty_ERP!$E:$E,RTF!$B38,Visibilty_ERP!$K:$K,"RTF")</f>
        <v>0</v>
      </c>
      <c r="R38" s="19">
        <f>SUMIFS(Visibilty_ERP!AT:AT,Visibilty_ERP!$E:$E,RTF!$B38,Visibilty_ERP!$K:$K,"RTF")</f>
        <v>0</v>
      </c>
      <c r="S38" s="19">
        <f>SUMIFS(Visibilty_ERP!AU:AU,Visibilty_ERP!$E:$E,RTF!$B38,Visibilty_ERP!$K:$K,"RTF")</f>
        <v>0</v>
      </c>
      <c r="T38" s="1">
        <f t="shared" si="2"/>
        <v>0</v>
      </c>
      <c r="U38" s="1">
        <f t="shared" si="2"/>
        <v>32500</v>
      </c>
      <c r="V38" s="1">
        <f t="shared" si="2"/>
        <v>0</v>
      </c>
      <c r="W38" s="1">
        <f t="shared" si="2"/>
        <v>0</v>
      </c>
    </row>
    <row r="39" spans="2:23" x14ac:dyDescent="0.3">
      <c r="B39" s="18" t="s">
        <v>856</v>
      </c>
      <c r="C39" s="19">
        <f>SUMIFS(Visibilty_ERP!L:L,Visibilty_ERP!$E:$E,RTF!$B39)</f>
        <v>6000</v>
      </c>
      <c r="D39" s="19">
        <f>SUMIFS(Visibilty_ERP!A:A,Visibilty_ERP!$E:$E,RTF!$B39,Visibilty_ERP!$K:$K,"RTF")</f>
        <v>0</v>
      </c>
      <c r="E39" s="19">
        <f>SUMIFS(Visibilty_ERP!B:B,Visibilty_ERP!$E:$E,RTF!$B39,Visibilty_ERP!$K:$K,"RTF")</f>
        <v>0</v>
      </c>
      <c r="F39" s="19">
        <f>SUMIFS(Visibilty_ERP!C:C,Visibilty_ERP!$E:$E,RTF!$B39,Visibilty_ERP!$K:$K,"RTF")</f>
        <v>0</v>
      </c>
      <c r="G39" s="19">
        <f>SUMIFS(Visibilty_ERP!AI:AI,Visibilty_ERP!$E:$E,RTF!$B39,Visibilty_ERP!$K:$K,"RTF")</f>
        <v>0</v>
      </c>
      <c r="H39" s="19">
        <f>SUMIFS(Visibilty_ERP!AJ:AJ,Visibilty_ERP!$E:$E,RTF!$B39,Visibilty_ERP!$K:$K,"RTF")</f>
        <v>0</v>
      </c>
      <c r="I39" s="19">
        <f>SUMIFS(Visibilty_ERP!AK:AK,Visibilty_ERP!$E:$E,RTF!$B39,Visibilty_ERP!$K:$K,"RTF")</f>
        <v>0</v>
      </c>
      <c r="J39" s="19">
        <f>SUMIFS(Visibilty_ERP!AL:AL,Visibilty_ERP!$E:$E,RTF!$B39,Visibilty_ERP!$K:$K,"RTF")</f>
        <v>0</v>
      </c>
      <c r="K39" s="19">
        <f>SUMIFS(Visibilty_ERP!AM:AM,Visibilty_ERP!$E:$E,RTF!$B39,Visibilty_ERP!$K:$K,"RTF")</f>
        <v>0</v>
      </c>
      <c r="L39" s="19">
        <f>SUMIFS(Visibilty_ERP!AN:AN,Visibilty_ERP!$E:$E,RTF!$B39,Visibilty_ERP!$K:$K,"RTF")</f>
        <v>0</v>
      </c>
      <c r="M39" s="19">
        <f>SUMIFS(Visibilty_ERP!AO:AO,Visibilty_ERP!$E:$E,RTF!$B39,Visibilty_ERP!$K:$K,"RTF")</f>
        <v>0</v>
      </c>
      <c r="N39" s="19">
        <f>SUMIFS(Visibilty_ERP!AP:AP,Visibilty_ERP!$E:$E,RTF!$B39,Visibilty_ERP!$K:$K,"RTF")</f>
        <v>0</v>
      </c>
      <c r="O39" s="19">
        <f>SUMIFS(Visibilty_ERP!AQ:AQ,Visibilty_ERP!$E:$E,RTF!$B39,Visibilty_ERP!$K:$K,"RTF")</f>
        <v>0</v>
      </c>
      <c r="P39" s="19">
        <f>SUMIFS(Visibilty_ERP!AR:AR,Visibilty_ERP!$E:$E,RTF!$B39,Visibilty_ERP!$K:$K,"RTF")</f>
        <v>0</v>
      </c>
      <c r="Q39" s="19">
        <f>SUMIFS(Visibilty_ERP!AS:AS,Visibilty_ERP!$E:$E,RTF!$B39,Visibilty_ERP!$K:$K,"RTF")</f>
        <v>0</v>
      </c>
      <c r="R39" s="19">
        <f>SUMIFS(Visibilty_ERP!AT:AT,Visibilty_ERP!$E:$E,RTF!$B39,Visibilty_ERP!$K:$K,"RTF")</f>
        <v>0</v>
      </c>
      <c r="S39" s="19">
        <f>SUMIFS(Visibilty_ERP!AU:AU,Visibilty_ERP!$E:$E,RTF!$B39,Visibilty_ERP!$K:$K,"RTF")</f>
        <v>0</v>
      </c>
      <c r="T39" s="1">
        <f t="shared" si="2"/>
        <v>0</v>
      </c>
      <c r="U39" s="1">
        <f t="shared" si="2"/>
        <v>0</v>
      </c>
      <c r="V39" s="1">
        <f t="shared" si="2"/>
        <v>0</v>
      </c>
      <c r="W39" s="1">
        <f t="shared" si="2"/>
        <v>0</v>
      </c>
    </row>
    <row r="40" spans="2:23" x14ac:dyDescent="0.3">
      <c r="B40" s="18" t="s">
        <v>861</v>
      </c>
      <c r="C40" s="19">
        <f>SUMIFS(Visibilty_ERP!L:L,Visibilty_ERP!$E:$E,RTF!$B40)</f>
        <v>7456</v>
      </c>
      <c r="D40" s="19">
        <f>SUMIFS(Visibilty_ERP!A:A,Visibilty_ERP!$E:$E,RTF!$B40,Visibilty_ERP!$K:$K,"RTF")</f>
        <v>0</v>
      </c>
      <c r="E40" s="19">
        <f>SUMIFS(Visibilty_ERP!B:B,Visibilty_ERP!$E:$E,RTF!$B40,Visibilty_ERP!$K:$K,"RTF")</f>
        <v>0</v>
      </c>
      <c r="F40" s="19">
        <f>SUMIFS(Visibilty_ERP!C:C,Visibilty_ERP!$E:$E,RTF!$B40,Visibilty_ERP!$K:$K,"RTF")</f>
        <v>0</v>
      </c>
      <c r="G40" s="19">
        <f>SUMIFS(Visibilty_ERP!AI:AI,Visibilty_ERP!$E:$E,RTF!$B40,Visibilty_ERP!$K:$K,"RTF")</f>
        <v>0</v>
      </c>
      <c r="H40" s="19">
        <f>SUMIFS(Visibilty_ERP!AJ:AJ,Visibilty_ERP!$E:$E,RTF!$B40,Visibilty_ERP!$K:$K,"RTF")</f>
        <v>0</v>
      </c>
      <c r="I40" s="19">
        <f>SUMIFS(Visibilty_ERP!AK:AK,Visibilty_ERP!$E:$E,RTF!$B40,Visibilty_ERP!$K:$K,"RTF")</f>
        <v>0</v>
      </c>
      <c r="J40" s="19">
        <f>SUMIFS(Visibilty_ERP!AL:AL,Visibilty_ERP!$E:$E,RTF!$B40,Visibilty_ERP!$K:$K,"RTF")</f>
        <v>0</v>
      </c>
      <c r="K40" s="19">
        <f>SUMIFS(Visibilty_ERP!AM:AM,Visibilty_ERP!$E:$E,RTF!$B40,Visibilty_ERP!$K:$K,"RTF")</f>
        <v>0</v>
      </c>
      <c r="L40" s="19">
        <f>SUMIFS(Visibilty_ERP!AN:AN,Visibilty_ERP!$E:$E,RTF!$B40,Visibilty_ERP!$K:$K,"RTF")</f>
        <v>0</v>
      </c>
      <c r="M40" s="19">
        <f>SUMIFS(Visibilty_ERP!AO:AO,Visibilty_ERP!$E:$E,RTF!$B40,Visibilty_ERP!$K:$K,"RTF")</f>
        <v>0</v>
      </c>
      <c r="N40" s="19">
        <f>SUMIFS(Visibilty_ERP!AP:AP,Visibilty_ERP!$E:$E,RTF!$B40,Visibilty_ERP!$K:$K,"RTF")</f>
        <v>0</v>
      </c>
      <c r="O40" s="19">
        <f>SUMIFS(Visibilty_ERP!AQ:AQ,Visibilty_ERP!$E:$E,RTF!$B40,Visibilty_ERP!$K:$K,"RTF")</f>
        <v>0</v>
      </c>
      <c r="P40" s="19">
        <f>SUMIFS(Visibilty_ERP!AR:AR,Visibilty_ERP!$E:$E,RTF!$B40,Visibilty_ERP!$K:$K,"RTF")</f>
        <v>0</v>
      </c>
      <c r="Q40" s="19">
        <f>SUMIFS(Visibilty_ERP!AS:AS,Visibilty_ERP!$E:$E,RTF!$B40,Visibilty_ERP!$K:$K,"RTF")</f>
        <v>0</v>
      </c>
      <c r="R40" s="19">
        <f>SUMIFS(Visibilty_ERP!AT:AT,Visibilty_ERP!$E:$E,RTF!$B40,Visibilty_ERP!$K:$K,"RTF")</f>
        <v>0</v>
      </c>
      <c r="S40" s="19">
        <f>SUMIFS(Visibilty_ERP!AU:AU,Visibilty_ERP!$E:$E,RTF!$B40,Visibilty_ERP!$K:$K,"RTF")</f>
        <v>0</v>
      </c>
      <c r="T40" s="1">
        <f t="shared" si="2"/>
        <v>0</v>
      </c>
      <c r="U40" s="1">
        <f t="shared" si="2"/>
        <v>0</v>
      </c>
      <c r="V40" s="1">
        <f t="shared" si="2"/>
        <v>0</v>
      </c>
      <c r="W40" s="1">
        <f t="shared" si="2"/>
        <v>0</v>
      </c>
    </row>
    <row r="41" spans="2:23" x14ac:dyDescent="0.3">
      <c r="B41" s="18" t="s">
        <v>797</v>
      </c>
      <c r="C41" s="19">
        <f>SUMIFS(Visibilty_ERP!L:L,Visibilty_ERP!$E:$E,RTF!$B41)</f>
        <v>10379</v>
      </c>
      <c r="D41" s="19">
        <f>SUMIFS(Visibilty_ERP!A:A,Visibilty_ERP!$E:$E,RTF!$B41,Visibilty_ERP!$K:$K,"RTF")</f>
        <v>0</v>
      </c>
      <c r="E41" s="19">
        <f>SUMIFS(Visibilty_ERP!B:B,Visibilty_ERP!$E:$E,RTF!$B41,Visibilty_ERP!$K:$K,"RTF")</f>
        <v>0</v>
      </c>
      <c r="F41" s="19">
        <f>SUMIFS(Visibilty_ERP!C:C,Visibilty_ERP!$E:$E,RTF!$B41,Visibilty_ERP!$K:$K,"RTF")</f>
        <v>0</v>
      </c>
      <c r="G41" s="19">
        <f>SUMIFS(Visibilty_ERP!AI:AI,Visibilty_ERP!$E:$E,RTF!$B41,Visibilty_ERP!$K:$K,"RTF")</f>
        <v>0</v>
      </c>
      <c r="H41" s="19">
        <f>SUMIFS(Visibilty_ERP!AJ:AJ,Visibilty_ERP!$E:$E,RTF!$B41,Visibilty_ERP!$K:$K,"RTF")</f>
        <v>0</v>
      </c>
      <c r="I41" s="19">
        <f>SUMIFS(Visibilty_ERP!AK:AK,Visibilty_ERP!$E:$E,RTF!$B41,Visibilty_ERP!$K:$K,"RTF")</f>
        <v>0</v>
      </c>
      <c r="J41" s="19">
        <f>SUMIFS(Visibilty_ERP!AL:AL,Visibilty_ERP!$E:$E,RTF!$B41,Visibilty_ERP!$K:$K,"RTF")</f>
        <v>0</v>
      </c>
      <c r="K41" s="19">
        <f>SUMIFS(Visibilty_ERP!AM:AM,Visibilty_ERP!$E:$E,RTF!$B41,Visibilty_ERP!$K:$K,"RTF")</f>
        <v>0</v>
      </c>
      <c r="L41" s="19">
        <f>SUMIFS(Visibilty_ERP!AN:AN,Visibilty_ERP!$E:$E,RTF!$B41,Visibilty_ERP!$K:$K,"RTF")</f>
        <v>0</v>
      </c>
      <c r="M41" s="19">
        <f>SUMIFS(Visibilty_ERP!AO:AO,Visibilty_ERP!$E:$E,RTF!$B41,Visibilty_ERP!$K:$K,"RTF")</f>
        <v>0</v>
      </c>
      <c r="N41" s="19">
        <f>SUMIFS(Visibilty_ERP!AP:AP,Visibilty_ERP!$E:$E,RTF!$B41,Visibilty_ERP!$K:$K,"RTF")</f>
        <v>0</v>
      </c>
      <c r="O41" s="19">
        <f>SUMIFS(Visibilty_ERP!AQ:AQ,Visibilty_ERP!$E:$E,RTF!$B41,Visibilty_ERP!$K:$K,"RTF")</f>
        <v>0</v>
      </c>
      <c r="P41" s="19">
        <f>SUMIFS(Visibilty_ERP!AR:AR,Visibilty_ERP!$E:$E,RTF!$B41,Visibilty_ERP!$K:$K,"RTF")</f>
        <v>0</v>
      </c>
      <c r="Q41" s="19">
        <f>SUMIFS(Visibilty_ERP!AS:AS,Visibilty_ERP!$E:$E,RTF!$B41,Visibilty_ERP!$K:$K,"RTF")</f>
        <v>0</v>
      </c>
      <c r="R41" s="19">
        <f>SUMIFS(Visibilty_ERP!AT:AT,Visibilty_ERP!$E:$E,RTF!$B41,Visibilty_ERP!$K:$K,"RTF")</f>
        <v>0</v>
      </c>
      <c r="S41" s="19">
        <f>SUMIFS(Visibilty_ERP!AU:AU,Visibilty_ERP!$E:$E,RTF!$B41,Visibilty_ERP!$K:$K,"RTF")</f>
        <v>0</v>
      </c>
      <c r="T41" s="1">
        <f t="shared" si="2"/>
        <v>0</v>
      </c>
      <c r="U41" s="1">
        <f t="shared" si="2"/>
        <v>0</v>
      </c>
      <c r="V41" s="1">
        <f t="shared" si="2"/>
        <v>0</v>
      </c>
      <c r="W41" s="1">
        <f t="shared" si="2"/>
        <v>0</v>
      </c>
    </row>
    <row r="42" spans="2:23" x14ac:dyDescent="0.3">
      <c r="B42" s="18" t="s">
        <v>784</v>
      </c>
      <c r="C42" s="19">
        <f>SUMIFS(Visibilty_ERP!L:L,Visibilty_ERP!$E:$E,RTF!$B42)</f>
        <v>7359</v>
      </c>
      <c r="D42" s="19">
        <f>SUMIFS(Visibilty_ERP!A:A,Visibilty_ERP!$E:$E,RTF!$B42,Visibilty_ERP!$K:$K,"RTF")</f>
        <v>0</v>
      </c>
      <c r="E42" s="19">
        <f>SUMIFS(Visibilty_ERP!B:B,Visibilty_ERP!$E:$E,RTF!$B42,Visibilty_ERP!$K:$K,"RTF")</f>
        <v>0</v>
      </c>
      <c r="F42" s="19">
        <f>SUMIFS(Visibilty_ERP!C:C,Visibilty_ERP!$E:$E,RTF!$B42,Visibilty_ERP!$K:$K,"RTF")</f>
        <v>0</v>
      </c>
      <c r="G42" s="19">
        <f>SUMIFS(Visibilty_ERP!AI:AI,Visibilty_ERP!$E:$E,RTF!$B42,Visibilty_ERP!$K:$K,"RTF")</f>
        <v>0</v>
      </c>
      <c r="H42" s="19">
        <f>SUMIFS(Visibilty_ERP!AJ:AJ,Visibilty_ERP!$E:$E,RTF!$B42,Visibilty_ERP!$K:$K,"RTF")</f>
        <v>0</v>
      </c>
      <c r="I42" s="19">
        <f>SUMIFS(Visibilty_ERP!AK:AK,Visibilty_ERP!$E:$E,RTF!$B42,Visibilty_ERP!$K:$K,"RTF")</f>
        <v>0</v>
      </c>
      <c r="J42" s="19">
        <f>SUMIFS(Visibilty_ERP!AL:AL,Visibilty_ERP!$E:$E,RTF!$B42,Visibilty_ERP!$K:$K,"RTF")</f>
        <v>0</v>
      </c>
      <c r="K42" s="19">
        <f>SUMIFS(Visibilty_ERP!AM:AM,Visibilty_ERP!$E:$E,RTF!$B42,Visibilty_ERP!$K:$K,"RTF")</f>
        <v>0</v>
      </c>
      <c r="L42" s="19">
        <f>SUMIFS(Visibilty_ERP!AN:AN,Visibilty_ERP!$E:$E,RTF!$B42,Visibilty_ERP!$K:$K,"RTF")</f>
        <v>0</v>
      </c>
      <c r="M42" s="19">
        <f>SUMIFS(Visibilty_ERP!AO:AO,Visibilty_ERP!$E:$E,RTF!$B42,Visibilty_ERP!$K:$K,"RTF")</f>
        <v>0</v>
      </c>
      <c r="N42" s="19">
        <f>SUMIFS(Visibilty_ERP!AP:AP,Visibilty_ERP!$E:$E,RTF!$B42,Visibilty_ERP!$K:$K,"RTF")</f>
        <v>0</v>
      </c>
      <c r="O42" s="19">
        <f>SUMIFS(Visibilty_ERP!AQ:AQ,Visibilty_ERP!$E:$E,RTF!$B42,Visibilty_ERP!$K:$K,"RTF")</f>
        <v>0</v>
      </c>
      <c r="P42" s="19">
        <f>SUMIFS(Visibilty_ERP!AR:AR,Visibilty_ERP!$E:$E,RTF!$B42,Visibilty_ERP!$K:$K,"RTF")</f>
        <v>0</v>
      </c>
      <c r="Q42" s="19">
        <f>SUMIFS(Visibilty_ERP!AS:AS,Visibilty_ERP!$E:$E,RTF!$B42,Visibilty_ERP!$K:$K,"RTF")</f>
        <v>0</v>
      </c>
      <c r="R42" s="19">
        <f>SUMIFS(Visibilty_ERP!AT:AT,Visibilty_ERP!$E:$E,RTF!$B42,Visibilty_ERP!$K:$K,"RTF")</f>
        <v>0</v>
      </c>
      <c r="S42" s="19">
        <f>SUMIFS(Visibilty_ERP!AU:AU,Visibilty_ERP!$E:$E,RTF!$B42,Visibilty_ERP!$K:$K,"RTF")</f>
        <v>0</v>
      </c>
      <c r="T42" s="1">
        <f t="shared" si="2"/>
        <v>0</v>
      </c>
      <c r="U42" s="1">
        <f t="shared" si="2"/>
        <v>0</v>
      </c>
      <c r="V42" s="1">
        <f t="shared" si="2"/>
        <v>0</v>
      </c>
      <c r="W42" s="1">
        <f t="shared" si="2"/>
        <v>0</v>
      </c>
    </row>
    <row r="43" spans="2:23" x14ac:dyDescent="0.3">
      <c r="B43" s="18" t="s">
        <v>808</v>
      </c>
      <c r="C43" s="19">
        <f>SUMIFS(Visibilty_ERP!L:L,Visibilty_ERP!$E:$E,RTF!$B43)</f>
        <v>34937</v>
      </c>
      <c r="D43" s="19">
        <f>SUMIFS(Visibilty_ERP!A:A,Visibilty_ERP!$E:$E,RTF!$B43,Visibilty_ERP!$K:$K,"RTF")</f>
        <v>0</v>
      </c>
      <c r="E43" s="19">
        <f>SUMIFS(Visibilty_ERP!B:B,Visibilty_ERP!$E:$E,RTF!$B43,Visibilty_ERP!$K:$K,"RTF")</f>
        <v>0</v>
      </c>
      <c r="F43" s="19">
        <f>SUMIFS(Visibilty_ERP!C:C,Visibilty_ERP!$E:$E,RTF!$B43,Visibilty_ERP!$K:$K,"RTF")</f>
        <v>0</v>
      </c>
      <c r="G43" s="19">
        <f>SUMIFS(Visibilty_ERP!AI:AI,Visibilty_ERP!$E:$E,RTF!$B43,Visibilty_ERP!$K:$K,"RTF")</f>
        <v>0</v>
      </c>
      <c r="H43" s="19">
        <f>SUMIFS(Visibilty_ERP!AJ:AJ,Visibilty_ERP!$E:$E,RTF!$B43,Visibilty_ERP!$K:$K,"RTF")</f>
        <v>0</v>
      </c>
      <c r="I43" s="19">
        <f>SUMIFS(Visibilty_ERP!AK:AK,Visibilty_ERP!$E:$E,RTF!$B43,Visibilty_ERP!$K:$K,"RTF")</f>
        <v>0</v>
      </c>
      <c r="J43" s="19">
        <f>SUMIFS(Visibilty_ERP!AL:AL,Visibilty_ERP!$E:$E,RTF!$B43,Visibilty_ERP!$K:$K,"RTF")</f>
        <v>0</v>
      </c>
      <c r="K43" s="19">
        <f>SUMIFS(Visibilty_ERP!AM:AM,Visibilty_ERP!$E:$E,RTF!$B43,Visibilty_ERP!$K:$K,"RTF")</f>
        <v>0</v>
      </c>
      <c r="L43" s="19">
        <f>SUMIFS(Visibilty_ERP!AN:AN,Visibilty_ERP!$E:$E,RTF!$B43,Visibilty_ERP!$K:$K,"RTF")</f>
        <v>0</v>
      </c>
      <c r="M43" s="19">
        <f>SUMIFS(Visibilty_ERP!AO:AO,Visibilty_ERP!$E:$E,RTF!$B43,Visibilty_ERP!$K:$K,"RTF")</f>
        <v>0</v>
      </c>
      <c r="N43" s="19">
        <f>SUMIFS(Visibilty_ERP!AP:AP,Visibilty_ERP!$E:$E,RTF!$B43,Visibilty_ERP!$K:$K,"RTF")</f>
        <v>0</v>
      </c>
      <c r="O43" s="19">
        <f>SUMIFS(Visibilty_ERP!AQ:AQ,Visibilty_ERP!$E:$E,RTF!$B43,Visibilty_ERP!$K:$K,"RTF")</f>
        <v>0</v>
      </c>
      <c r="P43" s="19">
        <f>SUMIFS(Visibilty_ERP!AR:AR,Visibilty_ERP!$E:$E,RTF!$B43,Visibilty_ERP!$K:$K,"RTF")</f>
        <v>0</v>
      </c>
      <c r="Q43" s="19">
        <f>SUMIFS(Visibilty_ERP!AS:AS,Visibilty_ERP!$E:$E,RTF!$B43,Visibilty_ERP!$K:$K,"RTF")</f>
        <v>0</v>
      </c>
      <c r="R43" s="19">
        <f>SUMIFS(Visibilty_ERP!AT:AT,Visibilty_ERP!$E:$E,RTF!$B43,Visibilty_ERP!$K:$K,"RTF")</f>
        <v>0</v>
      </c>
      <c r="S43" s="19">
        <f>SUMIFS(Visibilty_ERP!AU:AU,Visibilty_ERP!$E:$E,RTF!$B43,Visibilty_ERP!$K:$K,"RTF")</f>
        <v>0</v>
      </c>
      <c r="T43" s="1">
        <f t="shared" si="2"/>
        <v>0</v>
      </c>
      <c r="U43" s="1">
        <f t="shared" si="2"/>
        <v>0</v>
      </c>
      <c r="V43" s="1">
        <f t="shared" si="2"/>
        <v>0</v>
      </c>
      <c r="W43" s="1">
        <f t="shared" si="2"/>
        <v>0</v>
      </c>
    </row>
    <row r="44" spans="2:23" x14ac:dyDescent="0.3">
      <c r="B44" s="18" t="s">
        <v>819</v>
      </c>
      <c r="C44" s="19">
        <f>SUMIFS(Visibilty_ERP!L:L,Visibilty_ERP!$E:$E,RTF!$B44)</f>
        <v>41752</v>
      </c>
      <c r="D44" s="19">
        <f>SUMIFS(Visibilty_ERP!A:A,Visibilty_ERP!$E:$E,RTF!$B44,Visibilty_ERP!$K:$K,"RTF")</f>
        <v>0</v>
      </c>
      <c r="E44" s="19">
        <f>SUMIFS(Visibilty_ERP!B:B,Visibilty_ERP!$E:$E,RTF!$B44,Visibilty_ERP!$K:$K,"RTF")</f>
        <v>0</v>
      </c>
      <c r="F44" s="19">
        <f>SUMIFS(Visibilty_ERP!C:C,Visibilty_ERP!$E:$E,RTF!$B44,Visibilty_ERP!$K:$K,"RTF")</f>
        <v>0</v>
      </c>
      <c r="G44" s="19">
        <f>SUMIFS(Visibilty_ERP!AI:AI,Visibilty_ERP!$E:$E,RTF!$B44,Visibilty_ERP!$K:$K,"RTF")</f>
        <v>0</v>
      </c>
      <c r="H44" s="19">
        <f>SUMIFS(Visibilty_ERP!AJ:AJ,Visibilty_ERP!$E:$E,RTF!$B44,Visibilty_ERP!$K:$K,"RTF")</f>
        <v>0</v>
      </c>
      <c r="I44" s="19">
        <f>SUMIFS(Visibilty_ERP!AK:AK,Visibilty_ERP!$E:$E,RTF!$B44,Visibilty_ERP!$K:$K,"RTF")</f>
        <v>0</v>
      </c>
      <c r="J44" s="19">
        <f>SUMIFS(Visibilty_ERP!AL:AL,Visibilty_ERP!$E:$E,RTF!$B44,Visibilty_ERP!$K:$K,"RTF")</f>
        <v>0</v>
      </c>
      <c r="K44" s="19">
        <f>SUMIFS(Visibilty_ERP!AM:AM,Visibilty_ERP!$E:$E,RTF!$B44,Visibilty_ERP!$K:$K,"RTF")</f>
        <v>0</v>
      </c>
      <c r="L44" s="19">
        <f>SUMIFS(Visibilty_ERP!AN:AN,Visibilty_ERP!$E:$E,RTF!$B44,Visibilty_ERP!$K:$K,"RTF")</f>
        <v>0</v>
      </c>
      <c r="M44" s="19">
        <f>SUMIFS(Visibilty_ERP!AO:AO,Visibilty_ERP!$E:$E,RTF!$B44,Visibilty_ERP!$K:$K,"RTF")</f>
        <v>0</v>
      </c>
      <c r="N44" s="19">
        <f>SUMIFS(Visibilty_ERP!AP:AP,Visibilty_ERP!$E:$E,RTF!$B44,Visibilty_ERP!$K:$K,"RTF")</f>
        <v>0</v>
      </c>
      <c r="O44" s="19">
        <f>SUMIFS(Visibilty_ERP!AQ:AQ,Visibilty_ERP!$E:$E,RTF!$B44,Visibilty_ERP!$K:$K,"RTF")</f>
        <v>0</v>
      </c>
      <c r="P44" s="19">
        <f>SUMIFS(Visibilty_ERP!AR:AR,Visibilty_ERP!$E:$E,RTF!$B44,Visibilty_ERP!$K:$K,"RTF")</f>
        <v>0</v>
      </c>
      <c r="Q44" s="19">
        <f>SUMIFS(Visibilty_ERP!AS:AS,Visibilty_ERP!$E:$E,RTF!$B44,Visibilty_ERP!$K:$K,"RTF")</f>
        <v>0</v>
      </c>
      <c r="R44" s="19">
        <f>SUMIFS(Visibilty_ERP!AT:AT,Visibilty_ERP!$E:$E,RTF!$B44,Visibilty_ERP!$K:$K,"RTF")</f>
        <v>0</v>
      </c>
      <c r="S44" s="19">
        <f>SUMIFS(Visibilty_ERP!AU:AU,Visibilty_ERP!$E:$E,RTF!$B44,Visibilty_ERP!$K:$K,"RTF")</f>
        <v>0</v>
      </c>
      <c r="T44" s="1">
        <f t="shared" si="2"/>
        <v>0</v>
      </c>
      <c r="U44" s="1">
        <f t="shared" si="2"/>
        <v>0</v>
      </c>
      <c r="V44" s="1">
        <f t="shared" si="2"/>
        <v>0</v>
      </c>
      <c r="W44" s="1">
        <f t="shared" si="2"/>
        <v>0</v>
      </c>
    </row>
    <row r="45" spans="2:23" x14ac:dyDescent="0.3">
      <c r="B45" s="18" t="s">
        <v>820</v>
      </c>
      <c r="C45" s="19">
        <f>SUMIFS(Visibilty_ERP!L:L,Visibilty_ERP!$E:$E,RTF!$B45)</f>
        <v>196422</v>
      </c>
      <c r="D45" s="19">
        <f>SUMIFS(Visibilty_ERP!A:A,Visibilty_ERP!$E:$E,RTF!$B45,Visibilty_ERP!$K:$K,"RTF")</f>
        <v>96000</v>
      </c>
      <c r="E45" s="19">
        <f>SUMIFS(Visibilty_ERP!B:B,Visibilty_ERP!$E:$E,RTF!$B45,Visibilty_ERP!$K:$K,"RTF")</f>
        <v>621000</v>
      </c>
      <c r="F45" s="19">
        <f>SUMIFS(Visibilty_ERP!C:C,Visibilty_ERP!$E:$E,RTF!$B45,Visibilty_ERP!$K:$K,"RTF")</f>
        <v>777000</v>
      </c>
      <c r="G45" s="19">
        <f>SUMIFS(Visibilty_ERP!AI:AI,Visibilty_ERP!$E:$E,RTF!$B45,Visibilty_ERP!$K:$K,"RTF")</f>
        <v>720000</v>
      </c>
      <c r="H45" s="19">
        <f>SUMIFS(Visibilty_ERP!AJ:AJ,Visibilty_ERP!$E:$E,RTF!$B45,Visibilty_ERP!$K:$K,"RTF")</f>
        <v>807000</v>
      </c>
      <c r="I45" s="19">
        <f>SUMIFS(Visibilty_ERP!AK:AK,Visibilty_ERP!$E:$E,RTF!$B45,Visibilty_ERP!$K:$K,"RTF")</f>
        <v>492000</v>
      </c>
      <c r="J45" s="19">
        <f>SUMIFS(Visibilty_ERP!AL:AL,Visibilty_ERP!$E:$E,RTF!$B45,Visibilty_ERP!$K:$K,"RTF")</f>
        <v>0</v>
      </c>
      <c r="K45" s="19">
        <f>SUMIFS(Visibilty_ERP!AM:AM,Visibilty_ERP!$E:$E,RTF!$B45,Visibilty_ERP!$K:$K,"RTF")</f>
        <v>60000</v>
      </c>
      <c r="L45" s="19">
        <f>SUMIFS(Visibilty_ERP!AN:AN,Visibilty_ERP!$E:$E,RTF!$B45,Visibilty_ERP!$K:$K,"RTF")</f>
        <v>0</v>
      </c>
      <c r="M45" s="19">
        <f>SUMIFS(Visibilty_ERP!AO:AO,Visibilty_ERP!$E:$E,RTF!$B45,Visibilty_ERP!$K:$K,"RTF")</f>
        <v>1269000</v>
      </c>
      <c r="N45" s="19">
        <f>SUMIFS(Visibilty_ERP!AP:AP,Visibilty_ERP!$E:$E,RTF!$B45,Visibilty_ERP!$K:$K,"RTF")</f>
        <v>0</v>
      </c>
      <c r="O45" s="19">
        <f>SUMIFS(Visibilty_ERP!AQ:AQ,Visibilty_ERP!$E:$E,RTF!$B45,Visibilty_ERP!$K:$K,"RTF")</f>
        <v>795000</v>
      </c>
      <c r="P45" s="19">
        <f>SUMIFS(Visibilty_ERP!AR:AR,Visibilty_ERP!$E:$E,RTF!$B45,Visibilty_ERP!$K:$K,"RTF")</f>
        <v>990000</v>
      </c>
      <c r="Q45" s="19">
        <f>SUMIFS(Visibilty_ERP!AS:AS,Visibilty_ERP!$E:$E,RTF!$B45,Visibilty_ERP!$K:$K,"RTF")</f>
        <v>1221000</v>
      </c>
      <c r="R45" s="19">
        <f>SUMIFS(Visibilty_ERP!AT:AT,Visibilty_ERP!$E:$E,RTF!$B45,Visibilty_ERP!$K:$K,"RTF")</f>
        <v>1002000</v>
      </c>
      <c r="S45" s="19">
        <f>SUMIFS(Visibilty_ERP!AU:AU,Visibilty_ERP!$E:$E,RTF!$B45,Visibilty_ERP!$K:$K,"RTF")</f>
        <v>0</v>
      </c>
      <c r="T45" s="1">
        <f t="shared" si="2"/>
        <v>96000</v>
      </c>
      <c r="U45" s="1">
        <f t="shared" si="2"/>
        <v>3417000</v>
      </c>
      <c r="V45" s="1">
        <f t="shared" si="2"/>
        <v>1329000</v>
      </c>
      <c r="W45" s="1">
        <f t="shared" si="2"/>
        <v>4008000</v>
      </c>
    </row>
    <row r="46" spans="2:23" x14ac:dyDescent="0.3">
      <c r="B46" s="18" t="s">
        <v>775</v>
      </c>
      <c r="C46" s="19">
        <f>SUMIFS(Visibilty_ERP!L:L,Visibilty_ERP!$E:$E,RTF!$B46)</f>
        <v>67411</v>
      </c>
      <c r="D46" s="19">
        <f>SUMIFS(Visibilty_ERP!A:A,Visibilty_ERP!$E:$E,RTF!$B46,Visibilty_ERP!$K:$K,"RTF")</f>
        <v>0</v>
      </c>
      <c r="E46" s="19">
        <f>SUMIFS(Visibilty_ERP!B:B,Visibilty_ERP!$E:$E,RTF!$B46,Visibilty_ERP!$K:$K,"RTF")</f>
        <v>0</v>
      </c>
      <c r="F46" s="19">
        <f>SUMIFS(Visibilty_ERP!C:C,Visibilty_ERP!$E:$E,RTF!$B46,Visibilty_ERP!$K:$K,"RTF")</f>
        <v>0</v>
      </c>
      <c r="G46" s="19">
        <f>SUMIFS(Visibilty_ERP!AI:AI,Visibilty_ERP!$E:$E,RTF!$B46,Visibilty_ERP!$K:$K,"RTF")</f>
        <v>0</v>
      </c>
      <c r="H46" s="19">
        <f>SUMIFS(Visibilty_ERP!AJ:AJ,Visibilty_ERP!$E:$E,RTF!$B46,Visibilty_ERP!$K:$K,"RTF")</f>
        <v>0</v>
      </c>
      <c r="I46" s="19">
        <f>SUMIFS(Visibilty_ERP!AK:AK,Visibilty_ERP!$E:$E,RTF!$B46,Visibilty_ERP!$K:$K,"RTF")</f>
        <v>0</v>
      </c>
      <c r="J46" s="19">
        <f>SUMIFS(Visibilty_ERP!AL:AL,Visibilty_ERP!$E:$E,RTF!$B46,Visibilty_ERP!$K:$K,"RTF")</f>
        <v>0</v>
      </c>
      <c r="K46" s="19">
        <f>SUMIFS(Visibilty_ERP!AM:AM,Visibilty_ERP!$E:$E,RTF!$B46,Visibilty_ERP!$K:$K,"RTF")</f>
        <v>0</v>
      </c>
      <c r="L46" s="19">
        <f>SUMIFS(Visibilty_ERP!AN:AN,Visibilty_ERP!$E:$E,RTF!$B46,Visibilty_ERP!$K:$K,"RTF")</f>
        <v>0</v>
      </c>
      <c r="M46" s="19">
        <f>SUMIFS(Visibilty_ERP!AO:AO,Visibilty_ERP!$E:$E,RTF!$B46,Visibilty_ERP!$K:$K,"RTF")</f>
        <v>0</v>
      </c>
      <c r="N46" s="19">
        <f>SUMIFS(Visibilty_ERP!AP:AP,Visibilty_ERP!$E:$E,RTF!$B46,Visibilty_ERP!$K:$K,"RTF")</f>
        <v>0</v>
      </c>
      <c r="O46" s="19">
        <f>SUMIFS(Visibilty_ERP!AQ:AQ,Visibilty_ERP!$E:$E,RTF!$B46,Visibilty_ERP!$K:$K,"RTF")</f>
        <v>0</v>
      </c>
      <c r="P46" s="19">
        <f>SUMIFS(Visibilty_ERP!AR:AR,Visibilty_ERP!$E:$E,RTF!$B46,Visibilty_ERP!$K:$K,"RTF")</f>
        <v>0</v>
      </c>
      <c r="Q46" s="19">
        <f>SUMIFS(Visibilty_ERP!AS:AS,Visibilty_ERP!$E:$E,RTF!$B46,Visibilty_ERP!$K:$K,"RTF")</f>
        <v>0</v>
      </c>
      <c r="R46" s="19">
        <f>SUMIFS(Visibilty_ERP!AT:AT,Visibilty_ERP!$E:$E,RTF!$B46,Visibilty_ERP!$K:$K,"RTF")</f>
        <v>0</v>
      </c>
      <c r="S46" s="19">
        <f>SUMIFS(Visibilty_ERP!AU:AU,Visibilty_ERP!$E:$E,RTF!$B46,Visibilty_ERP!$K:$K,"RTF")</f>
        <v>0</v>
      </c>
      <c r="T46" s="1">
        <f t="shared" si="2"/>
        <v>0</v>
      </c>
      <c r="U46" s="1">
        <f t="shared" si="2"/>
        <v>0</v>
      </c>
      <c r="V46" s="1">
        <f t="shared" si="2"/>
        <v>0</v>
      </c>
      <c r="W46" s="1">
        <f t="shared" si="2"/>
        <v>0</v>
      </c>
    </row>
    <row r="47" spans="2:23" x14ac:dyDescent="0.3">
      <c r="B47" s="18" t="s">
        <v>812</v>
      </c>
      <c r="C47" s="19">
        <f>SUMIFS(Visibilty_ERP!L:L,Visibilty_ERP!$E:$E,RTF!$B47)</f>
        <v>196769</v>
      </c>
      <c r="D47" s="19">
        <f>SUMIFS(Visibilty_ERP!A:A,Visibilty_ERP!$E:$E,RTF!$B47,Visibilty_ERP!$K:$K,"RTF")</f>
        <v>130000</v>
      </c>
      <c r="E47" s="19">
        <f>SUMIFS(Visibilty_ERP!B:B,Visibilty_ERP!$E:$E,RTF!$B47,Visibilty_ERP!$K:$K,"RTF")</f>
        <v>0</v>
      </c>
      <c r="F47" s="19">
        <f>SUMIFS(Visibilty_ERP!C:C,Visibilty_ERP!$E:$E,RTF!$B47,Visibilty_ERP!$K:$K,"RTF")</f>
        <v>0</v>
      </c>
      <c r="G47" s="19">
        <f>SUMIFS(Visibilty_ERP!AI:AI,Visibilty_ERP!$E:$E,RTF!$B47,Visibilty_ERP!$K:$K,"RTF")</f>
        <v>0</v>
      </c>
      <c r="H47" s="19">
        <f>SUMIFS(Visibilty_ERP!AJ:AJ,Visibilty_ERP!$E:$E,RTF!$B47,Visibilty_ERP!$K:$K,"RTF")</f>
        <v>0</v>
      </c>
      <c r="I47" s="19">
        <f>SUMIFS(Visibilty_ERP!AK:AK,Visibilty_ERP!$E:$E,RTF!$B47,Visibilty_ERP!$K:$K,"RTF")</f>
        <v>0</v>
      </c>
      <c r="J47" s="19">
        <f>SUMIFS(Visibilty_ERP!AL:AL,Visibilty_ERP!$E:$E,RTF!$B47,Visibilty_ERP!$K:$K,"RTF")</f>
        <v>0</v>
      </c>
      <c r="K47" s="19">
        <f>SUMIFS(Visibilty_ERP!AM:AM,Visibilty_ERP!$E:$E,RTF!$B47,Visibilty_ERP!$K:$K,"RTF")</f>
        <v>0</v>
      </c>
      <c r="L47" s="19">
        <f>SUMIFS(Visibilty_ERP!AN:AN,Visibilty_ERP!$E:$E,RTF!$B47,Visibilty_ERP!$K:$K,"RTF")</f>
        <v>0</v>
      </c>
      <c r="M47" s="19">
        <f>SUMIFS(Visibilty_ERP!AO:AO,Visibilty_ERP!$E:$E,RTF!$B47,Visibilty_ERP!$K:$K,"RTF")</f>
        <v>0</v>
      </c>
      <c r="N47" s="19">
        <f>SUMIFS(Visibilty_ERP!AP:AP,Visibilty_ERP!$E:$E,RTF!$B47,Visibilty_ERP!$K:$K,"RTF")</f>
        <v>0</v>
      </c>
      <c r="O47" s="19">
        <f>SUMIFS(Visibilty_ERP!AQ:AQ,Visibilty_ERP!$E:$E,RTF!$B47,Visibilty_ERP!$K:$K,"RTF")</f>
        <v>0</v>
      </c>
      <c r="P47" s="19">
        <f>SUMIFS(Visibilty_ERP!AR:AR,Visibilty_ERP!$E:$E,RTF!$B47,Visibilty_ERP!$K:$K,"RTF")</f>
        <v>0</v>
      </c>
      <c r="Q47" s="19">
        <f>SUMIFS(Visibilty_ERP!AS:AS,Visibilty_ERP!$E:$E,RTF!$B47,Visibilty_ERP!$K:$K,"RTF")</f>
        <v>0</v>
      </c>
      <c r="R47" s="19">
        <f>SUMIFS(Visibilty_ERP!AT:AT,Visibilty_ERP!$E:$E,RTF!$B47,Visibilty_ERP!$K:$K,"RTF")</f>
        <v>0</v>
      </c>
      <c r="S47" s="19">
        <f>SUMIFS(Visibilty_ERP!AU:AU,Visibilty_ERP!$E:$E,RTF!$B47,Visibilty_ERP!$K:$K,"RTF")</f>
        <v>0</v>
      </c>
      <c r="T47" s="1">
        <f t="shared" si="2"/>
        <v>130000</v>
      </c>
      <c r="U47" s="1">
        <f t="shared" si="2"/>
        <v>0</v>
      </c>
      <c r="V47" s="1">
        <f t="shared" si="2"/>
        <v>0</v>
      </c>
      <c r="W47" s="1">
        <f t="shared" si="2"/>
        <v>0</v>
      </c>
    </row>
    <row r="48" spans="2:23" x14ac:dyDescent="0.3">
      <c r="B48" s="18" t="s">
        <v>854</v>
      </c>
      <c r="C48" s="19">
        <f>SUMIFS(Visibilty_ERP!L:L,Visibilty_ERP!$E:$E,RTF!$B48)</f>
        <v>19315</v>
      </c>
      <c r="D48" s="19">
        <f>SUMIFS(Visibilty_ERP!A:A,Visibilty_ERP!$E:$E,RTF!$B48,Visibilty_ERP!$K:$K,"RTF")</f>
        <v>0</v>
      </c>
      <c r="E48" s="19">
        <f>SUMIFS(Visibilty_ERP!B:B,Visibilty_ERP!$E:$E,RTF!$B48,Visibilty_ERP!$K:$K,"RTF")</f>
        <v>0</v>
      </c>
      <c r="F48" s="19">
        <f>SUMIFS(Visibilty_ERP!C:C,Visibilty_ERP!$E:$E,RTF!$B48,Visibilty_ERP!$K:$K,"RTF")</f>
        <v>0</v>
      </c>
      <c r="G48" s="19">
        <f>SUMIFS(Visibilty_ERP!AI:AI,Visibilty_ERP!$E:$E,RTF!$B48,Visibilty_ERP!$K:$K,"RTF")</f>
        <v>0</v>
      </c>
      <c r="H48" s="19">
        <f>SUMIFS(Visibilty_ERP!AJ:AJ,Visibilty_ERP!$E:$E,RTF!$B48,Visibilty_ERP!$K:$K,"RTF")</f>
        <v>0</v>
      </c>
      <c r="I48" s="19">
        <f>SUMIFS(Visibilty_ERP!AK:AK,Visibilty_ERP!$E:$E,RTF!$B48,Visibilty_ERP!$K:$K,"RTF")</f>
        <v>0</v>
      </c>
      <c r="J48" s="19">
        <f>SUMIFS(Visibilty_ERP!AL:AL,Visibilty_ERP!$E:$E,RTF!$B48,Visibilty_ERP!$K:$K,"RTF")</f>
        <v>0</v>
      </c>
      <c r="K48" s="19">
        <f>SUMIFS(Visibilty_ERP!AM:AM,Visibilty_ERP!$E:$E,RTF!$B48,Visibilty_ERP!$K:$K,"RTF")</f>
        <v>2500</v>
      </c>
      <c r="L48" s="19">
        <f>SUMIFS(Visibilty_ERP!AN:AN,Visibilty_ERP!$E:$E,RTF!$B48,Visibilty_ERP!$K:$K,"RTF")</f>
        <v>0</v>
      </c>
      <c r="M48" s="19">
        <f>SUMIFS(Visibilty_ERP!AO:AO,Visibilty_ERP!$E:$E,RTF!$B48,Visibilty_ERP!$K:$K,"RTF")</f>
        <v>0</v>
      </c>
      <c r="N48" s="19">
        <f>SUMIFS(Visibilty_ERP!AP:AP,Visibilty_ERP!$E:$E,RTF!$B48,Visibilty_ERP!$K:$K,"RTF")</f>
        <v>15000</v>
      </c>
      <c r="O48" s="19">
        <f>SUMIFS(Visibilty_ERP!AQ:AQ,Visibilty_ERP!$E:$E,RTF!$B48,Visibilty_ERP!$K:$K,"RTF")</f>
        <v>0</v>
      </c>
      <c r="P48" s="19">
        <f>SUMIFS(Visibilty_ERP!AR:AR,Visibilty_ERP!$E:$E,RTF!$B48,Visibilty_ERP!$K:$K,"RTF")</f>
        <v>0</v>
      </c>
      <c r="Q48" s="19">
        <f>SUMIFS(Visibilty_ERP!AS:AS,Visibilty_ERP!$E:$E,RTF!$B48,Visibilty_ERP!$K:$K,"RTF")</f>
        <v>0</v>
      </c>
      <c r="R48" s="19">
        <f>SUMIFS(Visibilty_ERP!AT:AT,Visibilty_ERP!$E:$E,RTF!$B48,Visibilty_ERP!$K:$K,"RTF")</f>
        <v>0</v>
      </c>
      <c r="S48" s="19">
        <f>SUMIFS(Visibilty_ERP!AU:AU,Visibilty_ERP!$E:$E,RTF!$B48,Visibilty_ERP!$K:$K,"RTF")</f>
        <v>0</v>
      </c>
      <c r="T48" s="1">
        <f t="shared" si="2"/>
        <v>0</v>
      </c>
      <c r="U48" s="1">
        <f t="shared" si="2"/>
        <v>0</v>
      </c>
      <c r="V48" s="1">
        <f t="shared" si="2"/>
        <v>17500</v>
      </c>
      <c r="W48" s="1">
        <f t="shared" si="2"/>
        <v>0</v>
      </c>
    </row>
    <row r="49" spans="2:23" x14ac:dyDescent="0.3">
      <c r="B49" s="18" t="s">
        <v>857</v>
      </c>
      <c r="C49" s="19">
        <f>SUMIFS(Visibilty_ERP!L:L,Visibilty_ERP!$E:$E,RTF!$B49)</f>
        <v>8444</v>
      </c>
      <c r="D49" s="19">
        <f>SUMIFS(Visibilty_ERP!A:A,Visibilty_ERP!$E:$E,RTF!$B49,Visibilty_ERP!$K:$K,"RTF")</f>
        <v>0</v>
      </c>
      <c r="E49" s="19">
        <f>SUMIFS(Visibilty_ERP!B:B,Visibilty_ERP!$E:$E,RTF!$B49,Visibilty_ERP!$K:$K,"RTF")</f>
        <v>0</v>
      </c>
      <c r="F49" s="19">
        <f>SUMIFS(Visibilty_ERP!C:C,Visibilty_ERP!$E:$E,RTF!$B49,Visibilty_ERP!$K:$K,"RTF")</f>
        <v>0</v>
      </c>
      <c r="G49" s="19">
        <f>SUMIFS(Visibilty_ERP!AI:AI,Visibilty_ERP!$E:$E,RTF!$B49,Visibilty_ERP!$K:$K,"RTF")</f>
        <v>0</v>
      </c>
      <c r="H49" s="19">
        <f>SUMIFS(Visibilty_ERP!AJ:AJ,Visibilty_ERP!$E:$E,RTF!$B49,Visibilty_ERP!$K:$K,"RTF")</f>
        <v>0</v>
      </c>
      <c r="I49" s="19">
        <f>SUMIFS(Visibilty_ERP!AK:AK,Visibilty_ERP!$E:$E,RTF!$B49,Visibilty_ERP!$K:$K,"RTF")</f>
        <v>0</v>
      </c>
      <c r="J49" s="19">
        <f>SUMIFS(Visibilty_ERP!AL:AL,Visibilty_ERP!$E:$E,RTF!$B49,Visibilty_ERP!$K:$K,"RTF")</f>
        <v>0</v>
      </c>
      <c r="K49" s="19">
        <f>SUMIFS(Visibilty_ERP!AM:AM,Visibilty_ERP!$E:$E,RTF!$B49,Visibilty_ERP!$K:$K,"RTF")</f>
        <v>0</v>
      </c>
      <c r="L49" s="19">
        <f>SUMIFS(Visibilty_ERP!AN:AN,Visibilty_ERP!$E:$E,RTF!$B49,Visibilty_ERP!$K:$K,"RTF")</f>
        <v>0</v>
      </c>
      <c r="M49" s="19">
        <f>SUMIFS(Visibilty_ERP!AO:AO,Visibilty_ERP!$E:$E,RTF!$B49,Visibilty_ERP!$K:$K,"RTF")</f>
        <v>0</v>
      </c>
      <c r="N49" s="19">
        <f>SUMIFS(Visibilty_ERP!AP:AP,Visibilty_ERP!$E:$E,RTF!$B49,Visibilty_ERP!$K:$K,"RTF")</f>
        <v>0</v>
      </c>
      <c r="O49" s="19">
        <f>SUMIFS(Visibilty_ERP!AQ:AQ,Visibilty_ERP!$E:$E,RTF!$B49,Visibilty_ERP!$K:$K,"RTF")</f>
        <v>0</v>
      </c>
      <c r="P49" s="19">
        <f>SUMIFS(Visibilty_ERP!AR:AR,Visibilty_ERP!$E:$E,RTF!$B49,Visibilty_ERP!$K:$K,"RTF")</f>
        <v>0</v>
      </c>
      <c r="Q49" s="19">
        <f>SUMIFS(Visibilty_ERP!AS:AS,Visibilty_ERP!$E:$E,RTF!$B49,Visibilty_ERP!$K:$K,"RTF")</f>
        <v>0</v>
      </c>
      <c r="R49" s="19">
        <f>SUMIFS(Visibilty_ERP!AT:AT,Visibilty_ERP!$E:$E,RTF!$B49,Visibilty_ERP!$K:$K,"RTF")</f>
        <v>0</v>
      </c>
      <c r="S49" s="19">
        <f>SUMIFS(Visibilty_ERP!AU:AU,Visibilty_ERP!$E:$E,RTF!$B49,Visibilty_ERP!$K:$K,"RTF")</f>
        <v>0</v>
      </c>
      <c r="T49" s="1">
        <f t="shared" si="2"/>
        <v>0</v>
      </c>
      <c r="U49" s="1">
        <f t="shared" si="2"/>
        <v>0</v>
      </c>
      <c r="V49" s="1">
        <f t="shared" si="2"/>
        <v>0</v>
      </c>
      <c r="W49" s="1">
        <f t="shared" si="2"/>
        <v>0</v>
      </c>
    </row>
    <row r="50" spans="2:23" x14ac:dyDescent="0.3">
      <c r="B50" s="18" t="s">
        <v>786</v>
      </c>
      <c r="C50" s="19">
        <f>SUMIFS(Visibilty_ERP!L:L,Visibilty_ERP!$E:$E,RTF!$B50)</f>
        <v>58382</v>
      </c>
      <c r="D50" s="19">
        <f>SUMIFS(Visibilty_ERP!A:A,Visibilty_ERP!$E:$E,RTF!$B50,Visibilty_ERP!$K:$K,"RTF")</f>
        <v>0</v>
      </c>
      <c r="E50" s="19">
        <f>SUMIFS(Visibilty_ERP!B:B,Visibilty_ERP!$E:$E,RTF!$B50,Visibilty_ERP!$K:$K,"RTF")</f>
        <v>0</v>
      </c>
      <c r="F50" s="19">
        <f>SUMIFS(Visibilty_ERP!C:C,Visibilty_ERP!$E:$E,RTF!$B50,Visibilty_ERP!$K:$K,"RTF")</f>
        <v>0</v>
      </c>
      <c r="G50" s="19">
        <f>SUMIFS(Visibilty_ERP!AI:AI,Visibilty_ERP!$E:$E,RTF!$B50,Visibilty_ERP!$K:$K,"RTF")</f>
        <v>0</v>
      </c>
      <c r="H50" s="19">
        <f>SUMIFS(Visibilty_ERP!AJ:AJ,Visibilty_ERP!$E:$E,RTF!$B50,Visibilty_ERP!$K:$K,"RTF")</f>
        <v>0</v>
      </c>
      <c r="I50" s="19">
        <f>SUMIFS(Visibilty_ERP!AK:AK,Visibilty_ERP!$E:$E,RTF!$B50,Visibilty_ERP!$K:$K,"RTF")</f>
        <v>0</v>
      </c>
      <c r="J50" s="19">
        <f>SUMIFS(Visibilty_ERP!AL:AL,Visibilty_ERP!$E:$E,RTF!$B50,Visibilty_ERP!$K:$K,"RTF")</f>
        <v>0</v>
      </c>
      <c r="K50" s="19">
        <f>SUMIFS(Visibilty_ERP!AM:AM,Visibilty_ERP!$E:$E,RTF!$B50,Visibilty_ERP!$K:$K,"RTF")</f>
        <v>0</v>
      </c>
      <c r="L50" s="19">
        <f>SUMIFS(Visibilty_ERP!AN:AN,Visibilty_ERP!$E:$E,RTF!$B50,Visibilty_ERP!$K:$K,"RTF")</f>
        <v>0</v>
      </c>
      <c r="M50" s="19">
        <f>SUMIFS(Visibilty_ERP!AO:AO,Visibilty_ERP!$E:$E,RTF!$B50,Visibilty_ERP!$K:$K,"RTF")</f>
        <v>0</v>
      </c>
      <c r="N50" s="19">
        <f>SUMIFS(Visibilty_ERP!AP:AP,Visibilty_ERP!$E:$E,RTF!$B50,Visibilty_ERP!$K:$K,"RTF")</f>
        <v>0</v>
      </c>
      <c r="O50" s="19">
        <f>SUMIFS(Visibilty_ERP!AQ:AQ,Visibilty_ERP!$E:$E,RTF!$B50,Visibilty_ERP!$K:$K,"RTF")</f>
        <v>0</v>
      </c>
      <c r="P50" s="19">
        <f>SUMIFS(Visibilty_ERP!AR:AR,Visibilty_ERP!$E:$E,RTF!$B50,Visibilty_ERP!$K:$K,"RTF")</f>
        <v>0</v>
      </c>
      <c r="Q50" s="19">
        <f>SUMIFS(Visibilty_ERP!AS:AS,Visibilty_ERP!$E:$E,RTF!$B50,Visibilty_ERP!$K:$K,"RTF")</f>
        <v>0</v>
      </c>
      <c r="R50" s="19">
        <f>SUMIFS(Visibilty_ERP!AT:AT,Visibilty_ERP!$E:$E,RTF!$B50,Visibilty_ERP!$K:$K,"RTF")</f>
        <v>0</v>
      </c>
      <c r="S50" s="19">
        <f>SUMIFS(Visibilty_ERP!AU:AU,Visibilty_ERP!$E:$E,RTF!$B50,Visibilty_ERP!$K:$K,"RTF")</f>
        <v>0</v>
      </c>
      <c r="T50" s="1">
        <f t="shared" si="2"/>
        <v>0</v>
      </c>
      <c r="U50" s="1">
        <f t="shared" si="2"/>
        <v>0</v>
      </c>
      <c r="V50" s="1">
        <f t="shared" si="2"/>
        <v>0</v>
      </c>
      <c r="W50" s="1">
        <f t="shared" si="2"/>
        <v>0</v>
      </c>
    </row>
    <row r="51" spans="2:23" x14ac:dyDescent="0.3">
      <c r="B51" s="18" t="s">
        <v>785</v>
      </c>
      <c r="C51" s="19">
        <f>SUMIFS(Visibilty_ERP!L:L,Visibilty_ERP!$E:$E,RTF!$B51)</f>
        <v>53846</v>
      </c>
      <c r="D51" s="19">
        <f>SUMIFS(Visibilty_ERP!A:A,Visibilty_ERP!$E:$E,RTF!$B51,Visibilty_ERP!$K:$K,"RTF")</f>
        <v>0</v>
      </c>
      <c r="E51" s="19">
        <f>SUMIFS(Visibilty_ERP!B:B,Visibilty_ERP!$E:$E,RTF!$B51,Visibilty_ERP!$K:$K,"RTF")</f>
        <v>0</v>
      </c>
      <c r="F51" s="19">
        <f>SUMIFS(Visibilty_ERP!C:C,Visibilty_ERP!$E:$E,RTF!$B51,Visibilty_ERP!$K:$K,"RTF")</f>
        <v>0</v>
      </c>
      <c r="G51" s="19">
        <f>SUMIFS(Visibilty_ERP!AI:AI,Visibilty_ERP!$E:$E,RTF!$B51,Visibilty_ERP!$K:$K,"RTF")</f>
        <v>0</v>
      </c>
      <c r="H51" s="19">
        <f>SUMIFS(Visibilty_ERP!AJ:AJ,Visibilty_ERP!$E:$E,RTF!$B51,Visibilty_ERP!$K:$K,"RTF")</f>
        <v>0</v>
      </c>
      <c r="I51" s="19">
        <f>SUMIFS(Visibilty_ERP!AK:AK,Visibilty_ERP!$E:$E,RTF!$B51,Visibilty_ERP!$K:$K,"RTF")</f>
        <v>0</v>
      </c>
      <c r="J51" s="19">
        <f>SUMIFS(Visibilty_ERP!AL:AL,Visibilty_ERP!$E:$E,RTF!$B51,Visibilty_ERP!$K:$K,"RTF")</f>
        <v>0</v>
      </c>
      <c r="K51" s="19">
        <f>SUMIFS(Visibilty_ERP!AM:AM,Visibilty_ERP!$E:$E,RTF!$B51,Visibilty_ERP!$K:$K,"RTF")</f>
        <v>0</v>
      </c>
      <c r="L51" s="19">
        <f>SUMIFS(Visibilty_ERP!AN:AN,Visibilty_ERP!$E:$E,RTF!$B51,Visibilty_ERP!$K:$K,"RTF")</f>
        <v>0</v>
      </c>
      <c r="M51" s="19">
        <f>SUMIFS(Visibilty_ERP!AO:AO,Visibilty_ERP!$E:$E,RTF!$B51,Visibilty_ERP!$K:$K,"RTF")</f>
        <v>0</v>
      </c>
      <c r="N51" s="19">
        <f>SUMIFS(Visibilty_ERP!AP:AP,Visibilty_ERP!$E:$E,RTF!$B51,Visibilty_ERP!$K:$K,"RTF")</f>
        <v>0</v>
      </c>
      <c r="O51" s="19">
        <f>SUMIFS(Visibilty_ERP!AQ:AQ,Visibilty_ERP!$E:$E,RTF!$B51,Visibilty_ERP!$K:$K,"RTF")</f>
        <v>0</v>
      </c>
      <c r="P51" s="19">
        <f>SUMIFS(Visibilty_ERP!AR:AR,Visibilty_ERP!$E:$E,RTF!$B51,Visibilty_ERP!$K:$K,"RTF")</f>
        <v>0</v>
      </c>
      <c r="Q51" s="19">
        <f>SUMIFS(Visibilty_ERP!AS:AS,Visibilty_ERP!$E:$E,RTF!$B51,Visibilty_ERP!$K:$K,"RTF")</f>
        <v>0</v>
      </c>
      <c r="R51" s="19">
        <f>SUMIFS(Visibilty_ERP!AT:AT,Visibilty_ERP!$E:$E,RTF!$B51,Visibilty_ERP!$K:$K,"RTF")</f>
        <v>0</v>
      </c>
      <c r="S51" s="19">
        <f>SUMIFS(Visibilty_ERP!AU:AU,Visibilty_ERP!$E:$E,RTF!$B51,Visibilty_ERP!$K:$K,"RTF")</f>
        <v>0</v>
      </c>
      <c r="T51" s="1">
        <f t="shared" si="2"/>
        <v>0</v>
      </c>
      <c r="U51" s="1">
        <f t="shared" si="2"/>
        <v>0</v>
      </c>
      <c r="V51" s="1">
        <f t="shared" si="2"/>
        <v>0</v>
      </c>
      <c r="W51" s="1">
        <f t="shared" si="2"/>
        <v>0</v>
      </c>
    </row>
    <row r="52" spans="2:23" x14ac:dyDescent="0.3">
      <c r="B52" s="18" t="s">
        <v>798</v>
      </c>
      <c r="C52" s="19">
        <f>SUMIFS(Visibilty_ERP!L:L,Visibilty_ERP!$E:$E,RTF!$B52)</f>
        <v>7631</v>
      </c>
      <c r="D52" s="19">
        <f>SUMIFS(Visibilty_ERP!A:A,Visibilty_ERP!$E:$E,RTF!$B52,Visibilty_ERP!$K:$K,"RTF")</f>
        <v>0</v>
      </c>
      <c r="E52" s="19">
        <f>SUMIFS(Visibilty_ERP!B:B,Visibilty_ERP!$E:$E,RTF!$B52,Visibilty_ERP!$K:$K,"RTF")</f>
        <v>0</v>
      </c>
      <c r="F52" s="19">
        <f>SUMIFS(Visibilty_ERP!C:C,Visibilty_ERP!$E:$E,RTF!$B52,Visibilty_ERP!$K:$K,"RTF")</f>
        <v>0</v>
      </c>
      <c r="G52" s="19">
        <f>SUMIFS(Visibilty_ERP!AI:AI,Visibilty_ERP!$E:$E,RTF!$B52,Visibilty_ERP!$K:$K,"RTF")</f>
        <v>0</v>
      </c>
      <c r="H52" s="19">
        <f>SUMIFS(Visibilty_ERP!AJ:AJ,Visibilty_ERP!$E:$E,RTF!$B52,Visibilty_ERP!$K:$K,"RTF")</f>
        <v>0</v>
      </c>
      <c r="I52" s="19">
        <f>SUMIFS(Visibilty_ERP!AK:AK,Visibilty_ERP!$E:$E,RTF!$B52,Visibilty_ERP!$K:$K,"RTF")</f>
        <v>0</v>
      </c>
      <c r="J52" s="19">
        <f>SUMIFS(Visibilty_ERP!AL:AL,Visibilty_ERP!$E:$E,RTF!$B52,Visibilty_ERP!$K:$K,"RTF")</f>
        <v>0</v>
      </c>
      <c r="K52" s="19">
        <f>SUMIFS(Visibilty_ERP!AM:AM,Visibilty_ERP!$E:$E,RTF!$B52,Visibilty_ERP!$K:$K,"RTF")</f>
        <v>0</v>
      </c>
      <c r="L52" s="19">
        <f>SUMIFS(Visibilty_ERP!AN:AN,Visibilty_ERP!$E:$E,RTF!$B52,Visibilty_ERP!$K:$K,"RTF")</f>
        <v>0</v>
      </c>
      <c r="M52" s="19">
        <f>SUMIFS(Visibilty_ERP!AO:AO,Visibilty_ERP!$E:$E,RTF!$B52,Visibilty_ERP!$K:$K,"RTF")</f>
        <v>0</v>
      </c>
      <c r="N52" s="19">
        <f>SUMIFS(Visibilty_ERP!AP:AP,Visibilty_ERP!$E:$E,RTF!$B52,Visibilty_ERP!$K:$K,"RTF")</f>
        <v>0</v>
      </c>
      <c r="O52" s="19">
        <f>SUMIFS(Visibilty_ERP!AQ:AQ,Visibilty_ERP!$E:$E,RTF!$B52,Visibilty_ERP!$K:$K,"RTF")</f>
        <v>0</v>
      </c>
      <c r="P52" s="19">
        <f>SUMIFS(Visibilty_ERP!AR:AR,Visibilty_ERP!$E:$E,RTF!$B52,Visibilty_ERP!$K:$K,"RTF")</f>
        <v>0</v>
      </c>
      <c r="Q52" s="19">
        <f>SUMIFS(Visibilty_ERP!AS:AS,Visibilty_ERP!$E:$E,RTF!$B52,Visibilty_ERP!$K:$K,"RTF")</f>
        <v>0</v>
      </c>
      <c r="R52" s="19">
        <f>SUMIFS(Visibilty_ERP!AT:AT,Visibilty_ERP!$E:$E,RTF!$B52,Visibilty_ERP!$K:$K,"RTF")</f>
        <v>0</v>
      </c>
      <c r="S52" s="19">
        <f>SUMIFS(Visibilty_ERP!AU:AU,Visibilty_ERP!$E:$E,RTF!$B52,Visibilty_ERP!$K:$K,"RTF")</f>
        <v>0</v>
      </c>
      <c r="T52" s="1">
        <f t="shared" si="2"/>
        <v>0</v>
      </c>
      <c r="U52" s="1">
        <f t="shared" si="2"/>
        <v>0</v>
      </c>
      <c r="V52" s="1">
        <f t="shared" si="2"/>
        <v>0</v>
      </c>
      <c r="W52" s="1">
        <f t="shared" si="2"/>
        <v>0</v>
      </c>
    </row>
    <row r="53" spans="2:23" x14ac:dyDescent="0.3">
      <c r="B53" s="18" t="s">
        <v>871</v>
      </c>
      <c r="C53" s="19">
        <f>SUMIFS(Visibilty_ERP!L:L,Visibilty_ERP!$E:$E,RTF!$B53)</f>
        <v>25892</v>
      </c>
      <c r="D53" s="19">
        <f>SUMIFS(Visibilty_ERP!A:A,Visibilty_ERP!$E:$E,RTF!$B53,Visibilty_ERP!$K:$K,"RTF")</f>
        <v>0</v>
      </c>
      <c r="E53" s="19">
        <f>SUMIFS(Visibilty_ERP!B:B,Visibilty_ERP!$E:$E,RTF!$B53,Visibilty_ERP!$K:$K,"RTF")</f>
        <v>0</v>
      </c>
      <c r="F53" s="19">
        <f>SUMIFS(Visibilty_ERP!C:C,Visibilty_ERP!$E:$E,RTF!$B53,Visibilty_ERP!$K:$K,"RTF")</f>
        <v>0</v>
      </c>
      <c r="G53" s="19">
        <f>SUMIFS(Visibilty_ERP!AI:AI,Visibilty_ERP!$E:$E,RTF!$B53,Visibilty_ERP!$K:$K,"RTF")</f>
        <v>0</v>
      </c>
      <c r="H53" s="19">
        <f>SUMIFS(Visibilty_ERP!AJ:AJ,Visibilty_ERP!$E:$E,RTF!$B53,Visibilty_ERP!$K:$K,"RTF")</f>
        <v>0</v>
      </c>
      <c r="I53" s="19">
        <f>SUMIFS(Visibilty_ERP!AK:AK,Visibilty_ERP!$E:$E,RTF!$B53,Visibilty_ERP!$K:$K,"RTF")</f>
        <v>0</v>
      </c>
      <c r="J53" s="19">
        <f>SUMIFS(Visibilty_ERP!AL:AL,Visibilty_ERP!$E:$E,RTF!$B53,Visibilty_ERP!$K:$K,"RTF")</f>
        <v>0</v>
      </c>
      <c r="K53" s="19">
        <f>SUMIFS(Visibilty_ERP!AM:AM,Visibilty_ERP!$E:$E,RTF!$B53,Visibilty_ERP!$K:$K,"RTF")</f>
        <v>0</v>
      </c>
      <c r="L53" s="19">
        <f>SUMIFS(Visibilty_ERP!AN:AN,Visibilty_ERP!$E:$E,RTF!$B53,Visibilty_ERP!$K:$K,"RTF")</f>
        <v>0</v>
      </c>
      <c r="M53" s="19">
        <f>SUMIFS(Visibilty_ERP!AO:AO,Visibilty_ERP!$E:$E,RTF!$B53,Visibilty_ERP!$K:$K,"RTF")</f>
        <v>0</v>
      </c>
      <c r="N53" s="19">
        <f>SUMIFS(Visibilty_ERP!AP:AP,Visibilty_ERP!$E:$E,RTF!$B53,Visibilty_ERP!$K:$K,"RTF")</f>
        <v>0</v>
      </c>
      <c r="O53" s="19">
        <f>SUMIFS(Visibilty_ERP!AQ:AQ,Visibilty_ERP!$E:$E,RTF!$B53,Visibilty_ERP!$K:$K,"RTF")</f>
        <v>0</v>
      </c>
      <c r="P53" s="19">
        <f>SUMIFS(Visibilty_ERP!AR:AR,Visibilty_ERP!$E:$E,RTF!$B53,Visibilty_ERP!$K:$K,"RTF")</f>
        <v>0</v>
      </c>
      <c r="Q53" s="19">
        <f>SUMIFS(Visibilty_ERP!AS:AS,Visibilty_ERP!$E:$E,RTF!$B53,Visibilty_ERP!$K:$K,"RTF")</f>
        <v>0</v>
      </c>
      <c r="R53" s="19">
        <f>SUMIFS(Visibilty_ERP!AT:AT,Visibilty_ERP!$E:$E,RTF!$B53,Visibilty_ERP!$K:$K,"RTF")</f>
        <v>0</v>
      </c>
      <c r="S53" s="19">
        <f>SUMIFS(Visibilty_ERP!AU:AU,Visibilty_ERP!$E:$E,RTF!$B53,Visibilty_ERP!$K:$K,"RTF")</f>
        <v>0</v>
      </c>
      <c r="T53" s="1">
        <f t="shared" si="2"/>
        <v>0</v>
      </c>
      <c r="U53" s="1">
        <f t="shared" si="2"/>
        <v>0</v>
      </c>
      <c r="V53" s="1">
        <f t="shared" si="2"/>
        <v>0</v>
      </c>
      <c r="W53" s="1">
        <f t="shared" si="2"/>
        <v>0</v>
      </c>
    </row>
    <row r="54" spans="2:23" x14ac:dyDescent="0.3">
      <c r="B54" s="18" t="s">
        <v>852</v>
      </c>
      <c r="C54" s="19">
        <f>SUMIFS(Visibilty_ERP!L:L,Visibilty_ERP!$E:$E,RTF!$B54)</f>
        <v>26135</v>
      </c>
      <c r="D54" s="19">
        <f>SUMIFS(Visibilty_ERP!A:A,Visibilty_ERP!$E:$E,RTF!$B54,Visibilty_ERP!$K:$K,"RTF")</f>
        <v>0</v>
      </c>
      <c r="E54" s="19">
        <f>SUMIFS(Visibilty_ERP!B:B,Visibilty_ERP!$E:$E,RTF!$B54,Visibilty_ERP!$K:$K,"RTF")</f>
        <v>0</v>
      </c>
      <c r="F54" s="19">
        <f>SUMIFS(Visibilty_ERP!C:C,Visibilty_ERP!$E:$E,RTF!$B54,Visibilty_ERP!$K:$K,"RTF")</f>
        <v>0</v>
      </c>
      <c r="G54" s="19">
        <f>SUMIFS(Visibilty_ERP!AI:AI,Visibilty_ERP!$E:$E,RTF!$B54,Visibilty_ERP!$K:$K,"RTF")</f>
        <v>0</v>
      </c>
      <c r="H54" s="19">
        <f>SUMIFS(Visibilty_ERP!AJ:AJ,Visibilty_ERP!$E:$E,RTF!$B54,Visibilty_ERP!$K:$K,"RTF")</f>
        <v>0</v>
      </c>
      <c r="I54" s="19">
        <f>SUMIFS(Visibilty_ERP!AK:AK,Visibilty_ERP!$E:$E,RTF!$B54,Visibilty_ERP!$K:$K,"RTF")</f>
        <v>0</v>
      </c>
      <c r="J54" s="19">
        <f>SUMIFS(Visibilty_ERP!AL:AL,Visibilty_ERP!$E:$E,RTF!$B54,Visibilty_ERP!$K:$K,"RTF")</f>
        <v>0</v>
      </c>
      <c r="K54" s="19">
        <f>SUMIFS(Visibilty_ERP!AM:AM,Visibilty_ERP!$E:$E,RTF!$B54,Visibilty_ERP!$K:$K,"RTF")</f>
        <v>0</v>
      </c>
      <c r="L54" s="19">
        <f>SUMIFS(Visibilty_ERP!AN:AN,Visibilty_ERP!$E:$E,RTF!$B54,Visibilty_ERP!$K:$K,"RTF")</f>
        <v>0</v>
      </c>
      <c r="M54" s="19">
        <f>SUMIFS(Visibilty_ERP!AO:AO,Visibilty_ERP!$E:$E,RTF!$B54,Visibilty_ERP!$K:$K,"RTF")</f>
        <v>0</v>
      </c>
      <c r="N54" s="19">
        <f>SUMIFS(Visibilty_ERP!AP:AP,Visibilty_ERP!$E:$E,RTF!$B54,Visibilty_ERP!$K:$K,"RTF")</f>
        <v>0</v>
      </c>
      <c r="O54" s="19">
        <f>SUMIFS(Visibilty_ERP!AQ:AQ,Visibilty_ERP!$E:$E,RTF!$B54,Visibilty_ERP!$K:$K,"RTF")</f>
        <v>0</v>
      </c>
      <c r="P54" s="19">
        <f>SUMIFS(Visibilty_ERP!AR:AR,Visibilty_ERP!$E:$E,RTF!$B54,Visibilty_ERP!$K:$K,"RTF")</f>
        <v>0</v>
      </c>
      <c r="Q54" s="19">
        <f>SUMIFS(Visibilty_ERP!AS:AS,Visibilty_ERP!$E:$E,RTF!$B54,Visibilty_ERP!$K:$K,"RTF")</f>
        <v>0</v>
      </c>
      <c r="R54" s="19">
        <f>SUMIFS(Visibilty_ERP!AT:AT,Visibilty_ERP!$E:$E,RTF!$B54,Visibilty_ERP!$K:$K,"RTF")</f>
        <v>0</v>
      </c>
      <c r="S54" s="19">
        <f>SUMIFS(Visibilty_ERP!AU:AU,Visibilty_ERP!$E:$E,RTF!$B54,Visibilty_ERP!$K:$K,"RTF")</f>
        <v>0</v>
      </c>
      <c r="T54" s="1">
        <f t="shared" si="2"/>
        <v>0</v>
      </c>
      <c r="U54" s="1">
        <f t="shared" si="2"/>
        <v>0</v>
      </c>
      <c r="V54" s="1">
        <f t="shared" si="2"/>
        <v>0</v>
      </c>
      <c r="W54" s="1">
        <f t="shared" si="2"/>
        <v>0</v>
      </c>
    </row>
    <row r="55" spans="2:23" x14ac:dyDescent="0.3">
      <c r="B55" s="18" t="s">
        <v>840</v>
      </c>
      <c r="C55" s="19">
        <f>SUMIFS(Visibilty_ERP!L:L,Visibilty_ERP!$E:$E,RTF!$B55)</f>
        <v>29999</v>
      </c>
      <c r="D55" s="19">
        <f>SUMIFS(Visibilty_ERP!A:A,Visibilty_ERP!$E:$E,RTF!$B55,Visibilty_ERP!$K:$K,"RTF")</f>
        <v>0</v>
      </c>
      <c r="E55" s="19">
        <f>SUMIFS(Visibilty_ERP!B:B,Visibilty_ERP!$E:$E,RTF!$B55,Visibilty_ERP!$K:$K,"RTF")</f>
        <v>0</v>
      </c>
      <c r="F55" s="19">
        <f>SUMIFS(Visibilty_ERP!C:C,Visibilty_ERP!$E:$E,RTF!$B55,Visibilty_ERP!$K:$K,"RTF")</f>
        <v>0</v>
      </c>
      <c r="G55" s="19">
        <f>SUMIFS(Visibilty_ERP!AI:AI,Visibilty_ERP!$E:$E,RTF!$B55,Visibilty_ERP!$K:$K,"RTF")</f>
        <v>0</v>
      </c>
      <c r="H55" s="19">
        <f>SUMIFS(Visibilty_ERP!AJ:AJ,Visibilty_ERP!$E:$E,RTF!$B55,Visibilty_ERP!$K:$K,"RTF")</f>
        <v>0</v>
      </c>
      <c r="I55" s="19">
        <f>SUMIFS(Visibilty_ERP!AK:AK,Visibilty_ERP!$E:$E,RTF!$B55,Visibilty_ERP!$K:$K,"RTF")</f>
        <v>0</v>
      </c>
      <c r="J55" s="19">
        <f>SUMIFS(Visibilty_ERP!AL:AL,Visibilty_ERP!$E:$E,RTF!$B55,Visibilty_ERP!$K:$K,"RTF")</f>
        <v>0</v>
      </c>
      <c r="K55" s="19">
        <f>SUMIFS(Visibilty_ERP!AM:AM,Visibilty_ERP!$E:$E,RTF!$B55,Visibilty_ERP!$K:$K,"RTF")</f>
        <v>0</v>
      </c>
      <c r="L55" s="19">
        <f>SUMIFS(Visibilty_ERP!AN:AN,Visibilty_ERP!$E:$E,RTF!$B55,Visibilty_ERP!$K:$K,"RTF")</f>
        <v>0</v>
      </c>
      <c r="M55" s="19">
        <f>SUMIFS(Visibilty_ERP!AO:AO,Visibilty_ERP!$E:$E,RTF!$B55,Visibilty_ERP!$K:$K,"RTF")</f>
        <v>0</v>
      </c>
      <c r="N55" s="19">
        <f>SUMIFS(Visibilty_ERP!AP:AP,Visibilty_ERP!$E:$E,RTF!$B55,Visibilty_ERP!$K:$K,"RTF")</f>
        <v>0</v>
      </c>
      <c r="O55" s="19">
        <f>SUMIFS(Visibilty_ERP!AQ:AQ,Visibilty_ERP!$E:$E,RTF!$B55,Visibilty_ERP!$K:$K,"RTF")</f>
        <v>0</v>
      </c>
      <c r="P55" s="19">
        <f>SUMIFS(Visibilty_ERP!AR:AR,Visibilty_ERP!$E:$E,RTF!$B55,Visibilty_ERP!$K:$K,"RTF")</f>
        <v>0</v>
      </c>
      <c r="Q55" s="19">
        <f>SUMIFS(Visibilty_ERP!AS:AS,Visibilty_ERP!$E:$E,RTF!$B55,Visibilty_ERP!$K:$K,"RTF")</f>
        <v>0</v>
      </c>
      <c r="R55" s="19">
        <f>SUMIFS(Visibilty_ERP!AT:AT,Visibilty_ERP!$E:$E,RTF!$B55,Visibilty_ERP!$K:$K,"RTF")</f>
        <v>0</v>
      </c>
      <c r="S55" s="19">
        <f>SUMIFS(Visibilty_ERP!AU:AU,Visibilty_ERP!$E:$E,RTF!$B55,Visibilty_ERP!$K:$K,"RTF")</f>
        <v>0</v>
      </c>
      <c r="T55" s="1">
        <f t="shared" si="2"/>
        <v>0</v>
      </c>
      <c r="U55" s="1">
        <f t="shared" si="2"/>
        <v>0</v>
      </c>
      <c r="V55" s="1">
        <f t="shared" si="2"/>
        <v>0</v>
      </c>
      <c r="W55" s="1">
        <f t="shared" si="2"/>
        <v>0</v>
      </c>
    </row>
    <row r="56" spans="2:23" x14ac:dyDescent="0.3">
      <c r="B56" s="18" t="s">
        <v>860</v>
      </c>
      <c r="C56" s="19">
        <f>SUMIFS(Visibilty_ERP!L:L,Visibilty_ERP!$E:$E,RTF!$B56)</f>
        <v>21156</v>
      </c>
      <c r="D56" s="19">
        <f>SUMIFS(Visibilty_ERP!A:A,Visibilty_ERP!$E:$E,RTF!$B56,Visibilty_ERP!$K:$K,"RTF")</f>
        <v>0</v>
      </c>
      <c r="E56" s="19">
        <f>SUMIFS(Visibilty_ERP!B:B,Visibilty_ERP!$E:$E,RTF!$B56,Visibilty_ERP!$K:$K,"RTF")</f>
        <v>0</v>
      </c>
      <c r="F56" s="19">
        <f>SUMIFS(Visibilty_ERP!C:C,Visibilty_ERP!$E:$E,RTF!$B56,Visibilty_ERP!$K:$K,"RTF")</f>
        <v>0</v>
      </c>
      <c r="G56" s="19">
        <f>SUMIFS(Visibilty_ERP!AI:AI,Visibilty_ERP!$E:$E,RTF!$B56,Visibilty_ERP!$K:$K,"RTF")</f>
        <v>0</v>
      </c>
      <c r="H56" s="19">
        <f>SUMIFS(Visibilty_ERP!AJ:AJ,Visibilty_ERP!$E:$E,RTF!$B56,Visibilty_ERP!$K:$K,"RTF")</f>
        <v>0</v>
      </c>
      <c r="I56" s="19">
        <f>SUMIFS(Visibilty_ERP!AK:AK,Visibilty_ERP!$E:$E,RTF!$B56,Visibilty_ERP!$K:$K,"RTF")</f>
        <v>0</v>
      </c>
      <c r="J56" s="19">
        <f>SUMIFS(Visibilty_ERP!AL:AL,Visibilty_ERP!$E:$E,RTF!$B56,Visibilty_ERP!$K:$K,"RTF")</f>
        <v>0</v>
      </c>
      <c r="K56" s="19">
        <f>SUMIFS(Visibilty_ERP!AM:AM,Visibilty_ERP!$E:$E,RTF!$B56,Visibilty_ERP!$K:$K,"RTF")</f>
        <v>0</v>
      </c>
      <c r="L56" s="19">
        <f>SUMIFS(Visibilty_ERP!AN:AN,Visibilty_ERP!$E:$E,RTF!$B56,Visibilty_ERP!$K:$K,"RTF")</f>
        <v>0</v>
      </c>
      <c r="M56" s="19">
        <f>SUMIFS(Visibilty_ERP!AO:AO,Visibilty_ERP!$E:$E,RTF!$B56,Visibilty_ERP!$K:$K,"RTF")</f>
        <v>0</v>
      </c>
      <c r="N56" s="19">
        <f>SUMIFS(Visibilty_ERP!AP:AP,Visibilty_ERP!$E:$E,RTF!$B56,Visibilty_ERP!$K:$K,"RTF")</f>
        <v>0</v>
      </c>
      <c r="O56" s="19">
        <f>SUMIFS(Visibilty_ERP!AQ:AQ,Visibilty_ERP!$E:$E,RTF!$B56,Visibilty_ERP!$K:$K,"RTF")</f>
        <v>0</v>
      </c>
      <c r="P56" s="19">
        <f>SUMIFS(Visibilty_ERP!AR:AR,Visibilty_ERP!$E:$E,RTF!$B56,Visibilty_ERP!$K:$K,"RTF")</f>
        <v>0</v>
      </c>
      <c r="Q56" s="19">
        <f>SUMIFS(Visibilty_ERP!AS:AS,Visibilty_ERP!$E:$E,RTF!$B56,Visibilty_ERP!$K:$K,"RTF")</f>
        <v>0</v>
      </c>
      <c r="R56" s="19">
        <f>SUMIFS(Visibilty_ERP!AT:AT,Visibilty_ERP!$E:$E,RTF!$B56,Visibilty_ERP!$K:$K,"RTF")</f>
        <v>0</v>
      </c>
      <c r="S56" s="19">
        <f>SUMIFS(Visibilty_ERP!AU:AU,Visibilty_ERP!$E:$E,RTF!$B56,Visibilty_ERP!$K:$K,"RTF")</f>
        <v>0</v>
      </c>
      <c r="T56" s="1">
        <f t="shared" si="2"/>
        <v>0</v>
      </c>
      <c r="U56" s="1">
        <f t="shared" si="2"/>
        <v>0</v>
      </c>
      <c r="V56" s="1">
        <f t="shared" si="2"/>
        <v>0</v>
      </c>
      <c r="W56" s="1">
        <f t="shared" si="2"/>
        <v>0</v>
      </c>
    </row>
    <row r="57" spans="2:23" x14ac:dyDescent="0.3">
      <c r="B57" s="18" t="s">
        <v>850</v>
      </c>
      <c r="C57" s="19">
        <f>SUMIFS(Visibilty_ERP!L:L,Visibilty_ERP!$E:$E,RTF!$B57)</f>
        <v>157500</v>
      </c>
      <c r="D57" s="19">
        <f>SUMIFS(Visibilty_ERP!A:A,Visibilty_ERP!$E:$E,RTF!$B57,Visibilty_ERP!$K:$K,"RTF")</f>
        <v>0</v>
      </c>
      <c r="E57" s="19">
        <f>SUMIFS(Visibilty_ERP!B:B,Visibilty_ERP!$E:$E,RTF!$B57,Visibilty_ERP!$K:$K,"RTF")</f>
        <v>0</v>
      </c>
      <c r="F57" s="19">
        <f>SUMIFS(Visibilty_ERP!C:C,Visibilty_ERP!$E:$E,RTF!$B57,Visibilty_ERP!$K:$K,"RTF")</f>
        <v>0</v>
      </c>
      <c r="G57" s="19">
        <f>SUMIFS(Visibilty_ERP!AI:AI,Visibilty_ERP!$E:$E,RTF!$B57,Visibilty_ERP!$K:$K,"RTF")</f>
        <v>0</v>
      </c>
      <c r="H57" s="19">
        <f>SUMIFS(Visibilty_ERP!AJ:AJ,Visibilty_ERP!$E:$E,RTF!$B57,Visibilty_ERP!$K:$K,"RTF")</f>
        <v>0</v>
      </c>
      <c r="I57" s="19">
        <f>SUMIFS(Visibilty_ERP!AK:AK,Visibilty_ERP!$E:$E,RTF!$B57,Visibilty_ERP!$K:$K,"RTF")</f>
        <v>0</v>
      </c>
      <c r="J57" s="19">
        <f>SUMIFS(Visibilty_ERP!AL:AL,Visibilty_ERP!$E:$E,RTF!$B57,Visibilty_ERP!$K:$K,"RTF")</f>
        <v>0</v>
      </c>
      <c r="K57" s="19">
        <f>SUMIFS(Visibilty_ERP!AM:AM,Visibilty_ERP!$E:$E,RTF!$B57,Visibilty_ERP!$K:$K,"RTF")</f>
        <v>0</v>
      </c>
      <c r="L57" s="19">
        <f>SUMIFS(Visibilty_ERP!AN:AN,Visibilty_ERP!$E:$E,RTF!$B57,Visibilty_ERP!$K:$K,"RTF")</f>
        <v>0</v>
      </c>
      <c r="M57" s="19">
        <f>SUMIFS(Visibilty_ERP!AO:AO,Visibilty_ERP!$E:$E,RTF!$B57,Visibilty_ERP!$K:$K,"RTF")</f>
        <v>0</v>
      </c>
      <c r="N57" s="19">
        <f>SUMIFS(Visibilty_ERP!AP:AP,Visibilty_ERP!$E:$E,RTF!$B57,Visibilty_ERP!$K:$K,"RTF")</f>
        <v>0</v>
      </c>
      <c r="O57" s="19">
        <f>SUMIFS(Visibilty_ERP!AQ:AQ,Visibilty_ERP!$E:$E,RTF!$B57,Visibilty_ERP!$K:$K,"RTF")</f>
        <v>0</v>
      </c>
      <c r="P57" s="19">
        <f>SUMIFS(Visibilty_ERP!AR:AR,Visibilty_ERP!$E:$E,RTF!$B57,Visibilty_ERP!$K:$K,"RTF")</f>
        <v>0</v>
      </c>
      <c r="Q57" s="19">
        <f>SUMIFS(Visibilty_ERP!AS:AS,Visibilty_ERP!$E:$E,RTF!$B57,Visibilty_ERP!$K:$K,"RTF")</f>
        <v>0</v>
      </c>
      <c r="R57" s="19">
        <f>SUMIFS(Visibilty_ERP!AT:AT,Visibilty_ERP!$E:$E,RTF!$B57,Visibilty_ERP!$K:$K,"RTF")</f>
        <v>0</v>
      </c>
      <c r="S57" s="19">
        <f>SUMIFS(Visibilty_ERP!AU:AU,Visibilty_ERP!$E:$E,RTF!$B57,Visibilty_ERP!$K:$K,"RTF")</f>
        <v>0</v>
      </c>
      <c r="T57" s="1">
        <f t="shared" si="2"/>
        <v>0</v>
      </c>
      <c r="U57" s="1">
        <f t="shared" si="2"/>
        <v>0</v>
      </c>
      <c r="V57" s="1">
        <f t="shared" si="2"/>
        <v>0</v>
      </c>
      <c r="W57" s="1">
        <f t="shared" si="2"/>
        <v>0</v>
      </c>
    </row>
    <row r="58" spans="2:23" x14ac:dyDescent="0.3">
      <c r="B58" s="18" t="s">
        <v>837</v>
      </c>
      <c r="C58" s="19">
        <f>SUMIFS(Visibilty_ERP!L:L,Visibilty_ERP!$E:$E,RTF!$B58)</f>
        <v>137061</v>
      </c>
      <c r="D58" s="19">
        <f>SUMIFS(Visibilty_ERP!A:A,Visibilty_ERP!$E:$E,RTF!$B58,Visibilty_ERP!$K:$K,"RTF")</f>
        <v>0</v>
      </c>
      <c r="E58" s="19">
        <f>SUMIFS(Visibilty_ERP!B:B,Visibilty_ERP!$E:$E,RTF!$B58,Visibilty_ERP!$K:$K,"RTF")</f>
        <v>0</v>
      </c>
      <c r="F58" s="19">
        <f>SUMIFS(Visibilty_ERP!C:C,Visibilty_ERP!$E:$E,RTF!$B58,Visibilty_ERP!$K:$K,"RTF")</f>
        <v>100000</v>
      </c>
      <c r="G58" s="19">
        <f>SUMIFS(Visibilty_ERP!AI:AI,Visibilty_ERP!$E:$E,RTF!$B58,Visibilty_ERP!$K:$K,"RTF")</f>
        <v>0</v>
      </c>
      <c r="H58" s="19">
        <f>SUMIFS(Visibilty_ERP!AJ:AJ,Visibilty_ERP!$E:$E,RTF!$B58,Visibilty_ERP!$K:$K,"RTF")</f>
        <v>0</v>
      </c>
      <c r="I58" s="19">
        <f>SUMIFS(Visibilty_ERP!AK:AK,Visibilty_ERP!$E:$E,RTF!$B58,Visibilty_ERP!$K:$K,"RTF")</f>
        <v>0</v>
      </c>
      <c r="J58" s="19">
        <f>SUMIFS(Visibilty_ERP!AL:AL,Visibilty_ERP!$E:$E,RTF!$B58,Visibilty_ERP!$K:$K,"RTF")</f>
        <v>100000</v>
      </c>
      <c r="K58" s="19">
        <f>SUMIFS(Visibilty_ERP!AM:AM,Visibilty_ERP!$E:$E,RTF!$B58,Visibilty_ERP!$K:$K,"RTF")</f>
        <v>0</v>
      </c>
      <c r="L58" s="19">
        <f>SUMIFS(Visibilty_ERP!AN:AN,Visibilty_ERP!$E:$E,RTF!$B58,Visibilty_ERP!$K:$K,"RTF")</f>
        <v>0</v>
      </c>
      <c r="M58" s="19">
        <f>SUMIFS(Visibilty_ERP!AO:AO,Visibilty_ERP!$E:$E,RTF!$B58,Visibilty_ERP!$K:$K,"RTF")</f>
        <v>0</v>
      </c>
      <c r="N58" s="19">
        <f>SUMIFS(Visibilty_ERP!AP:AP,Visibilty_ERP!$E:$E,RTF!$B58,Visibilty_ERP!$K:$K,"RTF")</f>
        <v>0</v>
      </c>
      <c r="O58" s="19">
        <f>SUMIFS(Visibilty_ERP!AQ:AQ,Visibilty_ERP!$E:$E,RTF!$B58,Visibilty_ERP!$K:$K,"RTF")</f>
        <v>0</v>
      </c>
      <c r="P58" s="19">
        <f>SUMIFS(Visibilty_ERP!AR:AR,Visibilty_ERP!$E:$E,RTF!$B58,Visibilty_ERP!$K:$K,"RTF")</f>
        <v>0</v>
      </c>
      <c r="Q58" s="19">
        <f>SUMIFS(Visibilty_ERP!AS:AS,Visibilty_ERP!$E:$E,RTF!$B58,Visibilty_ERP!$K:$K,"RTF")</f>
        <v>0</v>
      </c>
      <c r="R58" s="19">
        <f>SUMIFS(Visibilty_ERP!AT:AT,Visibilty_ERP!$E:$E,RTF!$B58,Visibilty_ERP!$K:$K,"RTF")</f>
        <v>0</v>
      </c>
      <c r="S58" s="19">
        <f>SUMIFS(Visibilty_ERP!AU:AU,Visibilty_ERP!$E:$E,RTF!$B58,Visibilty_ERP!$K:$K,"RTF")</f>
        <v>0</v>
      </c>
      <c r="T58" s="1">
        <f t="shared" si="2"/>
        <v>0</v>
      </c>
      <c r="U58" s="1">
        <f t="shared" si="2"/>
        <v>100000</v>
      </c>
      <c r="V58" s="1">
        <f t="shared" si="2"/>
        <v>100000</v>
      </c>
      <c r="W58" s="1">
        <f t="shared" si="2"/>
        <v>0</v>
      </c>
    </row>
    <row r="59" spans="2:23" x14ac:dyDescent="0.3">
      <c r="B59" s="18" t="s">
        <v>792</v>
      </c>
      <c r="C59" s="19">
        <f>SUMIFS(Visibilty_ERP!L:L,Visibilty_ERP!$E:$E,RTF!$B59)</f>
        <v>689171</v>
      </c>
      <c r="D59" s="19">
        <f>SUMIFS(Visibilty_ERP!A:A,Visibilty_ERP!$E:$E,RTF!$B59,Visibilty_ERP!$K:$K,"RTF")</f>
        <v>0</v>
      </c>
      <c r="E59" s="19">
        <f>SUMIFS(Visibilty_ERP!B:B,Visibilty_ERP!$E:$E,RTF!$B59,Visibilty_ERP!$K:$K,"RTF")</f>
        <v>90000</v>
      </c>
      <c r="F59" s="19">
        <f>SUMIFS(Visibilty_ERP!C:C,Visibilty_ERP!$E:$E,RTF!$B59,Visibilty_ERP!$K:$K,"RTF")</f>
        <v>0</v>
      </c>
      <c r="G59" s="19">
        <f>SUMIFS(Visibilty_ERP!AI:AI,Visibilty_ERP!$E:$E,RTF!$B59,Visibilty_ERP!$K:$K,"RTF")</f>
        <v>0</v>
      </c>
      <c r="H59" s="19">
        <f>SUMIFS(Visibilty_ERP!AJ:AJ,Visibilty_ERP!$E:$E,RTF!$B59,Visibilty_ERP!$K:$K,"RTF")</f>
        <v>0</v>
      </c>
      <c r="I59" s="19">
        <f>SUMIFS(Visibilty_ERP!AK:AK,Visibilty_ERP!$E:$E,RTF!$B59,Visibilty_ERP!$K:$K,"RTF")</f>
        <v>0</v>
      </c>
      <c r="J59" s="19">
        <f>SUMIFS(Visibilty_ERP!AL:AL,Visibilty_ERP!$E:$E,RTF!$B59,Visibilty_ERP!$K:$K,"RTF")</f>
        <v>0</v>
      </c>
      <c r="K59" s="19">
        <f>SUMIFS(Visibilty_ERP!AM:AM,Visibilty_ERP!$E:$E,RTF!$B59,Visibilty_ERP!$K:$K,"RTF")</f>
        <v>0</v>
      </c>
      <c r="L59" s="19">
        <f>SUMIFS(Visibilty_ERP!AN:AN,Visibilty_ERP!$E:$E,RTF!$B59,Visibilty_ERP!$K:$K,"RTF")</f>
        <v>0</v>
      </c>
      <c r="M59" s="19">
        <f>SUMIFS(Visibilty_ERP!AO:AO,Visibilty_ERP!$E:$E,RTF!$B59,Visibilty_ERP!$K:$K,"RTF")</f>
        <v>0</v>
      </c>
      <c r="N59" s="19">
        <f>SUMIFS(Visibilty_ERP!AP:AP,Visibilty_ERP!$E:$E,RTF!$B59,Visibilty_ERP!$K:$K,"RTF")</f>
        <v>0</v>
      </c>
      <c r="O59" s="19">
        <f>SUMIFS(Visibilty_ERP!AQ:AQ,Visibilty_ERP!$E:$E,RTF!$B59,Visibilty_ERP!$K:$K,"RTF")</f>
        <v>0</v>
      </c>
      <c r="P59" s="19">
        <f>SUMIFS(Visibilty_ERP!AR:AR,Visibilty_ERP!$E:$E,RTF!$B59,Visibilty_ERP!$K:$K,"RTF")</f>
        <v>0</v>
      </c>
      <c r="Q59" s="19">
        <f>SUMIFS(Visibilty_ERP!AS:AS,Visibilty_ERP!$E:$E,RTF!$B59,Visibilty_ERP!$K:$K,"RTF")</f>
        <v>0</v>
      </c>
      <c r="R59" s="19">
        <f>SUMIFS(Visibilty_ERP!AT:AT,Visibilty_ERP!$E:$E,RTF!$B59,Visibilty_ERP!$K:$K,"RTF")</f>
        <v>0</v>
      </c>
      <c r="S59" s="19">
        <f>SUMIFS(Visibilty_ERP!AU:AU,Visibilty_ERP!$E:$E,RTF!$B59,Visibilty_ERP!$K:$K,"RTF")</f>
        <v>0</v>
      </c>
      <c r="T59" s="1">
        <f t="shared" si="2"/>
        <v>0</v>
      </c>
      <c r="U59" s="1">
        <f t="shared" si="2"/>
        <v>90000</v>
      </c>
      <c r="V59" s="1">
        <f t="shared" si="2"/>
        <v>0</v>
      </c>
      <c r="W59" s="1">
        <f t="shared" si="2"/>
        <v>0</v>
      </c>
    </row>
    <row r="60" spans="2:23" x14ac:dyDescent="0.3">
      <c r="B60" s="18" t="s">
        <v>774</v>
      </c>
      <c r="C60" s="19">
        <f>SUMIFS(Visibilty_ERP!L:L,Visibilty_ERP!$E:$E,RTF!$B60)</f>
        <v>639848</v>
      </c>
      <c r="D60" s="19">
        <f>SUMIFS(Visibilty_ERP!A:A,Visibilty_ERP!$E:$E,RTF!$B60,Visibilty_ERP!$K:$K,"RTF")</f>
        <v>0</v>
      </c>
      <c r="E60" s="19">
        <f>SUMIFS(Visibilty_ERP!B:B,Visibilty_ERP!$E:$E,RTF!$B60,Visibilty_ERP!$K:$K,"RTF")</f>
        <v>0</v>
      </c>
      <c r="F60" s="19">
        <f>SUMIFS(Visibilty_ERP!C:C,Visibilty_ERP!$E:$E,RTF!$B60,Visibilty_ERP!$K:$K,"RTF")</f>
        <v>0</v>
      </c>
      <c r="G60" s="19">
        <f>SUMIFS(Visibilty_ERP!AI:AI,Visibilty_ERP!$E:$E,RTF!$B60,Visibilty_ERP!$K:$K,"RTF")</f>
        <v>0</v>
      </c>
      <c r="H60" s="19">
        <f>SUMIFS(Visibilty_ERP!AJ:AJ,Visibilty_ERP!$E:$E,RTF!$B60,Visibilty_ERP!$K:$K,"RTF")</f>
        <v>0</v>
      </c>
      <c r="I60" s="19">
        <f>SUMIFS(Visibilty_ERP!AK:AK,Visibilty_ERP!$E:$E,RTF!$B60,Visibilty_ERP!$K:$K,"RTF")</f>
        <v>0</v>
      </c>
      <c r="J60" s="19">
        <f>SUMIFS(Visibilty_ERP!AL:AL,Visibilty_ERP!$E:$E,RTF!$B60,Visibilty_ERP!$K:$K,"RTF")</f>
        <v>0</v>
      </c>
      <c r="K60" s="19">
        <f>SUMIFS(Visibilty_ERP!AM:AM,Visibilty_ERP!$E:$E,RTF!$B60,Visibilty_ERP!$K:$K,"RTF")</f>
        <v>0</v>
      </c>
      <c r="L60" s="19">
        <f>SUMIFS(Visibilty_ERP!AN:AN,Visibilty_ERP!$E:$E,RTF!$B60,Visibilty_ERP!$K:$K,"RTF")</f>
        <v>0</v>
      </c>
      <c r="M60" s="19">
        <f>SUMIFS(Visibilty_ERP!AO:AO,Visibilty_ERP!$E:$E,RTF!$B60,Visibilty_ERP!$K:$K,"RTF")</f>
        <v>0</v>
      </c>
      <c r="N60" s="19">
        <f>SUMIFS(Visibilty_ERP!AP:AP,Visibilty_ERP!$E:$E,RTF!$B60,Visibilty_ERP!$K:$K,"RTF")</f>
        <v>0</v>
      </c>
      <c r="O60" s="19">
        <f>SUMIFS(Visibilty_ERP!AQ:AQ,Visibilty_ERP!$E:$E,RTF!$B60,Visibilty_ERP!$K:$K,"RTF")</f>
        <v>0</v>
      </c>
      <c r="P60" s="19">
        <f>SUMIFS(Visibilty_ERP!AR:AR,Visibilty_ERP!$E:$E,RTF!$B60,Visibilty_ERP!$K:$K,"RTF")</f>
        <v>0</v>
      </c>
      <c r="Q60" s="19">
        <f>SUMIFS(Visibilty_ERP!AS:AS,Visibilty_ERP!$E:$E,RTF!$B60,Visibilty_ERP!$K:$K,"RTF")</f>
        <v>0</v>
      </c>
      <c r="R60" s="19">
        <f>SUMIFS(Visibilty_ERP!AT:AT,Visibilty_ERP!$E:$E,RTF!$B60,Visibilty_ERP!$K:$K,"RTF")</f>
        <v>0</v>
      </c>
      <c r="S60" s="19">
        <f>SUMIFS(Visibilty_ERP!AU:AU,Visibilty_ERP!$E:$E,RTF!$B60,Visibilty_ERP!$K:$K,"RTF")</f>
        <v>0</v>
      </c>
      <c r="T60" s="1">
        <f t="shared" si="2"/>
        <v>0</v>
      </c>
      <c r="U60" s="1">
        <f t="shared" si="2"/>
        <v>0</v>
      </c>
      <c r="V60" s="1">
        <f t="shared" si="2"/>
        <v>0</v>
      </c>
      <c r="W60" s="1">
        <f t="shared" si="2"/>
        <v>0</v>
      </c>
    </row>
    <row r="61" spans="2:23" x14ac:dyDescent="0.3">
      <c r="B61" s="18" t="s">
        <v>791</v>
      </c>
      <c r="C61" s="19">
        <f>SUMIFS(Visibilty_ERP!L:L,Visibilty_ERP!$E:$E,RTF!$B61)</f>
        <v>93000</v>
      </c>
      <c r="D61" s="19">
        <f>SUMIFS(Visibilty_ERP!A:A,Visibilty_ERP!$E:$E,RTF!$B61,Visibilty_ERP!$K:$K,"RTF")</f>
        <v>3000</v>
      </c>
      <c r="E61" s="19">
        <f>SUMIFS(Visibilty_ERP!B:B,Visibilty_ERP!$E:$E,RTF!$B61,Visibilty_ERP!$K:$K,"RTF")</f>
        <v>0</v>
      </c>
      <c r="F61" s="19">
        <f>SUMIFS(Visibilty_ERP!C:C,Visibilty_ERP!$E:$E,RTF!$B61,Visibilty_ERP!$K:$K,"RTF")</f>
        <v>0</v>
      </c>
      <c r="G61" s="19">
        <f>SUMIFS(Visibilty_ERP!AI:AI,Visibilty_ERP!$E:$E,RTF!$B61,Visibilty_ERP!$K:$K,"RTF")</f>
        <v>0</v>
      </c>
      <c r="H61" s="19">
        <f>SUMIFS(Visibilty_ERP!AJ:AJ,Visibilty_ERP!$E:$E,RTF!$B61,Visibilty_ERP!$K:$K,"RTF")</f>
        <v>0</v>
      </c>
      <c r="I61" s="19">
        <f>SUMIFS(Visibilty_ERP!AK:AK,Visibilty_ERP!$E:$E,RTF!$B61,Visibilty_ERP!$K:$K,"RTF")</f>
        <v>0</v>
      </c>
      <c r="J61" s="19">
        <f>SUMIFS(Visibilty_ERP!AL:AL,Visibilty_ERP!$E:$E,RTF!$B61,Visibilty_ERP!$K:$K,"RTF")</f>
        <v>0</v>
      </c>
      <c r="K61" s="19">
        <f>SUMIFS(Visibilty_ERP!AM:AM,Visibilty_ERP!$E:$E,RTF!$B61,Visibilty_ERP!$K:$K,"RTF")</f>
        <v>0</v>
      </c>
      <c r="L61" s="19">
        <f>SUMIFS(Visibilty_ERP!AN:AN,Visibilty_ERP!$E:$E,RTF!$B61,Visibilty_ERP!$K:$K,"RTF")</f>
        <v>0</v>
      </c>
      <c r="M61" s="19">
        <f>SUMIFS(Visibilty_ERP!AO:AO,Visibilty_ERP!$E:$E,RTF!$B61,Visibilty_ERP!$K:$K,"RTF")</f>
        <v>0</v>
      </c>
      <c r="N61" s="19">
        <f>SUMIFS(Visibilty_ERP!AP:AP,Visibilty_ERP!$E:$E,RTF!$B61,Visibilty_ERP!$K:$K,"RTF")</f>
        <v>0</v>
      </c>
      <c r="O61" s="19">
        <f>SUMIFS(Visibilty_ERP!AQ:AQ,Visibilty_ERP!$E:$E,RTF!$B61,Visibilty_ERP!$K:$K,"RTF")</f>
        <v>0</v>
      </c>
      <c r="P61" s="19">
        <f>SUMIFS(Visibilty_ERP!AR:AR,Visibilty_ERP!$E:$E,RTF!$B61,Visibilty_ERP!$K:$K,"RTF")</f>
        <v>0</v>
      </c>
      <c r="Q61" s="19">
        <f>SUMIFS(Visibilty_ERP!AS:AS,Visibilty_ERP!$E:$E,RTF!$B61,Visibilty_ERP!$K:$K,"RTF")</f>
        <v>0</v>
      </c>
      <c r="R61" s="19">
        <f>SUMIFS(Visibilty_ERP!AT:AT,Visibilty_ERP!$E:$E,RTF!$B61,Visibilty_ERP!$K:$K,"RTF")</f>
        <v>0</v>
      </c>
      <c r="S61" s="19">
        <f>SUMIFS(Visibilty_ERP!AU:AU,Visibilty_ERP!$E:$E,RTF!$B61,Visibilty_ERP!$K:$K,"RTF")</f>
        <v>0</v>
      </c>
      <c r="T61" s="1">
        <f t="shared" si="2"/>
        <v>3000</v>
      </c>
      <c r="U61" s="1">
        <f t="shared" si="2"/>
        <v>0</v>
      </c>
      <c r="V61" s="1">
        <f t="shared" si="2"/>
        <v>0</v>
      </c>
      <c r="W61" s="1">
        <f t="shared" si="2"/>
        <v>0</v>
      </c>
    </row>
    <row r="62" spans="2:23" x14ac:dyDescent="0.3">
      <c r="B62" s="18" t="s">
        <v>833</v>
      </c>
      <c r="C62" s="19">
        <f>SUMIFS(Visibilty_ERP!L:L,Visibilty_ERP!$E:$E,RTF!$B62)</f>
        <v>0</v>
      </c>
      <c r="D62" s="19">
        <f>SUMIFS(Visibilty_ERP!A:A,Visibilty_ERP!$E:$E,RTF!$B62,Visibilty_ERP!$K:$K,"RTF")</f>
        <v>0</v>
      </c>
      <c r="E62" s="19">
        <f>SUMIFS(Visibilty_ERP!B:B,Visibilty_ERP!$E:$E,RTF!$B62,Visibilty_ERP!$K:$K,"RTF")</f>
        <v>0</v>
      </c>
      <c r="F62" s="19">
        <f>SUMIFS(Visibilty_ERP!C:C,Visibilty_ERP!$E:$E,RTF!$B62,Visibilty_ERP!$K:$K,"RTF")</f>
        <v>0</v>
      </c>
      <c r="G62" s="19">
        <f>SUMIFS(Visibilty_ERP!AI:AI,Visibilty_ERP!$E:$E,RTF!$B62,Visibilty_ERP!$K:$K,"RTF")</f>
        <v>0</v>
      </c>
      <c r="H62" s="19">
        <f>SUMIFS(Visibilty_ERP!AJ:AJ,Visibilty_ERP!$E:$E,RTF!$B62,Visibilty_ERP!$K:$K,"RTF")</f>
        <v>0</v>
      </c>
      <c r="I62" s="19">
        <f>SUMIFS(Visibilty_ERP!AK:AK,Visibilty_ERP!$E:$E,RTF!$B62,Visibilty_ERP!$K:$K,"RTF")</f>
        <v>0</v>
      </c>
      <c r="J62" s="19">
        <f>SUMIFS(Visibilty_ERP!AL:AL,Visibilty_ERP!$E:$E,RTF!$B62,Visibilty_ERP!$K:$K,"RTF")</f>
        <v>0</v>
      </c>
      <c r="K62" s="19">
        <f>SUMIFS(Visibilty_ERP!AM:AM,Visibilty_ERP!$E:$E,RTF!$B62,Visibilty_ERP!$K:$K,"RTF")</f>
        <v>0</v>
      </c>
      <c r="L62" s="19">
        <f>SUMIFS(Visibilty_ERP!AN:AN,Visibilty_ERP!$E:$E,RTF!$B62,Visibilty_ERP!$K:$K,"RTF")</f>
        <v>0</v>
      </c>
      <c r="M62" s="19">
        <f>SUMIFS(Visibilty_ERP!AO:AO,Visibilty_ERP!$E:$E,RTF!$B62,Visibilty_ERP!$K:$K,"RTF")</f>
        <v>0</v>
      </c>
      <c r="N62" s="19">
        <f>SUMIFS(Visibilty_ERP!AP:AP,Visibilty_ERP!$E:$E,RTF!$B62,Visibilty_ERP!$K:$K,"RTF")</f>
        <v>0</v>
      </c>
      <c r="O62" s="19">
        <f>SUMIFS(Visibilty_ERP!AQ:AQ,Visibilty_ERP!$E:$E,RTF!$B62,Visibilty_ERP!$K:$K,"RTF")</f>
        <v>0</v>
      </c>
      <c r="P62" s="19">
        <f>SUMIFS(Visibilty_ERP!AR:AR,Visibilty_ERP!$E:$E,RTF!$B62,Visibilty_ERP!$K:$K,"RTF")</f>
        <v>0</v>
      </c>
      <c r="Q62" s="19">
        <f>SUMIFS(Visibilty_ERP!AS:AS,Visibilty_ERP!$E:$E,RTF!$B62,Visibilty_ERP!$K:$K,"RTF")</f>
        <v>0</v>
      </c>
      <c r="R62" s="19">
        <f>SUMIFS(Visibilty_ERP!AT:AT,Visibilty_ERP!$E:$E,RTF!$B62,Visibilty_ERP!$K:$K,"RTF")</f>
        <v>0</v>
      </c>
      <c r="S62" s="19">
        <f>SUMIFS(Visibilty_ERP!AU:AU,Visibilty_ERP!$E:$E,RTF!$B62,Visibilty_ERP!$K:$K,"RTF")</f>
        <v>0</v>
      </c>
      <c r="T62" s="1">
        <f t="shared" si="2"/>
        <v>0</v>
      </c>
      <c r="U62" s="1">
        <f t="shared" si="2"/>
        <v>0</v>
      </c>
      <c r="V62" s="1">
        <f t="shared" si="2"/>
        <v>0</v>
      </c>
      <c r="W62" s="1">
        <f t="shared" si="2"/>
        <v>0</v>
      </c>
    </row>
    <row r="63" spans="2:23" x14ac:dyDescent="0.3">
      <c r="B63" s="18" t="s">
        <v>832</v>
      </c>
      <c r="C63" s="19">
        <f>SUMIFS(Visibilty_ERP!L:L,Visibilty_ERP!$E:$E,RTF!$B63)</f>
        <v>21173</v>
      </c>
      <c r="D63" s="19">
        <f>SUMIFS(Visibilty_ERP!A:A,Visibilty_ERP!$E:$E,RTF!$B63,Visibilty_ERP!$K:$K,"RTF")</f>
        <v>94864</v>
      </c>
      <c r="E63" s="19">
        <f>SUMIFS(Visibilty_ERP!B:B,Visibilty_ERP!$E:$E,RTF!$B63,Visibilty_ERP!$K:$K,"RTF")</f>
        <v>192080</v>
      </c>
      <c r="F63" s="19">
        <f>SUMIFS(Visibilty_ERP!C:C,Visibilty_ERP!$E:$E,RTF!$B63,Visibilty_ERP!$K:$K,"RTF")</f>
        <v>91728</v>
      </c>
      <c r="G63" s="19">
        <f>SUMIFS(Visibilty_ERP!AI:AI,Visibilty_ERP!$E:$E,RTF!$B63,Visibilty_ERP!$K:$K,"RTF")</f>
        <v>0</v>
      </c>
      <c r="H63" s="19">
        <f>SUMIFS(Visibilty_ERP!AJ:AJ,Visibilty_ERP!$E:$E,RTF!$B63,Visibilty_ERP!$K:$K,"RTF")</f>
        <v>0</v>
      </c>
      <c r="I63" s="19">
        <f>SUMIFS(Visibilty_ERP!AK:AK,Visibilty_ERP!$E:$E,RTF!$B63,Visibilty_ERP!$K:$K,"RTF")</f>
        <v>100000</v>
      </c>
      <c r="J63" s="19">
        <f>SUMIFS(Visibilty_ERP!AL:AL,Visibilty_ERP!$E:$E,RTF!$B63,Visibilty_ERP!$K:$K,"RTF")</f>
        <v>100000</v>
      </c>
      <c r="K63" s="19">
        <f>SUMIFS(Visibilty_ERP!AM:AM,Visibilty_ERP!$E:$E,RTF!$B63,Visibilty_ERP!$K:$K,"RTF")</f>
        <v>0</v>
      </c>
      <c r="L63" s="19">
        <f>SUMIFS(Visibilty_ERP!AN:AN,Visibilty_ERP!$E:$E,RTF!$B63,Visibilty_ERP!$K:$K,"RTF")</f>
        <v>0</v>
      </c>
      <c r="M63" s="19">
        <f>SUMIFS(Visibilty_ERP!AO:AO,Visibilty_ERP!$E:$E,RTF!$B63,Visibilty_ERP!$K:$K,"RTF")</f>
        <v>0</v>
      </c>
      <c r="N63" s="19">
        <f>SUMIFS(Visibilty_ERP!AP:AP,Visibilty_ERP!$E:$E,RTF!$B63,Visibilty_ERP!$K:$K,"RTF")</f>
        <v>0</v>
      </c>
      <c r="O63" s="19">
        <f>SUMIFS(Visibilty_ERP!AQ:AQ,Visibilty_ERP!$E:$E,RTF!$B63,Visibilty_ERP!$K:$K,"RTF")</f>
        <v>0</v>
      </c>
      <c r="P63" s="19">
        <f>SUMIFS(Visibilty_ERP!AR:AR,Visibilty_ERP!$E:$E,RTF!$B63,Visibilty_ERP!$K:$K,"RTF")</f>
        <v>0</v>
      </c>
      <c r="Q63" s="19">
        <f>SUMIFS(Visibilty_ERP!AS:AS,Visibilty_ERP!$E:$E,RTF!$B63,Visibilty_ERP!$K:$K,"RTF")</f>
        <v>0</v>
      </c>
      <c r="R63" s="19">
        <f>SUMIFS(Visibilty_ERP!AT:AT,Visibilty_ERP!$E:$E,RTF!$B63,Visibilty_ERP!$K:$K,"RTF")</f>
        <v>0</v>
      </c>
      <c r="S63" s="19">
        <f>SUMIFS(Visibilty_ERP!AU:AU,Visibilty_ERP!$E:$E,RTF!$B63,Visibilty_ERP!$K:$K,"RTF")</f>
        <v>0</v>
      </c>
      <c r="T63" s="1">
        <f t="shared" si="2"/>
        <v>94864</v>
      </c>
      <c r="U63" s="1">
        <f t="shared" si="2"/>
        <v>383808</v>
      </c>
      <c r="V63" s="1">
        <f t="shared" si="2"/>
        <v>100000</v>
      </c>
      <c r="W63" s="1">
        <f t="shared" si="2"/>
        <v>0</v>
      </c>
    </row>
    <row r="64" spans="2:23" x14ac:dyDescent="0.3">
      <c r="B64" s="18" t="s">
        <v>823</v>
      </c>
      <c r="C64" s="19">
        <f>SUMIFS(Visibilty_ERP!L:L,Visibilty_ERP!$E:$E,RTF!$B64)</f>
        <v>216968</v>
      </c>
      <c r="D64" s="19">
        <f>SUMIFS(Visibilty_ERP!A:A,Visibilty_ERP!$E:$E,RTF!$B64,Visibilty_ERP!$K:$K,"RTF")</f>
        <v>816480</v>
      </c>
      <c r="E64" s="19">
        <f>SUMIFS(Visibilty_ERP!B:B,Visibilty_ERP!$E:$E,RTF!$B64,Visibilty_ERP!$K:$K,"RTF")</f>
        <v>816480</v>
      </c>
      <c r="F64" s="19">
        <f>SUMIFS(Visibilty_ERP!C:C,Visibilty_ERP!$E:$E,RTF!$B64,Visibilty_ERP!$K:$K,"RTF")</f>
        <v>1179360</v>
      </c>
      <c r="G64" s="19">
        <f>SUMIFS(Visibilty_ERP!AI:AI,Visibilty_ERP!$E:$E,RTF!$B64,Visibilty_ERP!$K:$K,"RTF")</f>
        <v>786240</v>
      </c>
      <c r="H64" s="19">
        <f>SUMIFS(Visibilty_ERP!AJ:AJ,Visibilty_ERP!$E:$E,RTF!$B64,Visibilty_ERP!$K:$K,"RTF")</f>
        <v>754738</v>
      </c>
      <c r="I64" s="19">
        <f>SUMIFS(Visibilty_ERP!AK:AK,Visibilty_ERP!$E:$E,RTF!$B64,Visibilty_ERP!$K:$K,"RTF")</f>
        <v>0</v>
      </c>
      <c r="J64" s="19">
        <f>SUMIFS(Visibilty_ERP!AL:AL,Visibilty_ERP!$E:$E,RTF!$B64,Visibilty_ERP!$K:$K,"RTF")</f>
        <v>0</v>
      </c>
      <c r="K64" s="19">
        <f>SUMIFS(Visibilty_ERP!AM:AM,Visibilty_ERP!$E:$E,RTF!$B64,Visibilty_ERP!$K:$K,"RTF")</f>
        <v>665730</v>
      </c>
      <c r="L64" s="19">
        <f>SUMIFS(Visibilty_ERP!AN:AN,Visibilty_ERP!$E:$E,RTF!$B64,Visibilty_ERP!$K:$K,"RTF")</f>
        <v>846540</v>
      </c>
      <c r="M64" s="19">
        <f>SUMIFS(Visibilty_ERP!AO:AO,Visibilty_ERP!$E:$E,RTF!$B64,Visibilty_ERP!$K:$K,"RTF")</f>
        <v>860940</v>
      </c>
      <c r="N64" s="19">
        <f>SUMIFS(Visibilty_ERP!AP:AP,Visibilty_ERP!$E:$E,RTF!$B64,Visibilty_ERP!$K:$K,"RTF")</f>
        <v>0</v>
      </c>
      <c r="O64" s="19">
        <f>SUMIFS(Visibilty_ERP!AQ:AQ,Visibilty_ERP!$E:$E,RTF!$B64,Visibilty_ERP!$K:$K,"RTF")</f>
        <v>912060</v>
      </c>
      <c r="P64" s="19">
        <f>SUMIFS(Visibilty_ERP!AR:AR,Visibilty_ERP!$E:$E,RTF!$B64,Visibilty_ERP!$K:$K,"RTF")</f>
        <v>967950</v>
      </c>
      <c r="Q64" s="19">
        <f>SUMIFS(Visibilty_ERP!AS:AS,Visibilty_ERP!$E:$E,RTF!$B64,Visibilty_ERP!$K:$K,"RTF")</f>
        <v>760050</v>
      </c>
      <c r="R64" s="19">
        <f>SUMIFS(Visibilty_ERP!AT:AT,Visibilty_ERP!$E:$E,RTF!$B64,Visibilty_ERP!$K:$K,"RTF")</f>
        <v>2955960</v>
      </c>
      <c r="S64" s="19">
        <f>SUMIFS(Visibilty_ERP!AU:AU,Visibilty_ERP!$E:$E,RTF!$B64,Visibilty_ERP!$K:$K,"RTF")</f>
        <v>0</v>
      </c>
      <c r="T64" s="1">
        <f t="shared" si="2"/>
        <v>816480</v>
      </c>
      <c r="U64" s="1">
        <f t="shared" si="2"/>
        <v>3536818</v>
      </c>
      <c r="V64" s="1">
        <f t="shared" si="2"/>
        <v>2373210</v>
      </c>
      <c r="W64" s="1">
        <f t="shared" si="2"/>
        <v>5596020</v>
      </c>
    </row>
    <row r="65" spans="2:23" x14ac:dyDescent="0.3">
      <c r="B65" s="18" t="s">
        <v>826</v>
      </c>
      <c r="C65" s="19">
        <f>SUMIFS(Visibilty_ERP!L:L,Visibilty_ERP!$E:$E,RTF!$B65)</f>
        <v>0</v>
      </c>
      <c r="D65" s="19">
        <f>SUMIFS(Visibilty_ERP!A:A,Visibilty_ERP!$E:$E,RTF!$B65,Visibilty_ERP!$K:$K,"RTF")</f>
        <v>0</v>
      </c>
      <c r="E65" s="19">
        <f>SUMIFS(Visibilty_ERP!B:B,Visibilty_ERP!$E:$E,RTF!$B65,Visibilty_ERP!$K:$K,"RTF")</f>
        <v>0</v>
      </c>
      <c r="F65" s="19">
        <f>SUMIFS(Visibilty_ERP!C:C,Visibilty_ERP!$E:$E,RTF!$B65,Visibilty_ERP!$K:$K,"RTF")</f>
        <v>0</v>
      </c>
      <c r="G65" s="19">
        <f>SUMIFS(Visibilty_ERP!AI:AI,Visibilty_ERP!$E:$E,RTF!$B65,Visibilty_ERP!$K:$K,"RTF")</f>
        <v>0</v>
      </c>
      <c r="H65" s="19">
        <f>SUMIFS(Visibilty_ERP!AJ:AJ,Visibilty_ERP!$E:$E,RTF!$B65,Visibilty_ERP!$K:$K,"RTF")</f>
        <v>0</v>
      </c>
      <c r="I65" s="19">
        <f>SUMIFS(Visibilty_ERP!AK:AK,Visibilty_ERP!$E:$E,RTF!$B65,Visibilty_ERP!$K:$K,"RTF")</f>
        <v>0</v>
      </c>
      <c r="J65" s="19">
        <f>SUMIFS(Visibilty_ERP!AL:AL,Visibilty_ERP!$E:$E,RTF!$B65,Visibilty_ERP!$K:$K,"RTF")</f>
        <v>0</v>
      </c>
      <c r="K65" s="19">
        <f>SUMIFS(Visibilty_ERP!AM:AM,Visibilty_ERP!$E:$E,RTF!$B65,Visibilty_ERP!$K:$K,"RTF")</f>
        <v>0</v>
      </c>
      <c r="L65" s="19">
        <f>SUMIFS(Visibilty_ERP!AN:AN,Visibilty_ERP!$E:$E,RTF!$B65,Visibilty_ERP!$K:$K,"RTF")</f>
        <v>0</v>
      </c>
      <c r="M65" s="19">
        <f>SUMIFS(Visibilty_ERP!AO:AO,Visibilty_ERP!$E:$E,RTF!$B65,Visibilty_ERP!$K:$K,"RTF")</f>
        <v>0</v>
      </c>
      <c r="N65" s="19">
        <f>SUMIFS(Visibilty_ERP!AP:AP,Visibilty_ERP!$E:$E,RTF!$B65,Visibilty_ERP!$K:$K,"RTF")</f>
        <v>0</v>
      </c>
      <c r="O65" s="19">
        <f>SUMIFS(Visibilty_ERP!AQ:AQ,Visibilty_ERP!$E:$E,RTF!$B65,Visibilty_ERP!$K:$K,"RTF")</f>
        <v>0</v>
      </c>
      <c r="P65" s="19">
        <f>SUMIFS(Visibilty_ERP!AR:AR,Visibilty_ERP!$E:$E,RTF!$B65,Visibilty_ERP!$K:$K,"RTF")</f>
        <v>0</v>
      </c>
      <c r="Q65" s="19">
        <f>SUMIFS(Visibilty_ERP!AS:AS,Visibilty_ERP!$E:$E,RTF!$B65,Visibilty_ERP!$K:$K,"RTF")</f>
        <v>0</v>
      </c>
      <c r="R65" s="19">
        <f>SUMIFS(Visibilty_ERP!AT:AT,Visibilty_ERP!$E:$E,RTF!$B65,Visibilty_ERP!$K:$K,"RTF")</f>
        <v>0</v>
      </c>
      <c r="S65" s="19">
        <f>SUMIFS(Visibilty_ERP!AU:AU,Visibilty_ERP!$E:$E,RTF!$B65,Visibilty_ERP!$K:$K,"RTF")</f>
        <v>0</v>
      </c>
      <c r="T65" s="1">
        <f t="shared" si="2"/>
        <v>0</v>
      </c>
      <c r="U65" s="1">
        <f t="shared" si="2"/>
        <v>0</v>
      </c>
      <c r="V65" s="1">
        <f t="shared" si="2"/>
        <v>0</v>
      </c>
      <c r="W65" s="1">
        <f t="shared" si="2"/>
        <v>0</v>
      </c>
    </row>
    <row r="66" spans="2:23" x14ac:dyDescent="0.3">
      <c r="B66" s="18" t="s">
        <v>806</v>
      </c>
      <c r="C66" s="19">
        <f>SUMIFS(Visibilty_ERP!L:L,Visibilty_ERP!$E:$E,RTF!$B66)</f>
        <v>0</v>
      </c>
      <c r="D66" s="19">
        <f>SUMIFS(Visibilty_ERP!A:A,Visibilty_ERP!$E:$E,RTF!$B66,Visibilty_ERP!$K:$K,"RTF")</f>
        <v>0</v>
      </c>
      <c r="E66" s="19">
        <f>SUMIFS(Visibilty_ERP!B:B,Visibilty_ERP!$E:$E,RTF!$B66,Visibilty_ERP!$K:$K,"RTF")</f>
        <v>5184</v>
      </c>
      <c r="F66" s="19">
        <f>SUMIFS(Visibilty_ERP!C:C,Visibilty_ERP!$E:$E,RTF!$B66,Visibilty_ERP!$K:$K,"RTF")</f>
        <v>9912</v>
      </c>
      <c r="G66" s="19">
        <f>SUMIFS(Visibilty_ERP!AI:AI,Visibilty_ERP!$E:$E,RTF!$B66,Visibilty_ERP!$K:$K,"RTF")</f>
        <v>0</v>
      </c>
      <c r="H66" s="19">
        <f>SUMIFS(Visibilty_ERP!AJ:AJ,Visibilty_ERP!$E:$E,RTF!$B66,Visibilty_ERP!$K:$K,"RTF")</f>
        <v>0</v>
      </c>
      <c r="I66" s="19">
        <f>SUMIFS(Visibilty_ERP!AK:AK,Visibilty_ERP!$E:$E,RTF!$B66,Visibilty_ERP!$K:$K,"RTF")</f>
        <v>0</v>
      </c>
      <c r="J66" s="19">
        <f>SUMIFS(Visibilty_ERP!AL:AL,Visibilty_ERP!$E:$E,RTF!$B66,Visibilty_ERP!$K:$K,"RTF")</f>
        <v>0</v>
      </c>
      <c r="K66" s="19">
        <f>SUMIFS(Visibilty_ERP!AM:AM,Visibilty_ERP!$E:$E,RTF!$B66,Visibilty_ERP!$K:$K,"RTF")</f>
        <v>0</v>
      </c>
      <c r="L66" s="19">
        <f>SUMIFS(Visibilty_ERP!AN:AN,Visibilty_ERP!$E:$E,RTF!$B66,Visibilty_ERP!$K:$K,"RTF")</f>
        <v>0</v>
      </c>
      <c r="M66" s="19">
        <f>SUMIFS(Visibilty_ERP!AO:AO,Visibilty_ERP!$E:$E,RTF!$B66,Visibilty_ERP!$K:$K,"RTF")</f>
        <v>0</v>
      </c>
      <c r="N66" s="19">
        <f>SUMIFS(Visibilty_ERP!AP:AP,Visibilty_ERP!$E:$E,RTF!$B66,Visibilty_ERP!$K:$K,"RTF")</f>
        <v>0</v>
      </c>
      <c r="O66" s="19">
        <f>SUMIFS(Visibilty_ERP!AQ:AQ,Visibilty_ERP!$E:$E,RTF!$B66,Visibilty_ERP!$K:$K,"RTF")</f>
        <v>0</v>
      </c>
      <c r="P66" s="19">
        <f>SUMIFS(Visibilty_ERP!AR:AR,Visibilty_ERP!$E:$E,RTF!$B66,Visibilty_ERP!$K:$K,"RTF")</f>
        <v>0</v>
      </c>
      <c r="Q66" s="19">
        <f>SUMIFS(Visibilty_ERP!AS:AS,Visibilty_ERP!$E:$E,RTF!$B66,Visibilty_ERP!$K:$K,"RTF")</f>
        <v>0</v>
      </c>
      <c r="R66" s="19">
        <f>SUMIFS(Visibilty_ERP!AT:AT,Visibilty_ERP!$E:$E,RTF!$B66,Visibilty_ERP!$K:$K,"RTF")</f>
        <v>0</v>
      </c>
      <c r="S66" s="19">
        <f>SUMIFS(Visibilty_ERP!AU:AU,Visibilty_ERP!$E:$E,RTF!$B66,Visibilty_ERP!$K:$K,"RTF")</f>
        <v>0</v>
      </c>
      <c r="T66" s="1">
        <f t="shared" si="2"/>
        <v>0</v>
      </c>
      <c r="U66" s="1">
        <f t="shared" si="2"/>
        <v>15096</v>
      </c>
      <c r="V66" s="1">
        <f t="shared" si="2"/>
        <v>0</v>
      </c>
      <c r="W66" s="1">
        <f t="shared" si="2"/>
        <v>0</v>
      </c>
    </row>
    <row r="67" spans="2:23" x14ac:dyDescent="0.3">
      <c r="B67" s="18" t="s">
        <v>807</v>
      </c>
      <c r="C67" s="19">
        <f>SUMIFS(Visibilty_ERP!L:L,Visibilty_ERP!$E:$E,RTF!$B67)</f>
        <v>500</v>
      </c>
      <c r="D67" s="19">
        <f>SUMIFS(Visibilty_ERP!A:A,Visibilty_ERP!$E:$E,RTF!$B67,Visibilty_ERP!$K:$K,"RTF")</f>
        <v>0</v>
      </c>
      <c r="E67" s="19">
        <f>SUMIFS(Visibilty_ERP!B:B,Visibilty_ERP!$E:$E,RTF!$B67,Visibilty_ERP!$K:$K,"RTF")</f>
        <v>0</v>
      </c>
      <c r="F67" s="19">
        <f>SUMIFS(Visibilty_ERP!C:C,Visibilty_ERP!$E:$E,RTF!$B67,Visibilty_ERP!$K:$K,"RTF")</f>
        <v>0</v>
      </c>
      <c r="G67" s="19">
        <f>SUMIFS(Visibilty_ERP!AI:AI,Visibilty_ERP!$E:$E,RTF!$B67,Visibilty_ERP!$K:$K,"RTF")</f>
        <v>0</v>
      </c>
      <c r="H67" s="19">
        <f>SUMIFS(Visibilty_ERP!AJ:AJ,Visibilty_ERP!$E:$E,RTF!$B67,Visibilty_ERP!$K:$K,"RTF")</f>
        <v>0</v>
      </c>
      <c r="I67" s="19">
        <f>SUMIFS(Visibilty_ERP!AK:AK,Visibilty_ERP!$E:$E,RTF!$B67,Visibilty_ERP!$K:$K,"RTF")</f>
        <v>0</v>
      </c>
      <c r="J67" s="19">
        <f>SUMIFS(Visibilty_ERP!AL:AL,Visibilty_ERP!$E:$E,RTF!$B67,Visibilty_ERP!$K:$K,"RTF")</f>
        <v>0</v>
      </c>
      <c r="K67" s="19">
        <f>SUMIFS(Visibilty_ERP!AM:AM,Visibilty_ERP!$E:$E,RTF!$B67,Visibilty_ERP!$K:$K,"RTF")</f>
        <v>0</v>
      </c>
      <c r="L67" s="19">
        <f>SUMIFS(Visibilty_ERP!AN:AN,Visibilty_ERP!$E:$E,RTF!$B67,Visibilty_ERP!$K:$K,"RTF")</f>
        <v>0</v>
      </c>
      <c r="M67" s="19">
        <f>SUMIFS(Visibilty_ERP!AO:AO,Visibilty_ERP!$E:$E,RTF!$B67,Visibilty_ERP!$K:$K,"RTF")</f>
        <v>0</v>
      </c>
      <c r="N67" s="19">
        <f>SUMIFS(Visibilty_ERP!AP:AP,Visibilty_ERP!$E:$E,RTF!$B67,Visibilty_ERP!$K:$K,"RTF")</f>
        <v>0</v>
      </c>
      <c r="O67" s="19">
        <f>SUMIFS(Visibilty_ERP!AQ:AQ,Visibilty_ERP!$E:$E,RTF!$B67,Visibilty_ERP!$K:$K,"RTF")</f>
        <v>0</v>
      </c>
      <c r="P67" s="19">
        <f>SUMIFS(Visibilty_ERP!AR:AR,Visibilty_ERP!$E:$E,RTF!$B67,Visibilty_ERP!$K:$K,"RTF")</f>
        <v>0</v>
      </c>
      <c r="Q67" s="19">
        <f>SUMIFS(Visibilty_ERP!AS:AS,Visibilty_ERP!$E:$E,RTF!$B67,Visibilty_ERP!$K:$K,"RTF")</f>
        <v>0</v>
      </c>
      <c r="R67" s="19">
        <f>SUMIFS(Visibilty_ERP!AT:AT,Visibilty_ERP!$E:$E,RTF!$B67,Visibilty_ERP!$K:$K,"RTF")</f>
        <v>0</v>
      </c>
      <c r="S67" s="19">
        <f>SUMIFS(Visibilty_ERP!AU:AU,Visibilty_ERP!$E:$E,RTF!$B67,Visibilty_ERP!$K:$K,"RTF")</f>
        <v>0</v>
      </c>
      <c r="T67" s="1">
        <f t="shared" si="2"/>
        <v>0</v>
      </c>
      <c r="U67" s="1">
        <f t="shared" si="2"/>
        <v>0</v>
      </c>
      <c r="V67" s="1">
        <f t="shared" si="2"/>
        <v>0</v>
      </c>
      <c r="W67" s="1">
        <f t="shared" si="2"/>
        <v>0</v>
      </c>
    </row>
    <row r="68" spans="2:23" x14ac:dyDescent="0.3">
      <c r="B68" s="18" t="s">
        <v>851</v>
      </c>
      <c r="C68" s="19">
        <f>SUMIFS(Visibilty_ERP!L:L,Visibilty_ERP!$E:$E,RTF!$B68)</f>
        <v>22996</v>
      </c>
      <c r="D68" s="19">
        <f>SUMIFS(Visibilty_ERP!A:A,Visibilty_ERP!$E:$E,RTF!$B68,Visibilty_ERP!$K:$K,"RTF")</f>
        <v>0</v>
      </c>
      <c r="E68" s="19">
        <f>SUMIFS(Visibilty_ERP!B:B,Visibilty_ERP!$E:$E,RTF!$B68,Visibilty_ERP!$K:$K,"RTF")</f>
        <v>0</v>
      </c>
      <c r="F68" s="19">
        <f>SUMIFS(Visibilty_ERP!C:C,Visibilty_ERP!$E:$E,RTF!$B68,Visibilty_ERP!$K:$K,"RTF")</f>
        <v>0</v>
      </c>
      <c r="G68" s="19">
        <f>SUMIFS(Visibilty_ERP!AI:AI,Visibilty_ERP!$E:$E,RTF!$B68,Visibilty_ERP!$K:$K,"RTF")</f>
        <v>0</v>
      </c>
      <c r="H68" s="19">
        <f>SUMIFS(Visibilty_ERP!AJ:AJ,Visibilty_ERP!$E:$E,RTF!$B68,Visibilty_ERP!$K:$K,"RTF")</f>
        <v>0</v>
      </c>
      <c r="I68" s="19">
        <f>SUMIFS(Visibilty_ERP!AK:AK,Visibilty_ERP!$E:$E,RTF!$B68,Visibilty_ERP!$K:$K,"RTF")</f>
        <v>0</v>
      </c>
      <c r="J68" s="19">
        <f>SUMIFS(Visibilty_ERP!AL:AL,Visibilty_ERP!$E:$E,RTF!$B68,Visibilty_ERP!$K:$K,"RTF")</f>
        <v>0</v>
      </c>
      <c r="K68" s="19">
        <f>SUMIFS(Visibilty_ERP!AM:AM,Visibilty_ERP!$E:$E,RTF!$B68,Visibilty_ERP!$K:$K,"RTF")</f>
        <v>0</v>
      </c>
      <c r="L68" s="19">
        <f>SUMIFS(Visibilty_ERP!AN:AN,Visibilty_ERP!$E:$E,RTF!$B68,Visibilty_ERP!$K:$K,"RTF")</f>
        <v>0</v>
      </c>
      <c r="M68" s="19">
        <f>SUMIFS(Visibilty_ERP!AO:AO,Visibilty_ERP!$E:$E,RTF!$B68,Visibilty_ERP!$K:$K,"RTF")</f>
        <v>0</v>
      </c>
      <c r="N68" s="19">
        <f>SUMIFS(Visibilty_ERP!AP:AP,Visibilty_ERP!$E:$E,RTF!$B68,Visibilty_ERP!$K:$K,"RTF")</f>
        <v>0</v>
      </c>
      <c r="O68" s="19">
        <f>SUMIFS(Visibilty_ERP!AQ:AQ,Visibilty_ERP!$E:$E,RTF!$B68,Visibilty_ERP!$K:$K,"RTF")</f>
        <v>0</v>
      </c>
      <c r="P68" s="19">
        <f>SUMIFS(Visibilty_ERP!AR:AR,Visibilty_ERP!$E:$E,RTF!$B68,Visibilty_ERP!$K:$K,"RTF")</f>
        <v>0</v>
      </c>
      <c r="Q68" s="19">
        <f>SUMIFS(Visibilty_ERP!AS:AS,Visibilty_ERP!$E:$E,RTF!$B68,Visibilty_ERP!$K:$K,"RTF")</f>
        <v>0</v>
      </c>
      <c r="R68" s="19">
        <f>SUMIFS(Visibilty_ERP!AT:AT,Visibilty_ERP!$E:$E,RTF!$B68,Visibilty_ERP!$K:$K,"RTF")</f>
        <v>0</v>
      </c>
      <c r="S68" s="19">
        <f>SUMIFS(Visibilty_ERP!AU:AU,Visibilty_ERP!$E:$E,RTF!$B68,Visibilty_ERP!$K:$K,"RTF")</f>
        <v>0</v>
      </c>
      <c r="T68" s="1">
        <f t="shared" si="2"/>
        <v>0</v>
      </c>
      <c r="U68" s="1">
        <f t="shared" si="2"/>
        <v>0</v>
      </c>
      <c r="V68" s="1">
        <f t="shared" si="2"/>
        <v>0</v>
      </c>
      <c r="W68" s="1">
        <f t="shared" si="2"/>
        <v>0</v>
      </c>
    </row>
    <row r="69" spans="2:23" x14ac:dyDescent="0.3">
      <c r="B69" s="18" t="s">
        <v>866</v>
      </c>
      <c r="C69" s="19">
        <f>SUMIFS(Visibilty_ERP!L:L,Visibilty_ERP!$E:$E,RTF!$B69)</f>
        <v>0</v>
      </c>
      <c r="D69" s="19">
        <f>SUMIFS(Visibilty_ERP!A:A,Visibilty_ERP!$E:$E,RTF!$B69,Visibilty_ERP!$K:$K,"RTF")</f>
        <v>0</v>
      </c>
      <c r="E69" s="19">
        <f>SUMIFS(Visibilty_ERP!B:B,Visibilty_ERP!$E:$E,RTF!$B69,Visibilty_ERP!$K:$K,"RTF")</f>
        <v>0</v>
      </c>
      <c r="F69" s="19">
        <f>SUMIFS(Visibilty_ERP!C:C,Visibilty_ERP!$E:$E,RTF!$B69,Visibilty_ERP!$K:$K,"RTF")</f>
        <v>0</v>
      </c>
      <c r="G69" s="19">
        <f>SUMIFS(Visibilty_ERP!AI:AI,Visibilty_ERP!$E:$E,RTF!$B69,Visibilty_ERP!$K:$K,"RTF")</f>
        <v>0</v>
      </c>
      <c r="H69" s="19">
        <f>SUMIFS(Visibilty_ERP!AJ:AJ,Visibilty_ERP!$E:$E,RTF!$B69,Visibilty_ERP!$K:$K,"RTF")</f>
        <v>0</v>
      </c>
      <c r="I69" s="19">
        <f>SUMIFS(Visibilty_ERP!AK:AK,Visibilty_ERP!$E:$E,RTF!$B69,Visibilty_ERP!$K:$K,"RTF")</f>
        <v>0</v>
      </c>
      <c r="J69" s="19">
        <f>SUMIFS(Visibilty_ERP!AL:AL,Visibilty_ERP!$E:$E,RTF!$B69,Visibilty_ERP!$K:$K,"RTF")</f>
        <v>0</v>
      </c>
      <c r="K69" s="19">
        <f>SUMIFS(Visibilty_ERP!AM:AM,Visibilty_ERP!$E:$E,RTF!$B69,Visibilty_ERP!$K:$K,"RTF")</f>
        <v>0</v>
      </c>
      <c r="L69" s="19">
        <f>SUMIFS(Visibilty_ERP!AN:AN,Visibilty_ERP!$E:$E,RTF!$B69,Visibilty_ERP!$K:$K,"RTF")</f>
        <v>0</v>
      </c>
      <c r="M69" s="19">
        <f>SUMIFS(Visibilty_ERP!AO:AO,Visibilty_ERP!$E:$E,RTF!$B69,Visibilty_ERP!$K:$K,"RTF")</f>
        <v>0</v>
      </c>
      <c r="N69" s="19">
        <f>SUMIFS(Visibilty_ERP!AP:AP,Visibilty_ERP!$E:$E,RTF!$B69,Visibilty_ERP!$K:$K,"RTF")</f>
        <v>0</v>
      </c>
      <c r="O69" s="19">
        <f>SUMIFS(Visibilty_ERP!AQ:AQ,Visibilty_ERP!$E:$E,RTF!$B69,Visibilty_ERP!$K:$K,"RTF")</f>
        <v>0</v>
      </c>
      <c r="P69" s="19">
        <f>SUMIFS(Visibilty_ERP!AR:AR,Visibilty_ERP!$E:$E,RTF!$B69,Visibilty_ERP!$K:$K,"RTF")</f>
        <v>0</v>
      </c>
      <c r="Q69" s="19">
        <f>SUMIFS(Visibilty_ERP!AS:AS,Visibilty_ERP!$E:$E,RTF!$B69,Visibilty_ERP!$K:$K,"RTF")</f>
        <v>0</v>
      </c>
      <c r="R69" s="19">
        <f>SUMIFS(Visibilty_ERP!AT:AT,Visibilty_ERP!$E:$E,RTF!$B69,Visibilty_ERP!$K:$K,"RTF")</f>
        <v>0</v>
      </c>
      <c r="S69" s="19">
        <f>SUMIFS(Visibilty_ERP!AU:AU,Visibilty_ERP!$E:$E,RTF!$B69,Visibilty_ERP!$K:$K,"RTF")</f>
        <v>0</v>
      </c>
      <c r="T69" s="1">
        <f t="shared" si="2"/>
        <v>0</v>
      </c>
      <c r="U69" s="1">
        <f t="shared" si="2"/>
        <v>0</v>
      </c>
      <c r="V69" s="1">
        <f t="shared" si="2"/>
        <v>0</v>
      </c>
      <c r="W69" s="1">
        <f t="shared" si="2"/>
        <v>0</v>
      </c>
    </row>
    <row r="70" spans="2:23" x14ac:dyDescent="0.3">
      <c r="B70" s="18" t="s">
        <v>867</v>
      </c>
      <c r="C70" s="19">
        <f>SUMIFS(Visibilty_ERP!L:L,Visibilty_ERP!$E:$E,RTF!$B70)</f>
        <v>10500</v>
      </c>
      <c r="D70" s="19">
        <f>SUMIFS(Visibilty_ERP!A:A,Visibilty_ERP!$E:$E,RTF!$B70,Visibilty_ERP!$K:$K,"RTF")</f>
        <v>1300</v>
      </c>
      <c r="E70" s="19">
        <f>SUMIFS(Visibilty_ERP!B:B,Visibilty_ERP!$E:$E,RTF!$B70,Visibilty_ERP!$K:$K,"RTF")</f>
        <v>0</v>
      </c>
      <c r="F70" s="19">
        <f>SUMIFS(Visibilty_ERP!C:C,Visibilty_ERP!$E:$E,RTF!$B70,Visibilty_ERP!$K:$K,"RTF")</f>
        <v>3000</v>
      </c>
      <c r="G70" s="19">
        <f>SUMIFS(Visibilty_ERP!AI:AI,Visibilty_ERP!$E:$E,RTF!$B70,Visibilty_ERP!$K:$K,"RTF")</f>
        <v>0</v>
      </c>
      <c r="H70" s="19">
        <f>SUMIFS(Visibilty_ERP!AJ:AJ,Visibilty_ERP!$E:$E,RTF!$B70,Visibilty_ERP!$K:$K,"RTF")</f>
        <v>0</v>
      </c>
      <c r="I70" s="19">
        <f>SUMIFS(Visibilty_ERP!AK:AK,Visibilty_ERP!$E:$E,RTF!$B70,Visibilty_ERP!$K:$K,"RTF")</f>
        <v>0</v>
      </c>
      <c r="J70" s="19">
        <f>SUMIFS(Visibilty_ERP!AL:AL,Visibilty_ERP!$E:$E,RTF!$B70,Visibilty_ERP!$K:$K,"RTF")</f>
        <v>0</v>
      </c>
      <c r="K70" s="19">
        <f>SUMIFS(Visibilty_ERP!AM:AM,Visibilty_ERP!$E:$E,RTF!$B70,Visibilty_ERP!$K:$K,"RTF")</f>
        <v>0</v>
      </c>
      <c r="L70" s="19">
        <f>SUMIFS(Visibilty_ERP!AN:AN,Visibilty_ERP!$E:$E,RTF!$B70,Visibilty_ERP!$K:$K,"RTF")</f>
        <v>0</v>
      </c>
      <c r="M70" s="19">
        <f>SUMIFS(Visibilty_ERP!AO:AO,Visibilty_ERP!$E:$E,RTF!$B70,Visibilty_ERP!$K:$K,"RTF")</f>
        <v>0</v>
      </c>
      <c r="N70" s="19">
        <f>SUMIFS(Visibilty_ERP!AP:AP,Visibilty_ERP!$E:$E,RTF!$B70,Visibilty_ERP!$K:$K,"RTF")</f>
        <v>0</v>
      </c>
      <c r="O70" s="19">
        <f>SUMIFS(Visibilty_ERP!AQ:AQ,Visibilty_ERP!$E:$E,RTF!$B70,Visibilty_ERP!$K:$K,"RTF")</f>
        <v>1300</v>
      </c>
      <c r="P70" s="19">
        <f>SUMIFS(Visibilty_ERP!AR:AR,Visibilty_ERP!$E:$E,RTF!$B70,Visibilty_ERP!$K:$K,"RTF")</f>
        <v>1300</v>
      </c>
      <c r="Q70" s="19">
        <f>SUMIFS(Visibilty_ERP!AS:AS,Visibilty_ERP!$E:$E,RTF!$B70,Visibilty_ERP!$K:$K,"RTF")</f>
        <v>0</v>
      </c>
      <c r="R70" s="19">
        <f>SUMIFS(Visibilty_ERP!AT:AT,Visibilty_ERP!$E:$E,RTF!$B70,Visibilty_ERP!$K:$K,"RTF")</f>
        <v>0</v>
      </c>
      <c r="S70" s="19">
        <f>SUMIFS(Visibilty_ERP!AU:AU,Visibilty_ERP!$E:$E,RTF!$B70,Visibilty_ERP!$K:$K,"RTF")</f>
        <v>0</v>
      </c>
      <c r="T70" s="1">
        <f t="shared" si="2"/>
        <v>1300</v>
      </c>
      <c r="U70" s="1">
        <f t="shared" si="2"/>
        <v>3000</v>
      </c>
      <c r="V70" s="1">
        <f t="shared" si="2"/>
        <v>0</v>
      </c>
      <c r="W70" s="1">
        <f t="shared" si="2"/>
        <v>2600</v>
      </c>
    </row>
    <row r="71" spans="2:23" x14ac:dyDescent="0.3">
      <c r="B71" s="18" t="s">
        <v>864</v>
      </c>
      <c r="C71" s="19">
        <f>SUMIFS(Visibilty_ERP!L:L,Visibilty_ERP!$E:$E,RTF!$B71)</f>
        <v>0</v>
      </c>
      <c r="D71" s="19">
        <f>SUMIFS(Visibilty_ERP!A:A,Visibilty_ERP!$E:$E,RTF!$B71,Visibilty_ERP!$K:$K,"RTF")</f>
        <v>0</v>
      </c>
      <c r="E71" s="19">
        <f>SUMIFS(Visibilty_ERP!B:B,Visibilty_ERP!$E:$E,RTF!$B71,Visibilty_ERP!$K:$K,"RTF")</f>
        <v>0</v>
      </c>
      <c r="F71" s="19">
        <f>SUMIFS(Visibilty_ERP!C:C,Visibilty_ERP!$E:$E,RTF!$B71,Visibilty_ERP!$K:$K,"RTF")</f>
        <v>0</v>
      </c>
      <c r="G71" s="19">
        <f>SUMIFS(Visibilty_ERP!AI:AI,Visibilty_ERP!$E:$E,RTF!$B71,Visibilty_ERP!$K:$K,"RTF")</f>
        <v>0</v>
      </c>
      <c r="H71" s="19">
        <f>SUMIFS(Visibilty_ERP!AJ:AJ,Visibilty_ERP!$E:$E,RTF!$B71,Visibilty_ERP!$K:$K,"RTF")</f>
        <v>0</v>
      </c>
      <c r="I71" s="19">
        <f>SUMIFS(Visibilty_ERP!AK:AK,Visibilty_ERP!$E:$E,RTF!$B71,Visibilty_ERP!$K:$K,"RTF")</f>
        <v>0</v>
      </c>
      <c r="J71" s="19">
        <f>SUMIFS(Visibilty_ERP!AL:AL,Visibilty_ERP!$E:$E,RTF!$B71,Visibilty_ERP!$K:$K,"RTF")</f>
        <v>0</v>
      </c>
      <c r="K71" s="19">
        <f>SUMIFS(Visibilty_ERP!AM:AM,Visibilty_ERP!$E:$E,RTF!$B71,Visibilty_ERP!$K:$K,"RTF")</f>
        <v>0</v>
      </c>
      <c r="L71" s="19">
        <f>SUMIFS(Visibilty_ERP!AN:AN,Visibilty_ERP!$E:$E,RTF!$B71,Visibilty_ERP!$K:$K,"RTF")</f>
        <v>0</v>
      </c>
      <c r="M71" s="19">
        <f>SUMIFS(Visibilty_ERP!AO:AO,Visibilty_ERP!$E:$E,RTF!$B71,Visibilty_ERP!$K:$K,"RTF")</f>
        <v>0</v>
      </c>
      <c r="N71" s="19">
        <f>SUMIFS(Visibilty_ERP!AP:AP,Visibilty_ERP!$E:$E,RTF!$B71,Visibilty_ERP!$K:$K,"RTF")</f>
        <v>0</v>
      </c>
      <c r="O71" s="19">
        <f>SUMIFS(Visibilty_ERP!AQ:AQ,Visibilty_ERP!$E:$E,RTF!$B71,Visibilty_ERP!$K:$K,"RTF")</f>
        <v>0</v>
      </c>
      <c r="P71" s="19">
        <f>SUMIFS(Visibilty_ERP!AR:AR,Visibilty_ERP!$E:$E,RTF!$B71,Visibilty_ERP!$K:$K,"RTF")</f>
        <v>0</v>
      </c>
      <c r="Q71" s="19">
        <f>SUMIFS(Visibilty_ERP!AS:AS,Visibilty_ERP!$E:$E,RTF!$B71,Visibilty_ERP!$K:$K,"RTF")</f>
        <v>0</v>
      </c>
      <c r="R71" s="19">
        <f>SUMIFS(Visibilty_ERP!AT:AT,Visibilty_ERP!$E:$E,RTF!$B71,Visibilty_ERP!$K:$K,"RTF")</f>
        <v>0</v>
      </c>
      <c r="S71" s="19">
        <f>SUMIFS(Visibilty_ERP!AU:AU,Visibilty_ERP!$E:$E,RTF!$B71,Visibilty_ERP!$K:$K,"RTF")</f>
        <v>0</v>
      </c>
      <c r="T71" s="1">
        <f t="shared" si="2"/>
        <v>0</v>
      </c>
      <c r="U71" s="1">
        <f t="shared" si="2"/>
        <v>0</v>
      </c>
      <c r="V71" s="1">
        <f t="shared" si="2"/>
        <v>0</v>
      </c>
      <c r="W71" s="1">
        <f t="shared" si="2"/>
        <v>0</v>
      </c>
    </row>
    <row r="72" spans="2:23" x14ac:dyDescent="0.3">
      <c r="B72" s="18" t="s">
        <v>863</v>
      </c>
      <c r="C72" s="19">
        <f>SUMIFS(Visibilty_ERP!L:L,Visibilty_ERP!$E:$E,RTF!$B72)</f>
        <v>4236</v>
      </c>
      <c r="D72" s="19">
        <f>SUMIFS(Visibilty_ERP!A:A,Visibilty_ERP!$E:$E,RTF!$B72,Visibilty_ERP!$K:$K,"RTF")</f>
        <v>0</v>
      </c>
      <c r="E72" s="19">
        <f>SUMIFS(Visibilty_ERP!B:B,Visibilty_ERP!$E:$E,RTF!$B72,Visibilty_ERP!$K:$K,"RTF")</f>
        <v>0</v>
      </c>
      <c r="F72" s="19">
        <f>SUMIFS(Visibilty_ERP!C:C,Visibilty_ERP!$E:$E,RTF!$B72,Visibilty_ERP!$K:$K,"RTF")</f>
        <v>11900</v>
      </c>
      <c r="G72" s="19">
        <f>SUMIFS(Visibilty_ERP!AI:AI,Visibilty_ERP!$E:$E,RTF!$B72,Visibilty_ERP!$K:$K,"RTF")</f>
        <v>1300</v>
      </c>
      <c r="H72" s="19">
        <f>SUMIFS(Visibilty_ERP!AJ:AJ,Visibilty_ERP!$E:$E,RTF!$B72,Visibilty_ERP!$K:$K,"RTF")</f>
        <v>0</v>
      </c>
      <c r="I72" s="19">
        <f>SUMIFS(Visibilty_ERP!AK:AK,Visibilty_ERP!$E:$E,RTF!$B72,Visibilty_ERP!$K:$K,"RTF")</f>
        <v>0</v>
      </c>
      <c r="J72" s="19">
        <f>SUMIFS(Visibilty_ERP!AL:AL,Visibilty_ERP!$E:$E,RTF!$B72,Visibilty_ERP!$K:$K,"RTF")</f>
        <v>0</v>
      </c>
      <c r="K72" s="19">
        <f>SUMIFS(Visibilty_ERP!AM:AM,Visibilty_ERP!$E:$E,RTF!$B72,Visibilty_ERP!$K:$K,"RTF")</f>
        <v>0</v>
      </c>
      <c r="L72" s="19">
        <f>SUMIFS(Visibilty_ERP!AN:AN,Visibilty_ERP!$E:$E,RTF!$B72,Visibilty_ERP!$K:$K,"RTF")</f>
        <v>5200</v>
      </c>
      <c r="M72" s="19">
        <f>SUMIFS(Visibilty_ERP!AO:AO,Visibilty_ERP!$E:$E,RTF!$B72,Visibilty_ERP!$K:$K,"RTF")</f>
        <v>0</v>
      </c>
      <c r="N72" s="19">
        <f>SUMIFS(Visibilty_ERP!AP:AP,Visibilty_ERP!$E:$E,RTF!$B72,Visibilty_ERP!$K:$K,"RTF")</f>
        <v>0</v>
      </c>
      <c r="O72" s="19">
        <f>SUMIFS(Visibilty_ERP!AQ:AQ,Visibilty_ERP!$E:$E,RTF!$B72,Visibilty_ERP!$K:$K,"RTF")</f>
        <v>0</v>
      </c>
      <c r="P72" s="19">
        <f>SUMIFS(Visibilty_ERP!AR:AR,Visibilty_ERP!$E:$E,RTF!$B72,Visibilty_ERP!$K:$K,"RTF")</f>
        <v>1300</v>
      </c>
      <c r="Q72" s="19">
        <f>SUMIFS(Visibilty_ERP!AS:AS,Visibilty_ERP!$E:$E,RTF!$B72,Visibilty_ERP!$K:$K,"RTF")</f>
        <v>0</v>
      </c>
      <c r="R72" s="19">
        <f>SUMIFS(Visibilty_ERP!AT:AT,Visibilty_ERP!$E:$E,RTF!$B72,Visibilty_ERP!$K:$K,"RTF")</f>
        <v>0</v>
      </c>
      <c r="S72" s="19">
        <f>SUMIFS(Visibilty_ERP!AU:AU,Visibilty_ERP!$E:$E,RTF!$B72,Visibilty_ERP!$K:$K,"RTF")</f>
        <v>0</v>
      </c>
      <c r="T72" s="1">
        <f t="shared" si="2"/>
        <v>0</v>
      </c>
      <c r="U72" s="1">
        <f t="shared" si="2"/>
        <v>13200</v>
      </c>
      <c r="V72" s="1">
        <f t="shared" si="2"/>
        <v>5200</v>
      </c>
      <c r="W72" s="1">
        <f t="shared" si="2"/>
        <v>1300</v>
      </c>
    </row>
    <row r="73" spans="2:23" x14ac:dyDescent="0.3">
      <c r="B73" s="18" t="s">
        <v>842</v>
      </c>
      <c r="C73" s="19">
        <f>SUMIFS(Visibilty_ERP!L:L,Visibilty_ERP!$E:$E,RTF!$B73)</f>
        <v>0</v>
      </c>
      <c r="D73" s="19">
        <f>SUMIFS(Visibilty_ERP!A:A,Visibilty_ERP!$E:$E,RTF!$B73,Visibilty_ERP!$K:$K,"RTF")</f>
        <v>0</v>
      </c>
      <c r="E73" s="19">
        <f>SUMIFS(Visibilty_ERP!B:B,Visibilty_ERP!$E:$E,RTF!$B73,Visibilty_ERP!$K:$K,"RTF")</f>
        <v>0</v>
      </c>
      <c r="F73" s="19">
        <f>SUMIFS(Visibilty_ERP!C:C,Visibilty_ERP!$E:$E,RTF!$B73,Visibilty_ERP!$K:$K,"RTF")</f>
        <v>0</v>
      </c>
      <c r="G73" s="19">
        <f>SUMIFS(Visibilty_ERP!AI:AI,Visibilty_ERP!$E:$E,RTF!$B73,Visibilty_ERP!$K:$K,"RTF")</f>
        <v>0</v>
      </c>
      <c r="H73" s="19">
        <f>SUMIFS(Visibilty_ERP!AJ:AJ,Visibilty_ERP!$E:$E,RTF!$B73,Visibilty_ERP!$K:$K,"RTF")</f>
        <v>0</v>
      </c>
      <c r="I73" s="19">
        <f>SUMIFS(Visibilty_ERP!AK:AK,Visibilty_ERP!$E:$E,RTF!$B73,Visibilty_ERP!$K:$K,"RTF")</f>
        <v>0</v>
      </c>
      <c r="J73" s="19">
        <f>SUMIFS(Visibilty_ERP!AL:AL,Visibilty_ERP!$E:$E,RTF!$B73,Visibilty_ERP!$K:$K,"RTF")</f>
        <v>0</v>
      </c>
      <c r="K73" s="19">
        <f>SUMIFS(Visibilty_ERP!AM:AM,Visibilty_ERP!$E:$E,RTF!$B73,Visibilty_ERP!$K:$K,"RTF")</f>
        <v>0</v>
      </c>
      <c r="L73" s="19">
        <f>SUMIFS(Visibilty_ERP!AN:AN,Visibilty_ERP!$E:$E,RTF!$B73,Visibilty_ERP!$K:$K,"RTF")</f>
        <v>0</v>
      </c>
      <c r="M73" s="19">
        <f>SUMIFS(Visibilty_ERP!AO:AO,Visibilty_ERP!$E:$E,RTF!$B73,Visibilty_ERP!$K:$K,"RTF")</f>
        <v>0</v>
      </c>
      <c r="N73" s="19">
        <f>SUMIFS(Visibilty_ERP!AP:AP,Visibilty_ERP!$E:$E,RTF!$B73,Visibilty_ERP!$K:$K,"RTF")</f>
        <v>0</v>
      </c>
      <c r="O73" s="19">
        <f>SUMIFS(Visibilty_ERP!AQ:AQ,Visibilty_ERP!$E:$E,RTF!$B73,Visibilty_ERP!$K:$K,"RTF")</f>
        <v>0</v>
      </c>
      <c r="P73" s="19">
        <f>SUMIFS(Visibilty_ERP!AR:AR,Visibilty_ERP!$E:$E,RTF!$B73,Visibilty_ERP!$K:$K,"RTF")</f>
        <v>0</v>
      </c>
      <c r="Q73" s="19">
        <f>SUMIFS(Visibilty_ERP!AS:AS,Visibilty_ERP!$E:$E,RTF!$B73,Visibilty_ERP!$K:$K,"RTF")</f>
        <v>0</v>
      </c>
      <c r="R73" s="19">
        <f>SUMIFS(Visibilty_ERP!AT:AT,Visibilty_ERP!$E:$E,RTF!$B73,Visibilty_ERP!$K:$K,"RTF")</f>
        <v>0</v>
      </c>
      <c r="S73" s="19">
        <f>SUMIFS(Visibilty_ERP!AU:AU,Visibilty_ERP!$E:$E,RTF!$B73,Visibilty_ERP!$K:$K,"RTF")</f>
        <v>0</v>
      </c>
      <c r="T73" s="1">
        <f t="shared" si="2"/>
        <v>0</v>
      </c>
      <c r="U73" s="1">
        <f t="shared" si="2"/>
        <v>0</v>
      </c>
      <c r="V73" s="1">
        <f t="shared" si="2"/>
        <v>0</v>
      </c>
      <c r="W73" s="1">
        <f t="shared" si="2"/>
        <v>0</v>
      </c>
    </row>
    <row r="74" spans="2:23" x14ac:dyDescent="0.3">
      <c r="B74" s="18" t="s">
        <v>841</v>
      </c>
      <c r="C74" s="19">
        <f>SUMIFS(Visibilty_ERP!L:L,Visibilty_ERP!$E:$E,RTF!$B74)</f>
        <v>21751</v>
      </c>
      <c r="D74" s="19">
        <f>SUMIFS(Visibilty_ERP!A:A,Visibilty_ERP!$E:$E,RTF!$B74,Visibilty_ERP!$K:$K,"RTF")</f>
        <v>720</v>
      </c>
      <c r="E74" s="19">
        <f>SUMIFS(Visibilty_ERP!B:B,Visibilty_ERP!$E:$E,RTF!$B74,Visibilty_ERP!$K:$K,"RTF")</f>
        <v>0</v>
      </c>
      <c r="F74" s="19">
        <f>SUMIFS(Visibilty_ERP!C:C,Visibilty_ERP!$E:$E,RTF!$B74,Visibilty_ERP!$K:$K,"RTF")</f>
        <v>0</v>
      </c>
      <c r="G74" s="19">
        <f>SUMIFS(Visibilty_ERP!AI:AI,Visibilty_ERP!$E:$E,RTF!$B74,Visibilty_ERP!$K:$K,"RTF")</f>
        <v>4680</v>
      </c>
      <c r="H74" s="19">
        <f>SUMIFS(Visibilty_ERP!AJ:AJ,Visibilty_ERP!$E:$E,RTF!$B74,Visibilty_ERP!$K:$K,"RTF")</f>
        <v>0</v>
      </c>
      <c r="I74" s="19">
        <f>SUMIFS(Visibilty_ERP!AK:AK,Visibilty_ERP!$E:$E,RTF!$B74,Visibilty_ERP!$K:$K,"RTF")</f>
        <v>0</v>
      </c>
      <c r="J74" s="19">
        <f>SUMIFS(Visibilty_ERP!AL:AL,Visibilty_ERP!$E:$E,RTF!$B74,Visibilty_ERP!$K:$K,"RTF")</f>
        <v>0</v>
      </c>
      <c r="K74" s="19">
        <f>SUMIFS(Visibilty_ERP!AM:AM,Visibilty_ERP!$E:$E,RTF!$B74,Visibilty_ERP!$K:$K,"RTF")</f>
        <v>4680</v>
      </c>
      <c r="L74" s="19">
        <f>SUMIFS(Visibilty_ERP!AN:AN,Visibilty_ERP!$E:$E,RTF!$B74,Visibilty_ERP!$K:$K,"RTF")</f>
        <v>0</v>
      </c>
      <c r="M74" s="19">
        <f>SUMIFS(Visibilty_ERP!AO:AO,Visibilty_ERP!$E:$E,RTF!$B74,Visibilty_ERP!$K:$K,"RTF")</f>
        <v>4680</v>
      </c>
      <c r="N74" s="19">
        <f>SUMIFS(Visibilty_ERP!AP:AP,Visibilty_ERP!$E:$E,RTF!$B74,Visibilty_ERP!$K:$K,"RTF")</f>
        <v>4680</v>
      </c>
      <c r="O74" s="19">
        <f>SUMIFS(Visibilty_ERP!AQ:AQ,Visibilty_ERP!$E:$E,RTF!$B74,Visibilty_ERP!$K:$K,"RTF")</f>
        <v>9360</v>
      </c>
      <c r="P74" s="19">
        <f>SUMIFS(Visibilty_ERP!AR:AR,Visibilty_ERP!$E:$E,RTF!$B74,Visibilty_ERP!$K:$K,"RTF")</f>
        <v>4680</v>
      </c>
      <c r="Q74" s="19">
        <f>SUMIFS(Visibilty_ERP!AS:AS,Visibilty_ERP!$E:$E,RTF!$B74,Visibilty_ERP!$K:$K,"RTF")</f>
        <v>0</v>
      </c>
      <c r="R74" s="19">
        <f>SUMIFS(Visibilty_ERP!AT:AT,Visibilty_ERP!$E:$E,RTF!$B74,Visibilty_ERP!$K:$K,"RTF")</f>
        <v>4680</v>
      </c>
      <c r="S74" s="19">
        <f>SUMIFS(Visibilty_ERP!AU:AU,Visibilty_ERP!$E:$E,RTF!$B74,Visibilty_ERP!$K:$K,"RTF")</f>
        <v>0</v>
      </c>
      <c r="T74" s="1">
        <f t="shared" si="2"/>
        <v>720</v>
      </c>
      <c r="U74" s="1">
        <f t="shared" si="2"/>
        <v>4680</v>
      </c>
      <c r="V74" s="1">
        <f t="shared" si="2"/>
        <v>14040</v>
      </c>
      <c r="W74" s="1">
        <f t="shared" si="2"/>
        <v>18720</v>
      </c>
    </row>
    <row r="75" spans="2:23" x14ac:dyDescent="0.3">
      <c r="B75" s="18" t="s">
        <v>844</v>
      </c>
      <c r="C75" s="19">
        <f>SUMIFS(Visibilty_ERP!L:L,Visibilty_ERP!$E:$E,RTF!$B75)</f>
        <v>0</v>
      </c>
      <c r="D75" s="19">
        <f>SUMIFS(Visibilty_ERP!A:A,Visibilty_ERP!$E:$E,RTF!$B75,Visibilty_ERP!$K:$K,"RTF")</f>
        <v>0</v>
      </c>
      <c r="E75" s="19">
        <f>SUMIFS(Visibilty_ERP!B:B,Visibilty_ERP!$E:$E,RTF!$B75,Visibilty_ERP!$K:$K,"RTF")</f>
        <v>0</v>
      </c>
      <c r="F75" s="19">
        <f>SUMIFS(Visibilty_ERP!C:C,Visibilty_ERP!$E:$E,RTF!$B75,Visibilty_ERP!$K:$K,"RTF")</f>
        <v>0</v>
      </c>
      <c r="G75" s="19">
        <f>SUMIFS(Visibilty_ERP!AI:AI,Visibilty_ERP!$E:$E,RTF!$B75,Visibilty_ERP!$K:$K,"RTF")</f>
        <v>0</v>
      </c>
      <c r="H75" s="19">
        <f>SUMIFS(Visibilty_ERP!AJ:AJ,Visibilty_ERP!$E:$E,RTF!$B75,Visibilty_ERP!$K:$K,"RTF")</f>
        <v>0</v>
      </c>
      <c r="I75" s="19">
        <f>SUMIFS(Visibilty_ERP!AK:AK,Visibilty_ERP!$E:$E,RTF!$B75,Visibilty_ERP!$K:$K,"RTF")</f>
        <v>0</v>
      </c>
      <c r="J75" s="19">
        <f>SUMIFS(Visibilty_ERP!AL:AL,Visibilty_ERP!$E:$E,RTF!$B75,Visibilty_ERP!$K:$K,"RTF")</f>
        <v>0</v>
      </c>
      <c r="K75" s="19">
        <f>SUMIFS(Visibilty_ERP!AM:AM,Visibilty_ERP!$E:$E,RTF!$B75,Visibilty_ERP!$K:$K,"RTF")</f>
        <v>0</v>
      </c>
      <c r="L75" s="19">
        <f>SUMIFS(Visibilty_ERP!AN:AN,Visibilty_ERP!$E:$E,RTF!$B75,Visibilty_ERP!$K:$K,"RTF")</f>
        <v>0</v>
      </c>
      <c r="M75" s="19">
        <f>SUMIFS(Visibilty_ERP!AO:AO,Visibilty_ERP!$E:$E,RTF!$B75,Visibilty_ERP!$K:$K,"RTF")</f>
        <v>0</v>
      </c>
      <c r="N75" s="19">
        <f>SUMIFS(Visibilty_ERP!AP:AP,Visibilty_ERP!$E:$E,RTF!$B75,Visibilty_ERP!$K:$K,"RTF")</f>
        <v>0</v>
      </c>
      <c r="O75" s="19">
        <f>SUMIFS(Visibilty_ERP!AQ:AQ,Visibilty_ERP!$E:$E,RTF!$B75,Visibilty_ERP!$K:$K,"RTF")</f>
        <v>0</v>
      </c>
      <c r="P75" s="19">
        <f>SUMIFS(Visibilty_ERP!AR:AR,Visibilty_ERP!$E:$E,RTF!$B75,Visibilty_ERP!$K:$K,"RTF")</f>
        <v>0</v>
      </c>
      <c r="Q75" s="19">
        <f>SUMIFS(Visibilty_ERP!AS:AS,Visibilty_ERP!$E:$E,RTF!$B75,Visibilty_ERP!$K:$K,"RTF")</f>
        <v>0</v>
      </c>
      <c r="R75" s="19">
        <f>SUMIFS(Visibilty_ERP!AT:AT,Visibilty_ERP!$E:$E,RTF!$B75,Visibilty_ERP!$K:$K,"RTF")</f>
        <v>0</v>
      </c>
      <c r="S75" s="19">
        <f>SUMIFS(Visibilty_ERP!AU:AU,Visibilty_ERP!$E:$E,RTF!$B75,Visibilty_ERP!$K:$K,"RTF")</f>
        <v>0</v>
      </c>
      <c r="T75" s="1">
        <f t="shared" si="2"/>
        <v>0</v>
      </c>
      <c r="U75" s="1">
        <f t="shared" si="2"/>
        <v>0</v>
      </c>
      <c r="V75" s="1">
        <f t="shared" si="2"/>
        <v>0</v>
      </c>
      <c r="W75" s="1">
        <f t="shared" si="2"/>
        <v>0</v>
      </c>
    </row>
    <row r="76" spans="2:23" x14ac:dyDescent="0.3">
      <c r="B76" s="18" t="s">
        <v>843</v>
      </c>
      <c r="C76" s="19">
        <f>SUMIFS(Visibilty_ERP!L:L,Visibilty_ERP!$E:$E,RTF!$B76)</f>
        <v>11472</v>
      </c>
      <c r="D76" s="19">
        <f>SUMIFS(Visibilty_ERP!A:A,Visibilty_ERP!$E:$E,RTF!$B76,Visibilty_ERP!$K:$K,"RTF")</f>
        <v>0</v>
      </c>
      <c r="E76" s="19">
        <f>SUMIFS(Visibilty_ERP!B:B,Visibilty_ERP!$E:$E,RTF!$B76,Visibilty_ERP!$K:$K,"RTF")</f>
        <v>4356</v>
      </c>
      <c r="F76" s="19">
        <f>SUMIFS(Visibilty_ERP!C:C,Visibilty_ERP!$E:$E,RTF!$B76,Visibilty_ERP!$K:$K,"RTF")</f>
        <v>13673</v>
      </c>
      <c r="G76" s="19">
        <f>SUMIFS(Visibilty_ERP!AI:AI,Visibilty_ERP!$E:$E,RTF!$B76,Visibilty_ERP!$K:$K,"RTF")</f>
        <v>0</v>
      </c>
      <c r="H76" s="19">
        <f>SUMIFS(Visibilty_ERP!AJ:AJ,Visibilty_ERP!$E:$E,RTF!$B76,Visibilty_ERP!$K:$K,"RTF")</f>
        <v>0</v>
      </c>
      <c r="I76" s="19">
        <f>SUMIFS(Visibilty_ERP!AK:AK,Visibilty_ERP!$E:$E,RTF!$B76,Visibilty_ERP!$K:$K,"RTF")</f>
        <v>0</v>
      </c>
      <c r="J76" s="19">
        <f>SUMIFS(Visibilty_ERP!AL:AL,Visibilty_ERP!$E:$E,RTF!$B76,Visibilty_ERP!$K:$K,"RTF")</f>
        <v>0</v>
      </c>
      <c r="K76" s="19">
        <f>SUMIFS(Visibilty_ERP!AM:AM,Visibilty_ERP!$E:$E,RTF!$B76,Visibilty_ERP!$K:$K,"RTF")</f>
        <v>0</v>
      </c>
      <c r="L76" s="19">
        <f>SUMIFS(Visibilty_ERP!AN:AN,Visibilty_ERP!$E:$E,RTF!$B76,Visibilty_ERP!$K:$K,"RTF")</f>
        <v>0</v>
      </c>
      <c r="M76" s="19">
        <f>SUMIFS(Visibilty_ERP!AO:AO,Visibilty_ERP!$E:$E,RTF!$B76,Visibilty_ERP!$K:$K,"RTF")</f>
        <v>0</v>
      </c>
      <c r="N76" s="19">
        <f>SUMIFS(Visibilty_ERP!AP:AP,Visibilty_ERP!$E:$E,RTF!$B76,Visibilty_ERP!$K:$K,"RTF")</f>
        <v>0</v>
      </c>
      <c r="O76" s="19">
        <f>SUMIFS(Visibilty_ERP!AQ:AQ,Visibilty_ERP!$E:$E,RTF!$B76,Visibilty_ERP!$K:$K,"RTF")</f>
        <v>0</v>
      </c>
      <c r="P76" s="19">
        <f>SUMIFS(Visibilty_ERP!AR:AR,Visibilty_ERP!$E:$E,RTF!$B76,Visibilty_ERP!$K:$K,"RTF")</f>
        <v>0</v>
      </c>
      <c r="Q76" s="19">
        <f>SUMIFS(Visibilty_ERP!AS:AS,Visibilty_ERP!$E:$E,RTF!$B76,Visibilty_ERP!$K:$K,"RTF")</f>
        <v>0</v>
      </c>
      <c r="R76" s="19">
        <f>SUMIFS(Visibilty_ERP!AT:AT,Visibilty_ERP!$E:$E,RTF!$B76,Visibilty_ERP!$K:$K,"RTF")</f>
        <v>0</v>
      </c>
      <c r="S76" s="19">
        <f>SUMIFS(Visibilty_ERP!AU:AU,Visibilty_ERP!$E:$E,RTF!$B76,Visibilty_ERP!$K:$K,"RTF")</f>
        <v>0</v>
      </c>
      <c r="T76" s="1">
        <f t="shared" si="2"/>
        <v>0</v>
      </c>
      <c r="U76" s="1">
        <f t="shared" si="2"/>
        <v>18029</v>
      </c>
      <c r="V76" s="1">
        <f t="shared" si="2"/>
        <v>0</v>
      </c>
      <c r="W76" s="1">
        <f t="shared" si="2"/>
        <v>0</v>
      </c>
    </row>
    <row r="77" spans="2:23" x14ac:dyDescent="0.3">
      <c r="B77" s="18" t="s">
        <v>805</v>
      </c>
      <c r="C77" s="19">
        <f>SUMIFS(Visibilty_ERP!L:L,Visibilty_ERP!$E:$E,RTF!$B77)</f>
        <v>1046</v>
      </c>
      <c r="D77" s="19">
        <f>SUMIFS(Visibilty_ERP!A:A,Visibilty_ERP!$E:$E,RTF!$B77,Visibilty_ERP!$K:$K,"RTF")</f>
        <v>0</v>
      </c>
      <c r="E77" s="19">
        <f>SUMIFS(Visibilty_ERP!B:B,Visibilty_ERP!$E:$E,RTF!$B77,Visibilty_ERP!$K:$K,"RTF")</f>
        <v>0</v>
      </c>
      <c r="F77" s="19">
        <f>SUMIFS(Visibilty_ERP!C:C,Visibilty_ERP!$E:$E,RTF!$B77,Visibilty_ERP!$K:$K,"RTF")</f>
        <v>0</v>
      </c>
      <c r="G77" s="19">
        <f>SUMIFS(Visibilty_ERP!AI:AI,Visibilty_ERP!$E:$E,RTF!$B77,Visibilty_ERP!$K:$K,"RTF")</f>
        <v>0</v>
      </c>
      <c r="H77" s="19">
        <f>SUMIFS(Visibilty_ERP!AJ:AJ,Visibilty_ERP!$E:$E,RTF!$B77,Visibilty_ERP!$K:$K,"RTF")</f>
        <v>0</v>
      </c>
      <c r="I77" s="19">
        <f>SUMIFS(Visibilty_ERP!AK:AK,Visibilty_ERP!$E:$E,RTF!$B77,Visibilty_ERP!$K:$K,"RTF")</f>
        <v>0</v>
      </c>
      <c r="J77" s="19">
        <f>SUMIFS(Visibilty_ERP!AL:AL,Visibilty_ERP!$E:$E,RTF!$B77,Visibilty_ERP!$K:$K,"RTF")</f>
        <v>0</v>
      </c>
      <c r="K77" s="19">
        <f>SUMIFS(Visibilty_ERP!AM:AM,Visibilty_ERP!$E:$E,RTF!$B77,Visibilty_ERP!$K:$K,"RTF")</f>
        <v>0</v>
      </c>
      <c r="L77" s="19">
        <f>SUMIFS(Visibilty_ERP!AN:AN,Visibilty_ERP!$E:$E,RTF!$B77,Visibilty_ERP!$K:$K,"RTF")</f>
        <v>0</v>
      </c>
      <c r="M77" s="19">
        <f>SUMIFS(Visibilty_ERP!AO:AO,Visibilty_ERP!$E:$E,RTF!$B77,Visibilty_ERP!$K:$K,"RTF")</f>
        <v>0</v>
      </c>
      <c r="N77" s="19">
        <f>SUMIFS(Visibilty_ERP!AP:AP,Visibilty_ERP!$E:$E,RTF!$B77,Visibilty_ERP!$K:$K,"RTF")</f>
        <v>0</v>
      </c>
      <c r="O77" s="19">
        <f>SUMIFS(Visibilty_ERP!AQ:AQ,Visibilty_ERP!$E:$E,RTF!$B77,Visibilty_ERP!$K:$K,"RTF")</f>
        <v>0</v>
      </c>
      <c r="P77" s="19">
        <f>SUMIFS(Visibilty_ERP!AR:AR,Visibilty_ERP!$E:$E,RTF!$B77,Visibilty_ERP!$K:$K,"RTF")</f>
        <v>0</v>
      </c>
      <c r="Q77" s="19">
        <f>SUMIFS(Visibilty_ERP!AS:AS,Visibilty_ERP!$E:$E,RTF!$B77,Visibilty_ERP!$K:$K,"RTF")</f>
        <v>0</v>
      </c>
      <c r="R77" s="19">
        <f>SUMIFS(Visibilty_ERP!AT:AT,Visibilty_ERP!$E:$E,RTF!$B77,Visibilty_ERP!$K:$K,"RTF")</f>
        <v>0</v>
      </c>
      <c r="S77" s="19">
        <f>SUMIFS(Visibilty_ERP!AU:AU,Visibilty_ERP!$E:$E,RTF!$B77,Visibilty_ERP!$K:$K,"RTF")</f>
        <v>0</v>
      </c>
      <c r="T77" s="1">
        <f t="shared" si="2"/>
        <v>0</v>
      </c>
      <c r="U77" s="1">
        <f t="shared" si="2"/>
        <v>0</v>
      </c>
      <c r="V77" s="1">
        <f t="shared" si="2"/>
        <v>0</v>
      </c>
      <c r="W77" s="1">
        <f t="shared" si="2"/>
        <v>0</v>
      </c>
    </row>
    <row r="78" spans="2:23" x14ac:dyDescent="0.3">
      <c r="B78" s="18" t="s">
        <v>804</v>
      </c>
      <c r="C78" s="19">
        <f>SUMIFS(Visibilty_ERP!L:L,Visibilty_ERP!$E:$E,RTF!$B78)</f>
        <v>13771</v>
      </c>
      <c r="D78" s="19">
        <f>SUMIFS(Visibilty_ERP!A:A,Visibilty_ERP!$E:$E,RTF!$B78,Visibilty_ERP!$K:$K,"RTF")</f>
        <v>0</v>
      </c>
      <c r="E78" s="19">
        <f>SUMIFS(Visibilty_ERP!B:B,Visibilty_ERP!$E:$E,RTF!$B78,Visibilty_ERP!$K:$K,"RTF")</f>
        <v>0</v>
      </c>
      <c r="F78" s="19">
        <f>SUMIFS(Visibilty_ERP!C:C,Visibilty_ERP!$E:$E,RTF!$B78,Visibilty_ERP!$K:$K,"RTF")</f>
        <v>0</v>
      </c>
      <c r="G78" s="19">
        <f>SUMIFS(Visibilty_ERP!AI:AI,Visibilty_ERP!$E:$E,RTF!$B78,Visibilty_ERP!$K:$K,"RTF")</f>
        <v>0</v>
      </c>
      <c r="H78" s="19">
        <f>SUMIFS(Visibilty_ERP!AJ:AJ,Visibilty_ERP!$E:$E,RTF!$B78,Visibilty_ERP!$K:$K,"RTF")</f>
        <v>0</v>
      </c>
      <c r="I78" s="19">
        <f>SUMIFS(Visibilty_ERP!AK:AK,Visibilty_ERP!$E:$E,RTF!$B78,Visibilty_ERP!$K:$K,"RTF")</f>
        <v>0</v>
      </c>
      <c r="J78" s="19">
        <f>SUMIFS(Visibilty_ERP!AL:AL,Visibilty_ERP!$E:$E,RTF!$B78,Visibilty_ERP!$K:$K,"RTF")</f>
        <v>0</v>
      </c>
      <c r="K78" s="19">
        <f>SUMIFS(Visibilty_ERP!AM:AM,Visibilty_ERP!$E:$E,RTF!$B78,Visibilty_ERP!$K:$K,"RTF")</f>
        <v>0</v>
      </c>
      <c r="L78" s="19">
        <f>SUMIFS(Visibilty_ERP!AN:AN,Visibilty_ERP!$E:$E,RTF!$B78,Visibilty_ERP!$K:$K,"RTF")</f>
        <v>0</v>
      </c>
      <c r="M78" s="19">
        <f>SUMIFS(Visibilty_ERP!AO:AO,Visibilty_ERP!$E:$E,RTF!$B78,Visibilty_ERP!$K:$K,"RTF")</f>
        <v>0</v>
      </c>
      <c r="N78" s="19">
        <f>SUMIFS(Visibilty_ERP!AP:AP,Visibilty_ERP!$E:$E,RTF!$B78,Visibilty_ERP!$K:$K,"RTF")</f>
        <v>0</v>
      </c>
      <c r="O78" s="19">
        <f>SUMIFS(Visibilty_ERP!AQ:AQ,Visibilty_ERP!$E:$E,RTF!$B78,Visibilty_ERP!$K:$K,"RTF")</f>
        <v>0</v>
      </c>
      <c r="P78" s="19">
        <f>SUMIFS(Visibilty_ERP!AR:AR,Visibilty_ERP!$E:$E,RTF!$B78,Visibilty_ERP!$K:$K,"RTF")</f>
        <v>0</v>
      </c>
      <c r="Q78" s="19">
        <f>SUMIFS(Visibilty_ERP!AS:AS,Visibilty_ERP!$E:$E,RTF!$B78,Visibilty_ERP!$K:$K,"RTF")</f>
        <v>0</v>
      </c>
      <c r="R78" s="19">
        <f>SUMIFS(Visibilty_ERP!AT:AT,Visibilty_ERP!$E:$E,RTF!$B78,Visibilty_ERP!$K:$K,"RTF")</f>
        <v>0</v>
      </c>
      <c r="S78" s="19">
        <f>SUMIFS(Visibilty_ERP!AU:AU,Visibilty_ERP!$E:$E,RTF!$B78,Visibilty_ERP!$K:$K,"RTF")</f>
        <v>0</v>
      </c>
      <c r="T78" s="1">
        <f t="shared" si="2"/>
        <v>0</v>
      </c>
      <c r="U78" s="1">
        <f t="shared" si="2"/>
        <v>0</v>
      </c>
      <c r="V78" s="1">
        <f t="shared" si="2"/>
        <v>0</v>
      </c>
      <c r="W78" s="1">
        <f t="shared" si="2"/>
        <v>0</v>
      </c>
    </row>
    <row r="79" spans="2:23" x14ac:dyDescent="0.3">
      <c r="B79" s="18" t="s">
        <v>818</v>
      </c>
      <c r="C79" s="19">
        <f>SUMIFS(Visibilty_ERP!L:L,Visibilty_ERP!$E:$E,RTF!$B79)</f>
        <v>29969</v>
      </c>
      <c r="D79" s="19">
        <f>SUMIFS(Visibilty_ERP!A:A,Visibilty_ERP!$E:$E,RTF!$B79,Visibilty_ERP!$K:$K,"RTF")</f>
        <v>0</v>
      </c>
      <c r="E79" s="19">
        <f>SUMIFS(Visibilty_ERP!B:B,Visibilty_ERP!$E:$E,RTF!$B79,Visibilty_ERP!$K:$K,"RTF")</f>
        <v>0</v>
      </c>
      <c r="F79" s="19">
        <f>SUMIFS(Visibilty_ERP!C:C,Visibilty_ERP!$E:$E,RTF!$B79,Visibilty_ERP!$K:$K,"RTF")</f>
        <v>0</v>
      </c>
      <c r="G79" s="19">
        <f>SUMIFS(Visibilty_ERP!AI:AI,Visibilty_ERP!$E:$E,RTF!$B79,Visibilty_ERP!$K:$K,"RTF")</f>
        <v>0</v>
      </c>
      <c r="H79" s="19">
        <f>SUMIFS(Visibilty_ERP!AJ:AJ,Visibilty_ERP!$E:$E,RTF!$B79,Visibilty_ERP!$K:$K,"RTF")</f>
        <v>0</v>
      </c>
      <c r="I79" s="19">
        <f>SUMIFS(Visibilty_ERP!AK:AK,Visibilty_ERP!$E:$E,RTF!$B79,Visibilty_ERP!$K:$K,"RTF")</f>
        <v>0</v>
      </c>
      <c r="J79" s="19">
        <f>SUMIFS(Visibilty_ERP!AL:AL,Visibilty_ERP!$E:$E,RTF!$B79,Visibilty_ERP!$K:$K,"RTF")</f>
        <v>0</v>
      </c>
      <c r="K79" s="19">
        <f>SUMIFS(Visibilty_ERP!AM:AM,Visibilty_ERP!$E:$E,RTF!$B79,Visibilty_ERP!$K:$K,"RTF")</f>
        <v>0</v>
      </c>
      <c r="L79" s="19">
        <f>SUMIFS(Visibilty_ERP!AN:AN,Visibilty_ERP!$E:$E,RTF!$B79,Visibilty_ERP!$K:$K,"RTF")</f>
        <v>0</v>
      </c>
      <c r="M79" s="19">
        <f>SUMIFS(Visibilty_ERP!AO:AO,Visibilty_ERP!$E:$E,RTF!$B79,Visibilty_ERP!$K:$K,"RTF")</f>
        <v>0</v>
      </c>
      <c r="N79" s="19">
        <f>SUMIFS(Visibilty_ERP!AP:AP,Visibilty_ERP!$E:$E,RTF!$B79,Visibilty_ERP!$K:$K,"RTF")</f>
        <v>0</v>
      </c>
      <c r="O79" s="19">
        <f>SUMIFS(Visibilty_ERP!AQ:AQ,Visibilty_ERP!$E:$E,RTF!$B79,Visibilty_ERP!$K:$K,"RTF")</f>
        <v>0</v>
      </c>
      <c r="P79" s="19">
        <f>SUMIFS(Visibilty_ERP!AR:AR,Visibilty_ERP!$E:$E,RTF!$B79,Visibilty_ERP!$K:$K,"RTF")</f>
        <v>0</v>
      </c>
      <c r="Q79" s="19">
        <f>SUMIFS(Visibilty_ERP!AS:AS,Visibilty_ERP!$E:$E,RTF!$B79,Visibilty_ERP!$K:$K,"RTF")</f>
        <v>0</v>
      </c>
      <c r="R79" s="19">
        <f>SUMIFS(Visibilty_ERP!AT:AT,Visibilty_ERP!$E:$E,RTF!$B79,Visibilty_ERP!$K:$K,"RTF")</f>
        <v>0</v>
      </c>
      <c r="S79" s="19">
        <f>SUMIFS(Visibilty_ERP!AU:AU,Visibilty_ERP!$E:$E,RTF!$B79,Visibilty_ERP!$K:$K,"RTF")</f>
        <v>0</v>
      </c>
      <c r="T79" s="1">
        <f t="shared" si="2"/>
        <v>0</v>
      </c>
      <c r="U79" s="1">
        <f t="shared" si="2"/>
        <v>0</v>
      </c>
      <c r="V79" s="1">
        <f t="shared" si="2"/>
        <v>0</v>
      </c>
      <c r="W79" s="1">
        <f t="shared" si="2"/>
        <v>0</v>
      </c>
    </row>
    <row r="80" spans="2:23" x14ac:dyDescent="0.3">
      <c r="B80" s="18" t="s">
        <v>817</v>
      </c>
      <c r="C80" s="19">
        <f>SUMIFS(Visibilty_ERP!L:L,Visibilty_ERP!$E:$E,RTF!$B80)</f>
        <v>11792</v>
      </c>
      <c r="D80" s="19">
        <f>SUMIFS(Visibilty_ERP!A:A,Visibilty_ERP!$E:$E,RTF!$B80,Visibilty_ERP!$K:$K,"RTF")</f>
        <v>0</v>
      </c>
      <c r="E80" s="19">
        <f>SUMIFS(Visibilty_ERP!B:B,Visibilty_ERP!$E:$E,RTF!$B80,Visibilty_ERP!$K:$K,"RTF")</f>
        <v>0</v>
      </c>
      <c r="F80" s="19">
        <f>SUMIFS(Visibilty_ERP!C:C,Visibilty_ERP!$E:$E,RTF!$B80,Visibilty_ERP!$K:$K,"RTF")</f>
        <v>0</v>
      </c>
      <c r="G80" s="19">
        <f>SUMIFS(Visibilty_ERP!AI:AI,Visibilty_ERP!$E:$E,RTF!$B80,Visibilty_ERP!$K:$K,"RTF")</f>
        <v>0</v>
      </c>
      <c r="H80" s="19">
        <f>SUMIFS(Visibilty_ERP!AJ:AJ,Visibilty_ERP!$E:$E,RTF!$B80,Visibilty_ERP!$K:$K,"RTF")</f>
        <v>0</v>
      </c>
      <c r="I80" s="19">
        <f>SUMIFS(Visibilty_ERP!AK:AK,Visibilty_ERP!$E:$E,RTF!$B80,Visibilty_ERP!$K:$K,"RTF")</f>
        <v>0</v>
      </c>
      <c r="J80" s="19">
        <f>SUMIFS(Visibilty_ERP!AL:AL,Visibilty_ERP!$E:$E,RTF!$B80,Visibilty_ERP!$K:$K,"RTF")</f>
        <v>0</v>
      </c>
      <c r="K80" s="19">
        <f>SUMIFS(Visibilty_ERP!AM:AM,Visibilty_ERP!$E:$E,RTF!$B80,Visibilty_ERP!$K:$K,"RTF")</f>
        <v>0</v>
      </c>
      <c r="L80" s="19">
        <f>SUMIFS(Visibilty_ERP!AN:AN,Visibilty_ERP!$E:$E,RTF!$B80,Visibilty_ERP!$K:$K,"RTF")</f>
        <v>0</v>
      </c>
      <c r="M80" s="19">
        <f>SUMIFS(Visibilty_ERP!AO:AO,Visibilty_ERP!$E:$E,RTF!$B80,Visibilty_ERP!$K:$K,"RTF")</f>
        <v>0</v>
      </c>
      <c r="N80" s="19">
        <f>SUMIFS(Visibilty_ERP!AP:AP,Visibilty_ERP!$E:$E,RTF!$B80,Visibilty_ERP!$K:$K,"RTF")</f>
        <v>0</v>
      </c>
      <c r="O80" s="19">
        <f>SUMIFS(Visibilty_ERP!AQ:AQ,Visibilty_ERP!$E:$E,RTF!$B80,Visibilty_ERP!$K:$K,"RTF")</f>
        <v>0</v>
      </c>
      <c r="P80" s="19">
        <f>SUMIFS(Visibilty_ERP!AR:AR,Visibilty_ERP!$E:$E,RTF!$B80,Visibilty_ERP!$K:$K,"RTF")</f>
        <v>0</v>
      </c>
      <c r="Q80" s="19">
        <f>SUMIFS(Visibilty_ERP!AS:AS,Visibilty_ERP!$E:$E,RTF!$B80,Visibilty_ERP!$K:$K,"RTF")</f>
        <v>0</v>
      </c>
      <c r="R80" s="19">
        <f>SUMIFS(Visibilty_ERP!AT:AT,Visibilty_ERP!$E:$E,RTF!$B80,Visibilty_ERP!$K:$K,"RTF")</f>
        <v>0</v>
      </c>
      <c r="S80" s="19">
        <f>SUMIFS(Visibilty_ERP!AU:AU,Visibilty_ERP!$E:$E,RTF!$B80,Visibilty_ERP!$K:$K,"RTF")</f>
        <v>0</v>
      </c>
      <c r="T80" s="1">
        <f t="shared" si="2"/>
        <v>0</v>
      </c>
      <c r="U80" s="1">
        <f t="shared" si="2"/>
        <v>0</v>
      </c>
      <c r="V80" s="1">
        <f t="shared" si="2"/>
        <v>0</v>
      </c>
      <c r="W80" s="1">
        <f t="shared" si="2"/>
        <v>0</v>
      </c>
    </row>
    <row r="81" spans="2:23" x14ac:dyDescent="0.3">
      <c r="B81" s="18" t="s">
        <v>846</v>
      </c>
      <c r="C81" s="19">
        <f>SUMIFS(Visibilty_ERP!L:L,Visibilty_ERP!$E:$E,RTF!$B81)</f>
        <v>19906</v>
      </c>
      <c r="D81" s="19">
        <f>SUMIFS(Visibilty_ERP!A:A,Visibilty_ERP!$E:$E,RTF!$B81,Visibilty_ERP!$K:$K,"RTF")</f>
        <v>0</v>
      </c>
      <c r="E81" s="19">
        <f>SUMIFS(Visibilty_ERP!B:B,Visibilty_ERP!$E:$E,RTF!$B81,Visibilty_ERP!$K:$K,"RTF")</f>
        <v>0</v>
      </c>
      <c r="F81" s="19">
        <f>SUMIFS(Visibilty_ERP!C:C,Visibilty_ERP!$E:$E,RTF!$B81,Visibilty_ERP!$K:$K,"RTF")</f>
        <v>0</v>
      </c>
      <c r="G81" s="19">
        <f>SUMIFS(Visibilty_ERP!AI:AI,Visibilty_ERP!$E:$E,RTF!$B81,Visibilty_ERP!$K:$K,"RTF")</f>
        <v>0</v>
      </c>
      <c r="H81" s="19">
        <f>SUMIFS(Visibilty_ERP!AJ:AJ,Visibilty_ERP!$E:$E,RTF!$B81,Visibilty_ERP!$K:$K,"RTF")</f>
        <v>0</v>
      </c>
      <c r="I81" s="19">
        <f>SUMIFS(Visibilty_ERP!AK:AK,Visibilty_ERP!$E:$E,RTF!$B81,Visibilty_ERP!$K:$K,"RTF")</f>
        <v>0</v>
      </c>
      <c r="J81" s="19">
        <f>SUMIFS(Visibilty_ERP!AL:AL,Visibilty_ERP!$E:$E,RTF!$B81,Visibilty_ERP!$K:$K,"RTF")</f>
        <v>0</v>
      </c>
      <c r="K81" s="19">
        <f>SUMIFS(Visibilty_ERP!AM:AM,Visibilty_ERP!$E:$E,RTF!$B81,Visibilty_ERP!$K:$K,"RTF")</f>
        <v>0</v>
      </c>
      <c r="L81" s="19">
        <f>SUMIFS(Visibilty_ERP!AN:AN,Visibilty_ERP!$E:$E,RTF!$B81,Visibilty_ERP!$K:$K,"RTF")</f>
        <v>0</v>
      </c>
      <c r="M81" s="19">
        <f>SUMIFS(Visibilty_ERP!AO:AO,Visibilty_ERP!$E:$E,RTF!$B81,Visibilty_ERP!$K:$K,"RTF")</f>
        <v>0</v>
      </c>
      <c r="N81" s="19">
        <f>SUMIFS(Visibilty_ERP!AP:AP,Visibilty_ERP!$E:$E,RTF!$B81,Visibilty_ERP!$K:$K,"RTF")</f>
        <v>0</v>
      </c>
      <c r="O81" s="19">
        <f>SUMIFS(Visibilty_ERP!AQ:AQ,Visibilty_ERP!$E:$E,RTF!$B81,Visibilty_ERP!$K:$K,"RTF")</f>
        <v>0</v>
      </c>
      <c r="P81" s="19">
        <f>SUMIFS(Visibilty_ERP!AR:AR,Visibilty_ERP!$E:$E,RTF!$B81,Visibilty_ERP!$K:$K,"RTF")</f>
        <v>0</v>
      </c>
      <c r="Q81" s="19">
        <f>SUMIFS(Visibilty_ERP!AS:AS,Visibilty_ERP!$E:$E,RTF!$B81,Visibilty_ERP!$K:$K,"RTF")</f>
        <v>0</v>
      </c>
      <c r="R81" s="19">
        <f>SUMIFS(Visibilty_ERP!AT:AT,Visibilty_ERP!$E:$E,RTF!$B81,Visibilty_ERP!$K:$K,"RTF")</f>
        <v>0</v>
      </c>
      <c r="S81" s="19">
        <f>SUMIFS(Visibilty_ERP!AU:AU,Visibilty_ERP!$E:$E,RTF!$B81,Visibilty_ERP!$K:$K,"RTF")</f>
        <v>0</v>
      </c>
      <c r="T81" s="1">
        <f t="shared" si="2"/>
        <v>0</v>
      </c>
      <c r="U81" s="1">
        <f t="shared" si="2"/>
        <v>0</v>
      </c>
      <c r="V81" s="1">
        <f t="shared" si="2"/>
        <v>0</v>
      </c>
      <c r="W81" s="1">
        <f t="shared" si="2"/>
        <v>0</v>
      </c>
    </row>
    <row r="82" spans="2:23" x14ac:dyDescent="0.3">
      <c r="B82" s="18" t="s">
        <v>849</v>
      </c>
      <c r="C82" s="19">
        <f>SUMIFS(Visibilty_ERP!L:L,Visibilty_ERP!$E:$E,RTF!$B82)</f>
        <v>36137</v>
      </c>
      <c r="D82" s="19">
        <f>SUMIFS(Visibilty_ERP!A:A,Visibilty_ERP!$E:$E,RTF!$B82,Visibilty_ERP!$K:$K,"RTF")</f>
        <v>0</v>
      </c>
      <c r="E82" s="19">
        <f>SUMIFS(Visibilty_ERP!B:B,Visibilty_ERP!$E:$E,RTF!$B82,Visibilty_ERP!$K:$K,"RTF")</f>
        <v>0</v>
      </c>
      <c r="F82" s="19">
        <f>SUMIFS(Visibilty_ERP!C:C,Visibilty_ERP!$E:$E,RTF!$B82,Visibilty_ERP!$K:$K,"RTF")</f>
        <v>0</v>
      </c>
      <c r="G82" s="19">
        <f>SUMIFS(Visibilty_ERP!AI:AI,Visibilty_ERP!$E:$E,RTF!$B82,Visibilty_ERP!$K:$K,"RTF")</f>
        <v>0</v>
      </c>
      <c r="H82" s="19">
        <f>SUMIFS(Visibilty_ERP!AJ:AJ,Visibilty_ERP!$E:$E,RTF!$B82,Visibilty_ERP!$K:$K,"RTF")</f>
        <v>0</v>
      </c>
      <c r="I82" s="19">
        <f>SUMIFS(Visibilty_ERP!AK:AK,Visibilty_ERP!$E:$E,RTF!$B82,Visibilty_ERP!$K:$K,"RTF")</f>
        <v>0</v>
      </c>
      <c r="J82" s="19">
        <f>SUMIFS(Visibilty_ERP!AL:AL,Visibilty_ERP!$E:$E,RTF!$B82,Visibilty_ERP!$K:$K,"RTF")</f>
        <v>0</v>
      </c>
      <c r="K82" s="19">
        <f>SUMIFS(Visibilty_ERP!AM:AM,Visibilty_ERP!$E:$E,RTF!$B82,Visibilty_ERP!$K:$K,"RTF")</f>
        <v>0</v>
      </c>
      <c r="L82" s="19">
        <f>SUMIFS(Visibilty_ERP!AN:AN,Visibilty_ERP!$E:$E,RTF!$B82,Visibilty_ERP!$K:$K,"RTF")</f>
        <v>0</v>
      </c>
      <c r="M82" s="19">
        <f>SUMIFS(Visibilty_ERP!AO:AO,Visibilty_ERP!$E:$E,RTF!$B82,Visibilty_ERP!$K:$K,"RTF")</f>
        <v>0</v>
      </c>
      <c r="N82" s="19">
        <f>SUMIFS(Visibilty_ERP!AP:AP,Visibilty_ERP!$E:$E,RTF!$B82,Visibilty_ERP!$K:$K,"RTF")</f>
        <v>0</v>
      </c>
      <c r="O82" s="19">
        <f>SUMIFS(Visibilty_ERP!AQ:AQ,Visibilty_ERP!$E:$E,RTF!$B82,Visibilty_ERP!$K:$K,"RTF")</f>
        <v>0</v>
      </c>
      <c r="P82" s="19">
        <f>SUMIFS(Visibilty_ERP!AR:AR,Visibilty_ERP!$E:$E,RTF!$B82,Visibilty_ERP!$K:$K,"RTF")</f>
        <v>0</v>
      </c>
      <c r="Q82" s="19">
        <f>SUMIFS(Visibilty_ERP!AS:AS,Visibilty_ERP!$E:$E,RTF!$B82,Visibilty_ERP!$K:$K,"RTF")</f>
        <v>0</v>
      </c>
      <c r="R82" s="19">
        <f>SUMIFS(Visibilty_ERP!AT:AT,Visibilty_ERP!$E:$E,RTF!$B82,Visibilty_ERP!$K:$K,"RTF")</f>
        <v>0</v>
      </c>
      <c r="S82" s="19">
        <f>SUMIFS(Visibilty_ERP!AU:AU,Visibilty_ERP!$E:$E,RTF!$B82,Visibilty_ERP!$K:$K,"RTF")</f>
        <v>0</v>
      </c>
      <c r="T82" s="1">
        <f t="shared" si="2"/>
        <v>0</v>
      </c>
      <c r="U82" s="1">
        <f t="shared" si="2"/>
        <v>0</v>
      </c>
      <c r="V82" s="1">
        <f t="shared" si="2"/>
        <v>0</v>
      </c>
      <c r="W82" s="1">
        <f t="shared" si="2"/>
        <v>0</v>
      </c>
    </row>
    <row r="83" spans="2:23" x14ac:dyDescent="0.3">
      <c r="B83" s="18" t="s">
        <v>848</v>
      </c>
      <c r="C83" s="19">
        <f>SUMIFS(Visibilty_ERP!L:L,Visibilty_ERP!$E:$E,RTF!$B83)</f>
        <v>0</v>
      </c>
      <c r="D83" s="19">
        <f>SUMIFS(Visibilty_ERP!A:A,Visibilty_ERP!$E:$E,RTF!$B83,Visibilty_ERP!$K:$K,"RTF")</f>
        <v>0</v>
      </c>
      <c r="E83" s="19">
        <f>SUMIFS(Visibilty_ERP!B:B,Visibilty_ERP!$E:$E,RTF!$B83,Visibilty_ERP!$K:$K,"RTF")</f>
        <v>3024</v>
      </c>
      <c r="F83" s="19">
        <f>SUMIFS(Visibilty_ERP!C:C,Visibilty_ERP!$E:$E,RTF!$B83,Visibilty_ERP!$K:$K,"RTF")</f>
        <v>6048</v>
      </c>
      <c r="G83" s="19">
        <f>SUMIFS(Visibilty_ERP!AI:AI,Visibilty_ERP!$E:$E,RTF!$B83,Visibilty_ERP!$K:$K,"RTF")</f>
        <v>0</v>
      </c>
      <c r="H83" s="19">
        <f>SUMIFS(Visibilty_ERP!AJ:AJ,Visibilty_ERP!$E:$E,RTF!$B83,Visibilty_ERP!$K:$K,"RTF")</f>
        <v>0</v>
      </c>
      <c r="I83" s="19">
        <f>SUMIFS(Visibilty_ERP!AK:AK,Visibilty_ERP!$E:$E,RTF!$B83,Visibilty_ERP!$K:$K,"RTF")</f>
        <v>24000</v>
      </c>
      <c r="J83" s="19">
        <f>SUMIFS(Visibilty_ERP!AL:AL,Visibilty_ERP!$E:$E,RTF!$B83,Visibilty_ERP!$K:$K,"RTF")</f>
        <v>0</v>
      </c>
      <c r="K83" s="19">
        <f>SUMIFS(Visibilty_ERP!AM:AM,Visibilty_ERP!$E:$E,RTF!$B83,Visibilty_ERP!$K:$K,"RTF")</f>
        <v>0</v>
      </c>
      <c r="L83" s="19">
        <f>SUMIFS(Visibilty_ERP!AN:AN,Visibilty_ERP!$E:$E,RTF!$B83,Visibilty_ERP!$K:$K,"RTF")</f>
        <v>0</v>
      </c>
      <c r="M83" s="19">
        <f>SUMIFS(Visibilty_ERP!AO:AO,Visibilty_ERP!$E:$E,RTF!$B83,Visibilty_ERP!$K:$K,"RTF")</f>
        <v>0</v>
      </c>
      <c r="N83" s="19">
        <f>SUMIFS(Visibilty_ERP!AP:AP,Visibilty_ERP!$E:$E,RTF!$B83,Visibilty_ERP!$K:$K,"RTF")</f>
        <v>0</v>
      </c>
      <c r="O83" s="19">
        <f>SUMIFS(Visibilty_ERP!AQ:AQ,Visibilty_ERP!$E:$E,RTF!$B83,Visibilty_ERP!$K:$K,"RTF")</f>
        <v>0</v>
      </c>
      <c r="P83" s="19">
        <f>SUMIFS(Visibilty_ERP!AR:AR,Visibilty_ERP!$E:$E,RTF!$B83,Visibilty_ERP!$K:$K,"RTF")</f>
        <v>0</v>
      </c>
      <c r="Q83" s="19">
        <f>SUMIFS(Visibilty_ERP!AS:AS,Visibilty_ERP!$E:$E,RTF!$B83,Visibilty_ERP!$K:$K,"RTF")</f>
        <v>0</v>
      </c>
      <c r="R83" s="19">
        <f>SUMIFS(Visibilty_ERP!AT:AT,Visibilty_ERP!$E:$E,RTF!$B83,Visibilty_ERP!$K:$K,"RTF")</f>
        <v>0</v>
      </c>
      <c r="S83" s="19">
        <f>SUMIFS(Visibilty_ERP!AU:AU,Visibilty_ERP!$E:$E,RTF!$B83,Visibilty_ERP!$K:$K,"RTF")</f>
        <v>0</v>
      </c>
      <c r="T83" s="1">
        <f t="shared" si="2"/>
        <v>0</v>
      </c>
      <c r="U83" s="1">
        <f t="shared" si="2"/>
        <v>33072</v>
      </c>
      <c r="V83" s="1">
        <f t="shared" si="2"/>
        <v>0</v>
      </c>
      <c r="W83" s="1">
        <f t="shared" si="2"/>
        <v>0</v>
      </c>
    </row>
    <row r="84" spans="2:23" x14ac:dyDescent="0.3">
      <c r="B84" s="18" t="s">
        <v>847</v>
      </c>
      <c r="C84" s="19">
        <f>SUMIFS(Visibilty_ERP!L:L,Visibilty_ERP!$E:$E,RTF!$B84)</f>
        <v>27300</v>
      </c>
      <c r="D84" s="19">
        <f>SUMIFS(Visibilty_ERP!A:A,Visibilty_ERP!$E:$E,RTF!$B84,Visibilty_ERP!$K:$K,"RTF")</f>
        <v>0</v>
      </c>
      <c r="E84" s="19">
        <f>SUMIFS(Visibilty_ERP!B:B,Visibilty_ERP!$E:$E,RTF!$B84,Visibilty_ERP!$K:$K,"RTF")</f>
        <v>0</v>
      </c>
      <c r="F84" s="19">
        <f>SUMIFS(Visibilty_ERP!C:C,Visibilty_ERP!$E:$E,RTF!$B84,Visibilty_ERP!$K:$K,"RTF")</f>
        <v>0</v>
      </c>
      <c r="G84" s="19">
        <f>SUMIFS(Visibilty_ERP!AI:AI,Visibilty_ERP!$E:$E,RTF!$B84,Visibilty_ERP!$K:$K,"RTF")</f>
        <v>0</v>
      </c>
      <c r="H84" s="19">
        <f>SUMIFS(Visibilty_ERP!AJ:AJ,Visibilty_ERP!$E:$E,RTF!$B84,Visibilty_ERP!$K:$K,"RTF")</f>
        <v>0</v>
      </c>
      <c r="I84" s="19">
        <f>SUMIFS(Visibilty_ERP!AK:AK,Visibilty_ERP!$E:$E,RTF!$B84,Visibilty_ERP!$K:$K,"RTF")</f>
        <v>0</v>
      </c>
      <c r="J84" s="19">
        <f>SUMIFS(Visibilty_ERP!AL:AL,Visibilty_ERP!$E:$E,RTF!$B84,Visibilty_ERP!$K:$K,"RTF")</f>
        <v>0</v>
      </c>
      <c r="K84" s="19">
        <f>SUMIFS(Visibilty_ERP!AM:AM,Visibilty_ERP!$E:$E,RTF!$B84,Visibilty_ERP!$K:$K,"RTF")</f>
        <v>0</v>
      </c>
      <c r="L84" s="19">
        <f>SUMIFS(Visibilty_ERP!AN:AN,Visibilty_ERP!$E:$E,RTF!$B84,Visibilty_ERP!$K:$K,"RTF")</f>
        <v>0</v>
      </c>
      <c r="M84" s="19">
        <f>SUMIFS(Visibilty_ERP!AO:AO,Visibilty_ERP!$E:$E,RTF!$B84,Visibilty_ERP!$K:$K,"RTF")</f>
        <v>0</v>
      </c>
      <c r="N84" s="19">
        <f>SUMIFS(Visibilty_ERP!AP:AP,Visibilty_ERP!$E:$E,RTF!$B84,Visibilty_ERP!$K:$K,"RTF")</f>
        <v>0</v>
      </c>
      <c r="O84" s="19">
        <f>SUMIFS(Visibilty_ERP!AQ:AQ,Visibilty_ERP!$E:$E,RTF!$B84,Visibilty_ERP!$K:$K,"RTF")</f>
        <v>0</v>
      </c>
      <c r="P84" s="19">
        <f>SUMIFS(Visibilty_ERP!AR:AR,Visibilty_ERP!$E:$E,RTF!$B84,Visibilty_ERP!$K:$K,"RTF")</f>
        <v>0</v>
      </c>
      <c r="Q84" s="19">
        <f>SUMIFS(Visibilty_ERP!AS:AS,Visibilty_ERP!$E:$E,RTF!$B84,Visibilty_ERP!$K:$K,"RTF")</f>
        <v>0</v>
      </c>
      <c r="R84" s="19">
        <f>SUMIFS(Visibilty_ERP!AT:AT,Visibilty_ERP!$E:$E,RTF!$B84,Visibilty_ERP!$K:$K,"RTF")</f>
        <v>0</v>
      </c>
      <c r="S84" s="19">
        <f>SUMIFS(Visibilty_ERP!AU:AU,Visibilty_ERP!$E:$E,RTF!$B84,Visibilty_ERP!$K:$K,"RTF")</f>
        <v>0</v>
      </c>
      <c r="T84" s="1">
        <f t="shared" si="2"/>
        <v>0</v>
      </c>
      <c r="U84" s="1">
        <f t="shared" si="2"/>
        <v>0</v>
      </c>
      <c r="V84" s="1">
        <f t="shared" si="2"/>
        <v>0</v>
      </c>
      <c r="W84" s="1">
        <f t="shared" si="2"/>
        <v>0</v>
      </c>
    </row>
    <row r="85" spans="2:23" x14ac:dyDescent="0.3">
      <c r="B85" s="18" t="s">
        <v>870</v>
      </c>
      <c r="C85" s="19">
        <f>SUMIFS(Visibilty_ERP!L:L,Visibilty_ERP!$E:$E,RTF!$B85)</f>
        <v>19472</v>
      </c>
      <c r="D85" s="19">
        <f>SUMIFS(Visibilty_ERP!A:A,Visibilty_ERP!$E:$E,RTF!$B85,Visibilty_ERP!$K:$K,"RTF")</f>
        <v>0</v>
      </c>
      <c r="E85" s="19">
        <f>SUMIFS(Visibilty_ERP!B:B,Visibilty_ERP!$E:$E,RTF!$B85,Visibilty_ERP!$K:$K,"RTF")</f>
        <v>0</v>
      </c>
      <c r="F85" s="19">
        <f>SUMIFS(Visibilty_ERP!C:C,Visibilty_ERP!$E:$E,RTF!$B85,Visibilty_ERP!$K:$K,"RTF")</f>
        <v>0</v>
      </c>
      <c r="G85" s="19">
        <f>SUMIFS(Visibilty_ERP!AI:AI,Visibilty_ERP!$E:$E,RTF!$B85,Visibilty_ERP!$K:$K,"RTF")</f>
        <v>0</v>
      </c>
      <c r="H85" s="19">
        <f>SUMIFS(Visibilty_ERP!AJ:AJ,Visibilty_ERP!$E:$E,RTF!$B85,Visibilty_ERP!$K:$K,"RTF")</f>
        <v>0</v>
      </c>
      <c r="I85" s="19">
        <f>SUMIFS(Visibilty_ERP!AK:AK,Visibilty_ERP!$E:$E,RTF!$B85,Visibilty_ERP!$K:$K,"RTF")</f>
        <v>0</v>
      </c>
      <c r="J85" s="19">
        <f>SUMIFS(Visibilty_ERP!AL:AL,Visibilty_ERP!$E:$E,RTF!$B85,Visibilty_ERP!$K:$K,"RTF")</f>
        <v>0</v>
      </c>
      <c r="K85" s="19">
        <f>SUMIFS(Visibilty_ERP!AM:AM,Visibilty_ERP!$E:$E,RTF!$B85,Visibilty_ERP!$K:$K,"RTF")</f>
        <v>0</v>
      </c>
      <c r="L85" s="19">
        <f>SUMIFS(Visibilty_ERP!AN:AN,Visibilty_ERP!$E:$E,RTF!$B85,Visibilty_ERP!$K:$K,"RTF")</f>
        <v>0</v>
      </c>
      <c r="M85" s="19">
        <f>SUMIFS(Visibilty_ERP!AO:AO,Visibilty_ERP!$E:$E,RTF!$B85,Visibilty_ERP!$K:$K,"RTF")</f>
        <v>0</v>
      </c>
      <c r="N85" s="19">
        <f>SUMIFS(Visibilty_ERP!AP:AP,Visibilty_ERP!$E:$E,RTF!$B85,Visibilty_ERP!$K:$K,"RTF")</f>
        <v>0</v>
      </c>
      <c r="O85" s="19">
        <f>SUMIFS(Visibilty_ERP!AQ:AQ,Visibilty_ERP!$E:$E,RTF!$B85,Visibilty_ERP!$K:$K,"RTF")</f>
        <v>0</v>
      </c>
      <c r="P85" s="19">
        <f>SUMIFS(Visibilty_ERP!AR:AR,Visibilty_ERP!$E:$E,RTF!$B85,Visibilty_ERP!$K:$K,"RTF")</f>
        <v>0</v>
      </c>
      <c r="Q85" s="19">
        <f>SUMIFS(Visibilty_ERP!AS:AS,Visibilty_ERP!$E:$E,RTF!$B85,Visibilty_ERP!$K:$K,"RTF")</f>
        <v>0</v>
      </c>
      <c r="R85" s="19">
        <f>SUMIFS(Visibilty_ERP!AT:AT,Visibilty_ERP!$E:$E,RTF!$B85,Visibilty_ERP!$K:$K,"RTF")</f>
        <v>0</v>
      </c>
      <c r="S85" s="19">
        <f>SUMIFS(Visibilty_ERP!AU:AU,Visibilty_ERP!$E:$E,RTF!$B85,Visibilty_ERP!$K:$K,"RTF")</f>
        <v>0</v>
      </c>
      <c r="T85" s="1">
        <f t="shared" si="2"/>
        <v>0</v>
      </c>
      <c r="U85" s="1">
        <f t="shared" si="2"/>
        <v>0</v>
      </c>
      <c r="V85" s="1">
        <f t="shared" si="2"/>
        <v>0</v>
      </c>
      <c r="W85" s="1">
        <f t="shared" si="2"/>
        <v>0</v>
      </c>
    </row>
    <row r="86" spans="2:23" x14ac:dyDescent="0.3">
      <c r="C86" s="8" t="s">
        <v>285</v>
      </c>
      <c r="W86"/>
    </row>
    <row r="87" spans="2:23" x14ac:dyDescent="0.3">
      <c r="W87"/>
    </row>
    <row r="88" spans="2:23" x14ac:dyDescent="0.3">
      <c r="W88"/>
    </row>
    <row r="89" spans="2:23" x14ac:dyDescent="0.3">
      <c r="W89"/>
    </row>
    <row r="90" spans="2:23" x14ac:dyDescent="0.3">
      <c r="W90"/>
    </row>
    <row r="91" spans="2:23" x14ac:dyDescent="0.3">
      <c r="W91"/>
    </row>
    <row r="92" spans="2:23" x14ac:dyDescent="0.3">
      <c r="W92"/>
    </row>
    <row r="93" spans="2:23" x14ac:dyDescent="0.3">
      <c r="W93"/>
    </row>
    <row r="94" spans="2:23" x14ac:dyDescent="0.3">
      <c r="W94"/>
    </row>
    <row r="95" spans="2:23" x14ac:dyDescent="0.3">
      <c r="W95"/>
    </row>
    <row r="96" spans="2:23" x14ac:dyDescent="0.3">
      <c r="W96"/>
    </row>
    <row r="97" spans="23:23" x14ac:dyDescent="0.3">
      <c r="W97"/>
    </row>
    <row r="98" spans="23:23" x14ac:dyDescent="0.3">
      <c r="W98"/>
    </row>
    <row r="99" spans="23:23" x14ac:dyDescent="0.3">
      <c r="W99"/>
    </row>
    <row r="100" spans="23:23" x14ac:dyDescent="0.3">
      <c r="W100"/>
    </row>
    <row r="101" spans="23:23" x14ac:dyDescent="0.3">
      <c r="W101"/>
    </row>
    <row r="102" spans="23:23" x14ac:dyDescent="0.3">
      <c r="W102"/>
    </row>
    <row r="103" spans="23:23" x14ac:dyDescent="0.3">
      <c r="W103"/>
    </row>
    <row r="104" spans="23:23" x14ac:dyDescent="0.3">
      <c r="W104"/>
    </row>
    <row r="105" spans="23:23" x14ac:dyDescent="0.3">
      <c r="W105"/>
    </row>
    <row r="106" spans="23:23" x14ac:dyDescent="0.3">
      <c r="W106"/>
    </row>
    <row r="107" spans="23:23" x14ac:dyDescent="0.3">
      <c r="W107"/>
    </row>
    <row r="108" spans="23:23" x14ac:dyDescent="0.3">
      <c r="W108"/>
    </row>
    <row r="109" spans="23:23" x14ac:dyDescent="0.3">
      <c r="W109"/>
    </row>
    <row r="110" spans="23:23" x14ac:dyDescent="0.3">
      <c r="W110"/>
    </row>
    <row r="111" spans="23:23" x14ac:dyDescent="0.3">
      <c r="W111"/>
    </row>
    <row r="112" spans="23:23" x14ac:dyDescent="0.3">
      <c r="W112"/>
    </row>
    <row r="113" spans="23:23" x14ac:dyDescent="0.3">
      <c r="W113"/>
    </row>
    <row r="114" spans="23:23" x14ac:dyDescent="0.3">
      <c r="W114"/>
    </row>
    <row r="115" spans="23:23" x14ac:dyDescent="0.3">
      <c r="W115"/>
    </row>
    <row r="116" spans="23:23" x14ac:dyDescent="0.3">
      <c r="W116"/>
    </row>
    <row r="117" spans="23:23" x14ac:dyDescent="0.3">
      <c r="W117"/>
    </row>
    <row r="118" spans="23:23" x14ac:dyDescent="0.3">
      <c r="W118"/>
    </row>
    <row r="119" spans="23:23" x14ac:dyDescent="0.3">
      <c r="W119"/>
    </row>
    <row r="120" spans="23:23" x14ac:dyDescent="0.3">
      <c r="W120"/>
    </row>
    <row r="121" spans="23:23" x14ac:dyDescent="0.3">
      <c r="W121"/>
    </row>
    <row r="122" spans="23:23" x14ac:dyDescent="0.3">
      <c r="W122"/>
    </row>
    <row r="123" spans="23:23" x14ac:dyDescent="0.3">
      <c r="W123"/>
    </row>
    <row r="124" spans="23:23" x14ac:dyDescent="0.3">
      <c r="W124"/>
    </row>
    <row r="125" spans="23:23" x14ac:dyDescent="0.3">
      <c r="W125"/>
    </row>
    <row r="126" spans="23:23" x14ac:dyDescent="0.3">
      <c r="W126"/>
    </row>
    <row r="127" spans="23:23" x14ac:dyDescent="0.3">
      <c r="W127"/>
    </row>
    <row r="128" spans="23:23" x14ac:dyDescent="0.3">
      <c r="W128"/>
    </row>
    <row r="129" spans="23:23" x14ac:dyDescent="0.3">
      <c r="W129"/>
    </row>
    <row r="130" spans="23:23" x14ac:dyDescent="0.3">
      <c r="W130"/>
    </row>
    <row r="131" spans="23:23" x14ac:dyDescent="0.3">
      <c r="W131"/>
    </row>
    <row r="132" spans="23:23" x14ac:dyDescent="0.3">
      <c r="W132"/>
    </row>
    <row r="133" spans="23:23" x14ac:dyDescent="0.3">
      <c r="W133"/>
    </row>
    <row r="134" spans="23:23" x14ac:dyDescent="0.3">
      <c r="W134"/>
    </row>
    <row r="135" spans="23:23" x14ac:dyDescent="0.3">
      <c r="W135"/>
    </row>
    <row r="136" spans="23:23" x14ac:dyDescent="0.3">
      <c r="W136"/>
    </row>
    <row r="137" spans="23:23" x14ac:dyDescent="0.3">
      <c r="W137"/>
    </row>
    <row r="138" spans="23:23" x14ac:dyDescent="0.3">
      <c r="W138"/>
    </row>
    <row r="139" spans="23:23" x14ac:dyDescent="0.3">
      <c r="W139"/>
    </row>
    <row r="140" spans="23:23" x14ac:dyDescent="0.3">
      <c r="W140"/>
    </row>
    <row r="141" spans="23:23" x14ac:dyDescent="0.3">
      <c r="W141"/>
    </row>
    <row r="142" spans="23:23" x14ac:dyDescent="0.3">
      <c r="W142"/>
    </row>
    <row r="143" spans="23:23" x14ac:dyDescent="0.3">
      <c r="W143"/>
    </row>
    <row r="144" spans="23:23" x14ac:dyDescent="0.3">
      <c r="W144"/>
    </row>
    <row r="145" spans="23:23" x14ac:dyDescent="0.3">
      <c r="W145"/>
    </row>
    <row r="146" spans="23:23" x14ac:dyDescent="0.3">
      <c r="W146"/>
    </row>
    <row r="147" spans="23:23" x14ac:dyDescent="0.3">
      <c r="W147"/>
    </row>
    <row r="148" spans="23:23" x14ac:dyDescent="0.3">
      <c r="W148"/>
    </row>
    <row r="149" spans="23:23" x14ac:dyDescent="0.3">
      <c r="W149"/>
    </row>
    <row r="150" spans="23:23" x14ac:dyDescent="0.3">
      <c r="W150"/>
    </row>
    <row r="151" spans="23:23" x14ac:dyDescent="0.3">
      <c r="W151"/>
    </row>
    <row r="152" spans="23:23" x14ac:dyDescent="0.3">
      <c r="W152"/>
    </row>
    <row r="153" spans="23:23" x14ac:dyDescent="0.3">
      <c r="W153"/>
    </row>
    <row r="154" spans="23:23" x14ac:dyDescent="0.3">
      <c r="W154"/>
    </row>
    <row r="155" spans="23:23" x14ac:dyDescent="0.3">
      <c r="W155"/>
    </row>
  </sheetData>
  <mergeCells count="6">
    <mergeCell ref="B5:B6"/>
    <mergeCell ref="C5:C6"/>
    <mergeCell ref="T5:W5"/>
    <mergeCell ref="E5:I5"/>
    <mergeCell ref="J5:N5"/>
    <mergeCell ref="O5:R5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P2860"/>
  <sheetViews>
    <sheetView showGridLines="0" showZeros="0" workbookViewId="0">
      <selection activeCell="I31" sqref="I31:I32"/>
    </sheetView>
  </sheetViews>
  <sheetFormatPr defaultRowHeight="16.5" outlineLevelCol="1" x14ac:dyDescent="0.3"/>
  <cols>
    <col min="1" max="1" width="25.125" customWidth="1" outlineLevel="1"/>
    <col min="2" max="2" width="9.125" style="29" bestFit="1" customWidth="1"/>
    <col min="3" max="7" width="9" style="29"/>
    <col min="8" max="8" width="17.25" style="29" bestFit="1" customWidth="1"/>
    <col min="9" max="10" width="9" style="29"/>
    <col min="11" max="11" width="8.75" style="29" customWidth="1"/>
    <col min="12" max="12" width="9.375" style="29" bestFit="1" customWidth="1"/>
    <col min="13" max="13" width="13" style="29" bestFit="1" customWidth="1"/>
    <col min="14" max="14" width="11.125" customWidth="1"/>
    <col min="15" max="16" width="10.5" customWidth="1"/>
  </cols>
  <sheetData>
    <row r="1" spans="1:16" x14ac:dyDescent="0.3">
      <c r="B1" s="20" t="s">
        <v>1131</v>
      </c>
      <c r="C1" s="20" t="s">
        <v>1132</v>
      </c>
      <c r="D1" s="20" t="s">
        <v>1133</v>
      </c>
      <c r="E1" s="20" t="s">
        <v>1134</v>
      </c>
      <c r="F1" s="20" t="s">
        <v>1135</v>
      </c>
      <c r="G1" s="20" t="s">
        <v>1136</v>
      </c>
      <c r="H1" s="20" t="s">
        <v>1100</v>
      </c>
      <c r="I1" s="20" t="s">
        <v>1101</v>
      </c>
      <c r="J1" s="20" t="s">
        <v>1137</v>
      </c>
      <c r="K1" s="20" t="s">
        <v>1138</v>
      </c>
      <c r="L1" s="20" t="s">
        <v>1139</v>
      </c>
      <c r="M1" s="20" t="s">
        <v>1140</v>
      </c>
      <c r="N1" s="21" t="s">
        <v>2861</v>
      </c>
      <c r="O1" s="22">
        <v>1100</v>
      </c>
      <c r="P1" s="23">
        <v>1130</v>
      </c>
    </row>
    <row r="2" spans="1:16" x14ac:dyDescent="0.3">
      <c r="A2" t="s">
        <v>2911</v>
      </c>
      <c r="B2" s="24">
        <v>142651</v>
      </c>
      <c r="C2" s="24" t="s">
        <v>2178</v>
      </c>
      <c r="D2" s="24" t="s">
        <v>2179</v>
      </c>
      <c r="E2" s="24" t="s">
        <v>2179</v>
      </c>
      <c r="F2" s="24" t="s">
        <v>1349</v>
      </c>
      <c r="G2" s="24" t="s">
        <v>2180</v>
      </c>
      <c r="H2" s="24" t="s">
        <v>2181</v>
      </c>
      <c r="I2" s="24" t="s">
        <v>2182</v>
      </c>
      <c r="J2" s="24" t="s">
        <v>761</v>
      </c>
      <c r="K2" s="24" t="s">
        <v>1352</v>
      </c>
      <c r="L2" s="25">
        <v>1</v>
      </c>
      <c r="M2" s="26">
        <v>500</v>
      </c>
      <c r="N2" s="27">
        <v>0.45454545454545453</v>
      </c>
      <c r="O2" s="28">
        <v>0.45454545454545453</v>
      </c>
      <c r="P2" s="28">
        <v>0.44247787610619471</v>
      </c>
    </row>
    <row r="3" spans="1:16" x14ac:dyDescent="0.3">
      <c r="A3" t="s">
        <v>2912</v>
      </c>
      <c r="B3" s="24">
        <v>300032</v>
      </c>
      <c r="C3" s="24" t="s">
        <v>2183</v>
      </c>
      <c r="D3" s="24" t="s">
        <v>2179</v>
      </c>
      <c r="E3" s="24" t="s">
        <v>2179</v>
      </c>
      <c r="F3" s="24" t="s">
        <v>1349</v>
      </c>
      <c r="G3" s="24" t="s">
        <v>2180</v>
      </c>
      <c r="H3" s="24" t="s">
        <v>2181</v>
      </c>
      <c r="I3" s="24" t="s">
        <v>2182</v>
      </c>
      <c r="J3" s="24" t="s">
        <v>761</v>
      </c>
      <c r="K3" s="24" t="s">
        <v>1352</v>
      </c>
      <c r="L3" s="25">
        <v>1</v>
      </c>
      <c r="M3" s="26">
        <v>500</v>
      </c>
      <c r="N3" s="27">
        <v>0.45454545454545453</v>
      </c>
      <c r="O3" s="28">
        <v>0.45454545454545453</v>
      </c>
      <c r="P3" s="28">
        <v>0.44247787610619471</v>
      </c>
    </row>
    <row r="4" spans="1:16" x14ac:dyDescent="0.3">
      <c r="A4" t="s">
        <v>2913</v>
      </c>
      <c r="B4" s="24">
        <v>300034</v>
      </c>
      <c r="C4" s="24" t="s">
        <v>2184</v>
      </c>
      <c r="D4" s="24" t="s">
        <v>2179</v>
      </c>
      <c r="E4" s="24" t="s">
        <v>2179</v>
      </c>
      <c r="F4" s="24" t="s">
        <v>1349</v>
      </c>
      <c r="G4" s="24" t="s">
        <v>2180</v>
      </c>
      <c r="H4" s="24" t="s">
        <v>2181</v>
      </c>
      <c r="I4" s="24" t="s">
        <v>2182</v>
      </c>
      <c r="J4" s="24" t="s">
        <v>761</v>
      </c>
      <c r="K4" s="24" t="s">
        <v>1352</v>
      </c>
      <c r="L4" s="25">
        <v>1</v>
      </c>
      <c r="M4" s="26">
        <v>500</v>
      </c>
      <c r="N4" s="27">
        <v>0.45454545454545453</v>
      </c>
      <c r="O4" s="28">
        <v>0.45454545454545453</v>
      </c>
      <c r="P4" s="28">
        <v>0.44247787610619471</v>
      </c>
    </row>
    <row r="5" spans="1:16" x14ac:dyDescent="0.3">
      <c r="A5" t="s">
        <v>2914</v>
      </c>
      <c r="B5" s="24">
        <v>300062</v>
      </c>
      <c r="C5" s="24" t="s">
        <v>2185</v>
      </c>
      <c r="D5" s="24" t="s">
        <v>2179</v>
      </c>
      <c r="E5" s="24" t="s">
        <v>2179</v>
      </c>
      <c r="F5" s="24" t="s">
        <v>1349</v>
      </c>
      <c r="G5" s="24" t="s">
        <v>2180</v>
      </c>
      <c r="H5" s="24" t="s">
        <v>2181</v>
      </c>
      <c r="I5" s="24" t="s">
        <v>2182</v>
      </c>
      <c r="J5" s="24" t="s">
        <v>761</v>
      </c>
      <c r="K5" s="24" t="s">
        <v>1352</v>
      </c>
      <c r="L5" s="25">
        <v>1</v>
      </c>
      <c r="M5" s="26">
        <v>500</v>
      </c>
      <c r="N5" s="27">
        <v>0.45454545454545453</v>
      </c>
      <c r="O5" s="28">
        <v>0.45454545454545453</v>
      </c>
      <c r="P5" s="28">
        <v>0.44247787610619471</v>
      </c>
    </row>
    <row r="6" spans="1:16" x14ac:dyDescent="0.3">
      <c r="A6" t="s">
        <v>2915</v>
      </c>
      <c r="B6" s="24">
        <v>142368</v>
      </c>
      <c r="C6" s="24" t="s">
        <v>2186</v>
      </c>
      <c r="D6" s="24" t="s">
        <v>2179</v>
      </c>
      <c r="E6" s="24" t="s">
        <v>2179</v>
      </c>
      <c r="F6" s="24" t="s">
        <v>1349</v>
      </c>
      <c r="G6" s="24" t="s">
        <v>2187</v>
      </c>
      <c r="H6" s="24" t="s">
        <v>2188</v>
      </c>
      <c r="I6" s="24" t="s">
        <v>2189</v>
      </c>
      <c r="J6" s="24" t="s">
        <v>761</v>
      </c>
      <c r="K6" s="24" t="s">
        <v>1352</v>
      </c>
      <c r="L6" s="25">
        <v>1</v>
      </c>
      <c r="M6" s="26">
        <v>500</v>
      </c>
      <c r="N6" s="27">
        <v>0.45454545454545453</v>
      </c>
      <c r="O6" s="28">
        <v>0.45454545454545453</v>
      </c>
      <c r="P6" s="28">
        <v>0.44247787610619471</v>
      </c>
    </row>
    <row r="7" spans="1:16" x14ac:dyDescent="0.3">
      <c r="A7" t="s">
        <v>2916</v>
      </c>
      <c r="B7" s="24">
        <v>142651</v>
      </c>
      <c r="C7" s="24" t="s">
        <v>2178</v>
      </c>
      <c r="D7" s="24" t="s">
        <v>2179</v>
      </c>
      <c r="E7" s="24" t="s">
        <v>2179</v>
      </c>
      <c r="F7" s="24" t="s">
        <v>1349</v>
      </c>
      <c r="G7" s="24" t="s">
        <v>2180</v>
      </c>
      <c r="H7" s="24" t="s">
        <v>2188</v>
      </c>
      <c r="I7" s="24" t="s">
        <v>2189</v>
      </c>
      <c r="J7" s="24" t="s">
        <v>761</v>
      </c>
      <c r="K7" s="24" t="s">
        <v>1352</v>
      </c>
      <c r="L7" s="25">
        <v>1</v>
      </c>
      <c r="M7" s="26">
        <v>500</v>
      </c>
      <c r="N7" s="27">
        <v>0.45454545454545453</v>
      </c>
      <c r="O7" s="28">
        <v>0.45454545454545453</v>
      </c>
      <c r="P7" s="28">
        <v>0.44247787610619471</v>
      </c>
    </row>
    <row r="8" spans="1:16" x14ac:dyDescent="0.3">
      <c r="A8" t="s">
        <v>2917</v>
      </c>
      <c r="B8" s="24">
        <v>300032</v>
      </c>
      <c r="C8" s="24" t="s">
        <v>2183</v>
      </c>
      <c r="D8" s="24" t="s">
        <v>2179</v>
      </c>
      <c r="E8" s="24" t="s">
        <v>2179</v>
      </c>
      <c r="F8" s="24" t="s">
        <v>1349</v>
      </c>
      <c r="G8" s="24" t="s">
        <v>2180</v>
      </c>
      <c r="H8" s="24" t="s">
        <v>2188</v>
      </c>
      <c r="I8" s="24" t="s">
        <v>2189</v>
      </c>
      <c r="J8" s="24" t="s">
        <v>761</v>
      </c>
      <c r="K8" s="24" t="s">
        <v>1352</v>
      </c>
      <c r="L8" s="25">
        <v>1</v>
      </c>
      <c r="M8" s="26">
        <v>500</v>
      </c>
      <c r="N8" s="27">
        <v>0.45454545454545453</v>
      </c>
      <c r="O8" s="28">
        <v>0.45454545454545453</v>
      </c>
      <c r="P8" s="28">
        <v>0.44247787610619471</v>
      </c>
    </row>
    <row r="9" spans="1:16" x14ac:dyDescent="0.3">
      <c r="A9" t="s">
        <v>2918</v>
      </c>
      <c r="B9" s="24">
        <v>300034</v>
      </c>
      <c r="C9" s="24" t="s">
        <v>2184</v>
      </c>
      <c r="D9" s="24" t="s">
        <v>2179</v>
      </c>
      <c r="E9" s="24" t="s">
        <v>2179</v>
      </c>
      <c r="F9" s="24" t="s">
        <v>1349</v>
      </c>
      <c r="G9" s="24" t="s">
        <v>2180</v>
      </c>
      <c r="H9" s="24" t="s">
        <v>2188</v>
      </c>
      <c r="I9" s="24" t="s">
        <v>2189</v>
      </c>
      <c r="J9" s="24" t="s">
        <v>761</v>
      </c>
      <c r="K9" s="24" t="s">
        <v>1352</v>
      </c>
      <c r="L9" s="25">
        <v>1</v>
      </c>
      <c r="M9" s="26">
        <v>500</v>
      </c>
      <c r="N9" s="27">
        <v>0.45454545454545453</v>
      </c>
      <c r="O9" s="28">
        <v>0.45454545454545453</v>
      </c>
      <c r="P9" s="28">
        <v>0.44247787610619471</v>
      </c>
    </row>
    <row r="10" spans="1:16" x14ac:dyDescent="0.3">
      <c r="A10" t="s">
        <v>2919</v>
      </c>
      <c r="B10" s="24">
        <v>300062</v>
      </c>
      <c r="C10" s="24" t="s">
        <v>2185</v>
      </c>
      <c r="D10" s="24" t="s">
        <v>2179</v>
      </c>
      <c r="E10" s="24" t="s">
        <v>2179</v>
      </c>
      <c r="F10" s="24" t="s">
        <v>1349</v>
      </c>
      <c r="G10" s="24" t="s">
        <v>2180</v>
      </c>
      <c r="H10" s="24" t="s">
        <v>2188</v>
      </c>
      <c r="I10" s="24" t="s">
        <v>2189</v>
      </c>
      <c r="J10" s="24" t="s">
        <v>761</v>
      </c>
      <c r="K10" s="24" t="s">
        <v>1352</v>
      </c>
      <c r="L10" s="25">
        <v>1</v>
      </c>
      <c r="M10" s="26">
        <v>500</v>
      </c>
      <c r="N10" s="27">
        <v>0.45454545454545453</v>
      </c>
      <c r="O10" s="28">
        <v>0.45454545454545453</v>
      </c>
      <c r="P10" s="28">
        <v>0.44247787610619471</v>
      </c>
    </row>
    <row r="11" spans="1:16" x14ac:dyDescent="0.3">
      <c r="A11" t="s">
        <v>2920</v>
      </c>
      <c r="B11" s="24">
        <v>300042</v>
      </c>
      <c r="C11" s="24" t="s">
        <v>2190</v>
      </c>
      <c r="D11" s="24" t="s">
        <v>2179</v>
      </c>
      <c r="E11" s="24" t="s">
        <v>2179</v>
      </c>
      <c r="F11" s="24" t="s">
        <v>1349</v>
      </c>
      <c r="G11" s="24" t="s">
        <v>2191</v>
      </c>
      <c r="H11" s="24" t="s">
        <v>2192</v>
      </c>
      <c r="I11" s="24" t="s">
        <v>2193</v>
      </c>
      <c r="J11" s="24" t="s">
        <v>761</v>
      </c>
      <c r="K11" s="24" t="s">
        <v>2194</v>
      </c>
      <c r="L11" s="25">
        <v>1300</v>
      </c>
      <c r="M11" s="26">
        <v>15</v>
      </c>
      <c r="N11" s="27">
        <v>17.256637168141594</v>
      </c>
      <c r="O11" s="28">
        <v>1.3636363636363636E-2</v>
      </c>
      <c r="P11" s="28">
        <v>17.256637168141594</v>
      </c>
    </row>
    <row r="12" spans="1:16" x14ac:dyDescent="0.3">
      <c r="A12" t="s">
        <v>2921</v>
      </c>
      <c r="B12" s="24">
        <v>142651</v>
      </c>
      <c r="C12" s="24" t="s">
        <v>2178</v>
      </c>
      <c r="D12" s="24" t="s">
        <v>2179</v>
      </c>
      <c r="E12" s="24" t="s">
        <v>2179</v>
      </c>
      <c r="F12" s="24" t="s">
        <v>1349</v>
      </c>
      <c r="G12" s="24" t="s">
        <v>2180</v>
      </c>
      <c r="H12" s="24" t="s">
        <v>2195</v>
      </c>
      <c r="I12" s="24" t="s">
        <v>2196</v>
      </c>
      <c r="J12" s="24" t="s">
        <v>761</v>
      </c>
      <c r="K12" s="24" t="s">
        <v>1352</v>
      </c>
      <c r="L12" s="25">
        <v>1</v>
      </c>
      <c r="M12" s="26">
        <v>196500</v>
      </c>
      <c r="N12" s="27">
        <v>178.63636363636363</v>
      </c>
      <c r="O12" s="28">
        <v>178.63636363636363</v>
      </c>
      <c r="P12" s="28">
        <v>173.89380530973452</v>
      </c>
    </row>
    <row r="13" spans="1:16" x14ac:dyDescent="0.3">
      <c r="A13" t="s">
        <v>2922</v>
      </c>
      <c r="B13" s="24">
        <v>150518</v>
      </c>
      <c r="C13" s="24" t="s">
        <v>2197</v>
      </c>
      <c r="D13" s="24" t="s">
        <v>2179</v>
      </c>
      <c r="E13" s="24" t="s">
        <v>2179</v>
      </c>
      <c r="F13" s="24" t="s">
        <v>1349</v>
      </c>
      <c r="G13" s="24" t="s">
        <v>2180</v>
      </c>
      <c r="H13" s="24" t="s">
        <v>2195</v>
      </c>
      <c r="I13" s="24" t="s">
        <v>2196</v>
      </c>
      <c r="J13" s="24" t="s">
        <v>761</v>
      </c>
      <c r="K13" s="24" t="s">
        <v>1352</v>
      </c>
      <c r="L13" s="25">
        <v>1</v>
      </c>
      <c r="M13" s="26">
        <v>196500</v>
      </c>
      <c r="N13" s="27">
        <v>178.63636363636363</v>
      </c>
      <c r="O13" s="28">
        <v>178.63636363636363</v>
      </c>
      <c r="P13" s="28">
        <v>173.89380530973452</v>
      </c>
    </row>
    <row r="14" spans="1:16" x14ac:dyDescent="0.3">
      <c r="A14" t="s">
        <v>2923</v>
      </c>
      <c r="B14" s="24">
        <v>300008</v>
      </c>
      <c r="C14" s="24" t="s">
        <v>2219</v>
      </c>
      <c r="D14" s="24" t="s">
        <v>2179</v>
      </c>
      <c r="E14" s="24" t="s">
        <v>2179</v>
      </c>
      <c r="F14" s="24" t="s">
        <v>2220</v>
      </c>
      <c r="G14" s="24" t="s">
        <v>2179</v>
      </c>
      <c r="H14" s="24" t="s">
        <v>2195</v>
      </c>
      <c r="I14" s="24" t="s">
        <v>2196</v>
      </c>
      <c r="J14" s="24" t="s">
        <v>761</v>
      </c>
      <c r="K14" s="24" t="s">
        <v>1146</v>
      </c>
      <c r="L14" s="25">
        <v>1070</v>
      </c>
      <c r="M14" s="26">
        <v>180</v>
      </c>
      <c r="N14" s="27">
        <v>180</v>
      </c>
      <c r="O14" s="28">
        <v>0.16363636363636364</v>
      </c>
      <c r="P14" s="28">
        <v>170.44247787610618</v>
      </c>
    </row>
    <row r="15" spans="1:16" x14ac:dyDescent="0.3">
      <c r="A15" t="s">
        <v>2924</v>
      </c>
      <c r="B15" s="24">
        <v>300032</v>
      </c>
      <c r="C15" s="24" t="s">
        <v>2183</v>
      </c>
      <c r="D15" s="24" t="s">
        <v>2179</v>
      </c>
      <c r="E15" s="24" t="s">
        <v>2179</v>
      </c>
      <c r="F15" s="24" t="s">
        <v>1349</v>
      </c>
      <c r="G15" s="24" t="s">
        <v>2180</v>
      </c>
      <c r="H15" s="24" t="s">
        <v>2195</v>
      </c>
      <c r="I15" s="24" t="s">
        <v>2196</v>
      </c>
      <c r="J15" s="24" t="s">
        <v>761</v>
      </c>
      <c r="K15" s="24" t="s">
        <v>1352</v>
      </c>
      <c r="L15" s="25">
        <v>1</v>
      </c>
      <c r="M15" s="26">
        <v>196500</v>
      </c>
      <c r="N15" s="27">
        <v>178.63636363636363</v>
      </c>
      <c r="O15" s="28">
        <v>178.63636363636363</v>
      </c>
      <c r="P15" s="28">
        <v>173.89380530973452</v>
      </c>
    </row>
    <row r="16" spans="1:16" x14ac:dyDescent="0.3">
      <c r="A16" t="s">
        <v>2925</v>
      </c>
      <c r="B16" s="24">
        <v>300034</v>
      </c>
      <c r="C16" s="24" t="s">
        <v>2184</v>
      </c>
      <c r="D16" s="24" t="s">
        <v>2179</v>
      </c>
      <c r="E16" s="24" t="s">
        <v>2179</v>
      </c>
      <c r="F16" s="24" t="s">
        <v>1349</v>
      </c>
      <c r="G16" s="24" t="s">
        <v>2180</v>
      </c>
      <c r="H16" s="24" t="s">
        <v>2195</v>
      </c>
      <c r="I16" s="24" t="s">
        <v>2196</v>
      </c>
      <c r="J16" s="24" t="s">
        <v>761</v>
      </c>
      <c r="K16" s="24" t="s">
        <v>1352</v>
      </c>
      <c r="L16" s="25">
        <v>1</v>
      </c>
      <c r="M16" s="26">
        <v>196500</v>
      </c>
      <c r="N16" s="27">
        <v>178.63636363636363</v>
      </c>
      <c r="O16" s="28">
        <v>178.63636363636363</v>
      </c>
      <c r="P16" s="28">
        <v>173.89380530973452</v>
      </c>
    </row>
    <row r="17" spans="1:16" x14ac:dyDescent="0.3">
      <c r="A17" t="s">
        <v>2926</v>
      </c>
      <c r="B17" s="24">
        <v>300062</v>
      </c>
      <c r="C17" s="24" t="s">
        <v>2185</v>
      </c>
      <c r="D17" s="24" t="s">
        <v>2179</v>
      </c>
      <c r="E17" s="24" t="s">
        <v>2179</v>
      </c>
      <c r="F17" s="24" t="s">
        <v>1349</v>
      </c>
      <c r="G17" s="24" t="s">
        <v>2180</v>
      </c>
      <c r="H17" s="24" t="s">
        <v>2195</v>
      </c>
      <c r="I17" s="24" t="s">
        <v>2196</v>
      </c>
      <c r="J17" s="24" t="s">
        <v>761</v>
      </c>
      <c r="K17" s="24" t="s">
        <v>1352</v>
      </c>
      <c r="L17" s="25">
        <v>1</v>
      </c>
      <c r="M17" s="26">
        <v>196500</v>
      </c>
      <c r="N17" s="27">
        <v>178.63636363636363</v>
      </c>
      <c r="O17" s="28">
        <v>178.63636363636363</v>
      </c>
      <c r="P17" s="28">
        <v>173.89380530973452</v>
      </c>
    </row>
    <row r="18" spans="1:16" x14ac:dyDescent="0.3">
      <c r="A18" t="s">
        <v>2927</v>
      </c>
      <c r="B18" s="24">
        <v>300067</v>
      </c>
      <c r="C18" s="24" t="s">
        <v>2198</v>
      </c>
      <c r="D18" s="24" t="s">
        <v>2179</v>
      </c>
      <c r="E18" s="24" t="s">
        <v>2179</v>
      </c>
      <c r="F18" s="24" t="s">
        <v>1349</v>
      </c>
      <c r="G18" s="24" t="s">
        <v>2199</v>
      </c>
      <c r="H18" s="24" t="s">
        <v>2195</v>
      </c>
      <c r="I18" s="24" t="s">
        <v>2196</v>
      </c>
      <c r="J18" s="24" t="s">
        <v>761</v>
      </c>
      <c r="K18" s="24" t="s">
        <v>1146</v>
      </c>
      <c r="L18" s="25">
        <v>1070</v>
      </c>
      <c r="M18" s="26">
        <v>188</v>
      </c>
      <c r="N18" s="27">
        <v>188</v>
      </c>
      <c r="O18" s="28">
        <v>0.1709090909090909</v>
      </c>
      <c r="P18" s="28">
        <v>178.01769911504425</v>
      </c>
    </row>
    <row r="19" spans="1:16" x14ac:dyDescent="0.3">
      <c r="A19" t="s">
        <v>2928</v>
      </c>
      <c r="B19" s="24">
        <v>300077</v>
      </c>
      <c r="C19" s="24" t="s">
        <v>2200</v>
      </c>
      <c r="D19" s="24" t="s">
        <v>2179</v>
      </c>
      <c r="E19" s="24" t="s">
        <v>2179</v>
      </c>
      <c r="F19" s="24" t="s">
        <v>1237</v>
      </c>
      <c r="G19" s="24" t="s">
        <v>2201</v>
      </c>
      <c r="H19" s="24" t="s">
        <v>2195</v>
      </c>
      <c r="I19" s="24" t="s">
        <v>2196</v>
      </c>
      <c r="J19" s="24" t="s">
        <v>761</v>
      </c>
      <c r="K19" s="24" t="s">
        <v>1146</v>
      </c>
      <c r="L19" s="25">
        <v>1070</v>
      </c>
      <c r="M19" s="26">
        <v>200.29</v>
      </c>
      <c r="N19" s="27">
        <v>200.29</v>
      </c>
      <c r="O19" s="28">
        <v>0.18208181818181818</v>
      </c>
      <c r="P19" s="28">
        <v>189.65513274336283</v>
      </c>
    </row>
    <row r="20" spans="1:16" x14ac:dyDescent="0.3">
      <c r="A20" t="s">
        <v>2929</v>
      </c>
      <c r="B20" s="24">
        <v>300111</v>
      </c>
      <c r="C20" s="24" t="s">
        <v>2202</v>
      </c>
      <c r="D20" s="24" t="s">
        <v>2179</v>
      </c>
      <c r="E20" s="24" t="s">
        <v>2179</v>
      </c>
      <c r="F20" s="24" t="s">
        <v>1349</v>
      </c>
      <c r="G20" s="24" t="s">
        <v>2191</v>
      </c>
      <c r="H20" s="24" t="s">
        <v>2195</v>
      </c>
      <c r="I20" s="24" t="s">
        <v>2196</v>
      </c>
      <c r="J20" s="24" t="s">
        <v>761</v>
      </c>
      <c r="K20" s="24" t="s">
        <v>2194</v>
      </c>
      <c r="L20" s="25">
        <v>1300</v>
      </c>
      <c r="M20" s="26">
        <v>180</v>
      </c>
      <c r="N20" s="27">
        <v>207.0796460176991</v>
      </c>
      <c r="O20" s="28">
        <v>0.16363636363636364</v>
      </c>
      <c r="P20" s="28">
        <v>207.0796460176991</v>
      </c>
    </row>
    <row r="21" spans="1:16" x14ac:dyDescent="0.3">
      <c r="A21" t="s">
        <v>2930</v>
      </c>
      <c r="B21" s="24">
        <v>300116</v>
      </c>
      <c r="C21" s="24" t="s">
        <v>2203</v>
      </c>
      <c r="D21" s="24" t="s">
        <v>2179</v>
      </c>
      <c r="E21" s="24" t="s">
        <v>2179</v>
      </c>
      <c r="F21" s="24" t="s">
        <v>1237</v>
      </c>
      <c r="G21" s="24" t="s">
        <v>2201</v>
      </c>
      <c r="H21" s="24" t="s">
        <v>2195</v>
      </c>
      <c r="I21" s="24" t="s">
        <v>2196</v>
      </c>
      <c r="J21" s="24" t="s">
        <v>761</v>
      </c>
      <c r="K21" s="24" t="s">
        <v>1146</v>
      </c>
      <c r="L21" s="25">
        <v>1070</v>
      </c>
      <c r="M21" s="26">
        <v>95.9</v>
      </c>
      <c r="N21" s="27">
        <v>95.9</v>
      </c>
      <c r="O21" s="28">
        <v>8.7181818181818194E-2</v>
      </c>
      <c r="P21" s="28">
        <v>90.80796460176991</v>
      </c>
    </row>
    <row r="22" spans="1:16" x14ac:dyDescent="0.3">
      <c r="A22" t="s">
        <v>2931</v>
      </c>
      <c r="B22" s="24">
        <v>300161</v>
      </c>
      <c r="C22" s="24" t="s">
        <v>2204</v>
      </c>
      <c r="D22" s="24" t="s">
        <v>2179</v>
      </c>
      <c r="E22" s="24" t="s">
        <v>2179</v>
      </c>
      <c r="F22" s="24" t="s">
        <v>1349</v>
      </c>
      <c r="G22" s="24" t="s">
        <v>2187</v>
      </c>
      <c r="H22" s="24" t="s">
        <v>2195</v>
      </c>
      <c r="I22" s="24" t="s">
        <v>2196</v>
      </c>
      <c r="J22" s="24" t="s">
        <v>761</v>
      </c>
      <c r="K22" s="24" t="s">
        <v>1352</v>
      </c>
      <c r="L22" s="25">
        <v>1</v>
      </c>
      <c r="M22" s="26">
        <v>250000</v>
      </c>
      <c r="N22" s="27">
        <v>227.27272727272728</v>
      </c>
      <c r="O22" s="28">
        <v>227.27272727272728</v>
      </c>
      <c r="P22" s="28">
        <v>221.23893805309734</v>
      </c>
    </row>
    <row r="23" spans="1:16" x14ac:dyDescent="0.3">
      <c r="A23" t="s">
        <v>2932</v>
      </c>
      <c r="B23" s="24">
        <v>300116</v>
      </c>
      <c r="C23" s="24" t="s">
        <v>2203</v>
      </c>
      <c r="D23" s="24" t="s">
        <v>2179</v>
      </c>
      <c r="E23" s="24" t="s">
        <v>2179</v>
      </c>
      <c r="F23" s="24" t="s">
        <v>1237</v>
      </c>
      <c r="G23" s="24" t="s">
        <v>2201</v>
      </c>
      <c r="H23" s="24" t="s">
        <v>2205</v>
      </c>
      <c r="I23" s="24" t="s">
        <v>2206</v>
      </c>
      <c r="J23" s="24" t="s">
        <v>761</v>
      </c>
      <c r="K23" s="24" t="s">
        <v>1146</v>
      </c>
      <c r="L23" s="25">
        <v>1070</v>
      </c>
      <c r="M23" s="26">
        <v>3.9</v>
      </c>
      <c r="N23" s="27">
        <v>3.9</v>
      </c>
      <c r="O23" s="28">
        <v>3.5454545454545452E-3</v>
      </c>
      <c r="P23" s="28">
        <v>3.6929203539823008</v>
      </c>
    </row>
    <row r="24" spans="1:16" x14ac:dyDescent="0.3">
      <c r="A24" t="s">
        <v>2933</v>
      </c>
      <c r="B24" s="24">
        <v>142603</v>
      </c>
      <c r="C24" s="24" t="s">
        <v>2207</v>
      </c>
      <c r="D24" s="24" t="s">
        <v>2179</v>
      </c>
      <c r="E24" s="24" t="s">
        <v>2179</v>
      </c>
      <c r="F24" s="24" t="s">
        <v>1349</v>
      </c>
      <c r="G24" s="24" t="s">
        <v>2208</v>
      </c>
      <c r="H24" s="24" t="s">
        <v>2209</v>
      </c>
      <c r="I24" s="24" t="s">
        <v>2210</v>
      </c>
      <c r="J24" s="24" t="s">
        <v>761</v>
      </c>
      <c r="K24" s="24" t="s">
        <v>1146</v>
      </c>
      <c r="L24" s="25">
        <v>1070</v>
      </c>
      <c r="M24" s="26">
        <v>3.5</v>
      </c>
      <c r="N24" s="27">
        <v>3.5</v>
      </c>
      <c r="O24" s="28">
        <v>3.1818181818181819E-3</v>
      </c>
      <c r="P24" s="28">
        <v>3.3141592920353982</v>
      </c>
    </row>
    <row r="25" spans="1:16" x14ac:dyDescent="0.3">
      <c r="A25" t="s">
        <v>2934</v>
      </c>
      <c r="B25" s="24">
        <v>112498</v>
      </c>
      <c r="C25" s="24" t="s">
        <v>2211</v>
      </c>
      <c r="D25" s="24" t="s">
        <v>2179</v>
      </c>
      <c r="E25" s="24" t="s">
        <v>2179</v>
      </c>
      <c r="F25" s="24" t="s">
        <v>1237</v>
      </c>
      <c r="G25" s="24" t="s">
        <v>2201</v>
      </c>
      <c r="H25" s="24" t="s">
        <v>2212</v>
      </c>
      <c r="I25" s="24" t="s">
        <v>2213</v>
      </c>
      <c r="J25" s="24" t="s">
        <v>761</v>
      </c>
      <c r="K25" s="24" t="s">
        <v>1146</v>
      </c>
      <c r="L25" s="25">
        <v>1070</v>
      </c>
      <c r="M25" s="26">
        <v>0.43</v>
      </c>
      <c r="N25" s="27">
        <v>0.43</v>
      </c>
      <c r="O25" s="28">
        <v>3.909090909090909E-4</v>
      </c>
      <c r="P25" s="28">
        <v>0.40716814159292031</v>
      </c>
    </row>
    <row r="26" spans="1:16" x14ac:dyDescent="0.3">
      <c r="A26" t="s">
        <v>2935</v>
      </c>
      <c r="B26" s="24">
        <v>142368</v>
      </c>
      <c r="C26" s="24" t="s">
        <v>2186</v>
      </c>
      <c r="D26" s="24" t="s">
        <v>2179</v>
      </c>
      <c r="E26" s="24" t="s">
        <v>2179</v>
      </c>
      <c r="F26" s="24" t="s">
        <v>1349</v>
      </c>
      <c r="G26" s="24" t="s">
        <v>2187</v>
      </c>
      <c r="H26" s="24" t="s">
        <v>2212</v>
      </c>
      <c r="I26" s="24" t="s">
        <v>2213</v>
      </c>
      <c r="J26" s="24" t="s">
        <v>761</v>
      </c>
      <c r="K26" s="24" t="s">
        <v>1352</v>
      </c>
      <c r="L26" s="25">
        <v>1</v>
      </c>
      <c r="M26" s="26">
        <v>500</v>
      </c>
      <c r="N26" s="27">
        <v>0.45454545454545453</v>
      </c>
      <c r="O26" s="28">
        <v>0.45454545454545453</v>
      </c>
      <c r="P26" s="28">
        <v>0.44247787610619471</v>
      </c>
    </row>
    <row r="27" spans="1:16" x14ac:dyDescent="0.3">
      <c r="A27" t="s">
        <v>2936</v>
      </c>
      <c r="B27" s="24">
        <v>142597</v>
      </c>
      <c r="C27" s="24" t="s">
        <v>2214</v>
      </c>
      <c r="D27" s="24" t="s">
        <v>2179</v>
      </c>
      <c r="E27" s="24" t="s">
        <v>2179</v>
      </c>
      <c r="F27" s="24" t="s">
        <v>1349</v>
      </c>
      <c r="G27" s="24" t="s">
        <v>2199</v>
      </c>
      <c r="H27" s="24" t="s">
        <v>2212</v>
      </c>
      <c r="I27" s="24" t="s">
        <v>2213</v>
      </c>
      <c r="J27" s="24" t="s">
        <v>761</v>
      </c>
      <c r="K27" s="24" t="s">
        <v>2194</v>
      </c>
      <c r="L27" s="25">
        <v>1300</v>
      </c>
      <c r="M27" s="26">
        <v>1</v>
      </c>
      <c r="N27" s="27">
        <v>1.1504424778761062</v>
      </c>
      <c r="O27" s="28">
        <v>9.0909090909090909E-4</v>
      </c>
      <c r="P27" s="28">
        <v>1.1504424778761062</v>
      </c>
    </row>
    <row r="28" spans="1:16" x14ac:dyDescent="0.3">
      <c r="A28" t="s">
        <v>2937</v>
      </c>
      <c r="B28" s="24">
        <v>142651</v>
      </c>
      <c r="C28" s="24" t="s">
        <v>2178</v>
      </c>
      <c r="D28" s="24" t="s">
        <v>2179</v>
      </c>
      <c r="E28" s="24" t="s">
        <v>2179</v>
      </c>
      <c r="F28" s="24" t="s">
        <v>1349</v>
      </c>
      <c r="G28" s="24" t="s">
        <v>2180</v>
      </c>
      <c r="H28" s="24" t="s">
        <v>2212</v>
      </c>
      <c r="I28" s="24" t="s">
        <v>2213</v>
      </c>
      <c r="J28" s="24" t="s">
        <v>761</v>
      </c>
      <c r="K28" s="24" t="s">
        <v>1352</v>
      </c>
      <c r="L28" s="25">
        <v>1</v>
      </c>
      <c r="M28" s="26">
        <v>600</v>
      </c>
      <c r="N28" s="27">
        <v>0.54545454545454541</v>
      </c>
      <c r="O28" s="28">
        <v>0.54545454545454541</v>
      </c>
      <c r="P28" s="28">
        <v>0.53097345132743368</v>
      </c>
    </row>
    <row r="29" spans="1:16" x14ac:dyDescent="0.3">
      <c r="A29" t="s">
        <v>2938</v>
      </c>
      <c r="B29" s="24">
        <v>142660</v>
      </c>
      <c r="C29" s="24" t="s">
        <v>2215</v>
      </c>
      <c r="D29" s="24" t="s">
        <v>2179</v>
      </c>
      <c r="E29" s="24" t="s">
        <v>2179</v>
      </c>
      <c r="F29" s="24" t="s">
        <v>1237</v>
      </c>
      <c r="G29" s="24" t="s">
        <v>2216</v>
      </c>
      <c r="H29" s="24" t="s">
        <v>2212</v>
      </c>
      <c r="I29" s="24" t="s">
        <v>2213</v>
      </c>
      <c r="J29" s="24" t="s">
        <v>761</v>
      </c>
      <c r="K29" s="24" t="s">
        <v>1146</v>
      </c>
      <c r="L29" s="25">
        <v>1070</v>
      </c>
      <c r="M29" s="26">
        <v>0.43</v>
      </c>
      <c r="N29" s="27">
        <v>0.43</v>
      </c>
      <c r="O29" s="28">
        <v>3.909090909090909E-4</v>
      </c>
      <c r="P29" s="28">
        <v>0.40716814159292031</v>
      </c>
    </row>
    <row r="30" spans="1:16" x14ac:dyDescent="0.3">
      <c r="A30" t="s">
        <v>2939</v>
      </c>
      <c r="B30" s="24">
        <v>142807</v>
      </c>
      <c r="C30" s="24" t="s">
        <v>2217</v>
      </c>
      <c r="D30" s="24" t="s">
        <v>2179</v>
      </c>
      <c r="E30" s="24" t="s">
        <v>2179</v>
      </c>
      <c r="F30" s="24" t="s">
        <v>1349</v>
      </c>
      <c r="G30" s="24" t="s">
        <v>2208</v>
      </c>
      <c r="H30" s="24" t="s">
        <v>2212</v>
      </c>
      <c r="I30" s="24" t="s">
        <v>2213</v>
      </c>
      <c r="J30" s="24" t="s">
        <v>761</v>
      </c>
      <c r="K30" s="24" t="s">
        <v>2194</v>
      </c>
      <c r="L30" s="25">
        <v>1300</v>
      </c>
      <c r="M30" s="26">
        <v>0.5</v>
      </c>
      <c r="N30" s="27">
        <v>0.5752212389380531</v>
      </c>
      <c r="O30" s="28">
        <v>4.5454545454545455E-4</v>
      </c>
      <c r="P30" s="28">
        <v>0.5752212389380531</v>
      </c>
    </row>
    <row r="31" spans="1:16" x14ac:dyDescent="0.3">
      <c r="A31" t="s">
        <v>2940</v>
      </c>
      <c r="B31" s="24">
        <v>142825</v>
      </c>
      <c r="C31" s="24" t="s">
        <v>2218</v>
      </c>
      <c r="D31" s="24" t="s">
        <v>2179</v>
      </c>
      <c r="E31" s="24" t="s">
        <v>2179</v>
      </c>
      <c r="F31" s="24" t="s">
        <v>1349</v>
      </c>
      <c r="G31" s="24" t="s">
        <v>2208</v>
      </c>
      <c r="H31" s="24" t="s">
        <v>2212</v>
      </c>
      <c r="I31" s="24" t="s">
        <v>2213</v>
      </c>
      <c r="J31" s="24" t="s">
        <v>761</v>
      </c>
      <c r="K31" s="24" t="s">
        <v>1146</v>
      </c>
      <c r="L31" s="25">
        <v>1070</v>
      </c>
      <c r="M31" s="26">
        <v>0.5</v>
      </c>
      <c r="N31" s="27">
        <v>0.5</v>
      </c>
      <c r="O31" s="28">
        <v>4.5454545454545455E-4</v>
      </c>
      <c r="P31" s="28">
        <v>0.47345132743362833</v>
      </c>
    </row>
    <row r="32" spans="1:16" x14ac:dyDescent="0.3">
      <c r="A32" t="s">
        <v>2941</v>
      </c>
      <c r="B32" s="24">
        <v>150518</v>
      </c>
      <c r="C32" s="24" t="s">
        <v>2197</v>
      </c>
      <c r="D32" s="24" t="s">
        <v>2179</v>
      </c>
      <c r="E32" s="24" t="s">
        <v>2179</v>
      </c>
      <c r="F32" s="24" t="s">
        <v>1349</v>
      </c>
      <c r="G32" s="24" t="s">
        <v>2180</v>
      </c>
      <c r="H32" s="24" t="s">
        <v>2212</v>
      </c>
      <c r="I32" s="24" t="s">
        <v>2213</v>
      </c>
      <c r="J32" s="24" t="s">
        <v>761</v>
      </c>
      <c r="K32" s="24" t="s">
        <v>1352</v>
      </c>
      <c r="L32" s="25">
        <v>1</v>
      </c>
      <c r="M32" s="26">
        <v>600</v>
      </c>
      <c r="N32" s="27">
        <v>0.54545454545454541</v>
      </c>
      <c r="O32" s="28">
        <v>0.54545454545454541</v>
      </c>
      <c r="P32" s="28">
        <v>0.53097345132743368</v>
      </c>
    </row>
    <row r="33" spans="1:16" x14ac:dyDescent="0.3">
      <c r="A33" t="s">
        <v>2942</v>
      </c>
      <c r="B33" s="24">
        <v>300008</v>
      </c>
      <c r="C33" s="24" t="s">
        <v>2219</v>
      </c>
      <c r="D33" s="24" t="s">
        <v>2179</v>
      </c>
      <c r="E33" s="24" t="s">
        <v>2179</v>
      </c>
      <c r="F33" s="24" t="s">
        <v>2220</v>
      </c>
      <c r="G33" s="24" t="s">
        <v>2179</v>
      </c>
      <c r="H33" s="24" t="s">
        <v>2212</v>
      </c>
      <c r="I33" s="24" t="s">
        <v>2213</v>
      </c>
      <c r="J33" s="24" t="s">
        <v>761</v>
      </c>
      <c r="K33" s="24" t="s">
        <v>1146</v>
      </c>
      <c r="L33" s="25">
        <v>1070</v>
      </c>
      <c r="M33" s="26">
        <v>0.47</v>
      </c>
      <c r="N33" s="27">
        <v>0.47</v>
      </c>
      <c r="O33" s="28">
        <v>4.2727272727272726E-4</v>
      </c>
      <c r="P33" s="28">
        <v>0.44504424778761059</v>
      </c>
    </row>
    <row r="34" spans="1:16" x14ac:dyDescent="0.3">
      <c r="A34" t="s">
        <v>2943</v>
      </c>
      <c r="B34" s="24">
        <v>300032</v>
      </c>
      <c r="C34" s="24" t="s">
        <v>2183</v>
      </c>
      <c r="D34" s="24" t="s">
        <v>2179</v>
      </c>
      <c r="E34" s="24" t="s">
        <v>2179</v>
      </c>
      <c r="F34" s="24" t="s">
        <v>1349</v>
      </c>
      <c r="G34" s="24" t="s">
        <v>2180</v>
      </c>
      <c r="H34" s="24" t="s">
        <v>2212</v>
      </c>
      <c r="I34" s="24" t="s">
        <v>2213</v>
      </c>
      <c r="J34" s="24" t="s">
        <v>761</v>
      </c>
      <c r="K34" s="24" t="s">
        <v>1352</v>
      </c>
      <c r="L34" s="25">
        <v>1</v>
      </c>
      <c r="M34" s="26">
        <v>600</v>
      </c>
      <c r="N34" s="27">
        <v>0.54545454545454541</v>
      </c>
      <c r="O34" s="28">
        <v>0.54545454545454541</v>
      </c>
      <c r="P34" s="28">
        <v>0.53097345132743368</v>
      </c>
    </row>
    <row r="35" spans="1:16" x14ac:dyDescent="0.3">
      <c r="A35" t="s">
        <v>2944</v>
      </c>
      <c r="B35" s="24">
        <v>300034</v>
      </c>
      <c r="C35" s="24" t="s">
        <v>2184</v>
      </c>
      <c r="D35" s="24" t="s">
        <v>2179</v>
      </c>
      <c r="E35" s="24" t="s">
        <v>2179</v>
      </c>
      <c r="F35" s="24" t="s">
        <v>1349</v>
      </c>
      <c r="G35" s="24" t="s">
        <v>2180</v>
      </c>
      <c r="H35" s="24" t="s">
        <v>2212</v>
      </c>
      <c r="I35" s="24" t="s">
        <v>2213</v>
      </c>
      <c r="J35" s="24" t="s">
        <v>761</v>
      </c>
      <c r="K35" s="24" t="s">
        <v>1352</v>
      </c>
      <c r="L35" s="25">
        <v>1</v>
      </c>
      <c r="M35" s="26">
        <v>600</v>
      </c>
      <c r="N35" s="27">
        <v>0.54545454545454541</v>
      </c>
      <c r="O35" s="28">
        <v>0.54545454545454541</v>
      </c>
      <c r="P35" s="28">
        <v>0.53097345132743368</v>
      </c>
    </row>
    <row r="36" spans="1:16" x14ac:dyDescent="0.3">
      <c r="A36" t="s">
        <v>2945</v>
      </c>
      <c r="B36" s="24">
        <v>300039</v>
      </c>
      <c r="C36" s="24" t="s">
        <v>2221</v>
      </c>
      <c r="D36" s="24" t="s">
        <v>2179</v>
      </c>
      <c r="E36" s="24" t="s">
        <v>2179</v>
      </c>
      <c r="F36" s="24" t="s">
        <v>1349</v>
      </c>
      <c r="G36" s="24" t="s">
        <v>2199</v>
      </c>
      <c r="H36" s="24" t="s">
        <v>2212</v>
      </c>
      <c r="I36" s="24" t="s">
        <v>2213</v>
      </c>
      <c r="J36" s="24" t="s">
        <v>761</v>
      </c>
      <c r="K36" s="24" t="s">
        <v>1146</v>
      </c>
      <c r="L36" s="25">
        <v>1070</v>
      </c>
      <c r="M36" s="26">
        <v>1</v>
      </c>
      <c r="N36" s="27">
        <v>1</v>
      </c>
      <c r="O36" s="28">
        <v>9.0909090909090909E-4</v>
      </c>
      <c r="P36" s="28">
        <v>0.94690265486725667</v>
      </c>
    </row>
    <row r="37" spans="1:16" x14ac:dyDescent="0.3">
      <c r="A37" t="s">
        <v>2946</v>
      </c>
      <c r="B37" s="24">
        <v>300055</v>
      </c>
      <c r="C37" s="24" t="s">
        <v>2222</v>
      </c>
      <c r="D37" s="24" t="s">
        <v>2179</v>
      </c>
      <c r="E37" s="24" t="s">
        <v>2179</v>
      </c>
      <c r="F37" s="24" t="s">
        <v>1349</v>
      </c>
      <c r="G37" s="24" t="s">
        <v>2199</v>
      </c>
      <c r="H37" s="24" t="s">
        <v>2212</v>
      </c>
      <c r="I37" s="24" t="s">
        <v>2213</v>
      </c>
      <c r="J37" s="24" t="s">
        <v>761</v>
      </c>
      <c r="K37" s="24" t="s">
        <v>1146</v>
      </c>
      <c r="L37" s="25">
        <v>1070</v>
      </c>
      <c r="M37" s="26">
        <v>6</v>
      </c>
      <c r="N37" s="27">
        <v>6</v>
      </c>
      <c r="O37" s="28">
        <v>5.454545454545455E-3</v>
      </c>
      <c r="P37" s="28">
        <v>5.6814159292035402</v>
      </c>
    </row>
    <row r="38" spans="1:16" x14ac:dyDescent="0.3">
      <c r="A38" t="s">
        <v>2947</v>
      </c>
      <c r="B38" s="24">
        <v>300062</v>
      </c>
      <c r="C38" s="24" t="s">
        <v>2185</v>
      </c>
      <c r="D38" s="24" t="s">
        <v>2179</v>
      </c>
      <c r="E38" s="24" t="s">
        <v>2179</v>
      </c>
      <c r="F38" s="24" t="s">
        <v>1349</v>
      </c>
      <c r="G38" s="24" t="s">
        <v>2180</v>
      </c>
      <c r="H38" s="24" t="s">
        <v>2212</v>
      </c>
      <c r="I38" s="24" t="s">
        <v>2213</v>
      </c>
      <c r="J38" s="24" t="s">
        <v>761</v>
      </c>
      <c r="K38" s="24" t="s">
        <v>1352</v>
      </c>
      <c r="L38" s="25">
        <v>1</v>
      </c>
      <c r="M38" s="26">
        <v>600</v>
      </c>
      <c r="N38" s="27">
        <v>0.54545454545454541</v>
      </c>
      <c r="O38" s="28">
        <v>0.54545454545454541</v>
      </c>
      <c r="P38" s="28">
        <v>0.53097345132743368</v>
      </c>
    </row>
    <row r="39" spans="1:16" x14ac:dyDescent="0.3">
      <c r="A39" t="s">
        <v>2948</v>
      </c>
      <c r="B39" s="24">
        <v>300067</v>
      </c>
      <c r="C39" s="24" t="s">
        <v>2198</v>
      </c>
      <c r="D39" s="24" t="s">
        <v>2179</v>
      </c>
      <c r="E39" s="24" t="s">
        <v>2179</v>
      </c>
      <c r="F39" s="24" t="s">
        <v>1349</v>
      </c>
      <c r="G39" s="24" t="s">
        <v>2199</v>
      </c>
      <c r="H39" s="24" t="s">
        <v>2212</v>
      </c>
      <c r="I39" s="24" t="s">
        <v>2213</v>
      </c>
      <c r="J39" s="24" t="s">
        <v>761</v>
      </c>
      <c r="K39" s="24" t="s">
        <v>1146</v>
      </c>
      <c r="L39" s="25">
        <v>1070</v>
      </c>
      <c r="M39" s="26">
        <v>0.5</v>
      </c>
      <c r="N39" s="27">
        <v>0.5</v>
      </c>
      <c r="O39" s="28">
        <v>4.5454545454545455E-4</v>
      </c>
      <c r="P39" s="28">
        <v>0.47345132743362833</v>
      </c>
    </row>
    <row r="40" spans="1:16" x14ac:dyDescent="0.3">
      <c r="A40" t="s">
        <v>2949</v>
      </c>
      <c r="B40" s="24">
        <v>300070</v>
      </c>
      <c r="C40" s="24" t="s">
        <v>2223</v>
      </c>
      <c r="D40" s="24" t="s">
        <v>2179</v>
      </c>
      <c r="E40" s="24" t="s">
        <v>2179</v>
      </c>
      <c r="F40" s="24" t="s">
        <v>1237</v>
      </c>
      <c r="G40" s="24" t="s">
        <v>2216</v>
      </c>
      <c r="H40" s="24" t="s">
        <v>2212</v>
      </c>
      <c r="I40" s="24" t="s">
        <v>2213</v>
      </c>
      <c r="J40" s="24" t="s">
        <v>761</v>
      </c>
      <c r="K40" s="24" t="s">
        <v>1146</v>
      </c>
      <c r="L40" s="25">
        <v>1070</v>
      </c>
      <c r="M40" s="26">
        <v>0.47</v>
      </c>
      <c r="N40" s="27">
        <v>0.47</v>
      </c>
      <c r="O40" s="28">
        <v>4.2727272727272726E-4</v>
      </c>
      <c r="P40" s="28">
        <v>0.44504424778761059</v>
      </c>
    </row>
    <row r="41" spans="1:16" x14ac:dyDescent="0.3">
      <c r="A41" t="s">
        <v>2950</v>
      </c>
      <c r="B41" s="24">
        <v>300146</v>
      </c>
      <c r="C41" s="24" t="s">
        <v>2224</v>
      </c>
      <c r="D41" s="24" t="s">
        <v>2179</v>
      </c>
      <c r="E41" s="24" t="s">
        <v>2179</v>
      </c>
      <c r="F41" s="24" t="s">
        <v>1386</v>
      </c>
      <c r="G41" s="24" t="s">
        <v>2225</v>
      </c>
      <c r="H41" s="24" t="s">
        <v>2212</v>
      </c>
      <c r="I41" s="24" t="s">
        <v>2213</v>
      </c>
      <c r="J41" s="24" t="s">
        <v>761</v>
      </c>
      <c r="K41" s="24" t="s">
        <v>1146</v>
      </c>
      <c r="L41" s="25">
        <v>1070</v>
      </c>
      <c r="M41" s="26">
        <v>0.05</v>
      </c>
      <c r="N41" s="27">
        <v>0.05</v>
      </c>
      <c r="O41" s="28">
        <v>4.5454545454545459E-5</v>
      </c>
      <c r="P41" s="28">
        <v>4.7345132743362835E-2</v>
      </c>
    </row>
    <row r="42" spans="1:16" x14ac:dyDescent="0.3">
      <c r="A42" t="s">
        <v>2951</v>
      </c>
      <c r="B42" s="24">
        <v>700062</v>
      </c>
      <c r="C42" s="24" t="s">
        <v>2226</v>
      </c>
      <c r="D42" s="24" t="s">
        <v>2179</v>
      </c>
      <c r="E42" s="24" t="s">
        <v>2179</v>
      </c>
      <c r="F42" s="24" t="s">
        <v>1349</v>
      </c>
      <c r="G42" s="24" t="s">
        <v>2187</v>
      </c>
      <c r="H42" s="24" t="s">
        <v>2212</v>
      </c>
      <c r="I42" s="24" t="s">
        <v>2213</v>
      </c>
      <c r="J42" s="24" t="s">
        <v>761</v>
      </c>
      <c r="K42" s="24" t="s">
        <v>1352</v>
      </c>
      <c r="L42" s="25">
        <v>1</v>
      </c>
      <c r="M42" s="26">
        <v>480</v>
      </c>
      <c r="N42" s="27">
        <v>0.43636363636363634</v>
      </c>
      <c r="O42" s="28">
        <v>0.43636363636363634</v>
      </c>
      <c r="P42" s="28">
        <v>0.4247787610619469</v>
      </c>
    </row>
    <row r="43" spans="1:16" x14ac:dyDescent="0.3">
      <c r="A43" t="s">
        <v>2952</v>
      </c>
      <c r="B43" s="24">
        <v>142603</v>
      </c>
      <c r="C43" s="24" t="s">
        <v>2207</v>
      </c>
      <c r="D43" s="24" t="s">
        <v>2179</v>
      </c>
      <c r="E43" s="24" t="s">
        <v>2179</v>
      </c>
      <c r="F43" s="24" t="s">
        <v>1349</v>
      </c>
      <c r="G43" s="24" t="s">
        <v>2208</v>
      </c>
      <c r="H43" s="24" t="s">
        <v>2227</v>
      </c>
      <c r="I43" s="24" t="s">
        <v>2228</v>
      </c>
      <c r="J43" s="24" t="s">
        <v>761</v>
      </c>
      <c r="K43" s="24" t="s">
        <v>1146</v>
      </c>
      <c r="L43" s="25">
        <v>1070</v>
      </c>
      <c r="M43" s="26">
        <v>6.2</v>
      </c>
      <c r="N43" s="27">
        <v>6.2</v>
      </c>
      <c r="O43" s="28">
        <v>5.6363636363636364E-3</v>
      </c>
      <c r="P43" s="28">
        <v>5.8707964601769911</v>
      </c>
    </row>
    <row r="44" spans="1:16" x14ac:dyDescent="0.3">
      <c r="A44" t="s">
        <v>2953</v>
      </c>
      <c r="B44" s="24">
        <v>142603</v>
      </c>
      <c r="C44" s="24" t="s">
        <v>2207</v>
      </c>
      <c r="D44" s="24" t="s">
        <v>2179</v>
      </c>
      <c r="E44" s="24"/>
      <c r="F44" s="24" t="s">
        <v>1349</v>
      </c>
      <c r="G44" s="24" t="s">
        <v>2208</v>
      </c>
      <c r="H44" s="24" t="s">
        <v>2229</v>
      </c>
      <c r="I44" s="24" t="s">
        <v>2230</v>
      </c>
      <c r="J44" s="24" t="s">
        <v>761</v>
      </c>
      <c r="K44" s="24" t="s">
        <v>1146</v>
      </c>
      <c r="L44" s="25">
        <v>1070</v>
      </c>
      <c r="M44" s="26">
        <v>6.75</v>
      </c>
      <c r="N44" s="27">
        <v>6.75</v>
      </c>
      <c r="O44" s="28">
        <v>6.136363636363636E-3</v>
      </c>
      <c r="P44" s="28">
        <v>6.3915929203539825</v>
      </c>
    </row>
    <row r="45" spans="1:16" x14ac:dyDescent="0.3">
      <c r="A45" t="s">
        <v>2954</v>
      </c>
      <c r="B45" s="24">
        <v>142597</v>
      </c>
      <c r="C45" s="24" t="s">
        <v>2214</v>
      </c>
      <c r="D45" s="24" t="s">
        <v>2179</v>
      </c>
      <c r="E45" s="24" t="s">
        <v>2179</v>
      </c>
      <c r="F45" s="24" t="s">
        <v>1349</v>
      </c>
      <c r="G45" s="24" t="s">
        <v>2199</v>
      </c>
      <c r="H45" s="24" t="s">
        <v>2231</v>
      </c>
      <c r="I45" s="24" t="s">
        <v>2232</v>
      </c>
      <c r="J45" s="24" t="s">
        <v>761</v>
      </c>
      <c r="K45" s="24" t="s">
        <v>2194</v>
      </c>
      <c r="L45" s="25">
        <v>1300</v>
      </c>
      <c r="M45" s="26">
        <v>5.25</v>
      </c>
      <c r="N45" s="27">
        <v>6.0398230088495577</v>
      </c>
      <c r="O45" s="28">
        <v>4.7727272727272731E-3</v>
      </c>
      <c r="P45" s="28">
        <v>6.0398230088495577</v>
      </c>
    </row>
    <row r="46" spans="1:16" x14ac:dyDescent="0.3">
      <c r="A46" t="s">
        <v>2955</v>
      </c>
      <c r="B46" s="24">
        <v>142599</v>
      </c>
      <c r="C46" s="24" t="s">
        <v>2233</v>
      </c>
      <c r="D46" s="24" t="s">
        <v>2179</v>
      </c>
      <c r="E46" s="24" t="s">
        <v>2179</v>
      </c>
      <c r="F46" s="24" t="s">
        <v>1349</v>
      </c>
      <c r="G46" s="24" t="s">
        <v>2208</v>
      </c>
      <c r="H46" s="24" t="s">
        <v>2231</v>
      </c>
      <c r="I46" s="24" t="s">
        <v>2232</v>
      </c>
      <c r="J46" s="24" t="s">
        <v>761</v>
      </c>
      <c r="K46" s="24" t="s">
        <v>1146</v>
      </c>
      <c r="L46" s="25">
        <v>1070</v>
      </c>
      <c r="M46" s="26">
        <v>6.99</v>
      </c>
      <c r="N46" s="27">
        <v>6.99</v>
      </c>
      <c r="O46" s="28">
        <v>6.3545454545454547E-3</v>
      </c>
      <c r="P46" s="28">
        <v>6.6188495575221244</v>
      </c>
    </row>
    <row r="47" spans="1:16" x14ac:dyDescent="0.3">
      <c r="A47" t="s">
        <v>2956</v>
      </c>
      <c r="B47" s="24">
        <v>142603</v>
      </c>
      <c r="C47" s="24" t="s">
        <v>2207</v>
      </c>
      <c r="D47" s="24" t="s">
        <v>2179</v>
      </c>
      <c r="E47" s="24" t="s">
        <v>2179</v>
      </c>
      <c r="F47" s="24" t="s">
        <v>1349</v>
      </c>
      <c r="G47" s="24" t="s">
        <v>2208</v>
      </c>
      <c r="H47" s="24" t="s">
        <v>2231</v>
      </c>
      <c r="I47" s="24" t="s">
        <v>2232</v>
      </c>
      <c r="J47" s="24" t="s">
        <v>761</v>
      </c>
      <c r="K47" s="24" t="s">
        <v>1146</v>
      </c>
      <c r="L47" s="25">
        <v>1070</v>
      </c>
      <c r="M47" s="26">
        <v>6.75</v>
      </c>
      <c r="N47" s="27">
        <v>6.75</v>
      </c>
      <c r="O47" s="28">
        <v>6.136363636363636E-3</v>
      </c>
      <c r="P47" s="28">
        <v>6.3915929203539825</v>
      </c>
    </row>
    <row r="48" spans="1:16" x14ac:dyDescent="0.3">
      <c r="A48" t="s">
        <v>2957</v>
      </c>
      <c r="B48" s="24">
        <v>142612</v>
      </c>
      <c r="C48" s="24" t="s">
        <v>2234</v>
      </c>
      <c r="D48" s="24" t="s">
        <v>2179</v>
      </c>
      <c r="E48" s="24" t="s">
        <v>2179</v>
      </c>
      <c r="F48" s="24" t="s">
        <v>1349</v>
      </c>
      <c r="G48" s="24" t="s">
        <v>2208</v>
      </c>
      <c r="H48" s="24" t="s">
        <v>2231</v>
      </c>
      <c r="I48" s="24" t="s">
        <v>2232</v>
      </c>
      <c r="J48" s="24" t="s">
        <v>761</v>
      </c>
      <c r="K48" s="24" t="s">
        <v>2194</v>
      </c>
      <c r="L48" s="25">
        <v>1300</v>
      </c>
      <c r="M48" s="26">
        <v>5.99</v>
      </c>
      <c r="N48" s="27">
        <v>6.8911504424778762</v>
      </c>
      <c r="O48" s="28">
        <v>5.4454545454545459E-3</v>
      </c>
      <c r="P48" s="28">
        <v>6.8911504424778762</v>
      </c>
    </row>
    <row r="49" spans="1:16" x14ac:dyDescent="0.3">
      <c r="A49" t="s">
        <v>2958</v>
      </c>
      <c r="B49" s="24">
        <v>142639</v>
      </c>
      <c r="C49" s="24" t="s">
        <v>2235</v>
      </c>
      <c r="D49" s="24" t="s">
        <v>2179</v>
      </c>
      <c r="E49" s="24" t="s">
        <v>2179</v>
      </c>
      <c r="F49" s="24" t="s">
        <v>1349</v>
      </c>
      <c r="G49" s="24" t="s">
        <v>2199</v>
      </c>
      <c r="H49" s="24" t="s">
        <v>2231</v>
      </c>
      <c r="I49" s="24" t="s">
        <v>2232</v>
      </c>
      <c r="J49" s="24" t="s">
        <v>761</v>
      </c>
      <c r="K49" s="24" t="s">
        <v>2194</v>
      </c>
      <c r="L49" s="25">
        <v>1300</v>
      </c>
      <c r="M49" s="26">
        <v>5.15</v>
      </c>
      <c r="N49" s="27">
        <v>5.9247787610619476</v>
      </c>
      <c r="O49" s="28">
        <v>4.681818181818182E-3</v>
      </c>
      <c r="P49" s="28">
        <v>5.9247787610619476</v>
      </c>
    </row>
    <row r="50" spans="1:16" x14ac:dyDescent="0.3">
      <c r="A50" t="s">
        <v>2959</v>
      </c>
      <c r="B50" s="24">
        <v>142664</v>
      </c>
      <c r="C50" s="24" t="s">
        <v>2236</v>
      </c>
      <c r="D50" s="24" t="s">
        <v>2179</v>
      </c>
      <c r="E50" s="24" t="s">
        <v>2179</v>
      </c>
      <c r="F50" s="24" t="s">
        <v>1349</v>
      </c>
      <c r="G50" s="24" t="s">
        <v>2208</v>
      </c>
      <c r="H50" s="24" t="s">
        <v>2231</v>
      </c>
      <c r="I50" s="24" t="s">
        <v>2232</v>
      </c>
      <c r="J50" s="24" t="s">
        <v>761</v>
      </c>
      <c r="K50" s="24" t="s">
        <v>1146</v>
      </c>
      <c r="L50" s="25">
        <v>1070</v>
      </c>
      <c r="M50" s="26">
        <v>6</v>
      </c>
      <c r="N50" s="27">
        <v>6</v>
      </c>
      <c r="O50" s="28">
        <v>5.454545454545455E-3</v>
      </c>
      <c r="P50" s="28">
        <v>5.6814159292035402</v>
      </c>
    </row>
    <row r="51" spans="1:16" x14ac:dyDescent="0.3">
      <c r="A51" t="s">
        <v>2960</v>
      </c>
      <c r="B51" s="24">
        <v>142796</v>
      </c>
      <c r="C51" s="24" t="s">
        <v>2237</v>
      </c>
      <c r="D51" s="24" t="s">
        <v>2179</v>
      </c>
      <c r="E51" s="24" t="s">
        <v>2179</v>
      </c>
      <c r="F51" s="24" t="s">
        <v>1349</v>
      </c>
      <c r="G51" s="24" t="s">
        <v>2208</v>
      </c>
      <c r="H51" s="24" t="s">
        <v>2231</v>
      </c>
      <c r="I51" s="24" t="s">
        <v>2232</v>
      </c>
      <c r="J51" s="24" t="s">
        <v>761</v>
      </c>
      <c r="K51" s="24" t="s">
        <v>1146</v>
      </c>
      <c r="L51" s="25">
        <v>1070</v>
      </c>
      <c r="M51" s="26">
        <v>6.5</v>
      </c>
      <c r="N51" s="27">
        <v>6.5</v>
      </c>
      <c r="O51" s="28">
        <v>5.909090909090909E-3</v>
      </c>
      <c r="P51" s="28">
        <v>6.1548672566371678</v>
      </c>
    </row>
    <row r="52" spans="1:16" x14ac:dyDescent="0.3">
      <c r="A52" t="s">
        <v>2961</v>
      </c>
      <c r="B52" s="24">
        <v>142807</v>
      </c>
      <c r="C52" s="24" t="s">
        <v>2217</v>
      </c>
      <c r="D52" s="24" t="s">
        <v>2179</v>
      </c>
      <c r="E52" s="24" t="s">
        <v>2179</v>
      </c>
      <c r="F52" s="24" t="s">
        <v>1349</v>
      </c>
      <c r="G52" s="24" t="s">
        <v>2208</v>
      </c>
      <c r="H52" s="24" t="s">
        <v>2231</v>
      </c>
      <c r="I52" s="24" t="s">
        <v>2232</v>
      </c>
      <c r="J52" s="24" t="s">
        <v>761</v>
      </c>
      <c r="K52" s="24" t="s">
        <v>1146</v>
      </c>
      <c r="L52" s="25">
        <v>1070</v>
      </c>
      <c r="M52" s="26">
        <v>6.86</v>
      </c>
      <c r="N52" s="27">
        <v>6.86</v>
      </c>
      <c r="O52" s="28">
        <v>6.2363636363636362E-3</v>
      </c>
      <c r="P52" s="28">
        <v>6.4957522123893812</v>
      </c>
    </row>
    <row r="53" spans="1:16" x14ac:dyDescent="0.3">
      <c r="A53" t="s">
        <v>2962</v>
      </c>
      <c r="B53" s="24">
        <v>300008</v>
      </c>
      <c r="C53" s="24" t="s">
        <v>2219</v>
      </c>
      <c r="D53" s="24" t="s">
        <v>2179</v>
      </c>
      <c r="E53" s="24" t="s">
        <v>2179</v>
      </c>
      <c r="F53" s="24" t="s">
        <v>2220</v>
      </c>
      <c r="G53" s="24" t="s">
        <v>2179</v>
      </c>
      <c r="H53" s="24" t="s">
        <v>2231</v>
      </c>
      <c r="I53" s="24" t="s">
        <v>2232</v>
      </c>
      <c r="J53" s="24" t="s">
        <v>761</v>
      </c>
      <c r="K53" s="24" t="s">
        <v>1146</v>
      </c>
      <c r="L53" s="25">
        <v>1070</v>
      </c>
      <c r="M53" s="26">
        <v>5.8</v>
      </c>
      <c r="N53" s="27">
        <v>5.8</v>
      </c>
      <c r="O53" s="28">
        <v>5.2727272727272727E-3</v>
      </c>
      <c r="P53" s="28">
        <v>5.4920353982300885</v>
      </c>
    </row>
    <row r="54" spans="1:16" x14ac:dyDescent="0.3">
      <c r="A54" t="s">
        <v>2963</v>
      </c>
      <c r="B54" s="24">
        <v>141111</v>
      </c>
      <c r="C54" s="24" t="s">
        <v>2238</v>
      </c>
      <c r="D54" s="24" t="s">
        <v>2179</v>
      </c>
      <c r="E54" s="24" t="s">
        <v>2179</v>
      </c>
      <c r="F54" s="24" t="s">
        <v>1349</v>
      </c>
      <c r="G54" s="24" t="s">
        <v>2191</v>
      </c>
      <c r="H54" s="24" t="s">
        <v>2239</v>
      </c>
      <c r="I54" s="24" t="s">
        <v>2240</v>
      </c>
      <c r="J54" s="24" t="s">
        <v>761</v>
      </c>
      <c r="K54" s="24" t="s">
        <v>1146</v>
      </c>
      <c r="L54" s="25">
        <v>1070</v>
      </c>
      <c r="M54" s="26">
        <v>2</v>
      </c>
      <c r="N54" s="27">
        <v>2</v>
      </c>
      <c r="O54" s="28">
        <v>1.8181818181818182E-3</v>
      </c>
      <c r="P54" s="28">
        <v>1.8938053097345133</v>
      </c>
    </row>
    <row r="55" spans="1:16" x14ac:dyDescent="0.3">
      <c r="A55" t="s">
        <v>2964</v>
      </c>
      <c r="B55" s="24">
        <v>142603</v>
      </c>
      <c r="C55" s="24" t="s">
        <v>2207</v>
      </c>
      <c r="D55" s="24" t="s">
        <v>2179</v>
      </c>
      <c r="E55" s="24" t="s">
        <v>2179</v>
      </c>
      <c r="F55" s="24" t="s">
        <v>1349</v>
      </c>
      <c r="G55" s="24" t="s">
        <v>2208</v>
      </c>
      <c r="H55" s="24" t="s">
        <v>2241</v>
      </c>
      <c r="I55" s="24" t="s">
        <v>2242</v>
      </c>
      <c r="J55" s="24" t="s">
        <v>761</v>
      </c>
      <c r="K55" s="24" t="s">
        <v>1146</v>
      </c>
      <c r="L55" s="25">
        <v>1070</v>
      </c>
      <c r="M55" s="26">
        <v>7.29</v>
      </c>
      <c r="N55" s="27">
        <v>7.29</v>
      </c>
      <c r="O55" s="28">
        <v>6.6272727272727273E-3</v>
      </c>
      <c r="P55" s="28">
        <v>6.9029203539823012</v>
      </c>
    </row>
    <row r="56" spans="1:16" x14ac:dyDescent="0.3">
      <c r="A56" t="s">
        <v>2965</v>
      </c>
      <c r="B56" s="24">
        <v>142612</v>
      </c>
      <c r="C56" s="24" t="s">
        <v>2234</v>
      </c>
      <c r="D56" s="24" t="s">
        <v>2179</v>
      </c>
      <c r="E56" s="24" t="s">
        <v>2179</v>
      </c>
      <c r="F56" s="24" t="s">
        <v>1349</v>
      </c>
      <c r="G56" s="24" t="s">
        <v>2208</v>
      </c>
      <c r="H56" s="24" t="s">
        <v>2241</v>
      </c>
      <c r="I56" s="24" t="s">
        <v>2242</v>
      </c>
      <c r="J56" s="24" t="s">
        <v>761</v>
      </c>
      <c r="K56" s="24" t="s">
        <v>1146</v>
      </c>
      <c r="L56" s="25">
        <v>1070</v>
      </c>
      <c r="M56" s="26">
        <v>7.29</v>
      </c>
      <c r="N56" s="27">
        <v>7.29</v>
      </c>
      <c r="O56" s="28">
        <v>6.6272727272727273E-3</v>
      </c>
      <c r="P56" s="28">
        <v>6.9029203539823012</v>
      </c>
    </row>
    <row r="57" spans="1:16" x14ac:dyDescent="0.3">
      <c r="A57" t="s">
        <v>2966</v>
      </c>
      <c r="B57" s="24">
        <v>101906</v>
      </c>
      <c r="C57" s="24" t="s">
        <v>2243</v>
      </c>
      <c r="D57" s="24" t="s">
        <v>2179</v>
      </c>
      <c r="E57" s="24" t="s">
        <v>2179</v>
      </c>
      <c r="F57" s="24" t="s">
        <v>1349</v>
      </c>
      <c r="G57" s="24" t="s">
        <v>2180</v>
      </c>
      <c r="H57" s="24" t="s">
        <v>2244</v>
      </c>
      <c r="I57" s="24" t="s">
        <v>2245</v>
      </c>
      <c r="J57" s="24" t="s">
        <v>761</v>
      </c>
      <c r="K57" s="24" t="s">
        <v>1352</v>
      </c>
      <c r="L57" s="25">
        <v>1</v>
      </c>
      <c r="M57" s="26">
        <v>8700</v>
      </c>
      <c r="N57" s="27">
        <v>7.9090909090909092</v>
      </c>
      <c r="O57" s="28">
        <v>7.9090909090909092</v>
      </c>
      <c r="P57" s="28">
        <v>7.6991150442477876</v>
      </c>
    </row>
    <row r="58" spans="1:16" x14ac:dyDescent="0.3">
      <c r="A58" t="s">
        <v>2967</v>
      </c>
      <c r="B58" s="24">
        <v>142475</v>
      </c>
      <c r="C58" s="24" t="s">
        <v>2246</v>
      </c>
      <c r="D58" s="24" t="s">
        <v>2179</v>
      </c>
      <c r="E58" s="24" t="s">
        <v>2179</v>
      </c>
      <c r="F58" s="24" t="s">
        <v>1349</v>
      </c>
      <c r="G58" s="24" t="s">
        <v>2208</v>
      </c>
      <c r="H58" s="24" t="s">
        <v>2244</v>
      </c>
      <c r="I58" s="24" t="s">
        <v>2245</v>
      </c>
      <c r="J58" s="24" t="s">
        <v>761</v>
      </c>
      <c r="K58" s="24" t="s">
        <v>1146</v>
      </c>
      <c r="L58" s="25">
        <v>1070</v>
      </c>
      <c r="M58" s="26">
        <v>7.12</v>
      </c>
      <c r="N58" s="27">
        <v>7.12</v>
      </c>
      <c r="O58" s="28">
        <v>6.4727272727272732E-3</v>
      </c>
      <c r="P58" s="28">
        <v>6.7419469026548677</v>
      </c>
    </row>
    <row r="59" spans="1:16" x14ac:dyDescent="0.3">
      <c r="A59" t="s">
        <v>2968</v>
      </c>
      <c r="B59" s="24">
        <v>142639</v>
      </c>
      <c r="C59" s="24" t="s">
        <v>2235</v>
      </c>
      <c r="D59" s="24" t="s">
        <v>2179</v>
      </c>
      <c r="E59" s="24" t="s">
        <v>2179</v>
      </c>
      <c r="F59" s="24" t="s">
        <v>1349</v>
      </c>
      <c r="G59" s="24" t="s">
        <v>2199</v>
      </c>
      <c r="H59" s="24" t="s">
        <v>2244</v>
      </c>
      <c r="I59" s="24" t="s">
        <v>2245</v>
      </c>
      <c r="J59" s="24" t="s">
        <v>761</v>
      </c>
      <c r="K59" s="24" t="s">
        <v>2194</v>
      </c>
      <c r="L59" s="25">
        <v>1300</v>
      </c>
      <c r="M59" s="26">
        <v>5.95</v>
      </c>
      <c r="N59" s="27">
        <v>6.8451327433628322</v>
      </c>
      <c r="O59" s="28">
        <v>5.4090909090909094E-3</v>
      </c>
      <c r="P59" s="28">
        <v>6.8451327433628322</v>
      </c>
    </row>
    <row r="60" spans="1:16" x14ac:dyDescent="0.3">
      <c r="A60" t="s">
        <v>2969</v>
      </c>
      <c r="B60" s="24">
        <v>142796</v>
      </c>
      <c r="C60" s="24" t="s">
        <v>2237</v>
      </c>
      <c r="D60" s="24" t="s">
        <v>2179</v>
      </c>
      <c r="E60" s="24" t="s">
        <v>2179</v>
      </c>
      <c r="F60" s="24" t="s">
        <v>1349</v>
      </c>
      <c r="G60" s="24" t="s">
        <v>2208</v>
      </c>
      <c r="H60" s="24" t="s">
        <v>2244</v>
      </c>
      <c r="I60" s="24" t="s">
        <v>2245</v>
      </c>
      <c r="J60" s="24" t="s">
        <v>761</v>
      </c>
      <c r="K60" s="24" t="s">
        <v>1146</v>
      </c>
      <c r="L60" s="25">
        <v>1070</v>
      </c>
      <c r="M60" s="26">
        <v>7.22</v>
      </c>
      <c r="N60" s="27">
        <v>7.22</v>
      </c>
      <c r="O60" s="28">
        <v>6.5636363636363635E-3</v>
      </c>
      <c r="P60" s="28">
        <v>6.8366371681415927</v>
      </c>
    </row>
    <row r="61" spans="1:16" x14ac:dyDescent="0.3">
      <c r="A61" t="s">
        <v>2970</v>
      </c>
      <c r="B61" s="24">
        <v>142807</v>
      </c>
      <c r="C61" s="24" t="s">
        <v>2217</v>
      </c>
      <c r="D61" s="24" t="s">
        <v>2179</v>
      </c>
      <c r="E61" s="24" t="s">
        <v>2179</v>
      </c>
      <c r="F61" s="24" t="s">
        <v>1349</v>
      </c>
      <c r="G61" s="24" t="s">
        <v>2208</v>
      </c>
      <c r="H61" s="24" t="s">
        <v>2244</v>
      </c>
      <c r="I61" s="24" t="s">
        <v>2245</v>
      </c>
      <c r="J61" s="24" t="s">
        <v>761</v>
      </c>
      <c r="K61" s="24" t="s">
        <v>1146</v>
      </c>
      <c r="L61" s="25">
        <v>1070</v>
      </c>
      <c r="M61" s="26">
        <v>7.68</v>
      </c>
      <c r="N61" s="27">
        <v>7.68</v>
      </c>
      <c r="O61" s="28">
        <v>6.9818181818181819E-3</v>
      </c>
      <c r="P61" s="28">
        <v>7.2722123893805311</v>
      </c>
    </row>
    <row r="62" spans="1:16" x14ac:dyDescent="0.3">
      <c r="A62" t="s">
        <v>2971</v>
      </c>
      <c r="B62" s="24">
        <v>142825</v>
      </c>
      <c r="C62" s="24" t="s">
        <v>2218</v>
      </c>
      <c r="D62" s="24" t="s">
        <v>2179</v>
      </c>
      <c r="E62" s="24" t="s">
        <v>2179</v>
      </c>
      <c r="F62" s="24" t="s">
        <v>1349</v>
      </c>
      <c r="G62" s="24" t="s">
        <v>2208</v>
      </c>
      <c r="H62" s="24" t="s">
        <v>2244</v>
      </c>
      <c r="I62" s="24" t="s">
        <v>2245</v>
      </c>
      <c r="J62" s="24" t="s">
        <v>761</v>
      </c>
      <c r="K62" s="24" t="s">
        <v>1146</v>
      </c>
      <c r="L62" s="25">
        <v>1070</v>
      </c>
      <c r="M62" s="26">
        <v>7</v>
      </c>
      <c r="N62" s="27">
        <v>7</v>
      </c>
      <c r="O62" s="28">
        <v>6.3636363636363638E-3</v>
      </c>
      <c r="P62" s="28">
        <v>6.6283185840707963</v>
      </c>
    </row>
    <row r="63" spans="1:16" x14ac:dyDescent="0.3">
      <c r="A63" t="s">
        <v>2972</v>
      </c>
      <c r="B63" s="24">
        <v>300008</v>
      </c>
      <c r="C63" s="24" t="s">
        <v>2219</v>
      </c>
      <c r="D63" s="24" t="s">
        <v>2179</v>
      </c>
      <c r="E63" s="24" t="s">
        <v>2179</v>
      </c>
      <c r="F63" s="24" t="s">
        <v>2220</v>
      </c>
      <c r="G63" s="24" t="s">
        <v>2179</v>
      </c>
      <c r="H63" s="24" t="s">
        <v>2244</v>
      </c>
      <c r="I63" s="24" t="s">
        <v>2245</v>
      </c>
      <c r="J63" s="24" t="s">
        <v>761</v>
      </c>
      <c r="K63" s="24" t="s">
        <v>1146</v>
      </c>
      <c r="L63" s="25">
        <v>1070</v>
      </c>
      <c r="M63" s="26">
        <v>6.4</v>
      </c>
      <c r="N63" s="27">
        <v>6.4</v>
      </c>
      <c r="O63" s="28">
        <v>5.8181818181818187E-3</v>
      </c>
      <c r="P63" s="28">
        <v>6.0601769911504428</v>
      </c>
    </row>
    <row r="64" spans="1:16" x14ac:dyDescent="0.3">
      <c r="A64" t="s">
        <v>2973</v>
      </c>
      <c r="B64" s="24">
        <v>101906</v>
      </c>
      <c r="C64" s="24" t="s">
        <v>2243</v>
      </c>
      <c r="D64" s="24" t="s">
        <v>2179</v>
      </c>
      <c r="E64" s="24" t="s">
        <v>2179</v>
      </c>
      <c r="F64" s="24" t="s">
        <v>1349</v>
      </c>
      <c r="G64" s="24" t="s">
        <v>2180</v>
      </c>
      <c r="H64" s="24" t="s">
        <v>2247</v>
      </c>
      <c r="I64" s="24" t="s">
        <v>2248</v>
      </c>
      <c r="J64" s="24" t="s">
        <v>761</v>
      </c>
      <c r="K64" s="24" t="s">
        <v>1352</v>
      </c>
      <c r="L64" s="25">
        <v>1</v>
      </c>
      <c r="M64" s="26">
        <v>10000</v>
      </c>
      <c r="N64" s="27">
        <v>9.0909090909090917</v>
      </c>
      <c r="O64" s="28">
        <v>9.0909090909090917</v>
      </c>
      <c r="P64" s="28">
        <v>8.8495575221238933</v>
      </c>
    </row>
    <row r="65" spans="1:16" x14ac:dyDescent="0.3">
      <c r="A65" t="s">
        <v>2974</v>
      </c>
      <c r="B65" s="24">
        <v>300111</v>
      </c>
      <c r="C65" s="24" t="s">
        <v>2202</v>
      </c>
      <c r="D65" s="24" t="s">
        <v>2179</v>
      </c>
      <c r="E65" s="24" t="s">
        <v>2179</v>
      </c>
      <c r="F65" s="24" t="s">
        <v>1349</v>
      </c>
      <c r="G65" s="24" t="s">
        <v>2191</v>
      </c>
      <c r="H65" s="24" t="s">
        <v>2249</v>
      </c>
      <c r="I65" s="24" t="s">
        <v>2250</v>
      </c>
      <c r="J65" s="24" t="s">
        <v>761</v>
      </c>
      <c r="K65" s="24" t="s">
        <v>2194</v>
      </c>
      <c r="L65" s="25">
        <v>1300</v>
      </c>
      <c r="M65" s="26">
        <v>5.9</v>
      </c>
      <c r="N65" s="27">
        <v>6.7876106194690271</v>
      </c>
      <c r="O65" s="28">
        <v>5.3636363636363638E-3</v>
      </c>
      <c r="P65" s="28">
        <v>6.7876106194690271</v>
      </c>
    </row>
    <row r="66" spans="1:16" x14ac:dyDescent="0.3">
      <c r="A66" t="s">
        <v>2975</v>
      </c>
      <c r="B66" s="24">
        <v>300042</v>
      </c>
      <c r="C66" s="24" t="s">
        <v>2190</v>
      </c>
      <c r="D66" s="24" t="s">
        <v>2179</v>
      </c>
      <c r="E66" s="24" t="s">
        <v>2179</v>
      </c>
      <c r="F66" s="24" t="s">
        <v>1349</v>
      </c>
      <c r="G66" s="24" t="s">
        <v>2191</v>
      </c>
      <c r="H66" s="24" t="s">
        <v>2251</v>
      </c>
      <c r="I66" s="24" t="s">
        <v>2252</v>
      </c>
      <c r="J66" s="24" t="s">
        <v>761</v>
      </c>
      <c r="K66" s="24" t="s">
        <v>2194</v>
      </c>
      <c r="L66" s="25">
        <v>1300</v>
      </c>
      <c r="M66" s="26">
        <v>7.4</v>
      </c>
      <c r="N66" s="27">
        <v>8.5132743362831853</v>
      </c>
      <c r="O66" s="28">
        <v>6.7272727272727276E-3</v>
      </c>
      <c r="P66" s="28">
        <v>8.5132743362831853</v>
      </c>
    </row>
    <row r="67" spans="1:16" x14ac:dyDescent="0.3">
      <c r="A67" t="s">
        <v>2976</v>
      </c>
      <c r="B67" s="24">
        <v>142582</v>
      </c>
      <c r="C67" s="24" t="s">
        <v>2253</v>
      </c>
      <c r="D67" s="24" t="s">
        <v>2179</v>
      </c>
      <c r="E67" s="24" t="s">
        <v>2179</v>
      </c>
      <c r="F67" s="24" t="s">
        <v>1349</v>
      </c>
      <c r="G67" s="24" t="s">
        <v>2208</v>
      </c>
      <c r="H67" s="24" t="s">
        <v>2254</v>
      </c>
      <c r="I67" s="24" t="s">
        <v>2248</v>
      </c>
      <c r="J67" s="24" t="s">
        <v>761</v>
      </c>
      <c r="K67" s="24" t="s">
        <v>1146</v>
      </c>
      <c r="L67" s="25">
        <v>1070</v>
      </c>
      <c r="M67" s="26">
        <v>8.73</v>
      </c>
      <c r="N67" s="27">
        <v>8.73</v>
      </c>
      <c r="O67" s="28">
        <v>7.9363636363636372E-3</v>
      </c>
      <c r="P67" s="28">
        <v>8.266460176991151</v>
      </c>
    </row>
    <row r="68" spans="1:16" x14ac:dyDescent="0.3">
      <c r="A68" t="s">
        <v>2977</v>
      </c>
      <c r="B68" s="24">
        <v>142612</v>
      </c>
      <c r="C68" s="24" t="s">
        <v>2234</v>
      </c>
      <c r="D68" s="24" t="s">
        <v>2179</v>
      </c>
      <c r="E68" s="24" t="s">
        <v>2179</v>
      </c>
      <c r="F68" s="24" t="s">
        <v>1349</v>
      </c>
      <c r="G68" s="24" t="s">
        <v>2208</v>
      </c>
      <c r="H68" s="24" t="s">
        <v>2254</v>
      </c>
      <c r="I68" s="24" t="s">
        <v>2248</v>
      </c>
      <c r="J68" s="24" t="s">
        <v>761</v>
      </c>
      <c r="K68" s="24" t="s">
        <v>1146</v>
      </c>
      <c r="L68" s="25">
        <v>1070</v>
      </c>
      <c r="M68" s="26">
        <v>9</v>
      </c>
      <c r="N68" s="27">
        <v>9</v>
      </c>
      <c r="O68" s="28">
        <v>8.1818181818181825E-3</v>
      </c>
      <c r="P68" s="28">
        <v>8.5221238938053094</v>
      </c>
    </row>
    <row r="69" spans="1:16" x14ac:dyDescent="0.3">
      <c r="A69" t="s">
        <v>2978</v>
      </c>
      <c r="B69" s="24">
        <v>142639</v>
      </c>
      <c r="C69" s="24" t="s">
        <v>2235</v>
      </c>
      <c r="D69" s="24" t="s">
        <v>2179</v>
      </c>
      <c r="E69" s="24" t="s">
        <v>2179</v>
      </c>
      <c r="F69" s="24" t="s">
        <v>1349</v>
      </c>
      <c r="G69" s="24" t="s">
        <v>2199</v>
      </c>
      <c r="H69" s="24" t="s">
        <v>2254</v>
      </c>
      <c r="I69" s="24" t="s">
        <v>2248</v>
      </c>
      <c r="J69" s="24" t="s">
        <v>761</v>
      </c>
      <c r="K69" s="24" t="s">
        <v>2194</v>
      </c>
      <c r="L69" s="25">
        <v>1300</v>
      </c>
      <c r="M69" s="26">
        <v>9</v>
      </c>
      <c r="N69" s="27">
        <v>10.353982300884956</v>
      </c>
      <c r="O69" s="28">
        <v>8.1818181818181825E-3</v>
      </c>
      <c r="P69" s="28">
        <v>10.353982300884956</v>
      </c>
    </row>
    <row r="70" spans="1:16" x14ac:dyDescent="0.3">
      <c r="A70" t="s">
        <v>2979</v>
      </c>
      <c r="B70" s="24">
        <v>142651</v>
      </c>
      <c r="C70" s="24" t="s">
        <v>2178</v>
      </c>
      <c r="D70" s="24" t="s">
        <v>2179</v>
      </c>
      <c r="E70" s="24" t="s">
        <v>2179</v>
      </c>
      <c r="F70" s="24" t="s">
        <v>1349</v>
      </c>
      <c r="G70" s="24" t="s">
        <v>2180</v>
      </c>
      <c r="H70" s="24" t="s">
        <v>2254</v>
      </c>
      <c r="I70" s="24" t="s">
        <v>2248</v>
      </c>
      <c r="J70" s="24" t="s">
        <v>761</v>
      </c>
      <c r="K70" s="24" t="s">
        <v>1352</v>
      </c>
      <c r="L70" s="25">
        <v>1</v>
      </c>
      <c r="M70" s="26">
        <v>10000</v>
      </c>
      <c r="N70" s="27">
        <v>9.0909090909090917</v>
      </c>
      <c r="O70" s="28">
        <v>9.0909090909090917</v>
      </c>
      <c r="P70" s="28">
        <v>8.8495575221238933</v>
      </c>
    </row>
    <row r="71" spans="1:16" x14ac:dyDescent="0.3">
      <c r="A71" t="s">
        <v>2980</v>
      </c>
      <c r="B71" s="24">
        <v>300008</v>
      </c>
      <c r="C71" s="24" t="s">
        <v>2219</v>
      </c>
      <c r="D71" s="24" t="s">
        <v>2179</v>
      </c>
      <c r="E71" s="24" t="s">
        <v>2179</v>
      </c>
      <c r="F71" s="24" t="s">
        <v>2220</v>
      </c>
      <c r="G71" s="24" t="s">
        <v>2179</v>
      </c>
      <c r="H71" s="24" t="s">
        <v>2254</v>
      </c>
      <c r="I71" s="24" t="s">
        <v>2248</v>
      </c>
      <c r="J71" s="24" t="s">
        <v>761</v>
      </c>
      <c r="K71" s="24" t="s">
        <v>1146</v>
      </c>
      <c r="L71" s="25">
        <v>1070</v>
      </c>
      <c r="M71" s="26">
        <v>8.5</v>
      </c>
      <c r="N71" s="27">
        <v>8.5</v>
      </c>
      <c r="O71" s="28">
        <v>7.7272727272727276E-3</v>
      </c>
      <c r="P71" s="28">
        <v>8.0486725663716818</v>
      </c>
    </row>
    <row r="72" spans="1:16" x14ac:dyDescent="0.3">
      <c r="A72" t="s">
        <v>2981</v>
      </c>
      <c r="B72" s="24">
        <v>300039</v>
      </c>
      <c r="C72" s="24" t="s">
        <v>2221</v>
      </c>
      <c r="D72" s="24" t="s">
        <v>2179</v>
      </c>
      <c r="E72" s="24" t="s">
        <v>2179</v>
      </c>
      <c r="F72" s="24" t="s">
        <v>1349</v>
      </c>
      <c r="G72" s="24" t="s">
        <v>2199</v>
      </c>
      <c r="H72" s="24" t="s">
        <v>2254</v>
      </c>
      <c r="I72" s="24" t="s">
        <v>2248</v>
      </c>
      <c r="J72" s="24" t="s">
        <v>761</v>
      </c>
      <c r="K72" s="24" t="s">
        <v>1146</v>
      </c>
      <c r="L72" s="25">
        <v>1070</v>
      </c>
      <c r="M72" s="26">
        <v>10.91</v>
      </c>
      <c r="N72" s="27">
        <v>10.91</v>
      </c>
      <c r="O72" s="28">
        <v>9.918181818181819E-3</v>
      </c>
      <c r="P72" s="28">
        <v>10.330707964601771</v>
      </c>
    </row>
    <row r="73" spans="1:16" x14ac:dyDescent="0.3">
      <c r="A73" t="s">
        <v>2982</v>
      </c>
      <c r="B73" s="24">
        <v>300040</v>
      </c>
      <c r="C73" s="24" t="s">
        <v>2255</v>
      </c>
      <c r="D73" s="24" t="s">
        <v>2179</v>
      </c>
      <c r="E73" s="24" t="s">
        <v>2179</v>
      </c>
      <c r="F73" s="24" t="s">
        <v>1349</v>
      </c>
      <c r="G73" s="24" t="s">
        <v>2208</v>
      </c>
      <c r="H73" s="24" t="s">
        <v>2254</v>
      </c>
      <c r="I73" s="24" t="s">
        <v>2248</v>
      </c>
      <c r="J73" s="24" t="s">
        <v>761</v>
      </c>
      <c r="K73" s="24" t="s">
        <v>1146</v>
      </c>
      <c r="L73" s="25">
        <v>1070</v>
      </c>
      <c r="M73" s="26">
        <v>10.39</v>
      </c>
      <c r="N73" s="27">
        <v>10.39</v>
      </c>
      <c r="O73" s="28">
        <v>9.4454545454545468E-3</v>
      </c>
      <c r="P73" s="28">
        <v>9.8383185840707981</v>
      </c>
    </row>
    <row r="74" spans="1:16" x14ac:dyDescent="0.3">
      <c r="A74" t="s">
        <v>2983</v>
      </c>
      <c r="B74" s="24">
        <v>300042</v>
      </c>
      <c r="C74" s="24" t="s">
        <v>2190</v>
      </c>
      <c r="D74" s="24" t="s">
        <v>2179</v>
      </c>
      <c r="E74" s="24" t="s">
        <v>2179</v>
      </c>
      <c r="F74" s="24" t="s">
        <v>1349</v>
      </c>
      <c r="G74" s="24" t="s">
        <v>2191</v>
      </c>
      <c r="H74" s="24" t="s">
        <v>2254</v>
      </c>
      <c r="I74" s="24" t="s">
        <v>2248</v>
      </c>
      <c r="J74" s="24" t="s">
        <v>761</v>
      </c>
      <c r="K74" s="24" t="s">
        <v>1146</v>
      </c>
      <c r="L74" s="25">
        <v>1070</v>
      </c>
      <c r="M74" s="26">
        <v>7.9</v>
      </c>
      <c r="N74" s="27">
        <v>7.9</v>
      </c>
      <c r="O74" s="28">
        <v>7.1818181818181824E-3</v>
      </c>
      <c r="P74" s="28">
        <v>7.4805309734513274</v>
      </c>
    </row>
    <row r="75" spans="1:16" x14ac:dyDescent="0.3">
      <c r="A75" t="s">
        <v>2984</v>
      </c>
      <c r="B75" s="24">
        <v>300055</v>
      </c>
      <c r="C75" s="24" t="s">
        <v>2222</v>
      </c>
      <c r="D75" s="24" t="s">
        <v>2179</v>
      </c>
      <c r="E75" s="24" t="s">
        <v>2179</v>
      </c>
      <c r="F75" s="24" t="s">
        <v>1349</v>
      </c>
      <c r="G75" s="24" t="s">
        <v>2199</v>
      </c>
      <c r="H75" s="24" t="s">
        <v>2254</v>
      </c>
      <c r="I75" s="24" t="s">
        <v>2248</v>
      </c>
      <c r="J75" s="24" t="s">
        <v>761</v>
      </c>
      <c r="K75" s="24" t="s">
        <v>1146</v>
      </c>
      <c r="L75" s="25">
        <v>1070</v>
      </c>
      <c r="M75" s="26">
        <v>9.99</v>
      </c>
      <c r="N75" s="27">
        <v>9.99</v>
      </c>
      <c r="O75" s="28">
        <v>9.0818181818181822E-3</v>
      </c>
      <c r="P75" s="28">
        <v>9.4595575221238946</v>
      </c>
    </row>
    <row r="76" spans="1:16" x14ac:dyDescent="0.3">
      <c r="A76" t="s">
        <v>2985</v>
      </c>
      <c r="B76" s="24">
        <v>300067</v>
      </c>
      <c r="C76" s="24" t="s">
        <v>2198</v>
      </c>
      <c r="D76" s="24" t="s">
        <v>2179</v>
      </c>
      <c r="E76" s="24" t="s">
        <v>2179</v>
      </c>
      <c r="F76" s="24" t="s">
        <v>1349</v>
      </c>
      <c r="G76" s="24" t="s">
        <v>2199</v>
      </c>
      <c r="H76" s="24" t="s">
        <v>2254</v>
      </c>
      <c r="I76" s="24" t="s">
        <v>2248</v>
      </c>
      <c r="J76" s="24" t="s">
        <v>761</v>
      </c>
      <c r="K76" s="24" t="s">
        <v>1146</v>
      </c>
      <c r="L76" s="25">
        <v>1070</v>
      </c>
      <c r="M76" s="26">
        <v>10.91</v>
      </c>
      <c r="N76" s="27">
        <v>10.91</v>
      </c>
      <c r="O76" s="28">
        <v>9.918181818181819E-3</v>
      </c>
      <c r="P76" s="28">
        <v>10.330707964601771</v>
      </c>
    </row>
    <row r="77" spans="1:16" x14ac:dyDescent="0.3">
      <c r="A77" t="s">
        <v>2986</v>
      </c>
      <c r="B77" s="24">
        <v>300138</v>
      </c>
      <c r="C77" s="24" t="s">
        <v>2256</v>
      </c>
      <c r="D77" s="24" t="s">
        <v>2179</v>
      </c>
      <c r="E77" s="24" t="s">
        <v>2179</v>
      </c>
      <c r="F77" s="24" t="s">
        <v>1349</v>
      </c>
      <c r="G77" s="24" t="s">
        <v>2199</v>
      </c>
      <c r="H77" s="24" t="s">
        <v>2254</v>
      </c>
      <c r="I77" s="24" t="s">
        <v>2248</v>
      </c>
      <c r="J77" s="24" t="s">
        <v>761</v>
      </c>
      <c r="K77" s="24" t="s">
        <v>2194</v>
      </c>
      <c r="L77" s="25">
        <v>1300</v>
      </c>
      <c r="M77" s="26">
        <v>9</v>
      </c>
      <c r="N77" s="27">
        <v>10.353982300884956</v>
      </c>
      <c r="O77" s="28">
        <v>8.1818181818181825E-3</v>
      </c>
      <c r="P77" s="28">
        <v>10.353982300884956</v>
      </c>
    </row>
    <row r="78" spans="1:16" x14ac:dyDescent="0.3">
      <c r="A78" t="s">
        <v>2987</v>
      </c>
      <c r="B78" s="24">
        <v>300146</v>
      </c>
      <c r="C78" s="24" t="s">
        <v>2224</v>
      </c>
      <c r="D78" s="24" t="s">
        <v>2179</v>
      </c>
      <c r="E78" s="24" t="s">
        <v>2179</v>
      </c>
      <c r="F78" s="24" t="s">
        <v>1386</v>
      </c>
      <c r="G78" s="24" t="s">
        <v>2225</v>
      </c>
      <c r="H78" s="24" t="s">
        <v>2254</v>
      </c>
      <c r="I78" s="24" t="s">
        <v>2248</v>
      </c>
      <c r="J78" s="24" t="s">
        <v>761</v>
      </c>
      <c r="K78" s="24" t="s">
        <v>1146</v>
      </c>
      <c r="L78" s="25">
        <v>1070</v>
      </c>
      <c r="M78" s="26">
        <v>6.77</v>
      </c>
      <c r="N78" s="27">
        <v>6.77</v>
      </c>
      <c r="O78" s="28">
        <v>6.1545454545454542E-3</v>
      </c>
      <c r="P78" s="28">
        <v>6.4105309734513272</v>
      </c>
    </row>
    <row r="79" spans="1:16" x14ac:dyDescent="0.3">
      <c r="A79" t="s">
        <v>2988</v>
      </c>
      <c r="B79" s="24">
        <v>142599</v>
      </c>
      <c r="C79" s="24" t="s">
        <v>2233</v>
      </c>
      <c r="D79" s="24" t="s">
        <v>2179</v>
      </c>
      <c r="E79" s="24" t="s">
        <v>2179</v>
      </c>
      <c r="F79" s="24" t="s">
        <v>1349</v>
      </c>
      <c r="G79" s="24" t="s">
        <v>2208</v>
      </c>
      <c r="H79" s="24" t="s">
        <v>2257</v>
      </c>
      <c r="I79" s="24" t="s">
        <v>2258</v>
      </c>
      <c r="J79" s="24" t="s">
        <v>761</v>
      </c>
      <c r="K79" s="24" t="s">
        <v>1146</v>
      </c>
      <c r="L79" s="25">
        <v>1070</v>
      </c>
      <c r="M79" s="26">
        <v>10.41</v>
      </c>
      <c r="N79" s="27">
        <v>10.41</v>
      </c>
      <c r="O79" s="28">
        <v>9.4636363636363633E-3</v>
      </c>
      <c r="P79" s="28">
        <v>9.8572566371681418</v>
      </c>
    </row>
    <row r="80" spans="1:16" x14ac:dyDescent="0.3">
      <c r="A80" t="s">
        <v>2989</v>
      </c>
      <c r="B80" s="24">
        <v>142639</v>
      </c>
      <c r="C80" s="24" t="s">
        <v>2235</v>
      </c>
      <c r="D80" s="24" t="s">
        <v>2179</v>
      </c>
      <c r="E80" s="24" t="s">
        <v>2179</v>
      </c>
      <c r="F80" s="24" t="s">
        <v>1349</v>
      </c>
      <c r="G80" s="24" t="s">
        <v>2199</v>
      </c>
      <c r="H80" s="24" t="s">
        <v>2257</v>
      </c>
      <c r="I80" s="24" t="s">
        <v>2258</v>
      </c>
      <c r="J80" s="24" t="s">
        <v>761</v>
      </c>
      <c r="K80" s="24" t="s">
        <v>2194</v>
      </c>
      <c r="L80" s="25">
        <v>1300</v>
      </c>
      <c r="M80" s="26">
        <v>7.95</v>
      </c>
      <c r="N80" s="27">
        <v>9.1460176991150437</v>
      </c>
      <c r="O80" s="28">
        <v>7.2272727272727271E-3</v>
      </c>
      <c r="P80" s="28">
        <v>9.1460176991150437</v>
      </c>
    </row>
    <row r="81" spans="1:16" x14ac:dyDescent="0.3">
      <c r="A81" t="s">
        <v>2990</v>
      </c>
      <c r="B81" s="24">
        <v>142796</v>
      </c>
      <c r="C81" s="24" t="s">
        <v>2237</v>
      </c>
      <c r="D81" s="24" t="s">
        <v>2179</v>
      </c>
      <c r="E81" s="24" t="s">
        <v>2179</v>
      </c>
      <c r="F81" s="24" t="s">
        <v>1349</v>
      </c>
      <c r="G81" s="24" t="s">
        <v>2208</v>
      </c>
      <c r="H81" s="24" t="s">
        <v>2257</v>
      </c>
      <c r="I81" s="24" t="s">
        <v>2258</v>
      </c>
      <c r="J81" s="24" t="s">
        <v>761</v>
      </c>
      <c r="K81" s="24" t="s">
        <v>1146</v>
      </c>
      <c r="L81" s="25">
        <v>1070</v>
      </c>
      <c r="M81" s="26">
        <v>9.99</v>
      </c>
      <c r="N81" s="27">
        <v>9.99</v>
      </c>
      <c r="O81" s="28">
        <v>9.0818181818181822E-3</v>
      </c>
      <c r="P81" s="28">
        <v>9.4595575221238946</v>
      </c>
    </row>
    <row r="82" spans="1:16" x14ac:dyDescent="0.3">
      <c r="A82" t="s">
        <v>2991</v>
      </c>
      <c r="B82" s="24">
        <v>142807</v>
      </c>
      <c r="C82" s="24" t="s">
        <v>2217</v>
      </c>
      <c r="D82" s="24" t="s">
        <v>2179</v>
      </c>
      <c r="E82" s="24" t="s">
        <v>2179</v>
      </c>
      <c r="F82" s="24" t="s">
        <v>1349</v>
      </c>
      <c r="G82" s="24" t="s">
        <v>2208</v>
      </c>
      <c r="H82" s="24" t="s">
        <v>2257</v>
      </c>
      <c r="I82" s="24" t="s">
        <v>2258</v>
      </c>
      <c r="J82" s="24" t="s">
        <v>761</v>
      </c>
      <c r="K82" s="24" t="s">
        <v>1146</v>
      </c>
      <c r="L82" s="25">
        <v>1070</v>
      </c>
      <c r="M82" s="26">
        <v>9.36</v>
      </c>
      <c r="N82" s="27">
        <v>9.36</v>
      </c>
      <c r="O82" s="28">
        <v>8.5090909090909089E-3</v>
      </c>
      <c r="P82" s="28">
        <v>8.8630088495575219</v>
      </c>
    </row>
    <row r="83" spans="1:16" x14ac:dyDescent="0.3">
      <c r="A83" t="s">
        <v>2992</v>
      </c>
      <c r="B83" s="24">
        <v>300008</v>
      </c>
      <c r="C83" s="24" t="s">
        <v>2219</v>
      </c>
      <c r="D83" s="24" t="s">
        <v>2179</v>
      </c>
      <c r="E83" s="24" t="s">
        <v>2179</v>
      </c>
      <c r="F83" s="24" t="s">
        <v>2220</v>
      </c>
      <c r="G83" s="24" t="s">
        <v>2179</v>
      </c>
      <c r="H83" s="24" t="s">
        <v>2257</v>
      </c>
      <c r="I83" s="24" t="s">
        <v>2258</v>
      </c>
      <c r="J83" s="24" t="s">
        <v>761</v>
      </c>
      <c r="K83" s="24" t="s">
        <v>1146</v>
      </c>
      <c r="L83" s="25">
        <v>1070</v>
      </c>
      <c r="M83" s="26">
        <v>8.4</v>
      </c>
      <c r="N83" s="27">
        <v>8.4</v>
      </c>
      <c r="O83" s="28">
        <v>7.6363636363636364E-3</v>
      </c>
      <c r="P83" s="28">
        <v>7.9539823008849559</v>
      </c>
    </row>
    <row r="84" spans="1:16" x14ac:dyDescent="0.3">
      <c r="A84" t="s">
        <v>2993</v>
      </c>
      <c r="B84" s="24">
        <v>300111</v>
      </c>
      <c r="C84" s="24" t="s">
        <v>2202</v>
      </c>
      <c r="D84" s="24" t="s">
        <v>2179</v>
      </c>
      <c r="E84" s="24" t="s">
        <v>2179</v>
      </c>
      <c r="F84" s="24" t="s">
        <v>1349</v>
      </c>
      <c r="G84" s="24" t="s">
        <v>2191</v>
      </c>
      <c r="H84" s="24" t="s">
        <v>2257</v>
      </c>
      <c r="I84" s="24" t="s">
        <v>2258</v>
      </c>
      <c r="J84" s="24" t="s">
        <v>761</v>
      </c>
      <c r="K84" s="24" t="s">
        <v>2194</v>
      </c>
      <c r="L84" s="25">
        <v>1300</v>
      </c>
      <c r="M84" s="26">
        <v>7.9</v>
      </c>
      <c r="N84" s="27">
        <v>9.0884955752212395</v>
      </c>
      <c r="O84" s="28">
        <v>7.1818181818181824E-3</v>
      </c>
      <c r="P84" s="28">
        <v>9.0884955752212395</v>
      </c>
    </row>
    <row r="85" spans="1:16" x14ac:dyDescent="0.3">
      <c r="A85" t="s">
        <v>2994</v>
      </c>
      <c r="B85" s="24">
        <v>141111</v>
      </c>
      <c r="C85" s="24" t="s">
        <v>2238</v>
      </c>
      <c r="D85" s="24" t="s">
        <v>2179</v>
      </c>
      <c r="E85" s="24" t="s">
        <v>2179</v>
      </c>
      <c r="F85" s="24" t="s">
        <v>1349</v>
      </c>
      <c r="G85" s="24" t="s">
        <v>2191</v>
      </c>
      <c r="H85" s="24" t="s">
        <v>2259</v>
      </c>
      <c r="I85" s="24" t="s">
        <v>2260</v>
      </c>
      <c r="J85" s="24" t="s">
        <v>761</v>
      </c>
      <c r="K85" s="24" t="s">
        <v>1146</v>
      </c>
      <c r="L85" s="25">
        <v>1070</v>
      </c>
      <c r="M85" s="26">
        <v>3</v>
      </c>
      <c r="N85" s="27">
        <v>3</v>
      </c>
      <c r="O85" s="28">
        <v>2.7272727272727275E-3</v>
      </c>
      <c r="P85" s="28">
        <v>2.8407079646017701</v>
      </c>
    </row>
    <row r="86" spans="1:16" x14ac:dyDescent="0.3">
      <c r="A86" t="s">
        <v>2995</v>
      </c>
      <c r="B86" s="24">
        <v>150518</v>
      </c>
      <c r="C86" s="24" t="s">
        <v>2197</v>
      </c>
      <c r="D86" s="24" t="s">
        <v>2179</v>
      </c>
      <c r="E86" s="24" t="s">
        <v>2179</v>
      </c>
      <c r="F86" s="24" t="s">
        <v>1349</v>
      </c>
      <c r="G86" s="24" t="s">
        <v>2180</v>
      </c>
      <c r="H86" s="24" t="s">
        <v>2259</v>
      </c>
      <c r="I86" s="24" t="s">
        <v>2260</v>
      </c>
      <c r="J86" s="24" t="s">
        <v>761</v>
      </c>
      <c r="K86" s="24" t="s">
        <v>1352</v>
      </c>
      <c r="L86" s="25">
        <v>1</v>
      </c>
      <c r="M86" s="26">
        <v>14100</v>
      </c>
      <c r="N86" s="27">
        <v>12.818181818181818</v>
      </c>
      <c r="O86" s="28">
        <v>12.818181818181818</v>
      </c>
      <c r="P86" s="28">
        <v>12.477876106194691</v>
      </c>
    </row>
    <row r="87" spans="1:16" x14ac:dyDescent="0.3">
      <c r="A87" t="s">
        <v>2996</v>
      </c>
      <c r="B87" s="24">
        <v>300067</v>
      </c>
      <c r="C87" s="24" t="s">
        <v>2198</v>
      </c>
      <c r="D87" s="24" t="s">
        <v>2179</v>
      </c>
      <c r="E87" s="24" t="s">
        <v>2179</v>
      </c>
      <c r="F87" s="24" t="s">
        <v>1349</v>
      </c>
      <c r="G87" s="24" t="s">
        <v>2199</v>
      </c>
      <c r="H87" s="24" t="s">
        <v>2259</v>
      </c>
      <c r="I87" s="24" t="s">
        <v>2260</v>
      </c>
      <c r="J87" s="24" t="s">
        <v>761</v>
      </c>
      <c r="K87" s="24" t="s">
        <v>1146</v>
      </c>
      <c r="L87" s="25">
        <v>1070</v>
      </c>
      <c r="M87" s="26">
        <v>8.85</v>
      </c>
      <c r="N87" s="27">
        <v>8.85</v>
      </c>
      <c r="O87" s="28">
        <v>8.0454545454545449E-3</v>
      </c>
      <c r="P87" s="28">
        <v>8.3800884955752206</v>
      </c>
    </row>
    <row r="88" spans="1:16" x14ac:dyDescent="0.3">
      <c r="A88" t="s">
        <v>2997</v>
      </c>
      <c r="B88" s="24">
        <v>142599</v>
      </c>
      <c r="C88" s="24" t="s">
        <v>2233</v>
      </c>
      <c r="D88" s="24" t="s">
        <v>2179</v>
      </c>
      <c r="E88" s="24" t="s">
        <v>2179</v>
      </c>
      <c r="F88" s="24" t="s">
        <v>1349</v>
      </c>
      <c r="G88" s="24" t="s">
        <v>2208</v>
      </c>
      <c r="H88" s="24" t="s">
        <v>2261</v>
      </c>
      <c r="I88" s="24" t="s">
        <v>2262</v>
      </c>
      <c r="J88" s="24" t="s">
        <v>761</v>
      </c>
      <c r="K88" s="24" t="s">
        <v>1146</v>
      </c>
      <c r="L88" s="25">
        <v>1070</v>
      </c>
      <c r="M88" s="26">
        <v>21.66</v>
      </c>
      <c r="N88" s="27">
        <v>21.66</v>
      </c>
      <c r="O88" s="28">
        <v>1.9690909090909092E-2</v>
      </c>
      <c r="P88" s="28">
        <v>20.509911504424778</v>
      </c>
    </row>
    <row r="89" spans="1:16" x14ac:dyDescent="0.3">
      <c r="A89" t="s">
        <v>2998</v>
      </c>
      <c r="B89" s="24">
        <v>142796</v>
      </c>
      <c r="C89" s="24" t="s">
        <v>2237</v>
      </c>
      <c r="D89" s="24" t="s">
        <v>2179</v>
      </c>
      <c r="E89" s="24" t="s">
        <v>2179</v>
      </c>
      <c r="F89" s="24" t="s">
        <v>1349</v>
      </c>
      <c r="G89" s="24" t="s">
        <v>2208</v>
      </c>
      <c r="H89" s="24" t="s">
        <v>2261</v>
      </c>
      <c r="I89" s="24" t="s">
        <v>2262</v>
      </c>
      <c r="J89" s="24" t="s">
        <v>761</v>
      </c>
      <c r="K89" s="24" t="s">
        <v>1146</v>
      </c>
      <c r="L89" s="25">
        <v>1070</v>
      </c>
      <c r="M89" s="26">
        <v>19.989999999999998</v>
      </c>
      <c r="N89" s="27">
        <v>19.989999999999998</v>
      </c>
      <c r="O89" s="28">
        <v>1.8172727272727271E-2</v>
      </c>
      <c r="P89" s="28">
        <v>18.928584070796461</v>
      </c>
    </row>
    <row r="90" spans="1:16" x14ac:dyDescent="0.3">
      <c r="A90" t="s">
        <v>2999</v>
      </c>
      <c r="B90" s="24">
        <v>142599</v>
      </c>
      <c r="C90" s="24" t="s">
        <v>2233</v>
      </c>
      <c r="D90" s="24" t="s">
        <v>2179</v>
      </c>
      <c r="E90" s="24" t="s">
        <v>2179</v>
      </c>
      <c r="F90" s="24" t="s">
        <v>1349</v>
      </c>
      <c r="G90" s="24" t="s">
        <v>2208</v>
      </c>
      <c r="H90" s="24" t="s">
        <v>2263</v>
      </c>
      <c r="I90" s="24" t="s">
        <v>2262</v>
      </c>
      <c r="J90" s="24" t="s">
        <v>761</v>
      </c>
      <c r="K90" s="24" t="s">
        <v>1146</v>
      </c>
      <c r="L90" s="25">
        <v>1070</v>
      </c>
      <c r="M90" s="26">
        <v>21.66</v>
      </c>
      <c r="N90" s="27">
        <v>21.66</v>
      </c>
      <c r="O90" s="28">
        <v>1.9690909090909092E-2</v>
      </c>
      <c r="P90" s="28">
        <v>20.509911504424778</v>
      </c>
    </row>
    <row r="91" spans="1:16" x14ac:dyDescent="0.3">
      <c r="A91" t="s">
        <v>3000</v>
      </c>
      <c r="B91" s="24">
        <v>142796</v>
      </c>
      <c r="C91" s="24" t="s">
        <v>2237</v>
      </c>
      <c r="D91" s="24" t="s">
        <v>2179</v>
      </c>
      <c r="E91" s="24" t="s">
        <v>2179</v>
      </c>
      <c r="F91" s="24" t="s">
        <v>1349</v>
      </c>
      <c r="G91" s="24" t="s">
        <v>2208</v>
      </c>
      <c r="H91" s="24" t="s">
        <v>2263</v>
      </c>
      <c r="I91" s="24" t="s">
        <v>2262</v>
      </c>
      <c r="J91" s="24" t="s">
        <v>761</v>
      </c>
      <c r="K91" s="24" t="s">
        <v>1146</v>
      </c>
      <c r="L91" s="25">
        <v>1070</v>
      </c>
      <c r="M91" s="26">
        <v>19.989999999999998</v>
      </c>
      <c r="N91" s="27">
        <v>19.989999999999998</v>
      </c>
      <c r="O91" s="28">
        <v>1.8172727272727271E-2</v>
      </c>
      <c r="P91" s="28">
        <v>18.928584070796461</v>
      </c>
    </row>
    <row r="92" spans="1:16" x14ac:dyDescent="0.3">
      <c r="A92" t="s">
        <v>3001</v>
      </c>
      <c r="B92" s="24">
        <v>300023</v>
      </c>
      <c r="C92" s="24" t="s">
        <v>2264</v>
      </c>
      <c r="D92" s="24" t="s">
        <v>2179</v>
      </c>
      <c r="E92" s="24" t="s">
        <v>2179</v>
      </c>
      <c r="F92" s="24" t="s">
        <v>1349</v>
      </c>
      <c r="G92" s="24" t="s">
        <v>2208</v>
      </c>
      <c r="H92" s="24" t="s">
        <v>2263</v>
      </c>
      <c r="I92" s="24" t="s">
        <v>2262</v>
      </c>
      <c r="J92" s="24" t="s">
        <v>761</v>
      </c>
      <c r="K92" s="24" t="s">
        <v>2194</v>
      </c>
      <c r="L92" s="25">
        <v>1300</v>
      </c>
      <c r="M92" s="26">
        <v>17</v>
      </c>
      <c r="N92" s="27">
        <v>19.557522123893804</v>
      </c>
      <c r="O92" s="28">
        <v>1.5454545454545455E-2</v>
      </c>
      <c r="P92" s="28">
        <v>19.557522123893804</v>
      </c>
    </row>
    <row r="93" spans="1:16" x14ac:dyDescent="0.3">
      <c r="A93" t="s">
        <v>3002</v>
      </c>
      <c r="B93" s="24">
        <v>300017</v>
      </c>
      <c r="C93" s="24" t="s">
        <v>2265</v>
      </c>
      <c r="D93" s="24" t="s">
        <v>2179</v>
      </c>
      <c r="E93" s="24" t="s">
        <v>2179</v>
      </c>
      <c r="F93" s="24" t="s">
        <v>1349</v>
      </c>
      <c r="G93" s="24" t="s">
        <v>2208</v>
      </c>
      <c r="H93" s="24" t="s">
        <v>2266</v>
      </c>
      <c r="I93" s="24" t="s">
        <v>2267</v>
      </c>
      <c r="J93" s="24" t="s">
        <v>761</v>
      </c>
      <c r="K93" s="24" t="s">
        <v>1146</v>
      </c>
      <c r="L93" s="25">
        <v>1070</v>
      </c>
      <c r="M93" s="26">
        <v>34</v>
      </c>
      <c r="N93" s="27">
        <v>34</v>
      </c>
      <c r="O93" s="28">
        <v>3.090909090909091E-2</v>
      </c>
      <c r="P93" s="28">
        <v>32.194690265486727</v>
      </c>
    </row>
    <row r="94" spans="1:16" x14ac:dyDescent="0.3">
      <c r="A94" t="s">
        <v>3003</v>
      </c>
      <c r="B94" s="24">
        <v>300111</v>
      </c>
      <c r="C94" s="24" t="s">
        <v>2202</v>
      </c>
      <c r="D94" s="24" t="s">
        <v>2179</v>
      </c>
      <c r="E94" s="24" t="s">
        <v>2179</v>
      </c>
      <c r="F94" s="24" t="s">
        <v>1349</v>
      </c>
      <c r="G94" s="24" t="s">
        <v>2191</v>
      </c>
      <c r="H94" s="24" t="s">
        <v>2266</v>
      </c>
      <c r="I94" s="24" t="s">
        <v>2267</v>
      </c>
      <c r="J94" s="24" t="s">
        <v>761</v>
      </c>
      <c r="K94" s="24" t="s">
        <v>2194</v>
      </c>
      <c r="L94" s="25">
        <v>1300</v>
      </c>
      <c r="M94" s="26">
        <v>22.58</v>
      </c>
      <c r="N94" s="27">
        <v>25.976991150442476</v>
      </c>
      <c r="O94" s="28">
        <v>2.0527272727272727E-2</v>
      </c>
      <c r="P94" s="28">
        <v>25.976991150442476</v>
      </c>
    </row>
    <row r="95" spans="1:16" x14ac:dyDescent="0.3">
      <c r="A95" t="s">
        <v>3004</v>
      </c>
      <c r="B95" s="24">
        <v>142475</v>
      </c>
      <c r="C95" s="24" t="s">
        <v>2246</v>
      </c>
      <c r="D95" s="24" t="s">
        <v>2179</v>
      </c>
      <c r="E95" s="24" t="s">
        <v>2179</v>
      </c>
      <c r="F95" s="24" t="s">
        <v>1349</v>
      </c>
      <c r="G95" s="24" t="s">
        <v>2208</v>
      </c>
      <c r="H95" s="24" t="s">
        <v>2268</v>
      </c>
      <c r="I95" s="24" t="s">
        <v>2269</v>
      </c>
      <c r="J95" s="24" t="s">
        <v>761</v>
      </c>
      <c r="K95" s="24" t="s">
        <v>1146</v>
      </c>
      <c r="L95" s="25">
        <v>1070</v>
      </c>
      <c r="M95" s="26">
        <v>38</v>
      </c>
      <c r="N95" s="27">
        <v>38</v>
      </c>
      <c r="O95" s="28">
        <v>3.4545454545454546E-2</v>
      </c>
      <c r="P95" s="28">
        <v>35.982300884955755</v>
      </c>
    </row>
    <row r="96" spans="1:16" x14ac:dyDescent="0.3">
      <c r="A96" t="s">
        <v>3005</v>
      </c>
      <c r="B96" s="24">
        <v>142599</v>
      </c>
      <c r="C96" s="24" t="s">
        <v>2233</v>
      </c>
      <c r="D96" s="24" t="s">
        <v>2179</v>
      </c>
      <c r="E96" s="24" t="s">
        <v>2179</v>
      </c>
      <c r="F96" s="24" t="s">
        <v>1349</v>
      </c>
      <c r="G96" s="24" t="s">
        <v>2208</v>
      </c>
      <c r="H96" s="24" t="s">
        <v>2268</v>
      </c>
      <c r="I96" s="24" t="s">
        <v>2269</v>
      </c>
      <c r="J96" s="24" t="s">
        <v>761</v>
      </c>
      <c r="K96" s="24" t="s">
        <v>1146</v>
      </c>
      <c r="L96" s="25">
        <v>1070</v>
      </c>
      <c r="M96" s="26">
        <v>40</v>
      </c>
      <c r="N96" s="27">
        <v>40</v>
      </c>
      <c r="O96" s="28">
        <v>3.6363636363636362E-2</v>
      </c>
      <c r="P96" s="28">
        <v>37.876106194690266</v>
      </c>
    </row>
    <row r="97" spans="1:16" x14ac:dyDescent="0.3">
      <c r="A97" t="s">
        <v>3006</v>
      </c>
      <c r="B97" s="24">
        <v>142664</v>
      </c>
      <c r="C97" s="24" t="s">
        <v>2236</v>
      </c>
      <c r="D97" s="24" t="s">
        <v>2179</v>
      </c>
      <c r="E97" s="24" t="s">
        <v>2179</v>
      </c>
      <c r="F97" s="24" t="s">
        <v>1349</v>
      </c>
      <c r="G97" s="24" t="s">
        <v>2208</v>
      </c>
      <c r="H97" s="24" t="s">
        <v>2268</v>
      </c>
      <c r="I97" s="24" t="s">
        <v>2269</v>
      </c>
      <c r="J97" s="24" t="s">
        <v>761</v>
      </c>
      <c r="K97" s="24" t="s">
        <v>1146</v>
      </c>
      <c r="L97" s="25">
        <v>1070</v>
      </c>
      <c r="M97" s="26">
        <v>40</v>
      </c>
      <c r="N97" s="27">
        <v>40</v>
      </c>
      <c r="O97" s="28">
        <v>3.6363636363636362E-2</v>
      </c>
      <c r="P97" s="28">
        <v>37.876106194690266</v>
      </c>
    </row>
    <row r="98" spans="1:16" x14ac:dyDescent="0.3">
      <c r="A98" t="s">
        <v>3007</v>
      </c>
      <c r="B98" s="24">
        <v>142796</v>
      </c>
      <c r="C98" s="24" t="s">
        <v>2237</v>
      </c>
      <c r="D98" s="24" t="s">
        <v>2179</v>
      </c>
      <c r="E98" s="24" t="s">
        <v>2179</v>
      </c>
      <c r="F98" s="24" t="s">
        <v>1349</v>
      </c>
      <c r="G98" s="24" t="s">
        <v>2208</v>
      </c>
      <c r="H98" s="24" t="s">
        <v>2268</v>
      </c>
      <c r="I98" s="24" t="s">
        <v>2269</v>
      </c>
      <c r="J98" s="24" t="s">
        <v>761</v>
      </c>
      <c r="K98" s="24" t="s">
        <v>1146</v>
      </c>
      <c r="L98" s="25">
        <v>1070</v>
      </c>
      <c r="M98" s="26">
        <v>38</v>
      </c>
      <c r="N98" s="27">
        <v>38</v>
      </c>
      <c r="O98" s="28">
        <v>3.4545454545454546E-2</v>
      </c>
      <c r="P98" s="28">
        <v>35.982300884955755</v>
      </c>
    </row>
    <row r="99" spans="1:16" x14ac:dyDescent="0.3">
      <c r="A99" t="s">
        <v>3008</v>
      </c>
      <c r="B99" s="24">
        <v>142825</v>
      </c>
      <c r="C99" s="24" t="s">
        <v>2218</v>
      </c>
      <c r="D99" s="24" t="s">
        <v>2179</v>
      </c>
      <c r="E99" s="24" t="s">
        <v>2179</v>
      </c>
      <c r="F99" s="24" t="s">
        <v>1349</v>
      </c>
      <c r="G99" s="24" t="s">
        <v>2208</v>
      </c>
      <c r="H99" s="24" t="s">
        <v>2268</v>
      </c>
      <c r="I99" s="24" t="s">
        <v>2269</v>
      </c>
      <c r="J99" s="24" t="s">
        <v>761</v>
      </c>
      <c r="K99" s="24" t="s">
        <v>1146</v>
      </c>
      <c r="L99" s="25">
        <v>1070</v>
      </c>
      <c r="M99" s="26">
        <v>45</v>
      </c>
      <c r="N99" s="27">
        <v>45</v>
      </c>
      <c r="O99" s="28">
        <v>4.0909090909090909E-2</v>
      </c>
      <c r="P99" s="28">
        <v>42.610619469026545</v>
      </c>
    </row>
    <row r="100" spans="1:16" x14ac:dyDescent="0.3">
      <c r="A100" t="s">
        <v>3009</v>
      </c>
      <c r="B100" s="24">
        <v>300069</v>
      </c>
      <c r="C100" s="24" t="s">
        <v>2270</v>
      </c>
      <c r="D100" s="24" t="s">
        <v>2179</v>
      </c>
      <c r="E100" s="24" t="s">
        <v>2179</v>
      </c>
      <c r="F100" s="24" t="s">
        <v>1237</v>
      </c>
      <c r="G100" s="24" t="s">
        <v>2216</v>
      </c>
      <c r="H100" s="24" t="s">
        <v>2268</v>
      </c>
      <c r="I100" s="24" t="s">
        <v>2269</v>
      </c>
      <c r="J100" s="24" t="s">
        <v>761</v>
      </c>
      <c r="K100" s="24" t="s">
        <v>1146</v>
      </c>
      <c r="L100" s="25">
        <v>1070</v>
      </c>
      <c r="M100" s="26">
        <v>32.619999999999997</v>
      </c>
      <c r="N100" s="27">
        <v>32.619999999999997</v>
      </c>
      <c r="O100" s="28">
        <v>2.9654545454545451E-2</v>
      </c>
      <c r="P100" s="28">
        <v>30.887964601769905</v>
      </c>
    </row>
    <row r="101" spans="1:16" x14ac:dyDescent="0.3">
      <c r="A101" t="s">
        <v>3010</v>
      </c>
      <c r="B101" s="24">
        <v>142603</v>
      </c>
      <c r="C101" s="24" t="s">
        <v>2207</v>
      </c>
      <c r="D101" s="24" t="s">
        <v>2179</v>
      </c>
      <c r="E101" s="24" t="s">
        <v>2179</v>
      </c>
      <c r="F101" s="24" t="s">
        <v>1349</v>
      </c>
      <c r="G101" s="24" t="s">
        <v>2208</v>
      </c>
      <c r="H101" s="24" t="s">
        <v>2271</v>
      </c>
      <c r="I101" s="24" t="s">
        <v>2272</v>
      </c>
      <c r="J101" s="24" t="s">
        <v>761</v>
      </c>
      <c r="K101" s="24" t="s">
        <v>1146</v>
      </c>
      <c r="L101" s="25">
        <v>1070</v>
      </c>
      <c r="M101" s="26">
        <v>39</v>
      </c>
      <c r="N101" s="27">
        <v>39</v>
      </c>
      <c r="O101" s="28">
        <v>3.5454545454545454E-2</v>
      </c>
      <c r="P101" s="28">
        <v>36.929203539823007</v>
      </c>
    </row>
    <row r="102" spans="1:16" x14ac:dyDescent="0.3">
      <c r="A102" t="s">
        <v>3011</v>
      </c>
      <c r="B102" s="24">
        <v>142796</v>
      </c>
      <c r="C102" s="24" t="s">
        <v>2237</v>
      </c>
      <c r="D102" s="24" t="s">
        <v>2179</v>
      </c>
      <c r="E102" s="24" t="s">
        <v>2179</v>
      </c>
      <c r="F102" s="24" t="s">
        <v>1349</v>
      </c>
      <c r="G102" s="24" t="s">
        <v>2208</v>
      </c>
      <c r="H102" s="24" t="s">
        <v>2273</v>
      </c>
      <c r="I102" s="24" t="s">
        <v>2274</v>
      </c>
      <c r="J102" s="24" t="s">
        <v>761</v>
      </c>
      <c r="K102" s="24" t="s">
        <v>1146</v>
      </c>
      <c r="L102" s="25">
        <v>1070</v>
      </c>
      <c r="M102" s="26">
        <v>40</v>
      </c>
      <c r="N102" s="27">
        <v>40</v>
      </c>
      <c r="O102" s="28">
        <v>3.6363636363636362E-2</v>
      </c>
      <c r="P102" s="28">
        <v>37.876106194690266</v>
      </c>
    </row>
    <row r="103" spans="1:16" x14ac:dyDescent="0.3">
      <c r="A103" t="s">
        <v>3012</v>
      </c>
      <c r="B103" s="24">
        <v>142796</v>
      </c>
      <c r="C103" s="24" t="s">
        <v>2237</v>
      </c>
      <c r="D103" s="24" t="s">
        <v>2179</v>
      </c>
      <c r="E103" s="24" t="s">
        <v>2179</v>
      </c>
      <c r="F103" s="24" t="s">
        <v>1349</v>
      </c>
      <c r="G103" s="24" t="s">
        <v>2208</v>
      </c>
      <c r="H103" s="24" t="s">
        <v>2275</v>
      </c>
      <c r="I103" s="24" t="s">
        <v>2276</v>
      </c>
      <c r="J103" s="24" t="s">
        <v>761</v>
      </c>
      <c r="K103" s="24" t="s">
        <v>1146</v>
      </c>
      <c r="L103" s="25">
        <v>1070</v>
      </c>
      <c r="M103" s="26">
        <v>40</v>
      </c>
      <c r="N103" s="27">
        <v>40</v>
      </c>
      <c r="O103" s="28">
        <v>3.6363636363636362E-2</v>
      </c>
      <c r="P103" s="28">
        <v>37.876106194690266</v>
      </c>
    </row>
    <row r="104" spans="1:16" x14ac:dyDescent="0.3">
      <c r="A104" t="s">
        <v>3013</v>
      </c>
      <c r="B104" s="24">
        <v>112498</v>
      </c>
      <c r="C104" s="24" t="s">
        <v>2211</v>
      </c>
      <c r="D104" s="24" t="s">
        <v>2179</v>
      </c>
      <c r="E104" s="24" t="s">
        <v>2179</v>
      </c>
      <c r="F104" s="24" t="s">
        <v>1237</v>
      </c>
      <c r="G104" s="24" t="s">
        <v>2201</v>
      </c>
      <c r="H104" s="24" t="s">
        <v>2277</v>
      </c>
      <c r="I104" s="24" t="s">
        <v>2278</v>
      </c>
      <c r="J104" s="24" t="s">
        <v>761</v>
      </c>
      <c r="K104" s="24" t="s">
        <v>1146</v>
      </c>
      <c r="L104" s="25">
        <v>1070</v>
      </c>
      <c r="M104" s="26">
        <v>6.03</v>
      </c>
      <c r="N104" s="27">
        <v>6.03</v>
      </c>
      <c r="O104" s="28">
        <v>5.4818181818181823E-3</v>
      </c>
      <c r="P104" s="28">
        <v>5.7098230088495576</v>
      </c>
    </row>
    <row r="105" spans="1:16" x14ac:dyDescent="0.3">
      <c r="A105" t="s">
        <v>3014</v>
      </c>
      <c r="B105" s="24">
        <v>142597</v>
      </c>
      <c r="C105" s="24" t="s">
        <v>2214</v>
      </c>
      <c r="D105" s="24" t="s">
        <v>2179</v>
      </c>
      <c r="E105" s="24" t="s">
        <v>2179</v>
      </c>
      <c r="F105" s="24" t="s">
        <v>1349</v>
      </c>
      <c r="G105" s="24" t="s">
        <v>2199</v>
      </c>
      <c r="H105" s="24" t="s">
        <v>2277</v>
      </c>
      <c r="I105" s="24" t="s">
        <v>2278</v>
      </c>
      <c r="J105" s="24" t="s">
        <v>761</v>
      </c>
      <c r="K105" s="24" t="s">
        <v>2194</v>
      </c>
      <c r="L105" s="25">
        <v>1300</v>
      </c>
      <c r="M105" s="26">
        <v>5.25</v>
      </c>
      <c r="N105" s="27">
        <v>6.0398230088495577</v>
      </c>
      <c r="O105" s="28">
        <v>4.7727272727272731E-3</v>
      </c>
      <c r="P105" s="28">
        <v>6.0398230088495577</v>
      </c>
    </row>
    <row r="106" spans="1:16" x14ac:dyDescent="0.3">
      <c r="A106" t="s">
        <v>3015</v>
      </c>
      <c r="B106" s="24">
        <v>300008</v>
      </c>
      <c r="C106" s="24" t="s">
        <v>2219</v>
      </c>
      <c r="D106" s="24" t="s">
        <v>2179</v>
      </c>
      <c r="E106" s="24" t="s">
        <v>2179</v>
      </c>
      <c r="F106" s="24" t="s">
        <v>2220</v>
      </c>
      <c r="G106" s="24" t="s">
        <v>2179</v>
      </c>
      <c r="H106" s="24" t="s">
        <v>2277</v>
      </c>
      <c r="I106" s="24" t="s">
        <v>2278</v>
      </c>
      <c r="J106" s="24" t="s">
        <v>761</v>
      </c>
      <c r="K106" s="24" t="s">
        <v>1146</v>
      </c>
      <c r="L106" s="25">
        <v>1070</v>
      </c>
      <c r="M106" s="26">
        <v>5.9</v>
      </c>
      <c r="N106" s="27">
        <v>5.9</v>
      </c>
      <c r="O106" s="28">
        <v>5.3636363636363638E-3</v>
      </c>
      <c r="P106" s="28">
        <v>5.5867256637168143</v>
      </c>
    </row>
    <row r="107" spans="1:16" x14ac:dyDescent="0.3">
      <c r="A107" t="s">
        <v>3016</v>
      </c>
      <c r="B107" s="24">
        <v>300017</v>
      </c>
      <c r="C107" s="24" t="s">
        <v>2265</v>
      </c>
      <c r="D107" s="24" t="s">
        <v>2179</v>
      </c>
      <c r="E107" s="24" t="s">
        <v>2179</v>
      </c>
      <c r="F107" s="24" t="s">
        <v>1349</v>
      </c>
      <c r="G107" s="24" t="s">
        <v>2208</v>
      </c>
      <c r="H107" s="24" t="s">
        <v>2277</v>
      </c>
      <c r="I107" s="24" t="s">
        <v>2278</v>
      </c>
      <c r="J107" s="24" t="s">
        <v>761</v>
      </c>
      <c r="K107" s="24" t="s">
        <v>1146</v>
      </c>
      <c r="L107" s="25">
        <v>1070</v>
      </c>
      <c r="M107" s="26">
        <v>6.24</v>
      </c>
      <c r="N107" s="27">
        <v>6.24</v>
      </c>
      <c r="O107" s="28">
        <v>5.6727272727272729E-3</v>
      </c>
      <c r="P107" s="28">
        <v>5.9086725663716813</v>
      </c>
    </row>
    <row r="108" spans="1:16" x14ac:dyDescent="0.3">
      <c r="A108" t="s">
        <v>3017</v>
      </c>
      <c r="B108" s="24">
        <v>300042</v>
      </c>
      <c r="C108" s="24" t="s">
        <v>2190</v>
      </c>
      <c r="D108" s="24" t="s">
        <v>2179</v>
      </c>
      <c r="E108" s="24" t="s">
        <v>2179</v>
      </c>
      <c r="F108" s="24" t="s">
        <v>1349</v>
      </c>
      <c r="G108" s="24" t="s">
        <v>2191</v>
      </c>
      <c r="H108" s="24" t="s">
        <v>2277</v>
      </c>
      <c r="I108" s="24" t="s">
        <v>2278</v>
      </c>
      <c r="J108" s="24" t="s">
        <v>761</v>
      </c>
      <c r="K108" s="24" t="s">
        <v>2194</v>
      </c>
      <c r="L108" s="25">
        <v>1300</v>
      </c>
      <c r="M108" s="26">
        <v>3.74</v>
      </c>
      <c r="N108" s="27">
        <v>4.3026548672566376</v>
      </c>
      <c r="O108" s="28">
        <v>3.4000000000000002E-3</v>
      </c>
      <c r="P108" s="28">
        <v>4.3026548672566376</v>
      </c>
    </row>
    <row r="109" spans="1:16" x14ac:dyDescent="0.3">
      <c r="A109" t="s">
        <v>3018</v>
      </c>
      <c r="B109" s="24">
        <v>300059</v>
      </c>
      <c r="C109" s="24" t="s">
        <v>2279</v>
      </c>
      <c r="D109" s="24" t="s">
        <v>2179</v>
      </c>
      <c r="E109" s="24" t="s">
        <v>2179</v>
      </c>
      <c r="F109" s="24" t="s">
        <v>1237</v>
      </c>
      <c r="G109" s="24" t="s">
        <v>2216</v>
      </c>
      <c r="H109" s="24" t="s">
        <v>2277</v>
      </c>
      <c r="I109" s="24" t="s">
        <v>2278</v>
      </c>
      <c r="J109" s="24" t="s">
        <v>761</v>
      </c>
      <c r="K109" s="24" t="s">
        <v>1146</v>
      </c>
      <c r="L109" s="25">
        <v>1070</v>
      </c>
      <c r="M109" s="26">
        <v>6.4306999999999999</v>
      </c>
      <c r="N109" s="27">
        <v>6.4306999999999999</v>
      </c>
      <c r="O109" s="28">
        <v>5.8460909090909093E-3</v>
      </c>
      <c r="P109" s="28">
        <v>6.0892469026548675</v>
      </c>
    </row>
    <row r="110" spans="1:16" x14ac:dyDescent="0.3">
      <c r="A110" t="s">
        <v>3019</v>
      </c>
      <c r="B110" s="24">
        <v>300067</v>
      </c>
      <c r="C110" s="24" t="s">
        <v>2198</v>
      </c>
      <c r="D110" s="24" t="s">
        <v>2179</v>
      </c>
      <c r="E110" s="24" t="s">
        <v>2179</v>
      </c>
      <c r="F110" s="24" t="s">
        <v>1349</v>
      </c>
      <c r="G110" s="24" t="s">
        <v>2199</v>
      </c>
      <c r="H110" s="24" t="s">
        <v>2277</v>
      </c>
      <c r="I110" s="24" t="s">
        <v>2278</v>
      </c>
      <c r="J110" s="24" t="s">
        <v>761</v>
      </c>
      <c r="K110" s="24" t="s">
        <v>1146</v>
      </c>
      <c r="L110" s="25">
        <v>1070</v>
      </c>
      <c r="M110" s="26">
        <v>5.79</v>
      </c>
      <c r="N110" s="27">
        <v>5.79</v>
      </c>
      <c r="O110" s="28">
        <v>5.2636363636363636E-3</v>
      </c>
      <c r="P110" s="28">
        <v>5.4825663716814157</v>
      </c>
    </row>
    <row r="111" spans="1:16" x14ac:dyDescent="0.3">
      <c r="A111" t="s">
        <v>3020</v>
      </c>
      <c r="B111" s="24">
        <v>300138</v>
      </c>
      <c r="C111" s="24" t="s">
        <v>2256</v>
      </c>
      <c r="D111" s="24" t="s">
        <v>2179</v>
      </c>
      <c r="E111" s="24" t="s">
        <v>2179</v>
      </c>
      <c r="F111" s="24" t="s">
        <v>1349</v>
      </c>
      <c r="G111" s="24" t="s">
        <v>2199</v>
      </c>
      <c r="H111" s="24" t="s">
        <v>2277</v>
      </c>
      <c r="I111" s="24" t="s">
        <v>2278</v>
      </c>
      <c r="J111" s="24" t="s">
        <v>761</v>
      </c>
      <c r="K111" s="24" t="s">
        <v>2194</v>
      </c>
      <c r="L111" s="25">
        <v>1300</v>
      </c>
      <c r="M111" s="26">
        <v>5.54</v>
      </c>
      <c r="N111" s="27">
        <v>6.373451327433628</v>
      </c>
      <c r="O111" s="28">
        <v>5.0363636363636366E-3</v>
      </c>
      <c r="P111" s="28">
        <v>6.373451327433628</v>
      </c>
    </row>
    <row r="112" spans="1:16" x14ac:dyDescent="0.3">
      <c r="A112" t="s">
        <v>3021</v>
      </c>
      <c r="B112" s="24">
        <v>142807</v>
      </c>
      <c r="C112" s="24" t="s">
        <v>2217</v>
      </c>
      <c r="D112" s="24" t="s">
        <v>2179</v>
      </c>
      <c r="E112" s="24" t="s">
        <v>2179</v>
      </c>
      <c r="F112" s="24" t="s">
        <v>1349</v>
      </c>
      <c r="G112" s="24" t="s">
        <v>2208</v>
      </c>
      <c r="H112" s="24" t="s">
        <v>2280</v>
      </c>
      <c r="I112" s="24" t="s">
        <v>2281</v>
      </c>
      <c r="J112" s="24" t="s">
        <v>761</v>
      </c>
      <c r="K112" s="24" t="s">
        <v>2194</v>
      </c>
      <c r="L112" s="25">
        <v>1300</v>
      </c>
      <c r="M112" s="26">
        <v>6.69</v>
      </c>
      <c r="N112" s="27">
        <v>7.6964601769911507</v>
      </c>
      <c r="O112" s="28">
        <v>6.0818181818181822E-3</v>
      </c>
      <c r="P112" s="28">
        <v>7.6964601769911507</v>
      </c>
    </row>
    <row r="113" spans="1:16" x14ac:dyDescent="0.3">
      <c r="A113" t="s">
        <v>3022</v>
      </c>
      <c r="B113" s="24">
        <v>300017</v>
      </c>
      <c r="C113" s="24" t="s">
        <v>2265</v>
      </c>
      <c r="D113" s="24" t="s">
        <v>2179</v>
      </c>
      <c r="E113" s="24" t="s">
        <v>2179</v>
      </c>
      <c r="F113" s="24" t="s">
        <v>1349</v>
      </c>
      <c r="G113" s="24" t="s">
        <v>2208</v>
      </c>
      <c r="H113" s="24" t="s">
        <v>2280</v>
      </c>
      <c r="I113" s="24" t="s">
        <v>2281</v>
      </c>
      <c r="J113" s="24" t="s">
        <v>761</v>
      </c>
      <c r="K113" s="24" t="s">
        <v>1146</v>
      </c>
      <c r="L113" s="25">
        <v>1070</v>
      </c>
      <c r="M113" s="26">
        <v>7.1</v>
      </c>
      <c r="N113" s="27">
        <v>7.1</v>
      </c>
      <c r="O113" s="28">
        <v>6.4545454545454541E-3</v>
      </c>
      <c r="P113" s="28">
        <v>6.7230088495575222</v>
      </c>
    </row>
    <row r="114" spans="1:16" x14ac:dyDescent="0.3">
      <c r="A114" t="s">
        <v>3023</v>
      </c>
      <c r="B114" s="24">
        <v>300022</v>
      </c>
      <c r="C114" s="24" t="s">
        <v>2282</v>
      </c>
      <c r="D114" s="24" t="s">
        <v>2179</v>
      </c>
      <c r="E114" s="24" t="s">
        <v>2179</v>
      </c>
      <c r="F114" s="24" t="s">
        <v>1349</v>
      </c>
      <c r="G114" s="24" t="s">
        <v>2208</v>
      </c>
      <c r="H114" s="24" t="s">
        <v>2280</v>
      </c>
      <c r="I114" s="24" t="s">
        <v>2281</v>
      </c>
      <c r="J114" s="24" t="s">
        <v>761</v>
      </c>
      <c r="K114" s="24" t="s">
        <v>2194</v>
      </c>
      <c r="L114" s="25">
        <v>1300</v>
      </c>
      <c r="M114" s="26">
        <v>5.6</v>
      </c>
      <c r="N114" s="27">
        <v>6.442477876106194</v>
      </c>
      <c r="O114" s="28">
        <v>5.0909090909090904E-3</v>
      </c>
      <c r="P114" s="28">
        <v>6.442477876106194</v>
      </c>
    </row>
    <row r="115" spans="1:16" x14ac:dyDescent="0.3">
      <c r="A115" t="s">
        <v>3024</v>
      </c>
      <c r="B115" s="24">
        <v>300023</v>
      </c>
      <c r="C115" s="24" t="s">
        <v>2264</v>
      </c>
      <c r="D115" s="24" t="s">
        <v>2179</v>
      </c>
      <c r="E115" s="24" t="s">
        <v>2179</v>
      </c>
      <c r="F115" s="24" t="s">
        <v>1349</v>
      </c>
      <c r="G115" s="24" t="s">
        <v>2208</v>
      </c>
      <c r="H115" s="24" t="s">
        <v>2280</v>
      </c>
      <c r="I115" s="24" t="s">
        <v>2281</v>
      </c>
      <c r="J115" s="24" t="s">
        <v>761</v>
      </c>
      <c r="K115" s="24" t="s">
        <v>2194</v>
      </c>
      <c r="L115" s="25">
        <v>1300</v>
      </c>
      <c r="M115" s="26">
        <v>5.5</v>
      </c>
      <c r="N115" s="27">
        <v>6.3274336283185839</v>
      </c>
      <c r="O115" s="28">
        <v>5.0000000000000001E-3</v>
      </c>
      <c r="P115" s="28">
        <v>6.3274336283185839</v>
      </c>
    </row>
    <row r="116" spans="1:16" x14ac:dyDescent="0.3">
      <c r="A116" t="s">
        <v>3025</v>
      </c>
      <c r="B116" s="24">
        <v>300039</v>
      </c>
      <c r="C116" s="24" t="s">
        <v>2221</v>
      </c>
      <c r="D116" s="24" t="s">
        <v>2179</v>
      </c>
      <c r="E116" s="24" t="s">
        <v>2179</v>
      </c>
      <c r="F116" s="24" t="s">
        <v>1349</v>
      </c>
      <c r="G116" s="24" t="s">
        <v>2199</v>
      </c>
      <c r="H116" s="24" t="s">
        <v>2280</v>
      </c>
      <c r="I116" s="24" t="s">
        <v>2281</v>
      </c>
      <c r="J116" s="24" t="s">
        <v>761</v>
      </c>
      <c r="K116" s="24" t="s">
        <v>1146</v>
      </c>
      <c r="L116" s="25">
        <v>1070</v>
      </c>
      <c r="M116" s="26">
        <v>6.35</v>
      </c>
      <c r="N116" s="27">
        <v>6.35</v>
      </c>
      <c r="O116" s="28">
        <v>5.7727272727272723E-3</v>
      </c>
      <c r="P116" s="28">
        <v>6.0128318584070799</v>
      </c>
    </row>
    <row r="117" spans="1:16" x14ac:dyDescent="0.3">
      <c r="A117" t="s">
        <v>3026</v>
      </c>
      <c r="B117" s="24">
        <v>300055</v>
      </c>
      <c r="C117" s="24" t="s">
        <v>2222</v>
      </c>
      <c r="D117" s="24" t="s">
        <v>2179</v>
      </c>
      <c r="E117" s="24" t="s">
        <v>2179</v>
      </c>
      <c r="F117" s="24" t="s">
        <v>1349</v>
      </c>
      <c r="G117" s="24" t="s">
        <v>2199</v>
      </c>
      <c r="H117" s="24" t="s">
        <v>2280</v>
      </c>
      <c r="I117" s="24" t="s">
        <v>2281</v>
      </c>
      <c r="J117" s="24" t="s">
        <v>761</v>
      </c>
      <c r="K117" s="24" t="s">
        <v>1146</v>
      </c>
      <c r="L117" s="25">
        <v>1070</v>
      </c>
      <c r="M117" s="26">
        <v>6.11</v>
      </c>
      <c r="N117" s="27">
        <v>6.11</v>
      </c>
      <c r="O117" s="28">
        <v>5.5545454545454552E-3</v>
      </c>
      <c r="P117" s="28">
        <v>5.7855752212389389</v>
      </c>
    </row>
    <row r="118" spans="1:16" x14ac:dyDescent="0.3">
      <c r="A118" t="s">
        <v>3027</v>
      </c>
      <c r="B118" s="24">
        <v>300073</v>
      </c>
      <c r="C118" s="24" t="s">
        <v>2283</v>
      </c>
      <c r="D118" s="24" t="s">
        <v>2179</v>
      </c>
      <c r="E118" s="24" t="s">
        <v>2179</v>
      </c>
      <c r="F118" s="24" t="s">
        <v>1349</v>
      </c>
      <c r="G118" s="24" t="s">
        <v>2199</v>
      </c>
      <c r="H118" s="24" t="s">
        <v>2280</v>
      </c>
      <c r="I118" s="24" t="s">
        <v>2281</v>
      </c>
      <c r="J118" s="24" t="s">
        <v>761</v>
      </c>
      <c r="K118" s="24" t="s">
        <v>1146</v>
      </c>
      <c r="L118" s="25">
        <v>1070</v>
      </c>
      <c r="M118" s="26">
        <v>5.64</v>
      </c>
      <c r="N118" s="27">
        <v>5.64</v>
      </c>
      <c r="O118" s="28">
        <v>5.1272727272727268E-3</v>
      </c>
      <c r="P118" s="28">
        <v>5.3405309734513269</v>
      </c>
    </row>
    <row r="119" spans="1:16" x14ac:dyDescent="0.3">
      <c r="A119" t="s">
        <v>3028</v>
      </c>
      <c r="B119" s="24">
        <v>300111</v>
      </c>
      <c r="C119" s="24" t="s">
        <v>2202</v>
      </c>
      <c r="D119" s="24" t="s">
        <v>2179</v>
      </c>
      <c r="E119" s="24" t="s">
        <v>2179</v>
      </c>
      <c r="F119" s="24" t="s">
        <v>1349</v>
      </c>
      <c r="G119" s="24" t="s">
        <v>2191</v>
      </c>
      <c r="H119" s="24" t="s">
        <v>2280</v>
      </c>
      <c r="I119" s="24" t="s">
        <v>2281</v>
      </c>
      <c r="J119" s="24" t="s">
        <v>761</v>
      </c>
      <c r="K119" s="24" t="s">
        <v>2194</v>
      </c>
      <c r="L119" s="25">
        <v>1300</v>
      </c>
      <c r="M119" s="26">
        <v>4.53</v>
      </c>
      <c r="N119" s="27">
        <v>5.2115044247787612</v>
      </c>
      <c r="O119" s="28">
        <v>4.1181818181818186E-3</v>
      </c>
      <c r="P119" s="28">
        <v>5.2115044247787612</v>
      </c>
    </row>
    <row r="120" spans="1:16" x14ac:dyDescent="0.3">
      <c r="A120" t="s">
        <v>3029</v>
      </c>
      <c r="B120" s="24">
        <v>142639</v>
      </c>
      <c r="C120" s="24" t="s">
        <v>2235</v>
      </c>
      <c r="D120" s="24" t="s">
        <v>2179</v>
      </c>
      <c r="E120" s="24" t="s">
        <v>2179</v>
      </c>
      <c r="F120" s="24" t="s">
        <v>1349</v>
      </c>
      <c r="G120" s="24" t="s">
        <v>2199</v>
      </c>
      <c r="H120" s="24" t="s">
        <v>2284</v>
      </c>
      <c r="I120" s="24" t="s">
        <v>2285</v>
      </c>
      <c r="J120" s="24" t="s">
        <v>761</v>
      </c>
      <c r="K120" s="24" t="s">
        <v>2194</v>
      </c>
      <c r="L120" s="25">
        <v>1300</v>
      </c>
      <c r="M120" s="26">
        <v>5.25</v>
      </c>
      <c r="N120" s="27">
        <v>6.0398230088495577</v>
      </c>
      <c r="O120" s="28">
        <v>4.7727272727272731E-3</v>
      </c>
      <c r="P120" s="28">
        <v>6.0398230088495577</v>
      </c>
    </row>
    <row r="121" spans="1:16" x14ac:dyDescent="0.3">
      <c r="A121" t="s">
        <v>3030</v>
      </c>
      <c r="B121" s="24">
        <v>300008</v>
      </c>
      <c r="C121" s="24" t="s">
        <v>2219</v>
      </c>
      <c r="D121" s="24" t="s">
        <v>2179</v>
      </c>
      <c r="E121" s="24" t="s">
        <v>2179</v>
      </c>
      <c r="F121" s="24" t="s">
        <v>2220</v>
      </c>
      <c r="G121" s="24" t="s">
        <v>2179</v>
      </c>
      <c r="H121" s="24" t="s">
        <v>2284</v>
      </c>
      <c r="I121" s="24" t="s">
        <v>2285</v>
      </c>
      <c r="J121" s="24" t="s">
        <v>761</v>
      </c>
      <c r="K121" s="24" t="s">
        <v>1146</v>
      </c>
      <c r="L121" s="25">
        <v>1070</v>
      </c>
      <c r="M121" s="26">
        <v>6</v>
      </c>
      <c r="N121" s="27">
        <v>6</v>
      </c>
      <c r="O121" s="28">
        <v>5.454545454545455E-3</v>
      </c>
      <c r="P121" s="28">
        <v>5.6814159292035402</v>
      </c>
    </row>
    <row r="122" spans="1:16" x14ac:dyDescent="0.3">
      <c r="A122" t="s">
        <v>3031</v>
      </c>
      <c r="B122" s="24">
        <v>300042</v>
      </c>
      <c r="C122" s="24" t="s">
        <v>2190</v>
      </c>
      <c r="D122" s="24" t="s">
        <v>2179</v>
      </c>
      <c r="E122" s="24" t="s">
        <v>2179</v>
      </c>
      <c r="F122" s="24" t="s">
        <v>1349</v>
      </c>
      <c r="G122" s="24" t="s">
        <v>2191</v>
      </c>
      <c r="H122" s="24" t="s">
        <v>2286</v>
      </c>
      <c r="I122" s="24" t="s">
        <v>2287</v>
      </c>
      <c r="J122" s="24" t="s">
        <v>761</v>
      </c>
      <c r="K122" s="24" t="s">
        <v>2194</v>
      </c>
      <c r="L122" s="25">
        <v>1300</v>
      </c>
      <c r="M122" s="26">
        <v>5.5</v>
      </c>
      <c r="N122" s="27">
        <v>6.3274336283185839</v>
      </c>
      <c r="O122" s="28">
        <v>5.0000000000000001E-3</v>
      </c>
      <c r="P122" s="28">
        <v>6.3274336283185839</v>
      </c>
    </row>
    <row r="123" spans="1:16" x14ac:dyDescent="0.3">
      <c r="A123" t="s">
        <v>3032</v>
      </c>
      <c r="B123" s="24">
        <v>300042</v>
      </c>
      <c r="C123" s="24" t="s">
        <v>2190</v>
      </c>
      <c r="D123" s="24" t="s">
        <v>2179</v>
      </c>
      <c r="E123" s="24" t="s">
        <v>2179</v>
      </c>
      <c r="F123" s="24" t="s">
        <v>1349</v>
      </c>
      <c r="G123" s="24" t="s">
        <v>2191</v>
      </c>
      <c r="H123" s="24" t="s">
        <v>2288</v>
      </c>
      <c r="I123" s="24" t="s">
        <v>2278</v>
      </c>
      <c r="J123" s="24" t="s">
        <v>761</v>
      </c>
      <c r="K123" s="24" t="s">
        <v>2194</v>
      </c>
      <c r="L123" s="25">
        <v>1300</v>
      </c>
      <c r="M123" s="26">
        <v>5.13</v>
      </c>
      <c r="N123" s="27">
        <v>5.9017699115044246</v>
      </c>
      <c r="O123" s="28">
        <v>4.6636363636363637E-3</v>
      </c>
      <c r="P123" s="28">
        <v>5.9017699115044246</v>
      </c>
    </row>
    <row r="124" spans="1:16" x14ac:dyDescent="0.3">
      <c r="A124" t="s">
        <v>3033</v>
      </c>
      <c r="B124" s="24">
        <v>300173</v>
      </c>
      <c r="C124" s="24" t="s">
        <v>2289</v>
      </c>
      <c r="D124" s="24" t="s">
        <v>2179</v>
      </c>
      <c r="E124" s="24" t="s">
        <v>2179</v>
      </c>
      <c r="F124" s="24" t="s">
        <v>1349</v>
      </c>
      <c r="G124" s="24" t="s">
        <v>2187</v>
      </c>
      <c r="H124" s="24" t="s">
        <v>2290</v>
      </c>
      <c r="I124" s="24" t="s">
        <v>2291</v>
      </c>
      <c r="J124" s="24" t="s">
        <v>761</v>
      </c>
      <c r="K124" s="24" t="s">
        <v>1352</v>
      </c>
      <c r="L124" s="25">
        <v>1</v>
      </c>
      <c r="M124" s="26">
        <v>5700</v>
      </c>
      <c r="N124" s="27">
        <v>5.1818181818181817</v>
      </c>
      <c r="O124" s="28">
        <v>5.1818181818181817</v>
      </c>
      <c r="P124" s="28">
        <v>5.0442477876106198</v>
      </c>
    </row>
    <row r="125" spans="1:16" x14ac:dyDescent="0.3">
      <c r="A125" t="s">
        <v>3034</v>
      </c>
      <c r="B125" s="24">
        <v>300042</v>
      </c>
      <c r="C125" s="24" t="s">
        <v>2190</v>
      </c>
      <c r="D125" s="24" t="s">
        <v>2179</v>
      </c>
      <c r="E125" s="24" t="s">
        <v>2179</v>
      </c>
      <c r="F125" s="24" t="s">
        <v>1349</v>
      </c>
      <c r="G125" s="24" t="s">
        <v>2191</v>
      </c>
      <c r="H125" s="24" t="s">
        <v>2292</v>
      </c>
      <c r="I125" s="24" t="s">
        <v>2293</v>
      </c>
      <c r="J125" s="24" t="s">
        <v>761</v>
      </c>
      <c r="K125" s="24" t="s">
        <v>2194</v>
      </c>
      <c r="L125" s="25">
        <v>1300</v>
      </c>
      <c r="M125" s="26">
        <v>5.69</v>
      </c>
      <c r="N125" s="27">
        <v>6.5460176991150449</v>
      </c>
      <c r="O125" s="28">
        <v>5.1727272727272733E-3</v>
      </c>
      <c r="P125" s="28">
        <v>6.5460176991150449</v>
      </c>
    </row>
    <row r="126" spans="1:16" x14ac:dyDescent="0.3">
      <c r="A126" t="s">
        <v>3035</v>
      </c>
      <c r="B126" s="24">
        <v>142368</v>
      </c>
      <c r="C126" s="24" t="s">
        <v>2186</v>
      </c>
      <c r="D126" s="24" t="s">
        <v>2179</v>
      </c>
      <c r="E126" s="24" t="s">
        <v>2179</v>
      </c>
      <c r="F126" s="24" t="s">
        <v>1349</v>
      </c>
      <c r="G126" s="24" t="s">
        <v>2187</v>
      </c>
      <c r="H126" s="24" t="s">
        <v>2294</v>
      </c>
      <c r="I126" s="24" t="s">
        <v>2295</v>
      </c>
      <c r="J126" s="24" t="s">
        <v>761</v>
      </c>
      <c r="K126" s="24" t="s">
        <v>1352</v>
      </c>
      <c r="L126" s="25">
        <v>1</v>
      </c>
      <c r="M126" s="26">
        <v>6690</v>
      </c>
      <c r="N126" s="27">
        <v>6.081818181818182</v>
      </c>
      <c r="O126" s="28">
        <v>6.081818181818182</v>
      </c>
      <c r="P126" s="28">
        <v>5.9203539823008846</v>
      </c>
    </row>
    <row r="127" spans="1:16" x14ac:dyDescent="0.3">
      <c r="A127" t="s">
        <v>3036</v>
      </c>
      <c r="B127" s="24">
        <v>300146</v>
      </c>
      <c r="C127" s="24" t="s">
        <v>2224</v>
      </c>
      <c r="D127" s="24" t="s">
        <v>2179</v>
      </c>
      <c r="E127" s="24" t="s">
        <v>2179</v>
      </c>
      <c r="F127" s="24" t="s">
        <v>1386</v>
      </c>
      <c r="G127" s="24" t="s">
        <v>2225</v>
      </c>
      <c r="H127" s="24" t="s">
        <v>2296</v>
      </c>
      <c r="I127" s="24" t="s">
        <v>2297</v>
      </c>
      <c r="J127" s="24" t="s">
        <v>761</v>
      </c>
      <c r="K127" s="24" t="s">
        <v>1146</v>
      </c>
      <c r="L127" s="25">
        <v>1070</v>
      </c>
      <c r="M127" s="26">
        <v>5.36</v>
      </c>
      <c r="N127" s="27">
        <v>5.36</v>
      </c>
      <c r="O127" s="28">
        <v>4.8727272727272734E-3</v>
      </c>
      <c r="P127" s="28">
        <v>5.0753982300884966</v>
      </c>
    </row>
    <row r="128" spans="1:16" x14ac:dyDescent="0.3">
      <c r="A128" t="s">
        <v>3037</v>
      </c>
      <c r="B128" s="24">
        <v>300116</v>
      </c>
      <c r="C128" s="24" t="s">
        <v>2203</v>
      </c>
      <c r="D128" s="24" t="s">
        <v>2179</v>
      </c>
      <c r="E128" s="24" t="s">
        <v>2179</v>
      </c>
      <c r="F128" s="24" t="s">
        <v>1237</v>
      </c>
      <c r="G128" s="24" t="s">
        <v>2201</v>
      </c>
      <c r="H128" s="24" t="s">
        <v>2298</v>
      </c>
      <c r="I128" s="24" t="s">
        <v>2299</v>
      </c>
      <c r="J128" s="24" t="s">
        <v>761</v>
      </c>
      <c r="K128" s="24" t="s">
        <v>1146</v>
      </c>
      <c r="L128" s="25">
        <v>1070</v>
      </c>
      <c r="M128" s="26">
        <v>0.75</v>
      </c>
      <c r="N128" s="27">
        <v>0.75</v>
      </c>
      <c r="O128" s="28">
        <v>6.8181818181818187E-4</v>
      </c>
      <c r="P128" s="28">
        <v>0.71017699115044253</v>
      </c>
    </row>
    <row r="129" spans="1:16" x14ac:dyDescent="0.3">
      <c r="A129" t="s">
        <v>3038</v>
      </c>
      <c r="B129" s="24">
        <v>300116</v>
      </c>
      <c r="C129" s="24" t="s">
        <v>2203</v>
      </c>
      <c r="D129" s="24" t="s">
        <v>2179</v>
      </c>
      <c r="E129" s="24" t="s">
        <v>2179</v>
      </c>
      <c r="F129" s="24" t="s">
        <v>1237</v>
      </c>
      <c r="G129" s="24" t="s">
        <v>2201</v>
      </c>
      <c r="H129" s="24" t="s">
        <v>2300</v>
      </c>
      <c r="I129" s="24" t="s">
        <v>2301</v>
      </c>
      <c r="J129" s="24" t="s">
        <v>761</v>
      </c>
      <c r="K129" s="24" t="s">
        <v>1146</v>
      </c>
      <c r="L129" s="25">
        <v>1070</v>
      </c>
      <c r="M129" s="26">
        <v>7.69</v>
      </c>
      <c r="N129" s="27">
        <v>7.69</v>
      </c>
      <c r="O129" s="28">
        <v>6.990909090909091E-3</v>
      </c>
      <c r="P129" s="28">
        <v>7.2816814159292047</v>
      </c>
    </row>
    <row r="130" spans="1:16" x14ac:dyDescent="0.3">
      <c r="A130" t="s">
        <v>3039</v>
      </c>
      <c r="B130" s="24">
        <v>112498</v>
      </c>
      <c r="C130" s="24" t="s">
        <v>2211</v>
      </c>
      <c r="D130" s="24" t="s">
        <v>2179</v>
      </c>
      <c r="E130" s="24" t="s">
        <v>2179</v>
      </c>
      <c r="F130" s="24" t="s">
        <v>1237</v>
      </c>
      <c r="G130" s="24" t="s">
        <v>2201</v>
      </c>
      <c r="H130" s="24" t="s">
        <v>2302</v>
      </c>
      <c r="I130" s="24" t="s">
        <v>2303</v>
      </c>
      <c r="J130" s="24" t="s">
        <v>761</v>
      </c>
      <c r="K130" s="24" t="s">
        <v>1146</v>
      </c>
      <c r="L130" s="25">
        <v>1070</v>
      </c>
      <c r="M130" s="26">
        <v>6.59</v>
      </c>
      <c r="N130" s="27">
        <v>6.59</v>
      </c>
      <c r="O130" s="28">
        <v>5.990909090909091E-3</v>
      </c>
      <c r="P130" s="28">
        <v>6.2400884955752218</v>
      </c>
    </row>
    <row r="131" spans="1:16" x14ac:dyDescent="0.3">
      <c r="A131" t="s">
        <v>3040</v>
      </c>
      <c r="B131" s="24">
        <v>142475</v>
      </c>
      <c r="C131" s="24" t="s">
        <v>2246</v>
      </c>
      <c r="D131" s="24" t="s">
        <v>2179</v>
      </c>
      <c r="E131" s="24" t="s">
        <v>2179</v>
      </c>
      <c r="F131" s="24" t="s">
        <v>1349</v>
      </c>
      <c r="G131" s="24" t="s">
        <v>2208</v>
      </c>
      <c r="H131" s="24" t="s">
        <v>2302</v>
      </c>
      <c r="I131" s="24" t="s">
        <v>2303</v>
      </c>
      <c r="J131" s="24" t="s">
        <v>761</v>
      </c>
      <c r="K131" s="24" t="s">
        <v>1146</v>
      </c>
      <c r="L131" s="25">
        <v>1070</v>
      </c>
      <c r="M131" s="26">
        <v>9</v>
      </c>
      <c r="N131" s="27">
        <v>9</v>
      </c>
      <c r="O131" s="28">
        <v>8.1818181818181825E-3</v>
      </c>
      <c r="P131" s="28">
        <v>8.5221238938053094</v>
      </c>
    </row>
    <row r="132" spans="1:16" x14ac:dyDescent="0.3">
      <c r="A132" t="s">
        <v>3041</v>
      </c>
      <c r="B132" s="24">
        <v>142639</v>
      </c>
      <c r="C132" s="24" t="s">
        <v>2235</v>
      </c>
      <c r="D132" s="24" t="s">
        <v>2179</v>
      </c>
      <c r="E132" s="24" t="s">
        <v>2179</v>
      </c>
      <c r="F132" s="24" t="s">
        <v>1349</v>
      </c>
      <c r="G132" s="24" t="s">
        <v>2199</v>
      </c>
      <c r="H132" s="24" t="s">
        <v>2302</v>
      </c>
      <c r="I132" s="24" t="s">
        <v>2303</v>
      </c>
      <c r="J132" s="24" t="s">
        <v>761</v>
      </c>
      <c r="K132" s="24" t="s">
        <v>2194</v>
      </c>
      <c r="L132" s="25">
        <v>1300</v>
      </c>
      <c r="M132" s="26">
        <v>5.45</v>
      </c>
      <c r="N132" s="27">
        <v>6.2699115044247788</v>
      </c>
      <c r="O132" s="28">
        <v>4.9545454545454545E-3</v>
      </c>
      <c r="P132" s="28">
        <v>6.2699115044247788</v>
      </c>
    </row>
    <row r="133" spans="1:16" x14ac:dyDescent="0.3">
      <c r="A133" t="s">
        <v>3042</v>
      </c>
      <c r="B133" s="24">
        <v>142660</v>
      </c>
      <c r="C133" s="24" t="s">
        <v>2215</v>
      </c>
      <c r="D133" s="24" t="s">
        <v>2179</v>
      </c>
      <c r="E133" s="24" t="s">
        <v>2179</v>
      </c>
      <c r="F133" s="24" t="s">
        <v>1237</v>
      </c>
      <c r="G133" s="24" t="s">
        <v>2216</v>
      </c>
      <c r="H133" s="24" t="s">
        <v>2302</v>
      </c>
      <c r="I133" s="24" t="s">
        <v>2303</v>
      </c>
      <c r="J133" s="24" t="s">
        <v>761</v>
      </c>
      <c r="K133" s="24" t="s">
        <v>1146</v>
      </c>
      <c r="L133" s="25">
        <v>1070</v>
      </c>
      <c r="M133" s="26">
        <v>6.16</v>
      </c>
      <c r="N133" s="27">
        <v>6.16</v>
      </c>
      <c r="O133" s="28">
        <v>5.5999999999999999E-3</v>
      </c>
      <c r="P133" s="28">
        <v>5.8329203539823009</v>
      </c>
    </row>
    <row r="134" spans="1:16" x14ac:dyDescent="0.3">
      <c r="A134" t="s">
        <v>3043</v>
      </c>
      <c r="B134" s="24">
        <v>142807</v>
      </c>
      <c r="C134" s="24" t="s">
        <v>2217</v>
      </c>
      <c r="D134" s="24" t="s">
        <v>2179</v>
      </c>
      <c r="E134" s="24" t="s">
        <v>2179</v>
      </c>
      <c r="F134" s="24" t="s">
        <v>1349</v>
      </c>
      <c r="G134" s="24" t="s">
        <v>2208</v>
      </c>
      <c r="H134" s="24" t="s">
        <v>2302</v>
      </c>
      <c r="I134" s="24" t="s">
        <v>2303</v>
      </c>
      <c r="J134" s="24" t="s">
        <v>761</v>
      </c>
      <c r="K134" s="24" t="s">
        <v>1146</v>
      </c>
      <c r="L134" s="25">
        <v>1070</v>
      </c>
      <c r="M134" s="26">
        <v>8</v>
      </c>
      <c r="N134" s="27">
        <v>8</v>
      </c>
      <c r="O134" s="28">
        <v>7.2727272727272727E-3</v>
      </c>
      <c r="P134" s="28">
        <v>7.5752212389380533</v>
      </c>
    </row>
    <row r="135" spans="1:16" x14ac:dyDescent="0.3">
      <c r="A135" t="s">
        <v>3044</v>
      </c>
      <c r="B135" s="24">
        <v>300008</v>
      </c>
      <c r="C135" s="24" t="s">
        <v>2219</v>
      </c>
      <c r="D135" s="24" t="s">
        <v>2179</v>
      </c>
      <c r="E135" s="24" t="s">
        <v>2179</v>
      </c>
      <c r="F135" s="24" t="s">
        <v>2220</v>
      </c>
      <c r="G135" s="24" t="s">
        <v>2179</v>
      </c>
      <c r="H135" s="24" t="s">
        <v>2302</v>
      </c>
      <c r="I135" s="24" t="s">
        <v>2303</v>
      </c>
      <c r="J135" s="24" t="s">
        <v>761</v>
      </c>
      <c r="K135" s="24" t="s">
        <v>1146</v>
      </c>
      <c r="L135" s="25">
        <v>1070</v>
      </c>
      <c r="M135" s="26">
        <v>6.5</v>
      </c>
      <c r="N135" s="27">
        <v>6.5</v>
      </c>
      <c r="O135" s="28">
        <v>5.909090909090909E-3</v>
      </c>
      <c r="P135" s="28">
        <v>6.1548672566371678</v>
      </c>
    </row>
    <row r="136" spans="1:16" x14ac:dyDescent="0.3">
      <c r="A136" t="s">
        <v>3045</v>
      </c>
      <c r="B136" s="24">
        <v>300034</v>
      </c>
      <c r="C136" s="24" t="s">
        <v>2184</v>
      </c>
      <c r="D136" s="24" t="s">
        <v>2179</v>
      </c>
      <c r="E136" s="24" t="s">
        <v>2179</v>
      </c>
      <c r="F136" s="24" t="s">
        <v>1349</v>
      </c>
      <c r="G136" s="24" t="s">
        <v>2180</v>
      </c>
      <c r="H136" s="24" t="s">
        <v>2302</v>
      </c>
      <c r="I136" s="24" t="s">
        <v>2303</v>
      </c>
      <c r="J136" s="24" t="s">
        <v>761</v>
      </c>
      <c r="K136" s="24" t="s">
        <v>1352</v>
      </c>
      <c r="L136" s="25">
        <v>1</v>
      </c>
      <c r="M136" s="26">
        <v>9000</v>
      </c>
      <c r="N136" s="27">
        <v>8.1818181818181817</v>
      </c>
      <c r="O136" s="28">
        <v>8.1818181818181817</v>
      </c>
      <c r="P136" s="28">
        <v>7.9646017699115044</v>
      </c>
    </row>
    <row r="137" spans="1:16" x14ac:dyDescent="0.3">
      <c r="A137" t="s">
        <v>3046</v>
      </c>
      <c r="B137" s="24">
        <v>300059</v>
      </c>
      <c r="C137" s="24" t="s">
        <v>2279</v>
      </c>
      <c r="D137" s="24" t="s">
        <v>2179</v>
      </c>
      <c r="E137" s="24" t="s">
        <v>2179</v>
      </c>
      <c r="F137" s="24" t="s">
        <v>1237</v>
      </c>
      <c r="G137" s="24" t="s">
        <v>2216</v>
      </c>
      <c r="H137" s="24" t="s">
        <v>2302</v>
      </c>
      <c r="I137" s="24" t="s">
        <v>2303</v>
      </c>
      <c r="J137" s="24" t="s">
        <v>761</v>
      </c>
      <c r="K137" s="24" t="s">
        <v>1146</v>
      </c>
      <c r="L137" s="25">
        <v>1070</v>
      </c>
      <c r="M137" s="26">
        <v>6.9657</v>
      </c>
      <c r="N137" s="27">
        <v>6.9657</v>
      </c>
      <c r="O137" s="28">
        <v>6.3324545454545456E-3</v>
      </c>
      <c r="P137" s="28">
        <v>6.5958398230088493</v>
      </c>
    </row>
    <row r="138" spans="1:16" x14ac:dyDescent="0.3">
      <c r="A138" t="s">
        <v>3047</v>
      </c>
      <c r="B138" s="24">
        <v>300067</v>
      </c>
      <c r="C138" s="24" t="s">
        <v>2198</v>
      </c>
      <c r="D138" s="24" t="s">
        <v>2179</v>
      </c>
      <c r="E138" s="24" t="s">
        <v>2179</v>
      </c>
      <c r="F138" s="24" t="s">
        <v>1349</v>
      </c>
      <c r="G138" s="24" t="s">
        <v>2199</v>
      </c>
      <c r="H138" s="24" t="s">
        <v>2302</v>
      </c>
      <c r="I138" s="24" t="s">
        <v>2303</v>
      </c>
      <c r="J138" s="24" t="s">
        <v>761</v>
      </c>
      <c r="K138" s="24" t="s">
        <v>1146</v>
      </c>
      <c r="L138" s="25">
        <v>1070</v>
      </c>
      <c r="M138" s="26">
        <v>6.3</v>
      </c>
      <c r="N138" s="27">
        <v>6.3</v>
      </c>
      <c r="O138" s="28">
        <v>5.7272727272727267E-3</v>
      </c>
      <c r="P138" s="28">
        <v>5.965486725663717</v>
      </c>
    </row>
    <row r="139" spans="1:16" x14ac:dyDescent="0.3">
      <c r="A139" t="s">
        <v>3048</v>
      </c>
      <c r="B139" s="24">
        <v>300117</v>
      </c>
      <c r="C139" s="24" t="s">
        <v>2304</v>
      </c>
      <c r="D139" s="24" t="s">
        <v>2179</v>
      </c>
      <c r="E139" s="24" t="s">
        <v>2179</v>
      </c>
      <c r="F139" s="24" t="s">
        <v>1237</v>
      </c>
      <c r="G139" s="24" t="s">
        <v>2216</v>
      </c>
      <c r="H139" s="24" t="s">
        <v>2302</v>
      </c>
      <c r="I139" s="24" t="s">
        <v>2303</v>
      </c>
      <c r="J139" s="24" t="s">
        <v>761</v>
      </c>
      <c r="K139" s="24" t="s">
        <v>1146</v>
      </c>
      <c r="L139" s="25">
        <v>1070</v>
      </c>
      <c r="M139" s="26">
        <v>6.51</v>
      </c>
      <c r="N139" s="27">
        <v>6.51</v>
      </c>
      <c r="O139" s="28">
        <v>5.9181818181818181E-3</v>
      </c>
      <c r="P139" s="28">
        <v>6.1643362831858406</v>
      </c>
    </row>
    <row r="140" spans="1:16" x14ac:dyDescent="0.3">
      <c r="A140" t="s">
        <v>3049</v>
      </c>
      <c r="B140" s="24">
        <v>300138</v>
      </c>
      <c r="C140" s="24" t="s">
        <v>2256</v>
      </c>
      <c r="D140" s="24" t="s">
        <v>2179</v>
      </c>
      <c r="E140" s="24" t="s">
        <v>2179</v>
      </c>
      <c r="F140" s="24" t="s">
        <v>1349</v>
      </c>
      <c r="G140" s="24" t="s">
        <v>2199</v>
      </c>
      <c r="H140" s="24" t="s">
        <v>2302</v>
      </c>
      <c r="I140" s="24" t="s">
        <v>2303</v>
      </c>
      <c r="J140" s="24" t="s">
        <v>761</v>
      </c>
      <c r="K140" s="24" t="s">
        <v>2194</v>
      </c>
      <c r="L140" s="25">
        <v>1300</v>
      </c>
      <c r="M140" s="26">
        <v>6.08</v>
      </c>
      <c r="N140" s="27">
        <v>6.9946902654867253</v>
      </c>
      <c r="O140" s="28">
        <v>5.527272727272727E-3</v>
      </c>
      <c r="P140" s="28">
        <v>6.9946902654867253</v>
      </c>
    </row>
    <row r="141" spans="1:16" x14ac:dyDescent="0.3">
      <c r="A141" t="s">
        <v>3050</v>
      </c>
      <c r="B141" s="24">
        <v>300146</v>
      </c>
      <c r="C141" s="24" t="s">
        <v>2224</v>
      </c>
      <c r="D141" s="24" t="s">
        <v>2179</v>
      </c>
      <c r="E141" s="24" t="s">
        <v>2179</v>
      </c>
      <c r="F141" s="24" t="s">
        <v>1386</v>
      </c>
      <c r="G141" s="24" t="s">
        <v>2225</v>
      </c>
      <c r="H141" s="24" t="s">
        <v>2302</v>
      </c>
      <c r="I141" s="24" t="s">
        <v>2303</v>
      </c>
      <c r="J141" s="24" t="s">
        <v>761</v>
      </c>
      <c r="K141" s="24" t="s">
        <v>1146</v>
      </c>
      <c r="L141" s="25">
        <v>1070</v>
      </c>
      <c r="M141" s="26">
        <v>5.36</v>
      </c>
      <c r="N141" s="27">
        <v>5.36</v>
      </c>
      <c r="O141" s="28">
        <v>4.8727272727272734E-3</v>
      </c>
      <c r="P141" s="28">
        <v>5.0753982300884966</v>
      </c>
    </row>
    <row r="142" spans="1:16" x14ac:dyDescent="0.3">
      <c r="A142" t="s">
        <v>3051</v>
      </c>
      <c r="B142" s="24">
        <v>112498</v>
      </c>
      <c r="C142" s="24" t="s">
        <v>2211</v>
      </c>
      <c r="D142" s="24" t="s">
        <v>2179</v>
      </c>
      <c r="E142" s="24" t="s">
        <v>2179</v>
      </c>
      <c r="F142" s="24" t="s">
        <v>1237</v>
      </c>
      <c r="G142" s="24" t="s">
        <v>2201</v>
      </c>
      <c r="H142" s="24" t="s">
        <v>2305</v>
      </c>
      <c r="I142" s="24" t="s">
        <v>2303</v>
      </c>
      <c r="J142" s="24" t="s">
        <v>761</v>
      </c>
      <c r="K142" s="24" t="s">
        <v>1146</v>
      </c>
      <c r="L142" s="25">
        <v>1070</v>
      </c>
      <c r="M142" s="26">
        <v>6.67</v>
      </c>
      <c r="N142" s="27">
        <v>6.67</v>
      </c>
      <c r="O142" s="28">
        <v>6.0636363636363639E-3</v>
      </c>
      <c r="P142" s="28">
        <v>6.3158407079646013</v>
      </c>
    </row>
    <row r="143" spans="1:16" x14ac:dyDescent="0.3">
      <c r="A143" t="s">
        <v>3052</v>
      </c>
      <c r="B143" s="24">
        <v>101906</v>
      </c>
      <c r="C143" s="24" t="s">
        <v>2243</v>
      </c>
      <c r="D143" s="24" t="s">
        <v>2179</v>
      </c>
      <c r="E143" s="24" t="s">
        <v>2179</v>
      </c>
      <c r="F143" s="24" t="s">
        <v>1349</v>
      </c>
      <c r="G143" s="24" t="s">
        <v>2180</v>
      </c>
      <c r="H143" s="24" t="s">
        <v>2306</v>
      </c>
      <c r="I143" s="24" t="s">
        <v>2303</v>
      </c>
      <c r="J143" s="24" t="s">
        <v>761</v>
      </c>
      <c r="K143" s="24" t="s">
        <v>1352</v>
      </c>
      <c r="L143" s="25">
        <v>1</v>
      </c>
      <c r="M143" s="26">
        <v>8000</v>
      </c>
      <c r="N143" s="27">
        <v>7.2727272727272725</v>
      </c>
      <c r="O143" s="28">
        <v>7.2727272727272725</v>
      </c>
      <c r="P143" s="28">
        <v>7.0796460176991154</v>
      </c>
    </row>
    <row r="144" spans="1:16" x14ac:dyDescent="0.3">
      <c r="A144" t="s">
        <v>3053</v>
      </c>
      <c r="B144" s="24">
        <v>142651</v>
      </c>
      <c r="C144" s="24" t="s">
        <v>2178</v>
      </c>
      <c r="D144" s="24" t="s">
        <v>2179</v>
      </c>
      <c r="E144" s="24" t="s">
        <v>2179</v>
      </c>
      <c r="F144" s="24" t="s">
        <v>1349</v>
      </c>
      <c r="G144" s="24" t="s">
        <v>2180</v>
      </c>
      <c r="H144" s="24" t="s">
        <v>2306</v>
      </c>
      <c r="I144" s="24" t="s">
        <v>2303</v>
      </c>
      <c r="J144" s="24" t="s">
        <v>761</v>
      </c>
      <c r="K144" s="24" t="s">
        <v>1352</v>
      </c>
      <c r="L144" s="25">
        <v>1</v>
      </c>
      <c r="M144" s="26">
        <v>9100</v>
      </c>
      <c r="N144" s="27">
        <v>8.2727272727272734</v>
      </c>
      <c r="O144" s="28">
        <v>8.2727272727272734</v>
      </c>
      <c r="P144" s="28">
        <v>8.053097345132743</v>
      </c>
    </row>
    <row r="145" spans="1:16" x14ac:dyDescent="0.3">
      <c r="A145" t="s">
        <v>3054</v>
      </c>
      <c r="B145" s="24">
        <v>142807</v>
      </c>
      <c r="C145" s="24" t="s">
        <v>2217</v>
      </c>
      <c r="D145" s="24" t="s">
        <v>2179</v>
      </c>
      <c r="E145" s="24" t="s">
        <v>2179</v>
      </c>
      <c r="F145" s="24" t="s">
        <v>1349</v>
      </c>
      <c r="G145" s="24" t="s">
        <v>2208</v>
      </c>
      <c r="H145" s="24" t="s">
        <v>2306</v>
      </c>
      <c r="I145" s="24" t="s">
        <v>2303</v>
      </c>
      <c r="J145" s="24" t="s">
        <v>761</v>
      </c>
      <c r="K145" s="24" t="s">
        <v>1146</v>
      </c>
      <c r="L145" s="25">
        <v>1070</v>
      </c>
      <c r="M145" s="26">
        <v>8</v>
      </c>
      <c r="N145" s="27">
        <v>8</v>
      </c>
      <c r="O145" s="28">
        <v>7.2727272727272727E-3</v>
      </c>
      <c r="P145" s="28">
        <v>7.5752212389380533</v>
      </c>
    </row>
    <row r="146" spans="1:16" x14ac:dyDescent="0.3">
      <c r="A146" t="s">
        <v>3055</v>
      </c>
      <c r="B146" s="24">
        <v>300032</v>
      </c>
      <c r="C146" s="24" t="s">
        <v>2183</v>
      </c>
      <c r="D146" s="24" t="s">
        <v>2179</v>
      </c>
      <c r="E146" s="24" t="s">
        <v>2179</v>
      </c>
      <c r="F146" s="24" t="s">
        <v>1349</v>
      </c>
      <c r="G146" s="24" t="s">
        <v>2180</v>
      </c>
      <c r="H146" s="24" t="s">
        <v>2306</v>
      </c>
      <c r="I146" s="24" t="s">
        <v>2303</v>
      </c>
      <c r="J146" s="24" t="s">
        <v>761</v>
      </c>
      <c r="K146" s="24" t="s">
        <v>1352</v>
      </c>
      <c r="L146" s="25">
        <v>1</v>
      </c>
      <c r="M146" s="26">
        <v>7240</v>
      </c>
      <c r="N146" s="27">
        <v>6.581818181818182</v>
      </c>
      <c r="O146" s="28">
        <v>6.581818181818182</v>
      </c>
      <c r="P146" s="28">
        <v>6.4070796460176993</v>
      </c>
    </row>
    <row r="147" spans="1:16" x14ac:dyDescent="0.3">
      <c r="A147" t="s">
        <v>3056</v>
      </c>
      <c r="B147" s="24">
        <v>300039</v>
      </c>
      <c r="C147" s="24" t="s">
        <v>2221</v>
      </c>
      <c r="D147" s="24" t="s">
        <v>2179</v>
      </c>
      <c r="E147" s="24" t="s">
        <v>2179</v>
      </c>
      <c r="F147" s="24" t="s">
        <v>1349</v>
      </c>
      <c r="G147" s="24" t="s">
        <v>2199</v>
      </c>
      <c r="H147" s="24" t="s">
        <v>2306</v>
      </c>
      <c r="I147" s="24" t="s">
        <v>2303</v>
      </c>
      <c r="J147" s="24" t="s">
        <v>761</v>
      </c>
      <c r="K147" s="24" t="s">
        <v>1146</v>
      </c>
      <c r="L147" s="25">
        <v>1070</v>
      </c>
      <c r="M147" s="26">
        <v>6.75</v>
      </c>
      <c r="N147" s="27">
        <v>6.75</v>
      </c>
      <c r="O147" s="28">
        <v>6.136363636363636E-3</v>
      </c>
      <c r="P147" s="28">
        <v>6.3915929203539825</v>
      </c>
    </row>
    <row r="148" spans="1:16" x14ac:dyDescent="0.3">
      <c r="A148" t="s">
        <v>3057</v>
      </c>
      <c r="B148" s="24">
        <v>300055</v>
      </c>
      <c r="C148" s="24" t="s">
        <v>2222</v>
      </c>
      <c r="D148" s="24" t="s">
        <v>2179</v>
      </c>
      <c r="E148" s="24" t="s">
        <v>2179</v>
      </c>
      <c r="F148" s="24" t="s">
        <v>1349</v>
      </c>
      <c r="G148" s="24" t="s">
        <v>2199</v>
      </c>
      <c r="H148" s="24" t="s">
        <v>2306</v>
      </c>
      <c r="I148" s="24" t="s">
        <v>2303</v>
      </c>
      <c r="J148" s="24" t="s">
        <v>761</v>
      </c>
      <c r="K148" s="24" t="s">
        <v>1146</v>
      </c>
      <c r="L148" s="25">
        <v>1070</v>
      </c>
      <c r="M148" s="26">
        <v>6.55</v>
      </c>
      <c r="N148" s="27">
        <v>6.55</v>
      </c>
      <c r="O148" s="28">
        <v>5.9545454545454546E-3</v>
      </c>
      <c r="P148" s="28">
        <v>6.2022123893805308</v>
      </c>
    </row>
    <row r="149" spans="1:16" x14ac:dyDescent="0.3">
      <c r="A149" t="s">
        <v>3058</v>
      </c>
      <c r="B149" s="24">
        <v>300062</v>
      </c>
      <c r="C149" s="24" t="s">
        <v>2185</v>
      </c>
      <c r="D149" s="24" t="s">
        <v>2179</v>
      </c>
      <c r="E149" s="24" t="s">
        <v>2179</v>
      </c>
      <c r="F149" s="24" t="s">
        <v>1349</v>
      </c>
      <c r="G149" s="24" t="s">
        <v>2180</v>
      </c>
      <c r="H149" s="24" t="s">
        <v>2306</v>
      </c>
      <c r="I149" s="24" t="s">
        <v>2303</v>
      </c>
      <c r="J149" s="24" t="s">
        <v>761</v>
      </c>
      <c r="K149" s="24" t="s">
        <v>1352</v>
      </c>
      <c r="L149" s="25">
        <v>1</v>
      </c>
      <c r="M149" s="26">
        <v>7200</v>
      </c>
      <c r="N149" s="27">
        <v>6.5454545454545459</v>
      </c>
      <c r="O149" s="28">
        <v>6.5454545454545459</v>
      </c>
      <c r="P149" s="28">
        <v>6.3716814159292037</v>
      </c>
    </row>
    <row r="150" spans="1:16" x14ac:dyDescent="0.3">
      <c r="A150" t="s">
        <v>3059</v>
      </c>
      <c r="B150" s="24">
        <v>300111</v>
      </c>
      <c r="C150" s="24" t="s">
        <v>2202</v>
      </c>
      <c r="D150" s="24" t="s">
        <v>2179</v>
      </c>
      <c r="E150" s="24" t="s">
        <v>2179</v>
      </c>
      <c r="F150" s="24" t="s">
        <v>1349</v>
      </c>
      <c r="G150" s="24" t="s">
        <v>2191</v>
      </c>
      <c r="H150" s="24" t="s">
        <v>2306</v>
      </c>
      <c r="I150" s="24" t="s">
        <v>2303</v>
      </c>
      <c r="J150" s="24" t="s">
        <v>761</v>
      </c>
      <c r="K150" s="24" t="s">
        <v>2194</v>
      </c>
      <c r="L150" s="25">
        <v>1300</v>
      </c>
      <c r="M150" s="26">
        <v>6.87</v>
      </c>
      <c r="N150" s="27">
        <v>7.9035398230088498</v>
      </c>
      <c r="O150" s="28">
        <v>6.2454545454545454E-3</v>
      </c>
      <c r="P150" s="28">
        <v>7.9035398230088498</v>
      </c>
    </row>
    <row r="151" spans="1:16" x14ac:dyDescent="0.3">
      <c r="A151" t="s">
        <v>3060</v>
      </c>
      <c r="B151" s="24">
        <v>142639</v>
      </c>
      <c r="C151" s="24" t="s">
        <v>2235</v>
      </c>
      <c r="D151" s="24" t="s">
        <v>2179</v>
      </c>
      <c r="E151" s="24" t="s">
        <v>2179</v>
      </c>
      <c r="F151" s="24" t="s">
        <v>1349</v>
      </c>
      <c r="G151" s="24" t="s">
        <v>2199</v>
      </c>
      <c r="H151" s="24" t="s">
        <v>2307</v>
      </c>
      <c r="I151" s="24" t="s">
        <v>2308</v>
      </c>
      <c r="J151" s="24" t="s">
        <v>761</v>
      </c>
      <c r="K151" s="24" t="s">
        <v>2194</v>
      </c>
      <c r="L151" s="25">
        <v>1300</v>
      </c>
      <c r="M151" s="26">
        <v>5.4</v>
      </c>
      <c r="N151" s="27">
        <v>6.2123893805309747</v>
      </c>
      <c r="O151" s="28">
        <v>4.9090909090909098E-3</v>
      </c>
      <c r="P151" s="28">
        <v>6.2123893805309747</v>
      </c>
    </row>
    <row r="152" spans="1:16" x14ac:dyDescent="0.3">
      <c r="A152" t="s">
        <v>3061</v>
      </c>
      <c r="B152" s="24">
        <v>300008</v>
      </c>
      <c r="C152" s="24" t="s">
        <v>2219</v>
      </c>
      <c r="D152" s="24" t="s">
        <v>2179</v>
      </c>
      <c r="E152" s="24" t="s">
        <v>2179</v>
      </c>
      <c r="F152" s="24" t="s">
        <v>2220</v>
      </c>
      <c r="G152" s="24" t="s">
        <v>2179</v>
      </c>
      <c r="H152" s="24" t="s">
        <v>2307</v>
      </c>
      <c r="I152" s="24" t="s">
        <v>2308</v>
      </c>
      <c r="J152" s="24" t="s">
        <v>761</v>
      </c>
      <c r="K152" s="24" t="s">
        <v>1146</v>
      </c>
      <c r="L152" s="25">
        <v>1070</v>
      </c>
      <c r="M152" s="26">
        <v>6.8</v>
      </c>
      <c r="N152" s="27">
        <v>6.8</v>
      </c>
      <c r="O152" s="28">
        <v>6.1818181818181816E-3</v>
      </c>
      <c r="P152" s="28">
        <v>6.4389380530973455</v>
      </c>
    </row>
    <row r="153" spans="1:16" x14ac:dyDescent="0.3">
      <c r="A153" t="s">
        <v>3062</v>
      </c>
      <c r="B153" s="24">
        <v>300042</v>
      </c>
      <c r="C153" s="24" t="s">
        <v>2190</v>
      </c>
      <c r="D153" s="24" t="s">
        <v>2179</v>
      </c>
      <c r="E153" s="24" t="s">
        <v>2179</v>
      </c>
      <c r="F153" s="24" t="s">
        <v>1349</v>
      </c>
      <c r="G153" s="24" t="s">
        <v>2191</v>
      </c>
      <c r="H153" s="24" t="s">
        <v>2309</v>
      </c>
      <c r="I153" s="24" t="s">
        <v>2310</v>
      </c>
      <c r="J153" s="24" t="s">
        <v>761</v>
      </c>
      <c r="K153" s="24" t="s">
        <v>2194</v>
      </c>
      <c r="L153" s="25">
        <v>1300</v>
      </c>
      <c r="M153" s="26">
        <v>5.8</v>
      </c>
      <c r="N153" s="27">
        <v>6.6725663716814161</v>
      </c>
      <c r="O153" s="28">
        <v>5.2727272727272727E-3</v>
      </c>
      <c r="P153" s="28">
        <v>6.6725663716814161</v>
      </c>
    </row>
    <row r="154" spans="1:16" x14ac:dyDescent="0.3">
      <c r="A154" t="s">
        <v>3063</v>
      </c>
      <c r="B154" s="24">
        <v>300173</v>
      </c>
      <c r="C154" s="24" t="s">
        <v>2289</v>
      </c>
      <c r="D154" s="24" t="s">
        <v>2179</v>
      </c>
      <c r="E154" s="24" t="s">
        <v>2179</v>
      </c>
      <c r="F154" s="24" t="s">
        <v>1349</v>
      </c>
      <c r="G154" s="24" t="s">
        <v>2187</v>
      </c>
      <c r="H154" s="24" t="s">
        <v>2311</v>
      </c>
      <c r="I154" s="24" t="s">
        <v>2312</v>
      </c>
      <c r="J154" s="24" t="s">
        <v>761</v>
      </c>
      <c r="K154" s="24" t="s">
        <v>1352</v>
      </c>
      <c r="L154" s="25">
        <v>1</v>
      </c>
      <c r="M154" s="26">
        <v>6500</v>
      </c>
      <c r="N154" s="27">
        <v>5.9090909090909092</v>
      </c>
      <c r="O154" s="28">
        <v>5.9090909090909092</v>
      </c>
      <c r="P154" s="28">
        <v>5.7522123893805306</v>
      </c>
    </row>
    <row r="155" spans="1:16" x14ac:dyDescent="0.3">
      <c r="A155" t="s">
        <v>3064</v>
      </c>
      <c r="B155" s="24">
        <v>300062</v>
      </c>
      <c r="C155" s="24" t="s">
        <v>2185</v>
      </c>
      <c r="D155" s="24" t="s">
        <v>2179</v>
      </c>
      <c r="E155" s="24" t="s">
        <v>2179</v>
      </c>
      <c r="F155" s="24" t="s">
        <v>1349</v>
      </c>
      <c r="G155" s="24" t="s">
        <v>2180</v>
      </c>
      <c r="H155" s="24" t="s">
        <v>2313</v>
      </c>
      <c r="I155" s="24" t="s">
        <v>2314</v>
      </c>
      <c r="J155" s="24" t="s">
        <v>761</v>
      </c>
      <c r="K155" s="24" t="s">
        <v>1352</v>
      </c>
      <c r="L155" s="25">
        <v>1</v>
      </c>
      <c r="M155" s="26">
        <v>8490</v>
      </c>
      <c r="N155" s="27">
        <v>7.7181818181818178</v>
      </c>
      <c r="O155" s="28">
        <v>7.7181818181818178</v>
      </c>
      <c r="P155" s="28">
        <v>7.5132743362831862</v>
      </c>
    </row>
    <row r="156" spans="1:16" x14ac:dyDescent="0.3">
      <c r="A156" t="s">
        <v>3065</v>
      </c>
      <c r="B156" s="24">
        <v>142651</v>
      </c>
      <c r="C156" s="24" t="s">
        <v>2178</v>
      </c>
      <c r="D156" s="24" t="s">
        <v>2179</v>
      </c>
      <c r="E156" s="24" t="s">
        <v>2179</v>
      </c>
      <c r="F156" s="24" t="s">
        <v>1349</v>
      </c>
      <c r="G156" s="24" t="s">
        <v>2180</v>
      </c>
      <c r="H156" s="24" t="s">
        <v>2315</v>
      </c>
      <c r="I156" s="24" t="s">
        <v>2316</v>
      </c>
      <c r="J156" s="24" t="s">
        <v>761</v>
      </c>
      <c r="K156" s="24" t="s">
        <v>1352</v>
      </c>
      <c r="L156" s="25">
        <v>1</v>
      </c>
      <c r="M156" s="26">
        <v>8490</v>
      </c>
      <c r="N156" s="27">
        <v>7.7181818181818178</v>
      </c>
      <c r="O156" s="28">
        <v>7.7181818181818178</v>
      </c>
      <c r="P156" s="28">
        <v>7.5132743362831862</v>
      </c>
    </row>
    <row r="157" spans="1:16" x14ac:dyDescent="0.3">
      <c r="A157" t="s">
        <v>3066</v>
      </c>
      <c r="B157" s="24">
        <v>300032</v>
      </c>
      <c r="C157" s="24" t="s">
        <v>2183</v>
      </c>
      <c r="D157" s="24" t="s">
        <v>2179</v>
      </c>
      <c r="E157" s="24" t="s">
        <v>2179</v>
      </c>
      <c r="F157" s="24" t="s">
        <v>1349</v>
      </c>
      <c r="G157" s="24" t="s">
        <v>2187</v>
      </c>
      <c r="H157" s="24" t="s">
        <v>2315</v>
      </c>
      <c r="I157" s="24" t="s">
        <v>2316</v>
      </c>
      <c r="J157" s="24" t="s">
        <v>761</v>
      </c>
      <c r="K157" s="24" t="s">
        <v>1352</v>
      </c>
      <c r="L157" s="25">
        <v>1</v>
      </c>
      <c r="M157" s="26">
        <v>8500</v>
      </c>
      <c r="N157" s="27">
        <v>7.7272727272727275</v>
      </c>
      <c r="O157" s="28">
        <v>7.7272727272727275</v>
      </c>
      <c r="P157" s="28">
        <v>7.5221238938053094</v>
      </c>
    </row>
    <row r="158" spans="1:16" x14ac:dyDescent="0.3">
      <c r="A158" t="s">
        <v>3067</v>
      </c>
      <c r="B158" s="24">
        <v>300034</v>
      </c>
      <c r="C158" s="24" t="s">
        <v>2184</v>
      </c>
      <c r="D158" s="24" t="s">
        <v>2179</v>
      </c>
      <c r="E158" s="24" t="s">
        <v>2179</v>
      </c>
      <c r="F158" s="24" t="s">
        <v>1349</v>
      </c>
      <c r="G158" s="24" t="s">
        <v>2180</v>
      </c>
      <c r="H158" s="24" t="s">
        <v>2315</v>
      </c>
      <c r="I158" s="24" t="s">
        <v>2316</v>
      </c>
      <c r="J158" s="24" t="s">
        <v>761</v>
      </c>
      <c r="K158" s="24" t="s">
        <v>1352</v>
      </c>
      <c r="L158" s="25">
        <v>1</v>
      </c>
      <c r="M158" s="26">
        <v>8840</v>
      </c>
      <c r="N158" s="27">
        <v>8.036363636363637</v>
      </c>
      <c r="O158" s="28">
        <v>8.036363636363637</v>
      </c>
      <c r="P158" s="28">
        <v>7.8230088495575218</v>
      </c>
    </row>
    <row r="159" spans="1:16" x14ac:dyDescent="0.3">
      <c r="A159" t="s">
        <v>3068</v>
      </c>
      <c r="B159" s="24">
        <v>300062</v>
      </c>
      <c r="C159" s="24" t="s">
        <v>2185</v>
      </c>
      <c r="D159" s="24" t="s">
        <v>2179</v>
      </c>
      <c r="E159" s="24" t="s">
        <v>2179</v>
      </c>
      <c r="F159" s="24" t="s">
        <v>1349</v>
      </c>
      <c r="G159" s="24" t="s">
        <v>2180</v>
      </c>
      <c r="H159" s="24" t="s">
        <v>2315</v>
      </c>
      <c r="I159" s="24" t="s">
        <v>2316</v>
      </c>
      <c r="J159" s="24" t="s">
        <v>761</v>
      </c>
      <c r="K159" s="24" t="s">
        <v>1352</v>
      </c>
      <c r="L159" s="25">
        <v>1</v>
      </c>
      <c r="M159" s="26">
        <v>8490</v>
      </c>
      <c r="N159" s="27">
        <v>7.7181818181818178</v>
      </c>
      <c r="O159" s="28">
        <v>7.7181818181818178</v>
      </c>
      <c r="P159" s="28">
        <v>7.5132743362831862</v>
      </c>
    </row>
    <row r="160" spans="1:16" x14ac:dyDescent="0.3">
      <c r="A160" t="s">
        <v>3069</v>
      </c>
      <c r="B160" s="24">
        <v>300008</v>
      </c>
      <c r="C160" s="24" t="s">
        <v>2219</v>
      </c>
      <c r="D160" s="24" t="s">
        <v>2179</v>
      </c>
      <c r="E160" s="24" t="s">
        <v>2179</v>
      </c>
      <c r="F160" s="24" t="s">
        <v>2220</v>
      </c>
      <c r="G160" s="24" t="s">
        <v>2179</v>
      </c>
      <c r="H160" s="24" t="s">
        <v>2317</v>
      </c>
      <c r="I160" s="24" t="s">
        <v>2318</v>
      </c>
      <c r="J160" s="24" t="s">
        <v>761</v>
      </c>
      <c r="K160" s="24" t="s">
        <v>1146</v>
      </c>
      <c r="L160" s="25">
        <v>1070</v>
      </c>
      <c r="M160" s="26">
        <v>7.9</v>
      </c>
      <c r="N160" s="27">
        <v>7.9</v>
      </c>
      <c r="O160" s="28">
        <v>7.1818181818181824E-3</v>
      </c>
      <c r="P160" s="28">
        <v>7.4805309734513274</v>
      </c>
    </row>
    <row r="161" spans="1:16" x14ac:dyDescent="0.3">
      <c r="A161" t="s">
        <v>3070</v>
      </c>
      <c r="B161" s="24">
        <v>300067</v>
      </c>
      <c r="C161" s="24" t="s">
        <v>2198</v>
      </c>
      <c r="D161" s="24" t="s">
        <v>2179</v>
      </c>
      <c r="E161" s="24" t="s">
        <v>2179</v>
      </c>
      <c r="F161" s="24" t="s">
        <v>1349</v>
      </c>
      <c r="G161" s="24" t="s">
        <v>2199</v>
      </c>
      <c r="H161" s="24" t="s">
        <v>2317</v>
      </c>
      <c r="I161" s="24" t="s">
        <v>2318</v>
      </c>
      <c r="J161" s="24" t="s">
        <v>761</v>
      </c>
      <c r="K161" s="24" t="s">
        <v>1146</v>
      </c>
      <c r="L161" s="25">
        <v>1070</v>
      </c>
      <c r="M161" s="26">
        <v>6.65</v>
      </c>
      <c r="N161" s="27">
        <v>6.65</v>
      </c>
      <c r="O161" s="28">
        <v>6.0454545454545457E-3</v>
      </c>
      <c r="P161" s="28">
        <v>6.2969026548672566</v>
      </c>
    </row>
    <row r="162" spans="1:16" x14ac:dyDescent="0.3">
      <c r="A162" t="s">
        <v>3071</v>
      </c>
      <c r="B162" s="24">
        <v>142651</v>
      </c>
      <c r="C162" s="24" t="s">
        <v>2178</v>
      </c>
      <c r="D162" s="24" t="s">
        <v>2179</v>
      </c>
      <c r="E162" s="24" t="s">
        <v>2179</v>
      </c>
      <c r="F162" s="24" t="s">
        <v>1349</v>
      </c>
      <c r="G162" s="24" t="s">
        <v>2180</v>
      </c>
      <c r="H162" s="24" t="s">
        <v>2319</v>
      </c>
      <c r="I162" s="24" t="s">
        <v>2320</v>
      </c>
      <c r="J162" s="24" t="s">
        <v>761</v>
      </c>
      <c r="K162" s="24" t="s">
        <v>1352</v>
      </c>
      <c r="L162" s="25">
        <v>1</v>
      </c>
      <c r="M162" s="26">
        <v>8840</v>
      </c>
      <c r="N162" s="27">
        <v>8.036363636363637</v>
      </c>
      <c r="O162" s="28">
        <v>8.036363636363637</v>
      </c>
      <c r="P162" s="28">
        <v>7.8230088495575218</v>
      </c>
    </row>
    <row r="163" spans="1:16" x14ac:dyDescent="0.3">
      <c r="A163" t="s">
        <v>3072</v>
      </c>
      <c r="B163" s="24">
        <v>300032</v>
      </c>
      <c r="C163" s="24" t="s">
        <v>2183</v>
      </c>
      <c r="D163" s="24" t="s">
        <v>2179</v>
      </c>
      <c r="E163" s="24" t="s">
        <v>2179</v>
      </c>
      <c r="F163" s="24" t="s">
        <v>1349</v>
      </c>
      <c r="G163" s="24" t="s">
        <v>2180</v>
      </c>
      <c r="H163" s="24" t="s">
        <v>2319</v>
      </c>
      <c r="I163" s="24" t="s">
        <v>2320</v>
      </c>
      <c r="J163" s="24" t="s">
        <v>761</v>
      </c>
      <c r="K163" s="24" t="s">
        <v>1352</v>
      </c>
      <c r="L163" s="25">
        <v>1</v>
      </c>
      <c r="M163" s="26">
        <v>8840</v>
      </c>
      <c r="N163" s="27">
        <v>8.036363636363637</v>
      </c>
      <c r="O163" s="28">
        <v>8.036363636363637</v>
      </c>
      <c r="P163" s="28">
        <v>7.8230088495575218</v>
      </c>
    </row>
    <row r="164" spans="1:16" x14ac:dyDescent="0.3">
      <c r="A164" t="s">
        <v>3073</v>
      </c>
      <c r="B164" s="24">
        <v>300034</v>
      </c>
      <c r="C164" s="24" t="s">
        <v>2184</v>
      </c>
      <c r="D164" s="24" t="s">
        <v>2179</v>
      </c>
      <c r="E164" s="24" t="s">
        <v>2179</v>
      </c>
      <c r="F164" s="24" t="s">
        <v>1349</v>
      </c>
      <c r="G164" s="24" t="s">
        <v>2180</v>
      </c>
      <c r="H164" s="24" t="s">
        <v>2319</v>
      </c>
      <c r="I164" s="24" t="s">
        <v>2320</v>
      </c>
      <c r="J164" s="24" t="s">
        <v>761</v>
      </c>
      <c r="K164" s="24" t="s">
        <v>1352</v>
      </c>
      <c r="L164" s="25">
        <v>1</v>
      </c>
      <c r="M164" s="26">
        <v>8840</v>
      </c>
      <c r="N164" s="27">
        <v>8.036363636363637</v>
      </c>
      <c r="O164" s="28">
        <v>8.036363636363637</v>
      </c>
      <c r="P164" s="28">
        <v>7.8230088495575218</v>
      </c>
    </row>
    <row r="165" spans="1:16" x14ac:dyDescent="0.3">
      <c r="A165" t="s">
        <v>3074</v>
      </c>
      <c r="B165" s="24">
        <v>300008</v>
      </c>
      <c r="C165" s="24" t="s">
        <v>2219</v>
      </c>
      <c r="D165" s="24" t="s">
        <v>2179</v>
      </c>
      <c r="E165" s="24" t="s">
        <v>2179</v>
      </c>
      <c r="F165" s="24" t="s">
        <v>2220</v>
      </c>
      <c r="G165" s="24" t="s">
        <v>2179</v>
      </c>
      <c r="H165" s="24" t="s">
        <v>2321</v>
      </c>
      <c r="I165" s="24" t="s">
        <v>2322</v>
      </c>
      <c r="J165" s="24" t="s">
        <v>761</v>
      </c>
      <c r="K165" s="24" t="s">
        <v>1146</v>
      </c>
      <c r="L165" s="25">
        <v>1070</v>
      </c>
      <c r="M165" s="26">
        <v>8</v>
      </c>
      <c r="N165" s="27">
        <v>8</v>
      </c>
      <c r="O165" s="28">
        <v>7.2727272727272727E-3</v>
      </c>
      <c r="P165" s="28">
        <v>7.5752212389380533</v>
      </c>
    </row>
    <row r="166" spans="1:16" x14ac:dyDescent="0.3">
      <c r="A166" t="s">
        <v>3075</v>
      </c>
      <c r="B166" s="24">
        <v>300042</v>
      </c>
      <c r="C166" s="24" t="s">
        <v>2190</v>
      </c>
      <c r="D166" s="24" t="s">
        <v>2179</v>
      </c>
      <c r="E166" s="24" t="s">
        <v>2179</v>
      </c>
      <c r="F166" s="24" t="s">
        <v>1349</v>
      </c>
      <c r="G166" s="24" t="s">
        <v>2191</v>
      </c>
      <c r="H166" s="24" t="s">
        <v>2321</v>
      </c>
      <c r="I166" s="24" t="s">
        <v>2322</v>
      </c>
      <c r="J166" s="24" t="s">
        <v>761</v>
      </c>
      <c r="K166" s="24" t="s">
        <v>2194</v>
      </c>
      <c r="L166" s="25">
        <v>1300</v>
      </c>
      <c r="M166" s="26">
        <v>5.81</v>
      </c>
      <c r="N166" s="27">
        <v>6.6840707964601762</v>
      </c>
      <c r="O166" s="28">
        <v>5.2818181818181818E-3</v>
      </c>
      <c r="P166" s="28">
        <v>6.6840707964601762</v>
      </c>
    </row>
    <row r="167" spans="1:16" x14ac:dyDescent="0.3">
      <c r="A167" t="s">
        <v>3076</v>
      </c>
      <c r="B167" s="24">
        <v>300067</v>
      </c>
      <c r="C167" s="24" t="s">
        <v>2198</v>
      </c>
      <c r="D167" s="24" t="s">
        <v>2179</v>
      </c>
      <c r="E167" s="24" t="s">
        <v>2179</v>
      </c>
      <c r="F167" s="24" t="s">
        <v>1349</v>
      </c>
      <c r="G167" s="24" t="s">
        <v>2199</v>
      </c>
      <c r="H167" s="24" t="s">
        <v>2321</v>
      </c>
      <c r="I167" s="24" t="s">
        <v>2322</v>
      </c>
      <c r="J167" s="24" t="s">
        <v>761</v>
      </c>
      <c r="K167" s="24" t="s">
        <v>1146</v>
      </c>
      <c r="L167" s="25">
        <v>1070</v>
      </c>
      <c r="M167" s="26">
        <v>6.65</v>
      </c>
      <c r="N167" s="27">
        <v>6.65</v>
      </c>
      <c r="O167" s="28">
        <v>6.0454545454545457E-3</v>
      </c>
      <c r="P167" s="28">
        <v>6.2969026548672566</v>
      </c>
    </row>
    <row r="168" spans="1:16" x14ac:dyDescent="0.3">
      <c r="A168" t="s">
        <v>3077</v>
      </c>
      <c r="B168" s="24">
        <v>300042</v>
      </c>
      <c r="C168" s="24" t="s">
        <v>2190</v>
      </c>
      <c r="D168" s="24" t="s">
        <v>2179</v>
      </c>
      <c r="E168" s="24" t="s">
        <v>2179</v>
      </c>
      <c r="F168" s="24" t="s">
        <v>1349</v>
      </c>
      <c r="G168" s="24" t="s">
        <v>2191</v>
      </c>
      <c r="H168" s="24" t="s">
        <v>2323</v>
      </c>
      <c r="I168" s="24" t="s">
        <v>2324</v>
      </c>
      <c r="J168" s="24" t="s">
        <v>761</v>
      </c>
      <c r="K168" s="24" t="s">
        <v>2194</v>
      </c>
      <c r="L168" s="25">
        <v>1300</v>
      </c>
      <c r="M168" s="26">
        <v>5.9</v>
      </c>
      <c r="N168" s="27">
        <v>6.7876106194690271</v>
      </c>
      <c r="O168" s="28">
        <v>5.3636363636363638E-3</v>
      </c>
      <c r="P168" s="28">
        <v>6.7876106194690271</v>
      </c>
    </row>
    <row r="169" spans="1:16" x14ac:dyDescent="0.3">
      <c r="A169" t="s">
        <v>3078</v>
      </c>
      <c r="B169" s="24">
        <v>142651</v>
      </c>
      <c r="C169" s="24" t="s">
        <v>2178</v>
      </c>
      <c r="D169" s="24" t="s">
        <v>2179</v>
      </c>
      <c r="E169" s="24" t="s">
        <v>2179</v>
      </c>
      <c r="F169" s="24" t="s">
        <v>1349</v>
      </c>
      <c r="G169" s="24" t="s">
        <v>2180</v>
      </c>
      <c r="H169" s="24" t="s">
        <v>2325</v>
      </c>
      <c r="I169" s="24" t="s">
        <v>2326</v>
      </c>
      <c r="J169" s="24" t="s">
        <v>761</v>
      </c>
      <c r="K169" s="24" t="s">
        <v>1352</v>
      </c>
      <c r="L169" s="25">
        <v>1</v>
      </c>
      <c r="M169" s="26">
        <v>8840</v>
      </c>
      <c r="N169" s="27">
        <v>8.036363636363637</v>
      </c>
      <c r="O169" s="28">
        <v>8.036363636363637</v>
      </c>
      <c r="P169" s="28">
        <v>7.8230088495575218</v>
      </c>
    </row>
    <row r="170" spans="1:16" x14ac:dyDescent="0.3">
      <c r="A170" t="s">
        <v>3079</v>
      </c>
      <c r="B170" s="24">
        <v>300034</v>
      </c>
      <c r="C170" s="24" t="s">
        <v>2184</v>
      </c>
      <c r="D170" s="24" t="s">
        <v>2179</v>
      </c>
      <c r="E170" s="24" t="s">
        <v>2179</v>
      </c>
      <c r="F170" s="24" t="s">
        <v>1349</v>
      </c>
      <c r="G170" s="24" t="s">
        <v>2180</v>
      </c>
      <c r="H170" s="24" t="s">
        <v>2325</v>
      </c>
      <c r="I170" s="24" t="s">
        <v>2326</v>
      </c>
      <c r="J170" s="24" t="s">
        <v>761</v>
      </c>
      <c r="K170" s="24" t="s">
        <v>1352</v>
      </c>
      <c r="L170" s="25">
        <v>1</v>
      </c>
      <c r="M170" s="26">
        <v>8840</v>
      </c>
      <c r="N170" s="27">
        <v>8.036363636363637</v>
      </c>
      <c r="O170" s="28">
        <v>8.036363636363637</v>
      </c>
      <c r="P170" s="28">
        <v>7.8230088495575218</v>
      </c>
    </row>
    <row r="171" spans="1:16" x14ac:dyDescent="0.3">
      <c r="A171" t="s">
        <v>3080</v>
      </c>
      <c r="B171" s="24">
        <v>300042</v>
      </c>
      <c r="C171" s="24" t="s">
        <v>2190</v>
      </c>
      <c r="D171" s="24" t="s">
        <v>2179</v>
      </c>
      <c r="E171" s="24" t="s">
        <v>2179</v>
      </c>
      <c r="F171" s="24" t="s">
        <v>1349</v>
      </c>
      <c r="G171" s="24" t="s">
        <v>2191</v>
      </c>
      <c r="H171" s="24" t="s">
        <v>2327</v>
      </c>
      <c r="I171" s="24" t="s">
        <v>2328</v>
      </c>
      <c r="J171" s="24" t="s">
        <v>761</v>
      </c>
      <c r="K171" s="24" t="s">
        <v>2194</v>
      </c>
      <c r="L171" s="25">
        <v>1300</v>
      </c>
      <c r="M171" s="26">
        <v>5.81</v>
      </c>
      <c r="N171" s="27">
        <v>6.6840707964601762</v>
      </c>
      <c r="O171" s="28">
        <v>5.2818181818181818E-3</v>
      </c>
      <c r="P171" s="28">
        <v>6.6840707964601762</v>
      </c>
    </row>
    <row r="172" spans="1:16" x14ac:dyDescent="0.3">
      <c r="A172" t="s">
        <v>3081</v>
      </c>
      <c r="B172" s="24">
        <v>300008</v>
      </c>
      <c r="C172" s="24" t="s">
        <v>2219</v>
      </c>
      <c r="D172" s="24" t="s">
        <v>2179</v>
      </c>
      <c r="E172" s="24" t="s">
        <v>2179</v>
      </c>
      <c r="F172" s="24" t="s">
        <v>2220</v>
      </c>
      <c r="G172" s="24" t="s">
        <v>2179</v>
      </c>
      <c r="H172" s="24" t="s">
        <v>2329</v>
      </c>
      <c r="I172" s="24" t="s">
        <v>2330</v>
      </c>
      <c r="J172" s="24" t="s">
        <v>761</v>
      </c>
      <c r="K172" s="24" t="s">
        <v>1146</v>
      </c>
      <c r="L172" s="25">
        <v>1070</v>
      </c>
      <c r="M172" s="26">
        <v>7.4</v>
      </c>
      <c r="N172" s="27">
        <v>7.4</v>
      </c>
      <c r="O172" s="28">
        <v>6.7272727272727276E-3</v>
      </c>
      <c r="P172" s="28">
        <v>7.0070796460176989</v>
      </c>
    </row>
    <row r="173" spans="1:16" x14ac:dyDescent="0.3">
      <c r="A173" t="s">
        <v>3082</v>
      </c>
      <c r="B173" s="24">
        <v>300039</v>
      </c>
      <c r="C173" s="24" t="s">
        <v>2221</v>
      </c>
      <c r="D173" s="24" t="s">
        <v>2179</v>
      </c>
      <c r="E173" s="24" t="s">
        <v>2179</v>
      </c>
      <c r="F173" s="24" t="s">
        <v>1349</v>
      </c>
      <c r="G173" s="24" t="s">
        <v>2199</v>
      </c>
      <c r="H173" s="24" t="s">
        <v>2329</v>
      </c>
      <c r="I173" s="24" t="s">
        <v>2330</v>
      </c>
      <c r="J173" s="24" t="s">
        <v>761</v>
      </c>
      <c r="K173" s="24" t="s">
        <v>1146</v>
      </c>
      <c r="L173" s="25">
        <v>1070</v>
      </c>
      <c r="M173" s="26">
        <v>6.94</v>
      </c>
      <c r="N173" s="27">
        <v>6.94</v>
      </c>
      <c r="O173" s="28">
        <v>6.3090909090909092E-3</v>
      </c>
      <c r="P173" s="28">
        <v>6.5715044247787615</v>
      </c>
    </row>
    <row r="174" spans="1:16" x14ac:dyDescent="0.3">
      <c r="A174" t="s">
        <v>3083</v>
      </c>
      <c r="B174" s="24">
        <v>300062</v>
      </c>
      <c r="C174" s="24" t="s">
        <v>2185</v>
      </c>
      <c r="D174" s="24" t="s">
        <v>2179</v>
      </c>
      <c r="E174" s="24" t="s">
        <v>2179</v>
      </c>
      <c r="F174" s="24" t="s">
        <v>1349</v>
      </c>
      <c r="G174" s="24" t="s">
        <v>2180</v>
      </c>
      <c r="H174" s="24" t="s">
        <v>2329</v>
      </c>
      <c r="I174" s="24" t="s">
        <v>2330</v>
      </c>
      <c r="J174" s="24" t="s">
        <v>761</v>
      </c>
      <c r="K174" s="24" t="s">
        <v>1352</v>
      </c>
      <c r="L174" s="25">
        <v>1</v>
      </c>
      <c r="M174" s="26">
        <v>11000</v>
      </c>
      <c r="N174" s="27">
        <v>10</v>
      </c>
      <c r="O174" s="28">
        <v>10</v>
      </c>
      <c r="P174" s="28">
        <v>9.7345132743362832</v>
      </c>
    </row>
    <row r="175" spans="1:16" x14ac:dyDescent="0.3">
      <c r="A175" t="s">
        <v>3084</v>
      </c>
      <c r="B175" s="24">
        <v>300067</v>
      </c>
      <c r="C175" s="24" t="s">
        <v>2198</v>
      </c>
      <c r="D175" s="24" t="s">
        <v>2179</v>
      </c>
      <c r="E175" s="24" t="s">
        <v>2179</v>
      </c>
      <c r="F175" s="24" t="s">
        <v>1349</v>
      </c>
      <c r="G175" s="24" t="s">
        <v>2199</v>
      </c>
      <c r="H175" s="24" t="s">
        <v>2329</v>
      </c>
      <c r="I175" s="24" t="s">
        <v>2330</v>
      </c>
      <c r="J175" s="24" t="s">
        <v>761</v>
      </c>
      <c r="K175" s="24" t="s">
        <v>1146</v>
      </c>
      <c r="L175" s="25">
        <v>1070</v>
      </c>
      <c r="M175" s="26">
        <v>7.4</v>
      </c>
      <c r="N175" s="27">
        <v>7.4</v>
      </c>
      <c r="O175" s="28">
        <v>6.7272727272727276E-3</v>
      </c>
      <c r="P175" s="28">
        <v>7.0070796460176989</v>
      </c>
    </row>
    <row r="176" spans="1:16" x14ac:dyDescent="0.3">
      <c r="A176" t="s">
        <v>3085</v>
      </c>
      <c r="B176" s="24">
        <v>300073</v>
      </c>
      <c r="C176" s="24" t="s">
        <v>2283</v>
      </c>
      <c r="D176" s="24" t="s">
        <v>2179</v>
      </c>
      <c r="E176" s="24" t="s">
        <v>2179</v>
      </c>
      <c r="F176" s="24" t="s">
        <v>1349</v>
      </c>
      <c r="G176" s="24" t="s">
        <v>2199</v>
      </c>
      <c r="H176" s="24" t="s">
        <v>2329</v>
      </c>
      <c r="I176" s="24" t="s">
        <v>2330</v>
      </c>
      <c r="J176" s="24" t="s">
        <v>761</v>
      </c>
      <c r="K176" s="24" t="s">
        <v>1146</v>
      </c>
      <c r="L176" s="25">
        <v>1070</v>
      </c>
      <c r="M176" s="26">
        <v>9.16</v>
      </c>
      <c r="N176" s="27">
        <v>9.16</v>
      </c>
      <c r="O176" s="28">
        <v>8.3272727272727266E-3</v>
      </c>
      <c r="P176" s="28">
        <v>8.6736283185840719</v>
      </c>
    </row>
    <row r="177" spans="1:16" x14ac:dyDescent="0.3">
      <c r="A177" t="s">
        <v>3086</v>
      </c>
      <c r="B177" s="24">
        <v>142368</v>
      </c>
      <c r="C177" s="24" t="s">
        <v>2186</v>
      </c>
      <c r="D177" s="24" t="s">
        <v>2179</v>
      </c>
      <c r="E177" s="24" t="s">
        <v>2179</v>
      </c>
      <c r="F177" s="24" t="s">
        <v>1349</v>
      </c>
      <c r="G177" s="24" t="s">
        <v>2187</v>
      </c>
      <c r="H177" s="24" t="s">
        <v>2331</v>
      </c>
      <c r="I177" s="24" t="s">
        <v>2332</v>
      </c>
      <c r="J177" s="24" t="s">
        <v>761</v>
      </c>
      <c r="K177" s="24" t="s">
        <v>1352</v>
      </c>
      <c r="L177" s="25">
        <v>1</v>
      </c>
      <c r="M177" s="26">
        <v>7000</v>
      </c>
      <c r="N177" s="27">
        <v>6.3636363636363633</v>
      </c>
      <c r="O177" s="28">
        <v>6.3636363636363633</v>
      </c>
      <c r="P177" s="28">
        <v>6.1946902654867255</v>
      </c>
    </row>
    <row r="178" spans="1:16" x14ac:dyDescent="0.3">
      <c r="A178" t="s">
        <v>3087</v>
      </c>
      <c r="B178" s="24">
        <v>142651</v>
      </c>
      <c r="C178" s="24" t="s">
        <v>2178</v>
      </c>
      <c r="D178" s="24" t="s">
        <v>2179</v>
      </c>
      <c r="E178" s="24" t="s">
        <v>2179</v>
      </c>
      <c r="F178" s="24" t="s">
        <v>1349</v>
      </c>
      <c r="G178" s="24" t="s">
        <v>2180</v>
      </c>
      <c r="H178" s="24" t="s">
        <v>2333</v>
      </c>
      <c r="I178" s="24" t="s">
        <v>2334</v>
      </c>
      <c r="J178" s="24" t="s">
        <v>761</v>
      </c>
      <c r="K178" s="24" t="s">
        <v>1352</v>
      </c>
      <c r="L178" s="25">
        <v>1</v>
      </c>
      <c r="M178" s="26">
        <v>8990</v>
      </c>
      <c r="N178" s="27">
        <v>8.172727272727272</v>
      </c>
      <c r="O178" s="28">
        <v>8.172727272727272</v>
      </c>
      <c r="P178" s="28">
        <v>7.9557522123893802</v>
      </c>
    </row>
    <row r="179" spans="1:16" x14ac:dyDescent="0.3">
      <c r="A179" t="s">
        <v>3088</v>
      </c>
      <c r="B179" s="24">
        <v>300032</v>
      </c>
      <c r="C179" s="24" t="s">
        <v>2183</v>
      </c>
      <c r="D179" s="24" t="s">
        <v>2179</v>
      </c>
      <c r="E179" s="24" t="s">
        <v>2179</v>
      </c>
      <c r="F179" s="24" t="s">
        <v>1349</v>
      </c>
      <c r="G179" s="24" t="s">
        <v>2180</v>
      </c>
      <c r="H179" s="24" t="s">
        <v>2333</v>
      </c>
      <c r="I179" s="24" t="s">
        <v>2334</v>
      </c>
      <c r="J179" s="24" t="s">
        <v>761</v>
      </c>
      <c r="K179" s="24" t="s">
        <v>1352</v>
      </c>
      <c r="L179" s="25">
        <v>1</v>
      </c>
      <c r="M179" s="26">
        <v>7900</v>
      </c>
      <c r="N179" s="27">
        <v>7.1818181818181817</v>
      </c>
      <c r="O179" s="28">
        <v>7.1818181818181817</v>
      </c>
      <c r="P179" s="28">
        <v>6.9911504424778759</v>
      </c>
    </row>
    <row r="180" spans="1:16" x14ac:dyDescent="0.3">
      <c r="A180" t="s">
        <v>3089</v>
      </c>
      <c r="B180" s="24">
        <v>300146</v>
      </c>
      <c r="C180" s="24" t="s">
        <v>2224</v>
      </c>
      <c r="D180" s="24" t="s">
        <v>2179</v>
      </c>
      <c r="E180" s="24" t="s">
        <v>2179</v>
      </c>
      <c r="F180" s="24" t="s">
        <v>1386</v>
      </c>
      <c r="G180" s="24" t="s">
        <v>2225</v>
      </c>
      <c r="H180" s="24" t="s">
        <v>2333</v>
      </c>
      <c r="I180" s="24" t="s">
        <v>2334</v>
      </c>
      <c r="J180" s="24" t="s">
        <v>761</v>
      </c>
      <c r="K180" s="24" t="s">
        <v>1146</v>
      </c>
      <c r="L180" s="25">
        <v>1070</v>
      </c>
      <c r="M180" s="26">
        <v>6.8</v>
      </c>
      <c r="N180" s="27">
        <v>6.8</v>
      </c>
      <c r="O180" s="28">
        <v>6.1818181818181816E-3</v>
      </c>
      <c r="P180" s="28">
        <v>6.4389380530973455</v>
      </c>
    </row>
    <row r="181" spans="1:16" x14ac:dyDescent="0.3">
      <c r="A181" t="s">
        <v>3090</v>
      </c>
      <c r="B181" s="24">
        <v>700062</v>
      </c>
      <c r="C181" s="24" t="s">
        <v>2226</v>
      </c>
      <c r="D181" s="24" t="s">
        <v>2179</v>
      </c>
      <c r="E181" s="24" t="s">
        <v>2179</v>
      </c>
      <c r="F181" s="24" t="s">
        <v>1349</v>
      </c>
      <c r="G181" s="24" t="s">
        <v>2187</v>
      </c>
      <c r="H181" s="24" t="s">
        <v>2333</v>
      </c>
      <c r="I181" s="24" t="s">
        <v>2334</v>
      </c>
      <c r="J181" s="24" t="s">
        <v>761</v>
      </c>
      <c r="K181" s="24" t="s">
        <v>1352</v>
      </c>
      <c r="L181" s="25">
        <v>1</v>
      </c>
      <c r="M181" s="26">
        <v>7810</v>
      </c>
      <c r="N181" s="27">
        <v>7.1</v>
      </c>
      <c r="O181" s="28">
        <v>7.1</v>
      </c>
      <c r="P181" s="28">
        <v>6.9115044247787614</v>
      </c>
    </row>
    <row r="182" spans="1:16" x14ac:dyDescent="0.3">
      <c r="A182" t="s">
        <v>3091</v>
      </c>
      <c r="B182" s="24">
        <v>300116</v>
      </c>
      <c r="C182" s="24" t="s">
        <v>2203</v>
      </c>
      <c r="D182" s="24" t="s">
        <v>2179</v>
      </c>
      <c r="E182" s="24" t="s">
        <v>2179</v>
      </c>
      <c r="F182" s="24" t="s">
        <v>1237</v>
      </c>
      <c r="G182" s="24" t="s">
        <v>2201</v>
      </c>
      <c r="H182" s="24" t="s">
        <v>2335</v>
      </c>
      <c r="I182" s="24" t="s">
        <v>2336</v>
      </c>
      <c r="J182" s="24" t="s">
        <v>761</v>
      </c>
      <c r="K182" s="24" t="s">
        <v>1146</v>
      </c>
      <c r="L182" s="25">
        <v>1070</v>
      </c>
      <c r="M182" s="26">
        <v>0.5</v>
      </c>
      <c r="N182" s="27">
        <v>0.5</v>
      </c>
      <c r="O182" s="28">
        <v>4.5454545454545455E-4</v>
      </c>
      <c r="P182" s="28">
        <v>0.47345132743362833</v>
      </c>
    </row>
    <row r="183" spans="1:16" x14ac:dyDescent="0.3">
      <c r="A183" t="s">
        <v>3092</v>
      </c>
      <c r="B183" s="24">
        <v>300116</v>
      </c>
      <c r="C183" s="24" t="s">
        <v>2203</v>
      </c>
      <c r="D183" s="24" t="s">
        <v>2179</v>
      </c>
      <c r="E183" s="24" t="s">
        <v>2179</v>
      </c>
      <c r="F183" s="24" t="s">
        <v>1237</v>
      </c>
      <c r="G183" s="24" t="s">
        <v>2201</v>
      </c>
      <c r="H183" s="24" t="s">
        <v>2337</v>
      </c>
      <c r="I183" s="24" t="s">
        <v>2338</v>
      </c>
      <c r="J183" s="24" t="s">
        <v>761</v>
      </c>
      <c r="K183" s="24" t="s">
        <v>1146</v>
      </c>
      <c r="L183" s="25">
        <v>1070</v>
      </c>
      <c r="M183" s="26">
        <v>8.69</v>
      </c>
      <c r="N183" s="27">
        <v>8.69</v>
      </c>
      <c r="O183" s="28">
        <v>7.899999999999999E-3</v>
      </c>
      <c r="P183" s="28">
        <v>8.2285840707964599</v>
      </c>
    </row>
    <row r="184" spans="1:16" x14ac:dyDescent="0.3">
      <c r="A184" t="s">
        <v>3093</v>
      </c>
      <c r="B184" s="24">
        <v>112498</v>
      </c>
      <c r="C184" s="24" t="s">
        <v>2211</v>
      </c>
      <c r="D184" s="24" t="s">
        <v>2179</v>
      </c>
      <c r="E184" s="24" t="s">
        <v>2179</v>
      </c>
      <c r="F184" s="24" t="s">
        <v>1237</v>
      </c>
      <c r="G184" s="24" t="s">
        <v>2201</v>
      </c>
      <c r="H184" s="24" t="s">
        <v>2339</v>
      </c>
      <c r="I184" s="24" t="s">
        <v>2340</v>
      </c>
      <c r="J184" s="24" t="s">
        <v>761</v>
      </c>
      <c r="K184" s="24" t="s">
        <v>1146</v>
      </c>
      <c r="L184" s="25">
        <v>1070</v>
      </c>
      <c r="M184" s="26">
        <v>8</v>
      </c>
      <c r="N184" s="27">
        <v>8</v>
      </c>
      <c r="O184" s="28">
        <v>7.2727272727272727E-3</v>
      </c>
      <c r="P184" s="28">
        <v>7.5752212389380533</v>
      </c>
    </row>
    <row r="185" spans="1:16" x14ac:dyDescent="0.3">
      <c r="A185" t="s">
        <v>3094</v>
      </c>
      <c r="B185" s="24">
        <v>142660</v>
      </c>
      <c r="C185" s="24" t="s">
        <v>2215</v>
      </c>
      <c r="D185" s="24" t="s">
        <v>2179</v>
      </c>
      <c r="E185" s="24" t="s">
        <v>2179</v>
      </c>
      <c r="F185" s="24" t="s">
        <v>1237</v>
      </c>
      <c r="G185" s="24" t="s">
        <v>2216</v>
      </c>
      <c r="H185" s="24" t="s">
        <v>2339</v>
      </c>
      <c r="I185" s="24" t="s">
        <v>2340</v>
      </c>
      <c r="J185" s="24" t="s">
        <v>761</v>
      </c>
      <c r="K185" s="24" t="s">
        <v>1146</v>
      </c>
      <c r="L185" s="25">
        <v>1070</v>
      </c>
      <c r="M185" s="26">
        <v>8.3699999999999992</v>
      </c>
      <c r="N185" s="27">
        <v>8.3699999999999992</v>
      </c>
      <c r="O185" s="28">
        <v>7.6090909090909082E-3</v>
      </c>
      <c r="P185" s="28">
        <v>7.9255752212389377</v>
      </c>
    </row>
    <row r="186" spans="1:16" x14ac:dyDescent="0.3">
      <c r="A186" t="s">
        <v>3095</v>
      </c>
      <c r="B186" s="24">
        <v>142807</v>
      </c>
      <c r="C186" s="24" t="s">
        <v>2217</v>
      </c>
      <c r="D186" s="24" t="s">
        <v>2179</v>
      </c>
      <c r="E186" s="24" t="s">
        <v>2179</v>
      </c>
      <c r="F186" s="24" t="s">
        <v>1349</v>
      </c>
      <c r="G186" s="24" t="s">
        <v>2208</v>
      </c>
      <c r="H186" s="24" t="s">
        <v>2339</v>
      </c>
      <c r="I186" s="24" t="s">
        <v>2340</v>
      </c>
      <c r="J186" s="24" t="s">
        <v>761</v>
      </c>
      <c r="K186" s="24" t="s">
        <v>1146</v>
      </c>
      <c r="L186" s="25">
        <v>1070</v>
      </c>
      <c r="M186" s="26">
        <v>8.69</v>
      </c>
      <c r="N186" s="27">
        <v>8.69</v>
      </c>
      <c r="O186" s="28">
        <v>7.899999999999999E-3</v>
      </c>
      <c r="P186" s="28">
        <v>8.2285840707964599</v>
      </c>
    </row>
    <row r="187" spans="1:16" x14ac:dyDescent="0.3">
      <c r="A187" t="s">
        <v>3096</v>
      </c>
      <c r="B187" s="24">
        <v>300008</v>
      </c>
      <c r="C187" s="24" t="s">
        <v>2219</v>
      </c>
      <c r="D187" s="24" t="s">
        <v>2179</v>
      </c>
      <c r="E187" s="24" t="s">
        <v>2179</v>
      </c>
      <c r="F187" s="24" t="s">
        <v>2220</v>
      </c>
      <c r="G187" s="24" t="s">
        <v>2179</v>
      </c>
      <c r="H187" s="24" t="s">
        <v>2339</v>
      </c>
      <c r="I187" s="24" t="s">
        <v>2340</v>
      </c>
      <c r="J187" s="24" t="s">
        <v>761</v>
      </c>
      <c r="K187" s="24" t="s">
        <v>1146</v>
      </c>
      <c r="L187" s="25">
        <v>1070</v>
      </c>
      <c r="M187" s="26">
        <v>8.6</v>
      </c>
      <c r="N187" s="27">
        <v>8.6</v>
      </c>
      <c r="O187" s="28">
        <v>7.8181818181818179E-3</v>
      </c>
      <c r="P187" s="28">
        <v>8.1433628318584077</v>
      </c>
    </row>
    <row r="188" spans="1:16" x14ac:dyDescent="0.3">
      <c r="A188" t="s">
        <v>3097</v>
      </c>
      <c r="B188" s="24">
        <v>300017</v>
      </c>
      <c r="C188" s="24" t="s">
        <v>2265</v>
      </c>
      <c r="D188" s="24" t="s">
        <v>2179</v>
      </c>
      <c r="E188" s="24" t="s">
        <v>2179</v>
      </c>
      <c r="F188" s="24" t="s">
        <v>1349</v>
      </c>
      <c r="G188" s="24" t="s">
        <v>2208</v>
      </c>
      <c r="H188" s="24" t="s">
        <v>2339</v>
      </c>
      <c r="I188" s="24" t="s">
        <v>2340</v>
      </c>
      <c r="J188" s="24" t="s">
        <v>761</v>
      </c>
      <c r="K188" s="24" t="s">
        <v>1146</v>
      </c>
      <c r="L188" s="25">
        <v>1070</v>
      </c>
      <c r="M188" s="26">
        <v>7.1</v>
      </c>
      <c r="N188" s="27">
        <v>7.1</v>
      </c>
      <c r="O188" s="28">
        <v>6.4545454545454541E-3</v>
      </c>
      <c r="P188" s="28">
        <v>6.7230088495575222</v>
      </c>
    </row>
    <row r="189" spans="1:16" x14ac:dyDescent="0.3">
      <c r="A189" t="s">
        <v>3098</v>
      </c>
      <c r="B189" s="24">
        <v>300059</v>
      </c>
      <c r="C189" s="24" t="s">
        <v>2279</v>
      </c>
      <c r="D189" s="24" t="s">
        <v>2179</v>
      </c>
      <c r="E189" s="24" t="s">
        <v>2179</v>
      </c>
      <c r="F189" s="24" t="s">
        <v>1237</v>
      </c>
      <c r="G189" s="24" t="s">
        <v>2216</v>
      </c>
      <c r="H189" s="24" t="s">
        <v>2339</v>
      </c>
      <c r="I189" s="24" t="s">
        <v>2340</v>
      </c>
      <c r="J189" s="24" t="s">
        <v>761</v>
      </c>
      <c r="K189" s="24" t="s">
        <v>1146</v>
      </c>
      <c r="L189" s="25">
        <v>1070</v>
      </c>
      <c r="M189" s="26">
        <v>8.84</v>
      </c>
      <c r="N189" s="27">
        <v>8.84</v>
      </c>
      <c r="O189" s="28">
        <v>8.0363636363636366E-3</v>
      </c>
      <c r="P189" s="28">
        <v>8.3706194690265487</v>
      </c>
    </row>
    <row r="190" spans="1:16" x14ac:dyDescent="0.3">
      <c r="A190" t="s">
        <v>3099</v>
      </c>
      <c r="B190" s="24">
        <v>300067</v>
      </c>
      <c r="C190" s="24" t="s">
        <v>2198</v>
      </c>
      <c r="D190" s="24" t="s">
        <v>2179</v>
      </c>
      <c r="E190" s="24" t="s">
        <v>2179</v>
      </c>
      <c r="F190" s="24" t="s">
        <v>1349</v>
      </c>
      <c r="G190" s="24" t="s">
        <v>2199</v>
      </c>
      <c r="H190" s="24" t="s">
        <v>2339</v>
      </c>
      <c r="I190" s="24" t="s">
        <v>2340</v>
      </c>
      <c r="J190" s="24" t="s">
        <v>761</v>
      </c>
      <c r="K190" s="24" t="s">
        <v>1146</v>
      </c>
      <c r="L190" s="25">
        <v>1070</v>
      </c>
      <c r="M190" s="26">
        <v>9.07</v>
      </c>
      <c r="N190" s="27">
        <v>9.07</v>
      </c>
      <c r="O190" s="28">
        <v>8.2454545454545454E-3</v>
      </c>
      <c r="P190" s="28">
        <v>8.5884070796460179</v>
      </c>
    </row>
    <row r="191" spans="1:16" x14ac:dyDescent="0.3">
      <c r="A191" t="s">
        <v>3100</v>
      </c>
      <c r="B191" s="24">
        <v>300138</v>
      </c>
      <c r="C191" s="24" t="s">
        <v>2256</v>
      </c>
      <c r="D191" s="24" t="s">
        <v>2179</v>
      </c>
      <c r="E191" s="24" t="s">
        <v>2179</v>
      </c>
      <c r="F191" s="24" t="s">
        <v>1349</v>
      </c>
      <c r="G191" s="24" t="s">
        <v>2199</v>
      </c>
      <c r="H191" s="24" t="s">
        <v>2339</v>
      </c>
      <c r="I191" s="24" t="s">
        <v>2340</v>
      </c>
      <c r="J191" s="24" t="s">
        <v>761</v>
      </c>
      <c r="K191" s="24" t="s">
        <v>2194</v>
      </c>
      <c r="L191" s="25">
        <v>1300</v>
      </c>
      <c r="M191" s="26">
        <v>8.32</v>
      </c>
      <c r="N191" s="27">
        <v>9.5716814159292039</v>
      </c>
      <c r="O191" s="28">
        <v>7.5636363636363635E-3</v>
      </c>
      <c r="P191" s="28">
        <v>9.5716814159292039</v>
      </c>
    </row>
    <row r="192" spans="1:16" x14ac:dyDescent="0.3">
      <c r="A192" t="s">
        <v>3101</v>
      </c>
      <c r="B192" s="24">
        <v>300146</v>
      </c>
      <c r="C192" s="24" t="s">
        <v>2224</v>
      </c>
      <c r="D192" s="24" t="s">
        <v>2179</v>
      </c>
      <c r="E192" s="24" t="s">
        <v>2179</v>
      </c>
      <c r="F192" s="24" t="s">
        <v>1386</v>
      </c>
      <c r="G192" s="24" t="s">
        <v>2225</v>
      </c>
      <c r="H192" s="24" t="s">
        <v>2339</v>
      </c>
      <c r="I192" s="24" t="s">
        <v>2340</v>
      </c>
      <c r="J192" s="24" t="s">
        <v>761</v>
      </c>
      <c r="K192" s="24" t="s">
        <v>1146</v>
      </c>
      <c r="L192" s="25">
        <v>1070</v>
      </c>
      <c r="M192" s="26">
        <v>6.8</v>
      </c>
      <c r="N192" s="27">
        <v>6.8</v>
      </c>
      <c r="O192" s="28">
        <v>6.1818181818181816E-3</v>
      </c>
      <c r="P192" s="28">
        <v>6.4389380530973455</v>
      </c>
    </row>
    <row r="193" spans="1:16" x14ac:dyDescent="0.3">
      <c r="A193" t="s">
        <v>3102</v>
      </c>
      <c r="B193" s="24">
        <v>112498</v>
      </c>
      <c r="C193" s="24" t="s">
        <v>2211</v>
      </c>
      <c r="D193" s="24" t="s">
        <v>2179</v>
      </c>
      <c r="E193" s="24" t="s">
        <v>2179</v>
      </c>
      <c r="F193" s="24" t="s">
        <v>1237</v>
      </c>
      <c r="G193" s="24" t="s">
        <v>2201</v>
      </c>
      <c r="H193" s="24" t="s">
        <v>2341</v>
      </c>
      <c r="I193" s="24" t="s">
        <v>2342</v>
      </c>
      <c r="J193" s="24" t="s">
        <v>761</v>
      </c>
      <c r="K193" s="24" t="s">
        <v>1146</v>
      </c>
      <c r="L193" s="25">
        <v>1070</v>
      </c>
      <c r="M193" s="26">
        <v>9.17</v>
      </c>
      <c r="N193" s="27">
        <v>9.17</v>
      </c>
      <c r="O193" s="28">
        <v>8.3363636363636365E-3</v>
      </c>
      <c r="P193" s="28">
        <v>8.6830973451327438</v>
      </c>
    </row>
    <row r="194" spans="1:16" x14ac:dyDescent="0.3">
      <c r="A194" t="s">
        <v>3103</v>
      </c>
      <c r="B194" s="24">
        <v>142651</v>
      </c>
      <c r="C194" s="24" t="s">
        <v>2178</v>
      </c>
      <c r="D194" s="24" t="s">
        <v>2179</v>
      </c>
      <c r="E194" s="24" t="s">
        <v>2179</v>
      </c>
      <c r="F194" s="24" t="s">
        <v>1349</v>
      </c>
      <c r="G194" s="24" t="s">
        <v>2180</v>
      </c>
      <c r="H194" s="24" t="s">
        <v>2341</v>
      </c>
      <c r="I194" s="24" t="s">
        <v>2342</v>
      </c>
      <c r="J194" s="24" t="s">
        <v>761</v>
      </c>
      <c r="K194" s="24" t="s">
        <v>1352</v>
      </c>
      <c r="L194" s="25">
        <v>1</v>
      </c>
      <c r="M194" s="26">
        <v>11600</v>
      </c>
      <c r="N194" s="27">
        <v>10.545454545454545</v>
      </c>
      <c r="O194" s="28">
        <v>10.545454545454545</v>
      </c>
      <c r="P194" s="28">
        <v>10.265486725663717</v>
      </c>
    </row>
    <row r="195" spans="1:16" x14ac:dyDescent="0.3">
      <c r="A195" t="s">
        <v>3104</v>
      </c>
      <c r="B195" s="24">
        <v>300017</v>
      </c>
      <c r="C195" s="24" t="s">
        <v>2265</v>
      </c>
      <c r="D195" s="24" t="s">
        <v>2179</v>
      </c>
      <c r="E195" s="24" t="s">
        <v>2179</v>
      </c>
      <c r="F195" s="24" t="s">
        <v>1349</v>
      </c>
      <c r="G195" s="24" t="s">
        <v>2208</v>
      </c>
      <c r="H195" s="24" t="s">
        <v>2341</v>
      </c>
      <c r="I195" s="24" t="s">
        <v>2342</v>
      </c>
      <c r="J195" s="24" t="s">
        <v>761</v>
      </c>
      <c r="K195" s="24" t="s">
        <v>1146</v>
      </c>
      <c r="L195" s="25">
        <v>1070</v>
      </c>
      <c r="M195" s="26">
        <v>7.1</v>
      </c>
      <c r="N195" s="27">
        <v>7.1</v>
      </c>
      <c r="O195" s="28">
        <v>6.4545454545454541E-3</v>
      </c>
      <c r="P195" s="28">
        <v>6.7230088495575222</v>
      </c>
    </row>
    <row r="196" spans="1:16" x14ac:dyDescent="0.3">
      <c r="A196" t="s">
        <v>3105</v>
      </c>
      <c r="B196" s="24">
        <v>300039</v>
      </c>
      <c r="C196" s="24" t="s">
        <v>2221</v>
      </c>
      <c r="D196" s="24" t="s">
        <v>2179</v>
      </c>
      <c r="E196" s="24" t="s">
        <v>2179</v>
      </c>
      <c r="F196" s="24" t="s">
        <v>1349</v>
      </c>
      <c r="G196" s="24" t="s">
        <v>2199</v>
      </c>
      <c r="H196" s="24" t="s">
        <v>2341</v>
      </c>
      <c r="I196" s="24" t="s">
        <v>2342</v>
      </c>
      <c r="J196" s="24" t="s">
        <v>761</v>
      </c>
      <c r="K196" s="24" t="s">
        <v>1146</v>
      </c>
      <c r="L196" s="25">
        <v>1070</v>
      </c>
      <c r="M196" s="26">
        <v>8.8800000000000008</v>
      </c>
      <c r="N196" s="27">
        <v>8.8800000000000008</v>
      </c>
      <c r="O196" s="28">
        <v>8.0727272727272731E-3</v>
      </c>
      <c r="P196" s="28">
        <v>8.4084955752212398</v>
      </c>
    </row>
    <row r="197" spans="1:16" x14ac:dyDescent="0.3">
      <c r="A197" t="s">
        <v>3106</v>
      </c>
      <c r="B197" s="24">
        <v>300055</v>
      </c>
      <c r="C197" s="24" t="s">
        <v>2222</v>
      </c>
      <c r="D197" s="24" t="s">
        <v>2179</v>
      </c>
      <c r="E197" s="24" t="s">
        <v>2179</v>
      </c>
      <c r="F197" s="24" t="s">
        <v>1349</v>
      </c>
      <c r="G197" s="24" t="s">
        <v>2199</v>
      </c>
      <c r="H197" s="24" t="s">
        <v>2341</v>
      </c>
      <c r="I197" s="24" t="s">
        <v>2342</v>
      </c>
      <c r="J197" s="24" t="s">
        <v>761</v>
      </c>
      <c r="K197" s="24" t="s">
        <v>1146</v>
      </c>
      <c r="L197" s="25">
        <v>1070</v>
      </c>
      <c r="M197" s="26">
        <v>18</v>
      </c>
      <c r="N197" s="27">
        <v>18</v>
      </c>
      <c r="O197" s="28">
        <v>1.6363636363636365E-2</v>
      </c>
      <c r="P197" s="28">
        <v>17.044247787610619</v>
      </c>
    </row>
    <row r="198" spans="1:16" x14ac:dyDescent="0.3">
      <c r="A198" t="s">
        <v>3107</v>
      </c>
      <c r="B198" s="24">
        <v>142651</v>
      </c>
      <c r="C198" s="24" t="s">
        <v>2178</v>
      </c>
      <c r="D198" s="24" t="s">
        <v>2179</v>
      </c>
      <c r="E198" s="24" t="s">
        <v>2179</v>
      </c>
      <c r="F198" s="24" t="s">
        <v>1349</v>
      </c>
      <c r="G198" s="24" t="s">
        <v>2180</v>
      </c>
      <c r="H198" s="24" t="s">
        <v>2343</v>
      </c>
      <c r="I198" s="24" t="s">
        <v>2344</v>
      </c>
      <c r="J198" s="24" t="s">
        <v>761</v>
      </c>
      <c r="K198" s="24" t="s">
        <v>1352</v>
      </c>
      <c r="L198" s="25">
        <v>1</v>
      </c>
      <c r="M198" s="26">
        <v>7990</v>
      </c>
      <c r="N198" s="27">
        <v>7.2636363636363637</v>
      </c>
      <c r="O198" s="28">
        <v>7.2636363636363637</v>
      </c>
      <c r="P198" s="28">
        <v>7.0707964601769913</v>
      </c>
    </row>
    <row r="199" spans="1:16" x14ac:dyDescent="0.3">
      <c r="A199" t="s">
        <v>3108</v>
      </c>
      <c r="B199" s="24">
        <v>101906</v>
      </c>
      <c r="C199" s="24" t="s">
        <v>2243</v>
      </c>
      <c r="D199" s="24" t="s">
        <v>2179</v>
      </c>
      <c r="E199" s="24" t="s">
        <v>2179</v>
      </c>
      <c r="F199" s="24" t="s">
        <v>1349</v>
      </c>
      <c r="G199" s="24" t="s">
        <v>2180</v>
      </c>
      <c r="H199" s="24" t="s">
        <v>2345</v>
      </c>
      <c r="I199" s="24" t="s">
        <v>2281</v>
      </c>
      <c r="J199" s="24" t="s">
        <v>761</v>
      </c>
      <c r="K199" s="24" t="s">
        <v>1352</v>
      </c>
      <c r="L199" s="25">
        <v>1</v>
      </c>
      <c r="M199" s="26">
        <v>11000</v>
      </c>
      <c r="N199" s="27">
        <v>10</v>
      </c>
      <c r="O199" s="28">
        <v>10</v>
      </c>
      <c r="P199" s="28">
        <v>9.7345132743362832</v>
      </c>
    </row>
    <row r="200" spans="1:16" x14ac:dyDescent="0.3">
      <c r="A200" t="s">
        <v>3109</v>
      </c>
      <c r="B200" s="24">
        <v>142368</v>
      </c>
      <c r="C200" s="24" t="s">
        <v>2186</v>
      </c>
      <c r="D200" s="24" t="s">
        <v>2179</v>
      </c>
      <c r="E200" s="24" t="s">
        <v>2179</v>
      </c>
      <c r="F200" s="24" t="s">
        <v>1349</v>
      </c>
      <c r="G200" s="24" t="s">
        <v>2187</v>
      </c>
      <c r="H200" s="24" t="s">
        <v>2345</v>
      </c>
      <c r="I200" s="24" t="s">
        <v>2281</v>
      </c>
      <c r="J200" s="24" t="s">
        <v>761</v>
      </c>
      <c r="K200" s="24" t="s">
        <v>1352</v>
      </c>
      <c r="L200" s="25">
        <v>1</v>
      </c>
      <c r="M200" s="26">
        <v>7000</v>
      </c>
      <c r="N200" s="27">
        <v>6.3636363636363633</v>
      </c>
      <c r="O200" s="28">
        <v>6.3636363636363633</v>
      </c>
      <c r="P200" s="28">
        <v>6.1946902654867255</v>
      </c>
    </row>
    <row r="201" spans="1:16" x14ac:dyDescent="0.3">
      <c r="A201" t="s">
        <v>3110</v>
      </c>
      <c r="B201" s="24">
        <v>142639</v>
      </c>
      <c r="C201" s="24" t="s">
        <v>2235</v>
      </c>
      <c r="D201" s="24" t="s">
        <v>2179</v>
      </c>
      <c r="E201" s="24" t="s">
        <v>2179</v>
      </c>
      <c r="F201" s="24" t="s">
        <v>1349</v>
      </c>
      <c r="G201" s="24" t="s">
        <v>2199</v>
      </c>
      <c r="H201" s="24" t="s">
        <v>2345</v>
      </c>
      <c r="I201" s="24" t="s">
        <v>2281</v>
      </c>
      <c r="J201" s="24" t="s">
        <v>761</v>
      </c>
      <c r="K201" s="24" t="s">
        <v>2194</v>
      </c>
      <c r="L201" s="25">
        <v>1300</v>
      </c>
      <c r="M201" s="26">
        <v>12</v>
      </c>
      <c r="N201" s="27">
        <v>13.805309734513274</v>
      </c>
      <c r="O201" s="28">
        <v>1.090909090909091E-2</v>
      </c>
      <c r="P201" s="28">
        <v>13.805309734513274</v>
      </c>
    </row>
    <row r="202" spans="1:16" x14ac:dyDescent="0.3">
      <c r="A202" t="s">
        <v>3111</v>
      </c>
      <c r="B202" s="24">
        <v>142651</v>
      </c>
      <c r="C202" s="24" t="s">
        <v>2178</v>
      </c>
      <c r="D202" s="24" t="s">
        <v>2179</v>
      </c>
      <c r="E202" s="24" t="s">
        <v>2179</v>
      </c>
      <c r="F202" s="24" t="s">
        <v>1349</v>
      </c>
      <c r="G202" s="24" t="s">
        <v>2180</v>
      </c>
      <c r="H202" s="24" t="s">
        <v>2345</v>
      </c>
      <c r="I202" s="24" t="s">
        <v>2281</v>
      </c>
      <c r="J202" s="24" t="s">
        <v>761</v>
      </c>
      <c r="K202" s="24" t="s">
        <v>1352</v>
      </c>
      <c r="L202" s="25">
        <v>1</v>
      </c>
      <c r="M202" s="26">
        <v>11000</v>
      </c>
      <c r="N202" s="27">
        <v>10</v>
      </c>
      <c r="O202" s="28">
        <v>10</v>
      </c>
      <c r="P202" s="28">
        <v>9.7345132743362832</v>
      </c>
    </row>
    <row r="203" spans="1:16" x14ac:dyDescent="0.3">
      <c r="A203" t="s">
        <v>3112</v>
      </c>
      <c r="B203" s="24">
        <v>142664</v>
      </c>
      <c r="C203" s="24" t="s">
        <v>2236</v>
      </c>
      <c r="D203" s="24" t="s">
        <v>2179</v>
      </c>
      <c r="E203" s="24" t="s">
        <v>2179</v>
      </c>
      <c r="F203" s="24" t="s">
        <v>1349</v>
      </c>
      <c r="G203" s="24" t="s">
        <v>2208</v>
      </c>
      <c r="H203" s="24" t="s">
        <v>2345</v>
      </c>
      <c r="I203" s="24" t="s">
        <v>2281</v>
      </c>
      <c r="J203" s="24" t="s">
        <v>761</v>
      </c>
      <c r="K203" s="24" t="s">
        <v>1146</v>
      </c>
      <c r="L203" s="25">
        <v>1070</v>
      </c>
      <c r="M203" s="26">
        <v>9</v>
      </c>
      <c r="N203" s="27">
        <v>9</v>
      </c>
      <c r="O203" s="28">
        <v>8.1818181818181825E-3</v>
      </c>
      <c r="P203" s="28">
        <v>8.5221238938053094</v>
      </c>
    </row>
    <row r="204" spans="1:16" x14ac:dyDescent="0.3">
      <c r="A204" t="s">
        <v>3113</v>
      </c>
      <c r="B204" s="24">
        <v>142807</v>
      </c>
      <c r="C204" s="24" t="s">
        <v>2217</v>
      </c>
      <c r="D204" s="24" t="s">
        <v>2179</v>
      </c>
      <c r="E204" s="24" t="s">
        <v>2179</v>
      </c>
      <c r="F204" s="24" t="s">
        <v>1349</v>
      </c>
      <c r="G204" s="24" t="s">
        <v>2208</v>
      </c>
      <c r="H204" s="24" t="s">
        <v>2345</v>
      </c>
      <c r="I204" s="24" t="s">
        <v>2281</v>
      </c>
      <c r="J204" s="24" t="s">
        <v>761</v>
      </c>
      <c r="K204" s="24" t="s">
        <v>2194</v>
      </c>
      <c r="L204" s="25">
        <v>1300</v>
      </c>
      <c r="M204" s="26">
        <v>8.69</v>
      </c>
      <c r="N204" s="27">
        <v>9.9973451327433622</v>
      </c>
      <c r="O204" s="28">
        <v>7.899999999999999E-3</v>
      </c>
      <c r="P204" s="28">
        <v>9.9973451327433622</v>
      </c>
    </row>
    <row r="205" spans="1:16" x14ac:dyDescent="0.3">
      <c r="A205" t="s">
        <v>3114</v>
      </c>
      <c r="B205" s="24">
        <v>150518</v>
      </c>
      <c r="C205" s="24" t="s">
        <v>2197</v>
      </c>
      <c r="D205" s="24" t="s">
        <v>2179</v>
      </c>
      <c r="E205" s="24" t="s">
        <v>2179</v>
      </c>
      <c r="F205" s="24" t="s">
        <v>1349</v>
      </c>
      <c r="G205" s="24" t="s">
        <v>2180</v>
      </c>
      <c r="H205" s="24" t="s">
        <v>2345</v>
      </c>
      <c r="I205" s="24" t="s">
        <v>2281</v>
      </c>
      <c r="J205" s="24" t="s">
        <v>761</v>
      </c>
      <c r="K205" s="24" t="s">
        <v>1352</v>
      </c>
      <c r="L205" s="25">
        <v>1</v>
      </c>
      <c r="M205" s="26">
        <v>10000</v>
      </c>
      <c r="N205" s="27">
        <v>9.0909090909090917</v>
      </c>
      <c r="O205" s="28">
        <v>9.0909090909090917</v>
      </c>
      <c r="P205" s="28">
        <v>8.8495575221238933</v>
      </c>
    </row>
    <row r="206" spans="1:16" x14ac:dyDescent="0.3">
      <c r="A206" t="s">
        <v>3115</v>
      </c>
      <c r="B206" s="24">
        <v>300017</v>
      </c>
      <c r="C206" s="24" t="s">
        <v>2265</v>
      </c>
      <c r="D206" s="24" t="s">
        <v>2179</v>
      </c>
      <c r="E206" s="24" t="s">
        <v>2179</v>
      </c>
      <c r="F206" s="24" t="s">
        <v>1349</v>
      </c>
      <c r="G206" s="24" t="s">
        <v>2208</v>
      </c>
      <c r="H206" s="24" t="s">
        <v>2345</v>
      </c>
      <c r="I206" s="24" t="s">
        <v>2281</v>
      </c>
      <c r="J206" s="24" t="s">
        <v>761</v>
      </c>
      <c r="K206" s="24" t="s">
        <v>1146</v>
      </c>
      <c r="L206" s="25">
        <v>1070</v>
      </c>
      <c r="M206" s="26">
        <v>7.1</v>
      </c>
      <c r="N206" s="27">
        <v>7.1</v>
      </c>
      <c r="O206" s="28">
        <v>6.4545454545454541E-3</v>
      </c>
      <c r="P206" s="28">
        <v>6.7230088495575222</v>
      </c>
    </row>
    <row r="207" spans="1:16" x14ac:dyDescent="0.3">
      <c r="A207" t="s">
        <v>3116</v>
      </c>
      <c r="B207" s="24">
        <v>300022</v>
      </c>
      <c r="C207" s="24" t="s">
        <v>2282</v>
      </c>
      <c r="D207" s="24" t="s">
        <v>2179</v>
      </c>
      <c r="E207" s="24" t="s">
        <v>2179</v>
      </c>
      <c r="F207" s="24" t="s">
        <v>1349</v>
      </c>
      <c r="G207" s="24" t="s">
        <v>2208</v>
      </c>
      <c r="H207" s="24" t="s">
        <v>2345</v>
      </c>
      <c r="I207" s="24" t="s">
        <v>2281</v>
      </c>
      <c r="J207" s="24" t="s">
        <v>761</v>
      </c>
      <c r="K207" s="24" t="s">
        <v>2194</v>
      </c>
      <c r="L207" s="25">
        <v>1300</v>
      </c>
      <c r="M207" s="26">
        <v>7.97</v>
      </c>
      <c r="N207" s="27">
        <v>9.1690265486725657</v>
      </c>
      <c r="O207" s="28">
        <v>7.2454545454545454E-3</v>
      </c>
      <c r="P207" s="28">
        <v>9.1690265486725657</v>
      </c>
    </row>
    <row r="208" spans="1:16" x14ac:dyDescent="0.3">
      <c r="A208" t="s">
        <v>3117</v>
      </c>
      <c r="B208" s="24">
        <v>300023</v>
      </c>
      <c r="C208" s="24" t="s">
        <v>2264</v>
      </c>
      <c r="D208" s="24" t="s">
        <v>2179</v>
      </c>
      <c r="E208" s="24" t="s">
        <v>2179</v>
      </c>
      <c r="F208" s="24" t="s">
        <v>1349</v>
      </c>
      <c r="G208" s="24" t="s">
        <v>2208</v>
      </c>
      <c r="H208" s="24" t="s">
        <v>2345</v>
      </c>
      <c r="I208" s="24" t="s">
        <v>2281</v>
      </c>
      <c r="J208" s="24" t="s">
        <v>761</v>
      </c>
      <c r="K208" s="24" t="s">
        <v>2194</v>
      </c>
      <c r="L208" s="25">
        <v>1300</v>
      </c>
      <c r="M208" s="26">
        <v>9</v>
      </c>
      <c r="N208" s="27">
        <v>10.353982300884956</v>
      </c>
      <c r="O208" s="28">
        <v>8.1818181818181825E-3</v>
      </c>
      <c r="P208" s="28">
        <v>10.353982300884956</v>
      </c>
    </row>
    <row r="209" spans="1:16" x14ac:dyDescent="0.3">
      <c r="A209" t="s">
        <v>3118</v>
      </c>
      <c r="B209" s="24">
        <v>300032</v>
      </c>
      <c r="C209" s="24" t="s">
        <v>2183</v>
      </c>
      <c r="D209" s="24" t="s">
        <v>2179</v>
      </c>
      <c r="E209" s="24" t="s">
        <v>2179</v>
      </c>
      <c r="F209" s="24" t="s">
        <v>1349</v>
      </c>
      <c r="G209" s="24" t="s">
        <v>2180</v>
      </c>
      <c r="H209" s="24" t="s">
        <v>2345</v>
      </c>
      <c r="I209" s="24" t="s">
        <v>2281</v>
      </c>
      <c r="J209" s="24" t="s">
        <v>761</v>
      </c>
      <c r="K209" s="24" t="s">
        <v>1352</v>
      </c>
      <c r="L209" s="25">
        <v>1</v>
      </c>
      <c r="M209" s="26">
        <v>11600</v>
      </c>
      <c r="N209" s="27">
        <v>10.545454545454545</v>
      </c>
      <c r="O209" s="28">
        <v>10.545454545454545</v>
      </c>
      <c r="P209" s="28">
        <v>10.265486725663717</v>
      </c>
    </row>
    <row r="210" spans="1:16" x14ac:dyDescent="0.3">
      <c r="A210" t="s">
        <v>3119</v>
      </c>
      <c r="B210" s="24">
        <v>300034</v>
      </c>
      <c r="C210" s="24" t="s">
        <v>2184</v>
      </c>
      <c r="D210" s="24" t="s">
        <v>2179</v>
      </c>
      <c r="E210" s="24" t="s">
        <v>2179</v>
      </c>
      <c r="F210" s="24" t="s">
        <v>1349</v>
      </c>
      <c r="G210" s="24" t="s">
        <v>2180</v>
      </c>
      <c r="H210" s="24" t="s">
        <v>2345</v>
      </c>
      <c r="I210" s="24" t="s">
        <v>2281</v>
      </c>
      <c r="J210" s="24" t="s">
        <v>761</v>
      </c>
      <c r="K210" s="24" t="s">
        <v>1352</v>
      </c>
      <c r="L210" s="25">
        <v>1</v>
      </c>
      <c r="M210" s="26">
        <v>9600</v>
      </c>
      <c r="N210" s="27">
        <v>8.7272727272727266</v>
      </c>
      <c r="O210" s="28">
        <v>8.7272727272727266</v>
      </c>
      <c r="P210" s="28">
        <v>8.4955752212389388</v>
      </c>
    </row>
    <row r="211" spans="1:16" x14ac:dyDescent="0.3">
      <c r="A211" t="s">
        <v>3120</v>
      </c>
      <c r="B211" s="24">
        <v>300039</v>
      </c>
      <c r="C211" s="24" t="s">
        <v>2221</v>
      </c>
      <c r="D211" s="24" t="s">
        <v>2179</v>
      </c>
      <c r="E211" s="24" t="s">
        <v>2179</v>
      </c>
      <c r="F211" s="24" t="s">
        <v>1349</v>
      </c>
      <c r="G211" s="24" t="s">
        <v>2199</v>
      </c>
      <c r="H211" s="24" t="s">
        <v>2345</v>
      </c>
      <c r="I211" s="24" t="s">
        <v>2281</v>
      </c>
      <c r="J211" s="24" t="s">
        <v>761</v>
      </c>
      <c r="K211" s="24" t="s">
        <v>1146</v>
      </c>
      <c r="L211" s="25">
        <v>1070</v>
      </c>
      <c r="M211" s="26">
        <v>8.8800000000000008</v>
      </c>
      <c r="N211" s="27">
        <v>8.8800000000000008</v>
      </c>
      <c r="O211" s="28">
        <v>8.0727272727272731E-3</v>
      </c>
      <c r="P211" s="28">
        <v>8.4084955752212398</v>
      </c>
    </row>
    <row r="212" spans="1:16" x14ac:dyDescent="0.3">
      <c r="A212" t="s">
        <v>3121</v>
      </c>
      <c r="B212" s="24">
        <v>300040</v>
      </c>
      <c r="C212" s="24" t="s">
        <v>2255</v>
      </c>
      <c r="D212" s="24" t="s">
        <v>2179</v>
      </c>
      <c r="E212" s="24" t="s">
        <v>2179</v>
      </c>
      <c r="F212" s="24" t="s">
        <v>1349</v>
      </c>
      <c r="G212" s="24" t="s">
        <v>2208</v>
      </c>
      <c r="H212" s="24" t="s">
        <v>2345</v>
      </c>
      <c r="I212" s="24" t="s">
        <v>2281</v>
      </c>
      <c r="J212" s="24" t="s">
        <v>761</v>
      </c>
      <c r="K212" s="24" t="s">
        <v>1146</v>
      </c>
      <c r="L212" s="25">
        <v>1070</v>
      </c>
      <c r="M212" s="26">
        <v>4</v>
      </c>
      <c r="N212" s="27">
        <v>4</v>
      </c>
      <c r="O212" s="28">
        <v>3.6363636363636364E-3</v>
      </c>
      <c r="P212" s="28">
        <v>3.7876106194690267</v>
      </c>
    </row>
    <row r="213" spans="1:16" x14ac:dyDescent="0.3">
      <c r="A213" t="s">
        <v>3122</v>
      </c>
      <c r="B213" s="24">
        <v>300055</v>
      </c>
      <c r="C213" s="24" t="s">
        <v>2222</v>
      </c>
      <c r="D213" s="24" t="s">
        <v>2179</v>
      </c>
      <c r="E213" s="24" t="s">
        <v>2179</v>
      </c>
      <c r="F213" s="24" t="s">
        <v>1349</v>
      </c>
      <c r="G213" s="24" t="s">
        <v>2199</v>
      </c>
      <c r="H213" s="24" t="s">
        <v>2345</v>
      </c>
      <c r="I213" s="24" t="s">
        <v>2281</v>
      </c>
      <c r="J213" s="24" t="s">
        <v>761</v>
      </c>
      <c r="K213" s="24" t="s">
        <v>1146</v>
      </c>
      <c r="L213" s="25">
        <v>1070</v>
      </c>
      <c r="M213" s="26">
        <v>6.64</v>
      </c>
      <c r="N213" s="27">
        <v>6.64</v>
      </c>
      <c r="O213" s="28">
        <v>6.0363636363636357E-3</v>
      </c>
      <c r="P213" s="28">
        <v>6.287433628318583</v>
      </c>
    </row>
    <row r="214" spans="1:16" x14ac:dyDescent="0.3">
      <c r="A214" t="s">
        <v>3123</v>
      </c>
      <c r="B214" s="24">
        <v>300062</v>
      </c>
      <c r="C214" s="24" t="s">
        <v>2185</v>
      </c>
      <c r="D214" s="24" t="s">
        <v>2179</v>
      </c>
      <c r="E214" s="24" t="s">
        <v>2179</v>
      </c>
      <c r="F214" s="24" t="s">
        <v>1349</v>
      </c>
      <c r="G214" s="24" t="s">
        <v>2180</v>
      </c>
      <c r="H214" s="24" t="s">
        <v>2345</v>
      </c>
      <c r="I214" s="24" t="s">
        <v>2281</v>
      </c>
      <c r="J214" s="24" t="s">
        <v>761</v>
      </c>
      <c r="K214" s="24" t="s">
        <v>1352</v>
      </c>
      <c r="L214" s="25">
        <v>1</v>
      </c>
      <c r="M214" s="26">
        <v>11000</v>
      </c>
      <c r="N214" s="27">
        <v>10</v>
      </c>
      <c r="O214" s="28">
        <v>10</v>
      </c>
      <c r="P214" s="28">
        <v>9.7345132743362832</v>
      </c>
    </row>
    <row r="215" spans="1:16" x14ac:dyDescent="0.3">
      <c r="A215" t="s">
        <v>3124</v>
      </c>
      <c r="B215" s="24">
        <v>300067</v>
      </c>
      <c r="C215" s="24" t="s">
        <v>2198</v>
      </c>
      <c r="D215" s="24" t="s">
        <v>2179</v>
      </c>
      <c r="E215" s="24" t="s">
        <v>2179</v>
      </c>
      <c r="F215" s="24" t="s">
        <v>1349</v>
      </c>
      <c r="G215" s="24" t="s">
        <v>2199</v>
      </c>
      <c r="H215" s="24" t="s">
        <v>2345</v>
      </c>
      <c r="I215" s="24" t="s">
        <v>2281</v>
      </c>
      <c r="J215" s="24" t="s">
        <v>761</v>
      </c>
      <c r="K215" s="24" t="s">
        <v>1146</v>
      </c>
      <c r="L215" s="25">
        <v>1070</v>
      </c>
      <c r="M215" s="26">
        <v>9.1199999999999992</v>
      </c>
      <c r="N215" s="27">
        <v>9.1199999999999992</v>
      </c>
      <c r="O215" s="28">
        <v>8.2909090909090901E-3</v>
      </c>
      <c r="P215" s="28">
        <v>8.6357522123893808</v>
      </c>
    </row>
    <row r="216" spans="1:16" x14ac:dyDescent="0.3">
      <c r="A216" t="s">
        <v>3125</v>
      </c>
      <c r="B216" s="24">
        <v>300073</v>
      </c>
      <c r="C216" s="24" t="s">
        <v>2283</v>
      </c>
      <c r="D216" s="24" t="s">
        <v>2179</v>
      </c>
      <c r="E216" s="24" t="s">
        <v>2179</v>
      </c>
      <c r="F216" s="24" t="s">
        <v>1349</v>
      </c>
      <c r="G216" s="24" t="s">
        <v>2199</v>
      </c>
      <c r="H216" s="24" t="s">
        <v>2345</v>
      </c>
      <c r="I216" s="24" t="s">
        <v>2281</v>
      </c>
      <c r="J216" s="24" t="s">
        <v>761</v>
      </c>
      <c r="K216" s="24" t="s">
        <v>1146</v>
      </c>
      <c r="L216" s="25">
        <v>1070</v>
      </c>
      <c r="M216" s="26">
        <v>9.07</v>
      </c>
      <c r="N216" s="27">
        <v>9.07</v>
      </c>
      <c r="O216" s="28">
        <v>8.2454545454545454E-3</v>
      </c>
      <c r="P216" s="28">
        <v>8.5884070796460179</v>
      </c>
    </row>
    <row r="217" spans="1:16" x14ac:dyDescent="0.3">
      <c r="A217" t="s">
        <v>3126</v>
      </c>
      <c r="B217" s="24">
        <v>300111</v>
      </c>
      <c r="C217" s="24" t="s">
        <v>2202</v>
      </c>
      <c r="D217" s="24" t="s">
        <v>2179</v>
      </c>
      <c r="E217" s="24" t="s">
        <v>2179</v>
      </c>
      <c r="F217" s="24" t="s">
        <v>1349</v>
      </c>
      <c r="G217" s="24" t="s">
        <v>2191</v>
      </c>
      <c r="H217" s="24" t="s">
        <v>2345</v>
      </c>
      <c r="I217" s="24" t="s">
        <v>2281</v>
      </c>
      <c r="J217" s="24" t="s">
        <v>761</v>
      </c>
      <c r="K217" s="24" t="s">
        <v>2194</v>
      </c>
      <c r="L217" s="25">
        <v>1300</v>
      </c>
      <c r="M217" s="26">
        <v>7.21</v>
      </c>
      <c r="N217" s="27">
        <v>8.2946902654867252</v>
      </c>
      <c r="O217" s="28">
        <v>6.5545454545454544E-3</v>
      </c>
      <c r="P217" s="28">
        <v>8.2946902654867252</v>
      </c>
    </row>
    <row r="218" spans="1:16" x14ac:dyDescent="0.3">
      <c r="A218" t="s">
        <v>3127</v>
      </c>
      <c r="B218" s="24">
        <v>300008</v>
      </c>
      <c r="C218" s="24" t="s">
        <v>2219</v>
      </c>
      <c r="D218" s="24" t="s">
        <v>2179</v>
      </c>
      <c r="E218" s="24" t="s">
        <v>2179</v>
      </c>
      <c r="F218" s="24" t="s">
        <v>2220</v>
      </c>
      <c r="G218" s="24" t="s">
        <v>2179</v>
      </c>
      <c r="H218" s="24" t="s">
        <v>2346</v>
      </c>
      <c r="I218" s="24" t="s">
        <v>2347</v>
      </c>
      <c r="J218" s="24" t="s">
        <v>761</v>
      </c>
      <c r="K218" s="24" t="s">
        <v>1146</v>
      </c>
      <c r="L218" s="25">
        <v>1070</v>
      </c>
      <c r="M218" s="26">
        <v>8.6999999999999993</v>
      </c>
      <c r="N218" s="27">
        <v>8.6999999999999993</v>
      </c>
      <c r="O218" s="28">
        <v>7.909090909090909E-3</v>
      </c>
      <c r="P218" s="28">
        <v>8.2380530973451336</v>
      </c>
    </row>
    <row r="219" spans="1:16" x14ac:dyDescent="0.3">
      <c r="A219" t="s">
        <v>3128</v>
      </c>
      <c r="B219" s="24">
        <v>300067</v>
      </c>
      <c r="C219" s="24" t="s">
        <v>2198</v>
      </c>
      <c r="D219" s="24" t="s">
        <v>2179</v>
      </c>
      <c r="E219" s="24" t="s">
        <v>2179</v>
      </c>
      <c r="F219" s="24" t="s">
        <v>1349</v>
      </c>
      <c r="G219" s="24" t="s">
        <v>2199</v>
      </c>
      <c r="H219" s="24" t="s">
        <v>2346</v>
      </c>
      <c r="I219" s="24" t="s">
        <v>2347</v>
      </c>
      <c r="J219" s="24" t="s">
        <v>761</v>
      </c>
      <c r="K219" s="24" t="s">
        <v>1146</v>
      </c>
      <c r="L219" s="25">
        <v>1070</v>
      </c>
      <c r="M219" s="26">
        <v>9.07</v>
      </c>
      <c r="N219" s="27">
        <v>9.07</v>
      </c>
      <c r="O219" s="28">
        <v>8.2454545454545454E-3</v>
      </c>
      <c r="P219" s="28">
        <v>8.5884070796460179</v>
      </c>
    </row>
    <row r="220" spans="1:16" x14ac:dyDescent="0.3">
      <c r="A220" t="s">
        <v>3129</v>
      </c>
      <c r="B220" s="24">
        <v>300146</v>
      </c>
      <c r="C220" s="24" t="s">
        <v>2224</v>
      </c>
      <c r="D220" s="24" t="s">
        <v>2179</v>
      </c>
      <c r="E220" s="24" t="s">
        <v>2179</v>
      </c>
      <c r="F220" s="24" t="s">
        <v>1386</v>
      </c>
      <c r="G220" s="24" t="s">
        <v>2225</v>
      </c>
      <c r="H220" s="24" t="s">
        <v>2346</v>
      </c>
      <c r="I220" s="24" t="s">
        <v>2347</v>
      </c>
      <c r="J220" s="24" t="s">
        <v>761</v>
      </c>
      <c r="K220" s="24" t="s">
        <v>1146</v>
      </c>
      <c r="L220" s="25">
        <v>1070</v>
      </c>
      <c r="M220" s="26">
        <v>7.08</v>
      </c>
      <c r="N220" s="27">
        <v>7.08</v>
      </c>
      <c r="O220" s="28">
        <v>6.4363636363636368E-3</v>
      </c>
      <c r="P220" s="28">
        <v>6.7040707964601776</v>
      </c>
    </row>
    <row r="221" spans="1:16" x14ac:dyDescent="0.3">
      <c r="A221" t="s">
        <v>3130</v>
      </c>
      <c r="B221" s="24">
        <v>142651</v>
      </c>
      <c r="C221" s="24" t="s">
        <v>2178</v>
      </c>
      <c r="D221" s="24" t="s">
        <v>2179</v>
      </c>
      <c r="E221" s="24" t="s">
        <v>2179</v>
      </c>
      <c r="F221" s="24" t="s">
        <v>1349</v>
      </c>
      <c r="G221" s="24" t="s">
        <v>2180</v>
      </c>
      <c r="H221" s="24" t="s">
        <v>2348</v>
      </c>
      <c r="I221" s="24" t="s">
        <v>2349</v>
      </c>
      <c r="J221" s="24" t="s">
        <v>761</v>
      </c>
      <c r="K221" s="24" t="s">
        <v>1352</v>
      </c>
      <c r="L221" s="25">
        <v>1</v>
      </c>
      <c r="M221" s="26">
        <v>8990</v>
      </c>
      <c r="N221" s="27">
        <v>8.172727272727272</v>
      </c>
      <c r="O221" s="28">
        <v>8.172727272727272</v>
      </c>
      <c r="P221" s="28">
        <v>7.9557522123893802</v>
      </c>
    </row>
    <row r="222" spans="1:16" x14ac:dyDescent="0.3">
      <c r="A222" t="s">
        <v>3131</v>
      </c>
      <c r="B222" s="24">
        <v>300040</v>
      </c>
      <c r="C222" s="24" t="s">
        <v>2255</v>
      </c>
      <c r="D222" s="24" t="s">
        <v>2179</v>
      </c>
      <c r="E222" s="24" t="s">
        <v>2179</v>
      </c>
      <c r="F222" s="24" t="s">
        <v>1349</v>
      </c>
      <c r="G222" s="24" t="s">
        <v>2208</v>
      </c>
      <c r="H222" s="24" t="s">
        <v>2348</v>
      </c>
      <c r="I222" s="24" t="s">
        <v>2349</v>
      </c>
      <c r="J222" s="24" t="s">
        <v>761</v>
      </c>
      <c r="K222" s="24" t="s">
        <v>1146</v>
      </c>
      <c r="L222" s="25">
        <v>1070</v>
      </c>
      <c r="M222" s="26">
        <v>4</v>
      </c>
      <c r="N222" s="27">
        <v>4</v>
      </c>
      <c r="O222" s="28">
        <v>3.6363636363636364E-3</v>
      </c>
      <c r="P222" s="28">
        <v>3.7876106194690267</v>
      </c>
    </row>
    <row r="223" spans="1:16" x14ac:dyDescent="0.3">
      <c r="A223" t="s">
        <v>3132</v>
      </c>
      <c r="B223" s="24">
        <v>300039</v>
      </c>
      <c r="C223" s="24" t="s">
        <v>2221</v>
      </c>
      <c r="D223" s="24" t="s">
        <v>2179</v>
      </c>
      <c r="E223" s="24" t="s">
        <v>2179</v>
      </c>
      <c r="F223" s="24" t="s">
        <v>1349</v>
      </c>
      <c r="G223" s="24" t="s">
        <v>2199</v>
      </c>
      <c r="H223" s="24" t="s">
        <v>2350</v>
      </c>
      <c r="I223" s="24" t="s">
        <v>2351</v>
      </c>
      <c r="J223" s="24" t="s">
        <v>761</v>
      </c>
      <c r="K223" s="24" t="s">
        <v>1146</v>
      </c>
      <c r="L223" s="25">
        <v>1070</v>
      </c>
      <c r="M223" s="26">
        <v>18</v>
      </c>
      <c r="N223" s="27">
        <v>18</v>
      </c>
      <c r="O223" s="28">
        <v>1.6363636363636365E-2</v>
      </c>
      <c r="P223" s="28">
        <v>17.044247787610619</v>
      </c>
    </row>
    <row r="224" spans="1:16" x14ac:dyDescent="0.3">
      <c r="A224" t="s">
        <v>3133</v>
      </c>
      <c r="B224" s="24">
        <v>300067</v>
      </c>
      <c r="C224" s="24" t="s">
        <v>2198</v>
      </c>
      <c r="D224" s="24" t="s">
        <v>2179</v>
      </c>
      <c r="E224" s="24" t="s">
        <v>2179</v>
      </c>
      <c r="F224" s="24" t="s">
        <v>1349</v>
      </c>
      <c r="G224" s="24" t="s">
        <v>2199</v>
      </c>
      <c r="H224" s="24" t="s">
        <v>2350</v>
      </c>
      <c r="I224" s="24" t="s">
        <v>2351</v>
      </c>
      <c r="J224" s="24" t="s">
        <v>761</v>
      </c>
      <c r="K224" s="24" t="s">
        <v>1146</v>
      </c>
      <c r="L224" s="25">
        <v>1070</v>
      </c>
      <c r="M224" s="26">
        <v>17.97</v>
      </c>
      <c r="N224" s="27">
        <v>17.97</v>
      </c>
      <c r="O224" s="28">
        <v>1.6336363636363635E-2</v>
      </c>
      <c r="P224" s="28">
        <v>17.0158407079646</v>
      </c>
    </row>
    <row r="225" spans="1:16" x14ac:dyDescent="0.3">
      <c r="A225" t="s">
        <v>3134</v>
      </c>
      <c r="B225" s="24">
        <v>141958</v>
      </c>
      <c r="C225" s="24" t="s">
        <v>2352</v>
      </c>
      <c r="D225" s="24" t="s">
        <v>2179</v>
      </c>
      <c r="E225" s="24" t="s">
        <v>2179</v>
      </c>
      <c r="F225" s="24" t="s">
        <v>1349</v>
      </c>
      <c r="G225" s="24" t="s">
        <v>2191</v>
      </c>
      <c r="H225" s="24" t="s">
        <v>2353</v>
      </c>
      <c r="I225" s="24" t="s">
        <v>2354</v>
      </c>
      <c r="J225" s="24" t="s">
        <v>761</v>
      </c>
      <c r="K225" s="24" t="s">
        <v>2194</v>
      </c>
      <c r="L225" s="25">
        <v>1300</v>
      </c>
      <c r="M225" s="26">
        <v>15</v>
      </c>
      <c r="N225" s="27">
        <v>17.256637168141594</v>
      </c>
      <c r="O225" s="28">
        <v>1.3636363636363636E-2</v>
      </c>
      <c r="P225" s="28">
        <v>17.256637168141594</v>
      </c>
    </row>
    <row r="226" spans="1:16" x14ac:dyDescent="0.3">
      <c r="A226" t="s">
        <v>3135</v>
      </c>
      <c r="B226" s="24">
        <v>300146</v>
      </c>
      <c r="C226" s="24" t="s">
        <v>2224</v>
      </c>
      <c r="D226" s="24" t="s">
        <v>2179</v>
      </c>
      <c r="E226" s="24" t="s">
        <v>2179</v>
      </c>
      <c r="F226" s="24" t="s">
        <v>1386</v>
      </c>
      <c r="G226" s="24" t="s">
        <v>2225</v>
      </c>
      <c r="H226" s="24" t="s">
        <v>2355</v>
      </c>
      <c r="I226" s="24" t="s">
        <v>2356</v>
      </c>
      <c r="J226" s="24" t="s">
        <v>761</v>
      </c>
      <c r="K226" s="24" t="s">
        <v>1146</v>
      </c>
      <c r="L226" s="25">
        <v>1070</v>
      </c>
      <c r="M226" s="26">
        <v>14.88</v>
      </c>
      <c r="N226" s="27">
        <v>14.88</v>
      </c>
      <c r="O226" s="28">
        <v>1.3527272727272728E-2</v>
      </c>
      <c r="P226" s="28">
        <v>14.089911504424778</v>
      </c>
    </row>
    <row r="227" spans="1:16" x14ac:dyDescent="0.3">
      <c r="A227" t="s">
        <v>3136</v>
      </c>
      <c r="B227" s="24">
        <v>700062</v>
      </c>
      <c r="C227" s="24" t="s">
        <v>2226</v>
      </c>
      <c r="D227" s="24" t="s">
        <v>2179</v>
      </c>
      <c r="E227" s="24" t="s">
        <v>2179</v>
      </c>
      <c r="F227" s="24" t="s">
        <v>1349</v>
      </c>
      <c r="G227" s="24" t="s">
        <v>2187</v>
      </c>
      <c r="H227" s="24" t="s">
        <v>2355</v>
      </c>
      <c r="I227" s="24" t="s">
        <v>2356</v>
      </c>
      <c r="J227" s="24" t="s">
        <v>761</v>
      </c>
      <c r="K227" s="24" t="s">
        <v>1352</v>
      </c>
      <c r="L227" s="25">
        <v>1</v>
      </c>
      <c r="M227" s="26">
        <v>16150</v>
      </c>
      <c r="N227" s="27">
        <v>14.681818181818182</v>
      </c>
      <c r="O227" s="28">
        <v>14.681818181818182</v>
      </c>
      <c r="P227" s="28">
        <v>14.292035398230089</v>
      </c>
    </row>
    <row r="228" spans="1:16" x14ac:dyDescent="0.3">
      <c r="A228" t="s">
        <v>3137</v>
      </c>
      <c r="B228" s="24">
        <v>112498</v>
      </c>
      <c r="C228" s="24" t="s">
        <v>2211</v>
      </c>
      <c r="D228" s="24" t="s">
        <v>2179</v>
      </c>
      <c r="E228" s="24" t="s">
        <v>2179</v>
      </c>
      <c r="F228" s="24" t="s">
        <v>1237</v>
      </c>
      <c r="G228" s="24" t="s">
        <v>2201</v>
      </c>
      <c r="H228" s="24" t="s">
        <v>2357</v>
      </c>
      <c r="I228" s="24" t="s">
        <v>2358</v>
      </c>
      <c r="J228" s="24" t="s">
        <v>761</v>
      </c>
      <c r="K228" s="24" t="s">
        <v>1146</v>
      </c>
      <c r="L228" s="25">
        <v>1070</v>
      </c>
      <c r="M228" s="26">
        <v>17.989999999999998</v>
      </c>
      <c r="N228" s="27">
        <v>17.989999999999998</v>
      </c>
      <c r="O228" s="28">
        <v>1.6354545454545451E-2</v>
      </c>
      <c r="P228" s="28">
        <v>17.034778761061947</v>
      </c>
    </row>
    <row r="229" spans="1:16" x14ac:dyDescent="0.3">
      <c r="A229" t="s">
        <v>3138</v>
      </c>
      <c r="B229" s="24">
        <v>142807</v>
      </c>
      <c r="C229" s="24" t="s">
        <v>2217</v>
      </c>
      <c r="D229" s="24" t="s">
        <v>2179</v>
      </c>
      <c r="E229" s="24" t="s">
        <v>2179</v>
      </c>
      <c r="F229" s="24" t="s">
        <v>1349</v>
      </c>
      <c r="G229" s="24" t="s">
        <v>2208</v>
      </c>
      <c r="H229" s="24" t="s">
        <v>2357</v>
      </c>
      <c r="I229" s="24" t="s">
        <v>2358</v>
      </c>
      <c r="J229" s="24" t="s">
        <v>761</v>
      </c>
      <c r="K229" s="24" t="s">
        <v>2194</v>
      </c>
      <c r="L229" s="25">
        <v>1300</v>
      </c>
      <c r="M229" s="26">
        <v>17.79</v>
      </c>
      <c r="N229" s="27">
        <v>20.466371681415929</v>
      </c>
      <c r="O229" s="28">
        <v>1.6172727272727273E-2</v>
      </c>
      <c r="P229" s="28">
        <v>20.466371681415929</v>
      </c>
    </row>
    <row r="230" spans="1:16" x14ac:dyDescent="0.3">
      <c r="A230" t="s">
        <v>3139</v>
      </c>
      <c r="B230" s="24">
        <v>300042</v>
      </c>
      <c r="C230" s="24" t="s">
        <v>2190</v>
      </c>
      <c r="D230" s="24" t="s">
        <v>2179</v>
      </c>
      <c r="E230" s="24" t="s">
        <v>2179</v>
      </c>
      <c r="F230" s="24" t="s">
        <v>1349</v>
      </c>
      <c r="G230" s="24" t="s">
        <v>2191</v>
      </c>
      <c r="H230" s="24" t="s">
        <v>2357</v>
      </c>
      <c r="I230" s="24" t="s">
        <v>2358</v>
      </c>
      <c r="J230" s="24" t="s">
        <v>761</v>
      </c>
      <c r="K230" s="24" t="s">
        <v>1146</v>
      </c>
      <c r="L230" s="25">
        <v>1070</v>
      </c>
      <c r="M230" s="26">
        <v>17</v>
      </c>
      <c r="N230" s="27">
        <v>17</v>
      </c>
      <c r="O230" s="28">
        <v>1.5454545454545455E-2</v>
      </c>
      <c r="P230" s="28">
        <v>16.097345132743364</v>
      </c>
    </row>
    <row r="231" spans="1:16" x14ac:dyDescent="0.3">
      <c r="A231" t="s">
        <v>3140</v>
      </c>
      <c r="B231" s="24">
        <v>300067</v>
      </c>
      <c r="C231" s="24" t="s">
        <v>2198</v>
      </c>
      <c r="D231" s="24" t="s">
        <v>2179</v>
      </c>
      <c r="E231" s="24" t="s">
        <v>2179</v>
      </c>
      <c r="F231" s="24" t="s">
        <v>1349</v>
      </c>
      <c r="G231" s="24" t="s">
        <v>2199</v>
      </c>
      <c r="H231" s="24" t="s">
        <v>2357</v>
      </c>
      <c r="I231" s="24" t="s">
        <v>2358</v>
      </c>
      <c r="J231" s="24" t="s">
        <v>761</v>
      </c>
      <c r="K231" s="24" t="s">
        <v>1146</v>
      </c>
      <c r="L231" s="25">
        <v>1070</v>
      </c>
      <c r="M231" s="26">
        <v>19.34</v>
      </c>
      <c r="N231" s="27">
        <v>19.34</v>
      </c>
      <c r="O231" s="28">
        <v>1.7581818181818181E-2</v>
      </c>
      <c r="P231" s="28">
        <v>18.313097345132743</v>
      </c>
    </row>
    <row r="232" spans="1:16" x14ac:dyDescent="0.3">
      <c r="A232" t="s">
        <v>3141</v>
      </c>
      <c r="B232" s="24">
        <v>101906</v>
      </c>
      <c r="C232" s="24" t="s">
        <v>2243</v>
      </c>
      <c r="D232" s="24" t="s">
        <v>2179</v>
      </c>
      <c r="E232" s="24" t="s">
        <v>2179</v>
      </c>
      <c r="F232" s="24" t="s">
        <v>1349</v>
      </c>
      <c r="G232" s="24" t="s">
        <v>2180</v>
      </c>
      <c r="H232" s="24" t="s">
        <v>2359</v>
      </c>
      <c r="I232" s="24" t="s">
        <v>2360</v>
      </c>
      <c r="J232" s="24" t="s">
        <v>761</v>
      </c>
      <c r="K232" s="24" t="s">
        <v>1352</v>
      </c>
      <c r="L232" s="25">
        <v>1</v>
      </c>
      <c r="M232" s="26">
        <v>34000</v>
      </c>
      <c r="N232" s="27">
        <v>30.90909090909091</v>
      </c>
      <c r="O232" s="28">
        <v>30.90909090909091</v>
      </c>
      <c r="P232" s="28">
        <v>30.088495575221238</v>
      </c>
    </row>
    <row r="233" spans="1:16" x14ac:dyDescent="0.3">
      <c r="A233" t="s">
        <v>3142</v>
      </c>
      <c r="B233" s="24">
        <v>112498</v>
      </c>
      <c r="C233" s="24" t="s">
        <v>2211</v>
      </c>
      <c r="D233" s="24" t="s">
        <v>2179</v>
      </c>
      <c r="E233" s="24" t="s">
        <v>2179</v>
      </c>
      <c r="F233" s="24" t="s">
        <v>1237</v>
      </c>
      <c r="G233" s="24" t="s">
        <v>2201</v>
      </c>
      <c r="H233" s="24" t="s">
        <v>2359</v>
      </c>
      <c r="I233" s="24" t="s">
        <v>2360</v>
      </c>
      <c r="J233" s="24" t="s">
        <v>761</v>
      </c>
      <c r="K233" s="24" t="s">
        <v>1146</v>
      </c>
      <c r="L233" s="25">
        <v>1070</v>
      </c>
      <c r="M233" s="26">
        <v>15</v>
      </c>
      <c r="N233" s="27">
        <v>15</v>
      </c>
      <c r="O233" s="28">
        <v>1.3636363636363636E-2</v>
      </c>
      <c r="P233" s="28">
        <v>14.20353982300885</v>
      </c>
    </row>
    <row r="234" spans="1:16" x14ac:dyDescent="0.3">
      <c r="A234" t="s">
        <v>3143</v>
      </c>
      <c r="B234" s="24">
        <v>142639</v>
      </c>
      <c r="C234" s="24" t="s">
        <v>2235</v>
      </c>
      <c r="D234" s="24" t="s">
        <v>2179</v>
      </c>
      <c r="E234" s="24" t="s">
        <v>2179</v>
      </c>
      <c r="F234" s="24" t="s">
        <v>1349</v>
      </c>
      <c r="G234" s="24" t="s">
        <v>2199</v>
      </c>
      <c r="H234" s="24" t="s">
        <v>2359</v>
      </c>
      <c r="I234" s="24" t="s">
        <v>2360</v>
      </c>
      <c r="J234" s="24" t="s">
        <v>761</v>
      </c>
      <c r="K234" s="24" t="s">
        <v>2194</v>
      </c>
      <c r="L234" s="25">
        <v>1300</v>
      </c>
      <c r="M234" s="26">
        <v>27</v>
      </c>
      <c r="N234" s="27">
        <v>31.061946902654867</v>
      </c>
      <c r="O234" s="28">
        <v>2.4545454545454544E-2</v>
      </c>
      <c r="P234" s="28">
        <v>31.061946902654867</v>
      </c>
    </row>
    <row r="235" spans="1:16" x14ac:dyDescent="0.3">
      <c r="A235" t="s">
        <v>3144</v>
      </c>
      <c r="B235" s="24">
        <v>142651</v>
      </c>
      <c r="C235" s="24" t="s">
        <v>2178</v>
      </c>
      <c r="D235" s="24" t="s">
        <v>2179</v>
      </c>
      <c r="E235" s="24" t="s">
        <v>2179</v>
      </c>
      <c r="F235" s="24" t="s">
        <v>1349</v>
      </c>
      <c r="G235" s="24" t="s">
        <v>2180</v>
      </c>
      <c r="H235" s="24" t="s">
        <v>2359</v>
      </c>
      <c r="I235" s="24" t="s">
        <v>2360</v>
      </c>
      <c r="J235" s="24" t="s">
        <v>761</v>
      </c>
      <c r="K235" s="24" t="s">
        <v>1352</v>
      </c>
      <c r="L235" s="25">
        <v>1</v>
      </c>
      <c r="M235" s="26">
        <v>25000</v>
      </c>
      <c r="N235" s="27">
        <v>22.727272727272727</v>
      </c>
      <c r="O235" s="28">
        <v>22.727272727272727</v>
      </c>
      <c r="P235" s="28">
        <v>22.123893805309734</v>
      </c>
    </row>
    <row r="236" spans="1:16" x14ac:dyDescent="0.3">
      <c r="A236" t="s">
        <v>3145</v>
      </c>
      <c r="B236" s="24">
        <v>142660</v>
      </c>
      <c r="C236" s="24" t="s">
        <v>2215</v>
      </c>
      <c r="D236" s="24" t="s">
        <v>2179</v>
      </c>
      <c r="E236" s="24" t="s">
        <v>2179</v>
      </c>
      <c r="F236" s="24" t="s">
        <v>1237</v>
      </c>
      <c r="G236" s="24" t="s">
        <v>2216</v>
      </c>
      <c r="H236" s="24" t="s">
        <v>2359</v>
      </c>
      <c r="I236" s="24" t="s">
        <v>2360</v>
      </c>
      <c r="J236" s="24" t="s">
        <v>761</v>
      </c>
      <c r="K236" s="24" t="s">
        <v>1146</v>
      </c>
      <c r="L236" s="25">
        <v>1070</v>
      </c>
      <c r="M236" s="26">
        <v>18.09</v>
      </c>
      <c r="N236" s="27">
        <v>18.09</v>
      </c>
      <c r="O236" s="28">
        <v>1.6445454545454544E-2</v>
      </c>
      <c r="P236" s="28">
        <v>17.129469026548673</v>
      </c>
    </row>
    <row r="237" spans="1:16" x14ac:dyDescent="0.3">
      <c r="A237" t="s">
        <v>3146</v>
      </c>
      <c r="B237" s="24">
        <v>142807</v>
      </c>
      <c r="C237" s="24" t="s">
        <v>2217</v>
      </c>
      <c r="D237" s="24" t="s">
        <v>2179</v>
      </c>
      <c r="E237" s="24" t="s">
        <v>2179</v>
      </c>
      <c r="F237" s="24" t="s">
        <v>1349</v>
      </c>
      <c r="G237" s="24" t="s">
        <v>2208</v>
      </c>
      <c r="H237" s="24" t="s">
        <v>2359</v>
      </c>
      <c r="I237" s="24" t="s">
        <v>2360</v>
      </c>
      <c r="J237" s="24" t="s">
        <v>761</v>
      </c>
      <c r="K237" s="24" t="s">
        <v>2194</v>
      </c>
      <c r="L237" s="25">
        <v>1300</v>
      </c>
      <c r="M237" s="26">
        <v>17.79</v>
      </c>
      <c r="N237" s="27">
        <v>20.466371681415929</v>
      </c>
      <c r="O237" s="28">
        <v>1.6172727272727273E-2</v>
      </c>
      <c r="P237" s="28">
        <v>20.466371681415929</v>
      </c>
    </row>
    <row r="238" spans="1:16" x14ac:dyDescent="0.3">
      <c r="A238" t="s">
        <v>3147</v>
      </c>
      <c r="B238" s="24">
        <v>150518</v>
      </c>
      <c r="C238" s="24" t="s">
        <v>2197</v>
      </c>
      <c r="D238" s="24" t="s">
        <v>2179</v>
      </c>
      <c r="E238" s="24" t="s">
        <v>2179</v>
      </c>
      <c r="F238" s="24" t="s">
        <v>1349</v>
      </c>
      <c r="G238" s="24" t="s">
        <v>2180</v>
      </c>
      <c r="H238" s="24" t="s">
        <v>2359</v>
      </c>
      <c r="I238" s="24" t="s">
        <v>2360</v>
      </c>
      <c r="J238" s="24" t="s">
        <v>761</v>
      </c>
      <c r="K238" s="24" t="s">
        <v>1352</v>
      </c>
      <c r="L238" s="25">
        <v>1</v>
      </c>
      <c r="M238" s="26">
        <v>34600</v>
      </c>
      <c r="N238" s="27">
        <v>31.454545454545453</v>
      </c>
      <c r="O238" s="28">
        <v>31.454545454545453</v>
      </c>
      <c r="P238" s="28">
        <v>30.619469026548671</v>
      </c>
    </row>
    <row r="239" spans="1:16" x14ac:dyDescent="0.3">
      <c r="A239" t="s">
        <v>3148</v>
      </c>
      <c r="B239" s="24">
        <v>300008</v>
      </c>
      <c r="C239" s="24" t="s">
        <v>2219</v>
      </c>
      <c r="D239" s="24" t="s">
        <v>2179</v>
      </c>
      <c r="E239" s="24" t="s">
        <v>2179</v>
      </c>
      <c r="F239" s="24" t="s">
        <v>2220</v>
      </c>
      <c r="G239" s="24" t="s">
        <v>2179</v>
      </c>
      <c r="H239" s="24" t="s">
        <v>2359</v>
      </c>
      <c r="I239" s="24" t="s">
        <v>2360</v>
      </c>
      <c r="J239" s="24" t="s">
        <v>761</v>
      </c>
      <c r="K239" s="24" t="s">
        <v>1146</v>
      </c>
      <c r="L239" s="25">
        <v>1070</v>
      </c>
      <c r="M239" s="26">
        <v>18.899999999999999</v>
      </c>
      <c r="N239" s="27">
        <v>18.899999999999999</v>
      </c>
      <c r="O239" s="28">
        <v>1.718181818181818E-2</v>
      </c>
      <c r="P239" s="28">
        <v>17.896460176991152</v>
      </c>
    </row>
    <row r="240" spans="1:16" x14ac:dyDescent="0.3">
      <c r="A240" t="s">
        <v>3149</v>
      </c>
      <c r="B240" s="24">
        <v>300022</v>
      </c>
      <c r="C240" s="24" t="s">
        <v>2282</v>
      </c>
      <c r="D240" s="24" t="s">
        <v>2179</v>
      </c>
      <c r="E240" s="24" t="s">
        <v>2179</v>
      </c>
      <c r="F240" s="24" t="s">
        <v>1349</v>
      </c>
      <c r="G240" s="24" t="s">
        <v>2208</v>
      </c>
      <c r="H240" s="24" t="s">
        <v>2359</v>
      </c>
      <c r="I240" s="24" t="s">
        <v>2360</v>
      </c>
      <c r="J240" s="24" t="s">
        <v>761</v>
      </c>
      <c r="K240" s="24" t="s">
        <v>2194</v>
      </c>
      <c r="L240" s="25">
        <v>1300</v>
      </c>
      <c r="M240" s="26">
        <v>17.809999999999999</v>
      </c>
      <c r="N240" s="27">
        <v>20.489380530973452</v>
      </c>
      <c r="O240" s="28">
        <v>1.6190909090909089E-2</v>
      </c>
      <c r="P240" s="28">
        <v>20.489380530973452</v>
      </c>
    </row>
    <row r="241" spans="1:16" x14ac:dyDescent="0.3">
      <c r="A241" t="s">
        <v>3150</v>
      </c>
      <c r="B241" s="24">
        <v>300023</v>
      </c>
      <c r="C241" s="24" t="s">
        <v>2264</v>
      </c>
      <c r="D241" s="24" t="s">
        <v>2179</v>
      </c>
      <c r="E241" s="24" t="s">
        <v>2179</v>
      </c>
      <c r="F241" s="24" t="s">
        <v>1349</v>
      </c>
      <c r="G241" s="24" t="s">
        <v>2208</v>
      </c>
      <c r="H241" s="24" t="s">
        <v>2359</v>
      </c>
      <c r="I241" s="24" t="s">
        <v>2360</v>
      </c>
      <c r="J241" s="24" t="s">
        <v>761</v>
      </c>
      <c r="K241" s="24" t="s">
        <v>2194</v>
      </c>
      <c r="L241" s="25">
        <v>1300</v>
      </c>
      <c r="M241" s="26">
        <v>17</v>
      </c>
      <c r="N241" s="27">
        <v>19.557522123893804</v>
      </c>
      <c r="O241" s="28">
        <v>1.5454545454545455E-2</v>
      </c>
      <c r="P241" s="28">
        <v>19.557522123893804</v>
      </c>
    </row>
    <row r="242" spans="1:16" x14ac:dyDescent="0.3">
      <c r="A242" t="s">
        <v>3151</v>
      </c>
      <c r="B242" s="24">
        <v>300032</v>
      </c>
      <c r="C242" s="24" t="s">
        <v>2183</v>
      </c>
      <c r="D242" s="24" t="s">
        <v>2179</v>
      </c>
      <c r="E242" s="24" t="s">
        <v>2179</v>
      </c>
      <c r="F242" s="24" t="s">
        <v>1349</v>
      </c>
      <c r="G242" s="24" t="s">
        <v>2180</v>
      </c>
      <c r="H242" s="24" t="s">
        <v>2359</v>
      </c>
      <c r="I242" s="24" t="s">
        <v>2360</v>
      </c>
      <c r="J242" s="24" t="s">
        <v>761</v>
      </c>
      <c r="K242" s="24" t="s">
        <v>1352</v>
      </c>
      <c r="L242" s="25">
        <v>1</v>
      </c>
      <c r="M242" s="26">
        <v>32000</v>
      </c>
      <c r="N242" s="27">
        <v>29.09090909090909</v>
      </c>
      <c r="O242" s="28">
        <v>29.09090909090909</v>
      </c>
      <c r="P242" s="28">
        <v>28.318584070796462</v>
      </c>
    </row>
    <row r="243" spans="1:16" x14ac:dyDescent="0.3">
      <c r="A243" t="s">
        <v>3152</v>
      </c>
      <c r="B243" s="24">
        <v>300034</v>
      </c>
      <c r="C243" s="24" t="s">
        <v>2184</v>
      </c>
      <c r="D243" s="24" t="s">
        <v>2179</v>
      </c>
      <c r="E243" s="24" t="s">
        <v>2179</v>
      </c>
      <c r="F243" s="24" t="s">
        <v>1349</v>
      </c>
      <c r="G243" s="24" t="s">
        <v>2180</v>
      </c>
      <c r="H243" s="24" t="s">
        <v>2359</v>
      </c>
      <c r="I243" s="24" t="s">
        <v>2360</v>
      </c>
      <c r="J243" s="24" t="s">
        <v>761</v>
      </c>
      <c r="K243" s="24" t="s">
        <v>1352</v>
      </c>
      <c r="L243" s="25">
        <v>1</v>
      </c>
      <c r="M243" s="26">
        <v>22900</v>
      </c>
      <c r="N243" s="27">
        <v>20.818181818181817</v>
      </c>
      <c r="O243" s="28">
        <v>20.818181818181817</v>
      </c>
      <c r="P243" s="28">
        <v>20.265486725663717</v>
      </c>
    </row>
    <row r="244" spans="1:16" x14ac:dyDescent="0.3">
      <c r="A244" t="s">
        <v>3153</v>
      </c>
      <c r="B244" s="24">
        <v>300039</v>
      </c>
      <c r="C244" s="24" t="s">
        <v>2221</v>
      </c>
      <c r="D244" s="24" t="s">
        <v>2179</v>
      </c>
      <c r="E244" s="24" t="s">
        <v>2179</v>
      </c>
      <c r="F244" s="24" t="s">
        <v>1349</v>
      </c>
      <c r="G244" s="24" t="s">
        <v>2199</v>
      </c>
      <c r="H244" s="24" t="s">
        <v>2359</v>
      </c>
      <c r="I244" s="24" t="s">
        <v>2360</v>
      </c>
      <c r="J244" s="24" t="s">
        <v>761</v>
      </c>
      <c r="K244" s="24" t="s">
        <v>1146</v>
      </c>
      <c r="L244" s="25">
        <v>1070</v>
      </c>
      <c r="M244" s="26">
        <v>20.25</v>
      </c>
      <c r="N244" s="27">
        <v>20.25</v>
      </c>
      <c r="O244" s="28">
        <v>1.840909090909091E-2</v>
      </c>
      <c r="P244" s="28">
        <v>19.174778761061948</v>
      </c>
    </row>
    <row r="245" spans="1:16" x14ac:dyDescent="0.3">
      <c r="A245" t="s">
        <v>3154</v>
      </c>
      <c r="B245" s="24">
        <v>300040</v>
      </c>
      <c r="C245" s="24" t="s">
        <v>2255</v>
      </c>
      <c r="D245" s="24" t="s">
        <v>2179</v>
      </c>
      <c r="E245" s="24" t="s">
        <v>2179</v>
      </c>
      <c r="F245" s="24" t="s">
        <v>1349</v>
      </c>
      <c r="G245" s="24" t="s">
        <v>2208</v>
      </c>
      <c r="H245" s="24" t="s">
        <v>2359</v>
      </c>
      <c r="I245" s="24" t="s">
        <v>2360</v>
      </c>
      <c r="J245" s="24" t="s">
        <v>761</v>
      </c>
      <c r="K245" s="24" t="s">
        <v>1146</v>
      </c>
      <c r="L245" s="25">
        <v>1070</v>
      </c>
      <c r="M245" s="26">
        <v>9</v>
      </c>
      <c r="N245" s="27">
        <v>9</v>
      </c>
      <c r="O245" s="28">
        <v>8.1818181818181825E-3</v>
      </c>
      <c r="P245" s="28">
        <v>8.5221238938053094</v>
      </c>
    </row>
    <row r="246" spans="1:16" x14ac:dyDescent="0.3">
      <c r="A246" t="s">
        <v>3155</v>
      </c>
      <c r="B246" s="24">
        <v>300055</v>
      </c>
      <c r="C246" s="24" t="s">
        <v>2222</v>
      </c>
      <c r="D246" s="24" t="s">
        <v>2179</v>
      </c>
      <c r="E246" s="24" t="s">
        <v>2179</v>
      </c>
      <c r="F246" s="24" t="s">
        <v>1349</v>
      </c>
      <c r="G246" s="24" t="s">
        <v>2199</v>
      </c>
      <c r="H246" s="24" t="s">
        <v>2359</v>
      </c>
      <c r="I246" s="24" t="s">
        <v>2360</v>
      </c>
      <c r="J246" s="24" t="s">
        <v>761</v>
      </c>
      <c r="K246" s="24" t="s">
        <v>1146</v>
      </c>
      <c r="L246" s="25">
        <v>1070</v>
      </c>
      <c r="M246" s="26">
        <v>18.13</v>
      </c>
      <c r="N246" s="27">
        <v>18.13</v>
      </c>
      <c r="O246" s="28">
        <v>1.6481818181818181E-2</v>
      </c>
      <c r="P246" s="28">
        <v>17.16734513274336</v>
      </c>
    </row>
    <row r="247" spans="1:16" x14ac:dyDescent="0.3">
      <c r="A247" t="s">
        <v>3156</v>
      </c>
      <c r="B247" s="24">
        <v>300062</v>
      </c>
      <c r="C247" s="24" t="s">
        <v>2185</v>
      </c>
      <c r="D247" s="24" t="s">
        <v>2179</v>
      </c>
      <c r="E247" s="24" t="s">
        <v>2179</v>
      </c>
      <c r="F247" s="24" t="s">
        <v>1349</v>
      </c>
      <c r="G247" s="24" t="s">
        <v>2180</v>
      </c>
      <c r="H247" s="24" t="s">
        <v>2359</v>
      </c>
      <c r="I247" s="24" t="s">
        <v>2360</v>
      </c>
      <c r="J247" s="24" t="s">
        <v>761</v>
      </c>
      <c r="K247" s="24" t="s">
        <v>1352</v>
      </c>
      <c r="L247" s="25">
        <v>1</v>
      </c>
      <c r="M247" s="26">
        <v>19700</v>
      </c>
      <c r="N247" s="27">
        <v>17.90909090909091</v>
      </c>
      <c r="O247" s="28">
        <v>17.90909090909091</v>
      </c>
      <c r="P247" s="28">
        <v>17.43362831858407</v>
      </c>
    </row>
    <row r="248" spans="1:16" x14ac:dyDescent="0.3">
      <c r="A248" t="s">
        <v>3157</v>
      </c>
      <c r="B248" s="24">
        <v>300067</v>
      </c>
      <c r="C248" s="24" t="s">
        <v>2198</v>
      </c>
      <c r="D248" s="24" t="s">
        <v>2179</v>
      </c>
      <c r="E248" s="24" t="s">
        <v>2179</v>
      </c>
      <c r="F248" s="24" t="s">
        <v>1349</v>
      </c>
      <c r="G248" s="24" t="s">
        <v>2199</v>
      </c>
      <c r="H248" s="24" t="s">
        <v>2359</v>
      </c>
      <c r="I248" s="24" t="s">
        <v>2360</v>
      </c>
      <c r="J248" s="24" t="s">
        <v>761</v>
      </c>
      <c r="K248" s="24" t="s">
        <v>1146</v>
      </c>
      <c r="L248" s="25">
        <v>1070</v>
      </c>
      <c r="M248" s="26">
        <v>19.34</v>
      </c>
      <c r="N248" s="27">
        <v>19.34</v>
      </c>
      <c r="O248" s="28">
        <v>1.7581818181818181E-2</v>
      </c>
      <c r="P248" s="28">
        <v>18.313097345132743</v>
      </c>
    </row>
    <row r="249" spans="1:16" x14ac:dyDescent="0.3">
      <c r="A249" t="s">
        <v>3158</v>
      </c>
      <c r="B249" s="24">
        <v>300073</v>
      </c>
      <c r="C249" s="24" t="s">
        <v>2283</v>
      </c>
      <c r="D249" s="24" t="s">
        <v>2179</v>
      </c>
      <c r="E249" s="24" t="s">
        <v>2179</v>
      </c>
      <c r="F249" s="24" t="s">
        <v>1349</v>
      </c>
      <c r="G249" s="24" t="s">
        <v>2199</v>
      </c>
      <c r="H249" s="24" t="s">
        <v>2359</v>
      </c>
      <c r="I249" s="24" t="s">
        <v>2360</v>
      </c>
      <c r="J249" s="24" t="s">
        <v>761</v>
      </c>
      <c r="K249" s="24" t="s">
        <v>1146</v>
      </c>
      <c r="L249" s="25">
        <v>1070</v>
      </c>
      <c r="M249" s="26">
        <v>18.989999999999998</v>
      </c>
      <c r="N249" s="27">
        <v>18.989999999999998</v>
      </c>
      <c r="O249" s="28">
        <v>1.7263636363636363E-2</v>
      </c>
      <c r="P249" s="28">
        <v>17.981681415929202</v>
      </c>
    </row>
    <row r="250" spans="1:16" x14ac:dyDescent="0.3">
      <c r="A250" t="s">
        <v>3159</v>
      </c>
      <c r="B250" s="24">
        <v>300111</v>
      </c>
      <c r="C250" s="24" t="s">
        <v>2202</v>
      </c>
      <c r="D250" s="24" t="s">
        <v>2179</v>
      </c>
      <c r="E250" s="24" t="s">
        <v>2179</v>
      </c>
      <c r="F250" s="24" t="s">
        <v>1349</v>
      </c>
      <c r="G250" s="24" t="s">
        <v>2191</v>
      </c>
      <c r="H250" s="24" t="s">
        <v>2359</v>
      </c>
      <c r="I250" s="24" t="s">
        <v>2360</v>
      </c>
      <c r="J250" s="24" t="s">
        <v>761</v>
      </c>
      <c r="K250" s="24" t="s">
        <v>2194</v>
      </c>
      <c r="L250" s="25">
        <v>1300</v>
      </c>
      <c r="M250" s="26">
        <v>14.48</v>
      </c>
      <c r="N250" s="27">
        <v>16.658407079646018</v>
      </c>
      <c r="O250" s="28">
        <v>1.3163636363636363E-2</v>
      </c>
      <c r="P250" s="28">
        <v>16.658407079646018</v>
      </c>
    </row>
    <row r="251" spans="1:16" x14ac:dyDescent="0.3">
      <c r="A251" t="s">
        <v>3160</v>
      </c>
      <c r="B251" s="24">
        <v>300138</v>
      </c>
      <c r="C251" s="24" t="s">
        <v>2256</v>
      </c>
      <c r="D251" s="24" t="s">
        <v>2179</v>
      </c>
      <c r="E251" s="24" t="s">
        <v>2179</v>
      </c>
      <c r="F251" s="24" t="s">
        <v>1349</v>
      </c>
      <c r="G251" s="24" t="s">
        <v>2199</v>
      </c>
      <c r="H251" s="24" t="s">
        <v>2359</v>
      </c>
      <c r="I251" s="24" t="s">
        <v>2360</v>
      </c>
      <c r="J251" s="24" t="s">
        <v>761</v>
      </c>
      <c r="K251" s="24" t="s">
        <v>2194</v>
      </c>
      <c r="L251" s="25">
        <v>1300</v>
      </c>
      <c r="M251" s="26">
        <v>18.43</v>
      </c>
      <c r="N251" s="27">
        <v>21.202654867256637</v>
      </c>
      <c r="O251" s="28">
        <v>1.6754545454545456E-2</v>
      </c>
      <c r="P251" s="28">
        <v>21.202654867256637</v>
      </c>
    </row>
    <row r="252" spans="1:16" x14ac:dyDescent="0.3">
      <c r="A252" t="s">
        <v>3161</v>
      </c>
      <c r="B252" s="24">
        <v>300146</v>
      </c>
      <c r="C252" s="24" t="s">
        <v>2224</v>
      </c>
      <c r="D252" s="24" t="s">
        <v>2179</v>
      </c>
      <c r="E252" s="24" t="s">
        <v>2179</v>
      </c>
      <c r="F252" s="24" t="s">
        <v>1386</v>
      </c>
      <c r="G252" s="24" t="s">
        <v>2225</v>
      </c>
      <c r="H252" s="24" t="s">
        <v>2359</v>
      </c>
      <c r="I252" s="24" t="s">
        <v>2360</v>
      </c>
      <c r="J252" s="24" t="s">
        <v>761</v>
      </c>
      <c r="K252" s="24" t="s">
        <v>1146</v>
      </c>
      <c r="L252" s="25">
        <v>1070</v>
      </c>
      <c r="M252" s="26">
        <v>14.88</v>
      </c>
      <c r="N252" s="27">
        <v>14.88</v>
      </c>
      <c r="O252" s="28">
        <v>1.3527272727272728E-2</v>
      </c>
      <c r="P252" s="28">
        <v>14.089911504424778</v>
      </c>
    </row>
    <row r="253" spans="1:16" x14ac:dyDescent="0.3">
      <c r="A253" t="s">
        <v>3162</v>
      </c>
      <c r="B253" s="24">
        <v>300039</v>
      </c>
      <c r="C253" s="24" t="s">
        <v>2221</v>
      </c>
      <c r="D253" s="24" t="s">
        <v>2179</v>
      </c>
      <c r="E253" s="24" t="s">
        <v>2179</v>
      </c>
      <c r="F253" s="24" t="s">
        <v>1349</v>
      </c>
      <c r="G253" s="24" t="s">
        <v>2199</v>
      </c>
      <c r="H253" s="24" t="s">
        <v>2361</v>
      </c>
      <c r="I253" s="24" t="s">
        <v>2362</v>
      </c>
      <c r="J253" s="24" t="s">
        <v>761</v>
      </c>
      <c r="K253" s="24" t="s">
        <v>1146</v>
      </c>
      <c r="L253" s="25">
        <v>1070</v>
      </c>
      <c r="M253" s="26">
        <v>21.8</v>
      </c>
      <c r="N253" s="27">
        <v>21.8</v>
      </c>
      <c r="O253" s="28">
        <v>1.9818181818181818E-2</v>
      </c>
      <c r="P253" s="28">
        <v>20.642477876106195</v>
      </c>
    </row>
    <row r="254" spans="1:16" x14ac:dyDescent="0.3">
      <c r="A254" t="s">
        <v>3163</v>
      </c>
      <c r="B254" s="24">
        <v>112498</v>
      </c>
      <c r="C254" s="24" t="s">
        <v>2211</v>
      </c>
      <c r="D254" s="24" t="s">
        <v>2179</v>
      </c>
      <c r="E254" s="24" t="s">
        <v>2179</v>
      </c>
      <c r="F254" s="24" t="s">
        <v>1237</v>
      </c>
      <c r="G254" s="24" t="s">
        <v>2201</v>
      </c>
      <c r="H254" s="24" t="s">
        <v>2363</v>
      </c>
      <c r="I254" s="24" t="s">
        <v>2364</v>
      </c>
      <c r="J254" s="24" t="s">
        <v>761</v>
      </c>
      <c r="K254" s="24" t="s">
        <v>1146</v>
      </c>
      <c r="L254" s="25">
        <v>1070</v>
      </c>
      <c r="M254" s="26">
        <v>17</v>
      </c>
      <c r="N254" s="27">
        <v>17</v>
      </c>
      <c r="O254" s="28">
        <v>1.5454545454545455E-2</v>
      </c>
      <c r="P254" s="28">
        <v>16.097345132743364</v>
      </c>
    </row>
    <row r="255" spans="1:16" x14ac:dyDescent="0.3">
      <c r="A255" t="s">
        <v>3164</v>
      </c>
      <c r="B255" s="24">
        <v>300008</v>
      </c>
      <c r="C255" s="24" t="s">
        <v>2219</v>
      </c>
      <c r="D255" s="24" t="s">
        <v>2179</v>
      </c>
      <c r="E255" s="24" t="s">
        <v>2179</v>
      </c>
      <c r="F255" s="24" t="s">
        <v>2220</v>
      </c>
      <c r="G255" s="24" t="s">
        <v>2179</v>
      </c>
      <c r="H255" s="24" t="s">
        <v>2363</v>
      </c>
      <c r="I255" s="24" t="s">
        <v>2364</v>
      </c>
      <c r="J255" s="24" t="s">
        <v>761</v>
      </c>
      <c r="K255" s="24" t="s">
        <v>1146</v>
      </c>
      <c r="L255" s="25">
        <v>1070</v>
      </c>
      <c r="M255" s="26">
        <v>19</v>
      </c>
      <c r="N255" s="27">
        <v>19</v>
      </c>
      <c r="O255" s="28">
        <v>1.7272727272727273E-2</v>
      </c>
      <c r="P255" s="28">
        <v>17.991150442477878</v>
      </c>
    </row>
    <row r="256" spans="1:16" x14ac:dyDescent="0.3">
      <c r="A256" t="s">
        <v>3165</v>
      </c>
      <c r="B256" s="24">
        <v>300017</v>
      </c>
      <c r="C256" s="24" t="s">
        <v>2265</v>
      </c>
      <c r="D256" s="24" t="s">
        <v>2179</v>
      </c>
      <c r="E256" s="24" t="s">
        <v>2179</v>
      </c>
      <c r="F256" s="24" t="s">
        <v>1349</v>
      </c>
      <c r="G256" s="24" t="s">
        <v>2208</v>
      </c>
      <c r="H256" s="24" t="s">
        <v>2363</v>
      </c>
      <c r="I256" s="24" t="s">
        <v>2364</v>
      </c>
      <c r="J256" s="24" t="s">
        <v>761</v>
      </c>
      <c r="K256" s="24" t="s">
        <v>1146</v>
      </c>
      <c r="L256" s="25">
        <v>1070</v>
      </c>
      <c r="M256" s="26">
        <v>18</v>
      </c>
      <c r="N256" s="27">
        <v>18</v>
      </c>
      <c r="O256" s="28">
        <v>1.6363636363636365E-2</v>
      </c>
      <c r="P256" s="28">
        <v>17.044247787610619</v>
      </c>
    </row>
    <row r="257" spans="1:16" x14ac:dyDescent="0.3">
      <c r="A257" t="s">
        <v>3166</v>
      </c>
      <c r="B257" s="24">
        <v>300039</v>
      </c>
      <c r="C257" s="24" t="s">
        <v>2221</v>
      </c>
      <c r="D257" s="24" t="s">
        <v>2179</v>
      </c>
      <c r="E257" s="24" t="s">
        <v>2179</v>
      </c>
      <c r="F257" s="24" t="s">
        <v>1349</v>
      </c>
      <c r="G257" s="24" t="s">
        <v>2199</v>
      </c>
      <c r="H257" s="24" t="s">
        <v>2363</v>
      </c>
      <c r="I257" s="24" t="s">
        <v>2364</v>
      </c>
      <c r="J257" s="24" t="s">
        <v>761</v>
      </c>
      <c r="K257" s="24" t="s">
        <v>1146</v>
      </c>
      <c r="L257" s="25">
        <v>1070</v>
      </c>
      <c r="M257" s="26">
        <v>20.25</v>
      </c>
      <c r="N257" s="27">
        <v>20.25</v>
      </c>
      <c r="O257" s="28">
        <v>1.840909090909091E-2</v>
      </c>
      <c r="P257" s="28">
        <v>19.174778761061948</v>
      </c>
    </row>
    <row r="258" spans="1:16" x14ac:dyDescent="0.3">
      <c r="A258" t="s">
        <v>3167</v>
      </c>
      <c r="B258" s="24">
        <v>300040</v>
      </c>
      <c r="C258" s="24" t="s">
        <v>2255</v>
      </c>
      <c r="D258" s="24" t="s">
        <v>2179</v>
      </c>
      <c r="E258" s="24" t="s">
        <v>2179</v>
      </c>
      <c r="F258" s="24" t="s">
        <v>1349</v>
      </c>
      <c r="G258" s="24" t="s">
        <v>2208</v>
      </c>
      <c r="H258" s="24" t="s">
        <v>2363</v>
      </c>
      <c r="I258" s="24" t="s">
        <v>2364</v>
      </c>
      <c r="J258" s="24" t="s">
        <v>761</v>
      </c>
      <c r="K258" s="24" t="s">
        <v>1146</v>
      </c>
      <c r="L258" s="25">
        <v>1070</v>
      </c>
      <c r="M258" s="26">
        <v>9</v>
      </c>
      <c r="N258" s="27">
        <v>9</v>
      </c>
      <c r="O258" s="28">
        <v>8.1818181818181825E-3</v>
      </c>
      <c r="P258" s="28">
        <v>8.5221238938053094</v>
      </c>
    </row>
    <row r="259" spans="1:16" x14ac:dyDescent="0.3">
      <c r="A259" t="s">
        <v>3168</v>
      </c>
      <c r="B259" s="24">
        <v>300042</v>
      </c>
      <c r="C259" s="24" t="s">
        <v>2190</v>
      </c>
      <c r="D259" s="24" t="s">
        <v>2179</v>
      </c>
      <c r="E259" s="24" t="s">
        <v>2179</v>
      </c>
      <c r="F259" s="24" t="s">
        <v>1349</v>
      </c>
      <c r="G259" s="24" t="s">
        <v>2191</v>
      </c>
      <c r="H259" s="24" t="s">
        <v>2363</v>
      </c>
      <c r="I259" s="24" t="s">
        <v>2364</v>
      </c>
      <c r="J259" s="24" t="s">
        <v>761</v>
      </c>
      <c r="K259" s="24" t="s">
        <v>2194</v>
      </c>
      <c r="L259" s="25">
        <v>1300</v>
      </c>
      <c r="M259" s="26">
        <v>15</v>
      </c>
      <c r="N259" s="27">
        <v>17.256637168141594</v>
      </c>
      <c r="O259" s="28">
        <v>1.3636363636363636E-2</v>
      </c>
      <c r="P259" s="28">
        <v>17.256637168141594</v>
      </c>
    </row>
    <row r="260" spans="1:16" x14ac:dyDescent="0.3">
      <c r="A260" t="s">
        <v>3169</v>
      </c>
      <c r="B260" s="24">
        <v>300062</v>
      </c>
      <c r="C260" s="24" t="s">
        <v>2185</v>
      </c>
      <c r="D260" s="24" t="s">
        <v>2179</v>
      </c>
      <c r="E260" s="24" t="s">
        <v>2179</v>
      </c>
      <c r="F260" s="24" t="s">
        <v>1349</v>
      </c>
      <c r="G260" s="24" t="s">
        <v>2180</v>
      </c>
      <c r="H260" s="24" t="s">
        <v>2363</v>
      </c>
      <c r="I260" s="24" t="s">
        <v>2364</v>
      </c>
      <c r="J260" s="24" t="s">
        <v>761</v>
      </c>
      <c r="K260" s="24" t="s">
        <v>1352</v>
      </c>
      <c r="L260" s="25">
        <v>1</v>
      </c>
      <c r="M260" s="26">
        <v>19700</v>
      </c>
      <c r="N260" s="27">
        <v>17.90909090909091</v>
      </c>
      <c r="O260" s="28">
        <v>17.90909090909091</v>
      </c>
      <c r="P260" s="28">
        <v>17.43362831858407</v>
      </c>
    </row>
    <row r="261" spans="1:16" x14ac:dyDescent="0.3">
      <c r="A261" t="s">
        <v>3170</v>
      </c>
      <c r="B261" s="24">
        <v>300111</v>
      </c>
      <c r="C261" s="24" t="s">
        <v>2202</v>
      </c>
      <c r="D261" s="24" t="s">
        <v>2179</v>
      </c>
      <c r="E261" s="24" t="s">
        <v>2179</v>
      </c>
      <c r="F261" s="24" t="s">
        <v>1349</v>
      </c>
      <c r="G261" s="24" t="s">
        <v>2191</v>
      </c>
      <c r="H261" s="24" t="s">
        <v>2363</v>
      </c>
      <c r="I261" s="24" t="s">
        <v>2364</v>
      </c>
      <c r="J261" s="24" t="s">
        <v>761</v>
      </c>
      <c r="K261" s="24" t="s">
        <v>2194</v>
      </c>
      <c r="L261" s="25">
        <v>1300</v>
      </c>
      <c r="M261" s="26">
        <v>13.48</v>
      </c>
      <c r="N261" s="27">
        <v>15.507964601769912</v>
      </c>
      <c r="O261" s="28">
        <v>1.2254545454545455E-2</v>
      </c>
      <c r="P261" s="28">
        <v>15.507964601769912</v>
      </c>
    </row>
    <row r="262" spans="1:16" x14ac:dyDescent="0.3">
      <c r="A262" t="s">
        <v>3171</v>
      </c>
      <c r="B262" s="24">
        <v>300146</v>
      </c>
      <c r="C262" s="24" t="s">
        <v>2224</v>
      </c>
      <c r="D262" s="24" t="s">
        <v>2179</v>
      </c>
      <c r="E262" s="24" t="s">
        <v>2179</v>
      </c>
      <c r="F262" s="24" t="s">
        <v>1386</v>
      </c>
      <c r="G262" s="24" t="s">
        <v>2225</v>
      </c>
      <c r="H262" s="24" t="s">
        <v>2363</v>
      </c>
      <c r="I262" s="24" t="s">
        <v>2364</v>
      </c>
      <c r="J262" s="24" t="s">
        <v>761</v>
      </c>
      <c r="K262" s="24" t="s">
        <v>1146</v>
      </c>
      <c r="L262" s="25">
        <v>1070</v>
      </c>
      <c r="M262" s="26">
        <v>15.43</v>
      </c>
      <c r="N262" s="27">
        <v>15.43</v>
      </c>
      <c r="O262" s="28">
        <v>1.4027272727272727E-2</v>
      </c>
      <c r="P262" s="28">
        <v>14.610707964601769</v>
      </c>
    </row>
    <row r="263" spans="1:16" x14ac:dyDescent="0.3">
      <c r="A263" t="s">
        <v>3172</v>
      </c>
      <c r="B263" s="24">
        <v>142368</v>
      </c>
      <c r="C263" s="24" t="s">
        <v>2186</v>
      </c>
      <c r="D263" s="24" t="s">
        <v>2179</v>
      </c>
      <c r="E263" s="24" t="s">
        <v>2179</v>
      </c>
      <c r="F263" s="24" t="s">
        <v>1349</v>
      </c>
      <c r="G263" s="24" t="s">
        <v>2187</v>
      </c>
      <c r="H263" s="24" t="s">
        <v>2365</v>
      </c>
      <c r="I263" s="24" t="s">
        <v>2366</v>
      </c>
      <c r="J263" s="24" t="s">
        <v>761</v>
      </c>
      <c r="K263" s="24" t="s">
        <v>1352</v>
      </c>
      <c r="L263" s="25">
        <v>1</v>
      </c>
      <c r="M263" s="26">
        <v>13000</v>
      </c>
      <c r="N263" s="27">
        <v>11.818181818181818</v>
      </c>
      <c r="O263" s="28">
        <v>11.818181818181818</v>
      </c>
      <c r="P263" s="28">
        <v>11.504424778761061</v>
      </c>
    </row>
    <row r="264" spans="1:16" x14ac:dyDescent="0.3">
      <c r="A264" t="s">
        <v>3173</v>
      </c>
      <c r="B264" s="24">
        <v>300008</v>
      </c>
      <c r="C264" s="24" t="s">
        <v>2219</v>
      </c>
      <c r="D264" s="24" t="s">
        <v>2179</v>
      </c>
      <c r="E264" s="24" t="s">
        <v>2179</v>
      </c>
      <c r="F264" s="24" t="s">
        <v>2220</v>
      </c>
      <c r="G264" s="24" t="s">
        <v>2179</v>
      </c>
      <c r="H264" s="24" t="s">
        <v>2365</v>
      </c>
      <c r="I264" s="24" t="s">
        <v>2366</v>
      </c>
      <c r="J264" s="24" t="s">
        <v>761</v>
      </c>
      <c r="K264" s="24" t="s">
        <v>1146</v>
      </c>
      <c r="L264" s="25">
        <v>1070</v>
      </c>
      <c r="M264" s="26">
        <v>20</v>
      </c>
      <c r="N264" s="27">
        <v>20</v>
      </c>
      <c r="O264" s="28">
        <v>1.8181818181818181E-2</v>
      </c>
      <c r="P264" s="28">
        <v>18.938053097345133</v>
      </c>
    </row>
    <row r="265" spans="1:16" x14ac:dyDescent="0.3">
      <c r="A265" t="s">
        <v>3174</v>
      </c>
      <c r="B265" s="24">
        <v>101906</v>
      </c>
      <c r="C265" s="24" t="s">
        <v>2243</v>
      </c>
      <c r="D265" s="24" t="s">
        <v>2179</v>
      </c>
      <c r="E265" s="24" t="s">
        <v>2179</v>
      </c>
      <c r="F265" s="24" t="s">
        <v>1349</v>
      </c>
      <c r="G265" s="24" t="s">
        <v>2180</v>
      </c>
      <c r="H265" s="24" t="s">
        <v>2367</v>
      </c>
      <c r="I265" s="24" t="s">
        <v>2368</v>
      </c>
      <c r="J265" s="24" t="s">
        <v>761</v>
      </c>
      <c r="K265" s="24" t="s">
        <v>1352</v>
      </c>
      <c r="L265" s="25">
        <v>1</v>
      </c>
      <c r="M265" s="26">
        <v>57000</v>
      </c>
      <c r="N265" s="27">
        <v>51.81818181818182</v>
      </c>
      <c r="O265" s="28">
        <v>51.81818181818182</v>
      </c>
      <c r="P265" s="28">
        <v>50.442477876106196</v>
      </c>
    </row>
    <row r="266" spans="1:16" x14ac:dyDescent="0.3">
      <c r="A266" t="s">
        <v>3175</v>
      </c>
      <c r="B266" s="24">
        <v>112498</v>
      </c>
      <c r="C266" s="24" t="s">
        <v>2211</v>
      </c>
      <c r="D266" s="24" t="s">
        <v>2179</v>
      </c>
      <c r="E266" s="24" t="s">
        <v>2179</v>
      </c>
      <c r="F266" s="24" t="s">
        <v>1237</v>
      </c>
      <c r="G266" s="24" t="s">
        <v>2201</v>
      </c>
      <c r="H266" s="24" t="s">
        <v>2367</v>
      </c>
      <c r="I266" s="24" t="s">
        <v>2368</v>
      </c>
      <c r="J266" s="24" t="s">
        <v>761</v>
      </c>
      <c r="K266" s="24" t="s">
        <v>1146</v>
      </c>
      <c r="L266" s="25">
        <v>1070</v>
      </c>
      <c r="M266" s="26">
        <v>26.54</v>
      </c>
      <c r="N266" s="27">
        <v>26.54</v>
      </c>
      <c r="O266" s="28">
        <v>2.4127272727272726E-2</v>
      </c>
      <c r="P266" s="28">
        <v>25.130796460176992</v>
      </c>
    </row>
    <row r="267" spans="1:16" x14ac:dyDescent="0.3">
      <c r="A267" t="s">
        <v>3176</v>
      </c>
      <c r="B267" s="24">
        <v>142639</v>
      </c>
      <c r="C267" s="24" t="s">
        <v>2235</v>
      </c>
      <c r="D267" s="24" t="s">
        <v>2179</v>
      </c>
      <c r="E267" s="24" t="s">
        <v>2179</v>
      </c>
      <c r="F267" s="24" t="s">
        <v>1349</v>
      </c>
      <c r="G267" s="24" t="s">
        <v>2199</v>
      </c>
      <c r="H267" s="24" t="s">
        <v>2367</v>
      </c>
      <c r="I267" s="24" t="s">
        <v>2368</v>
      </c>
      <c r="J267" s="24" t="s">
        <v>761</v>
      </c>
      <c r="K267" s="24" t="s">
        <v>2194</v>
      </c>
      <c r="L267" s="25">
        <v>1300</v>
      </c>
      <c r="M267" s="26">
        <v>30</v>
      </c>
      <c r="N267" s="27">
        <v>34.513274336283189</v>
      </c>
      <c r="O267" s="28">
        <v>2.7272727272727271E-2</v>
      </c>
      <c r="P267" s="28">
        <v>34.513274336283189</v>
      </c>
    </row>
    <row r="268" spans="1:16" x14ac:dyDescent="0.3">
      <c r="A268" t="s">
        <v>3177</v>
      </c>
      <c r="B268" s="24">
        <v>142651</v>
      </c>
      <c r="C268" s="24" t="s">
        <v>2178</v>
      </c>
      <c r="D268" s="24" t="s">
        <v>2179</v>
      </c>
      <c r="E268" s="24" t="s">
        <v>2179</v>
      </c>
      <c r="F268" s="24" t="s">
        <v>1349</v>
      </c>
      <c r="G268" s="24" t="s">
        <v>2180</v>
      </c>
      <c r="H268" s="24" t="s">
        <v>2367</v>
      </c>
      <c r="I268" s="24" t="s">
        <v>2368</v>
      </c>
      <c r="J268" s="24" t="s">
        <v>761</v>
      </c>
      <c r="K268" s="24" t="s">
        <v>1352</v>
      </c>
      <c r="L268" s="25">
        <v>1</v>
      </c>
      <c r="M268" s="26">
        <v>33540</v>
      </c>
      <c r="N268" s="27">
        <v>30.490909090909092</v>
      </c>
      <c r="O268" s="28">
        <v>30.490909090909092</v>
      </c>
      <c r="P268" s="28">
        <v>29.681415929203538</v>
      </c>
    </row>
    <row r="269" spans="1:16" x14ac:dyDescent="0.3">
      <c r="A269" t="s">
        <v>3178</v>
      </c>
      <c r="B269" s="24">
        <v>142660</v>
      </c>
      <c r="C269" s="24" t="s">
        <v>2215</v>
      </c>
      <c r="D269" s="24" t="s">
        <v>2179</v>
      </c>
      <c r="E269" s="24" t="s">
        <v>2179</v>
      </c>
      <c r="F269" s="24" t="s">
        <v>1237</v>
      </c>
      <c r="G269" s="24" t="s">
        <v>2216</v>
      </c>
      <c r="H269" s="24" t="s">
        <v>2367</v>
      </c>
      <c r="I269" s="24" t="s">
        <v>2368</v>
      </c>
      <c r="J269" s="24" t="s">
        <v>761</v>
      </c>
      <c r="K269" s="24" t="s">
        <v>1146</v>
      </c>
      <c r="L269" s="25">
        <v>1070</v>
      </c>
      <c r="M269" s="26">
        <v>33.19</v>
      </c>
      <c r="N269" s="27">
        <v>33.19</v>
      </c>
      <c r="O269" s="28">
        <v>3.0172727272727271E-2</v>
      </c>
      <c r="P269" s="28">
        <v>31.427699115044245</v>
      </c>
    </row>
    <row r="270" spans="1:16" x14ac:dyDescent="0.3">
      <c r="A270" t="s">
        <v>3179</v>
      </c>
      <c r="B270" s="24">
        <v>142807</v>
      </c>
      <c r="C270" s="24" t="s">
        <v>2217</v>
      </c>
      <c r="D270" s="24" t="s">
        <v>2179</v>
      </c>
      <c r="E270" s="24" t="s">
        <v>2179</v>
      </c>
      <c r="F270" s="24" t="s">
        <v>1349</v>
      </c>
      <c r="G270" s="24" t="s">
        <v>2208</v>
      </c>
      <c r="H270" s="24" t="s">
        <v>2367</v>
      </c>
      <c r="I270" s="24" t="s">
        <v>2368</v>
      </c>
      <c r="J270" s="24" t="s">
        <v>761</v>
      </c>
      <c r="K270" s="24" t="s">
        <v>2194</v>
      </c>
      <c r="L270" s="25">
        <v>1300</v>
      </c>
      <c r="M270" s="26">
        <v>37.51</v>
      </c>
      <c r="N270" s="27">
        <v>43.153097345132743</v>
      </c>
      <c r="O270" s="28">
        <v>3.4099999999999998E-2</v>
      </c>
      <c r="P270" s="28">
        <v>43.153097345132743</v>
      </c>
    </row>
    <row r="271" spans="1:16" x14ac:dyDescent="0.3">
      <c r="A271" t="s">
        <v>3180</v>
      </c>
      <c r="B271" s="24">
        <v>300008</v>
      </c>
      <c r="C271" s="24" t="s">
        <v>2219</v>
      </c>
      <c r="D271" s="24" t="s">
        <v>2179</v>
      </c>
      <c r="E271" s="24" t="s">
        <v>2179</v>
      </c>
      <c r="F271" s="24" t="s">
        <v>2220</v>
      </c>
      <c r="G271" s="24" t="s">
        <v>2179</v>
      </c>
      <c r="H271" s="24" t="s">
        <v>2367</v>
      </c>
      <c r="I271" s="24" t="s">
        <v>2368</v>
      </c>
      <c r="J271" s="24" t="s">
        <v>761</v>
      </c>
      <c r="K271" s="24" t="s">
        <v>1146</v>
      </c>
      <c r="L271" s="25">
        <v>1070</v>
      </c>
      <c r="M271" s="26">
        <v>33.4</v>
      </c>
      <c r="N271" s="27">
        <v>33.4</v>
      </c>
      <c r="O271" s="28">
        <v>3.0363636363636363E-2</v>
      </c>
      <c r="P271" s="28">
        <v>31.626548672566372</v>
      </c>
    </row>
    <row r="272" spans="1:16" x14ac:dyDescent="0.3">
      <c r="A272" t="s">
        <v>3181</v>
      </c>
      <c r="B272" s="24">
        <v>300017</v>
      </c>
      <c r="C272" s="24" t="s">
        <v>2265</v>
      </c>
      <c r="D272" s="24" t="s">
        <v>2179</v>
      </c>
      <c r="E272" s="24" t="s">
        <v>2179</v>
      </c>
      <c r="F272" s="24" t="s">
        <v>1349</v>
      </c>
      <c r="G272" s="24" t="s">
        <v>2208</v>
      </c>
      <c r="H272" s="24" t="s">
        <v>2367</v>
      </c>
      <c r="I272" s="24" t="s">
        <v>2368</v>
      </c>
      <c r="J272" s="24" t="s">
        <v>761</v>
      </c>
      <c r="K272" s="24" t="s">
        <v>1146</v>
      </c>
      <c r="L272" s="25">
        <v>1070</v>
      </c>
      <c r="M272" s="26">
        <v>34</v>
      </c>
      <c r="N272" s="27">
        <v>34</v>
      </c>
      <c r="O272" s="28">
        <v>3.090909090909091E-2</v>
      </c>
      <c r="P272" s="28">
        <v>32.194690265486727</v>
      </c>
    </row>
    <row r="273" spans="1:16" x14ac:dyDescent="0.3">
      <c r="A273" t="s">
        <v>3182</v>
      </c>
      <c r="B273" s="24">
        <v>300022</v>
      </c>
      <c r="C273" s="24" t="s">
        <v>2282</v>
      </c>
      <c r="D273" s="24" t="s">
        <v>2179</v>
      </c>
      <c r="E273" s="24" t="s">
        <v>2179</v>
      </c>
      <c r="F273" s="24" t="s">
        <v>1349</v>
      </c>
      <c r="G273" s="24" t="s">
        <v>2208</v>
      </c>
      <c r="H273" s="24" t="s">
        <v>2367</v>
      </c>
      <c r="I273" s="24" t="s">
        <v>2368</v>
      </c>
      <c r="J273" s="24" t="s">
        <v>761</v>
      </c>
      <c r="K273" s="24" t="s">
        <v>2194</v>
      </c>
      <c r="L273" s="25">
        <v>1300</v>
      </c>
      <c r="M273" s="26">
        <v>30</v>
      </c>
      <c r="N273" s="27">
        <v>34.513274336283189</v>
      </c>
      <c r="O273" s="28">
        <v>2.7272727272727271E-2</v>
      </c>
      <c r="P273" s="28">
        <v>34.513274336283189</v>
      </c>
    </row>
    <row r="274" spans="1:16" x14ac:dyDescent="0.3">
      <c r="A274" t="s">
        <v>3183</v>
      </c>
      <c r="B274" s="24">
        <v>300023</v>
      </c>
      <c r="C274" s="24" t="s">
        <v>2264</v>
      </c>
      <c r="D274" s="24" t="s">
        <v>2179</v>
      </c>
      <c r="E274" s="24" t="s">
        <v>2179</v>
      </c>
      <c r="F274" s="24" t="s">
        <v>1349</v>
      </c>
      <c r="G274" s="24" t="s">
        <v>2208</v>
      </c>
      <c r="H274" s="24" t="s">
        <v>2367</v>
      </c>
      <c r="I274" s="24" t="s">
        <v>2368</v>
      </c>
      <c r="J274" s="24" t="s">
        <v>761</v>
      </c>
      <c r="K274" s="24" t="s">
        <v>2194</v>
      </c>
      <c r="L274" s="25">
        <v>1300</v>
      </c>
      <c r="M274" s="26">
        <v>30</v>
      </c>
      <c r="N274" s="27">
        <v>34.513274336283189</v>
      </c>
      <c r="O274" s="28">
        <v>2.7272727272727271E-2</v>
      </c>
      <c r="P274" s="28">
        <v>34.513274336283189</v>
      </c>
    </row>
    <row r="275" spans="1:16" x14ac:dyDescent="0.3">
      <c r="A275" t="s">
        <v>3184</v>
      </c>
      <c r="B275" s="24">
        <v>300032</v>
      </c>
      <c r="C275" s="24" t="s">
        <v>2183</v>
      </c>
      <c r="D275" s="24" t="s">
        <v>2179</v>
      </c>
      <c r="E275" s="24" t="s">
        <v>2179</v>
      </c>
      <c r="F275" s="24" t="s">
        <v>1349</v>
      </c>
      <c r="G275" s="24" t="s">
        <v>2180</v>
      </c>
      <c r="H275" s="24" t="s">
        <v>2367</v>
      </c>
      <c r="I275" s="24" t="s">
        <v>2368</v>
      </c>
      <c r="J275" s="24" t="s">
        <v>761</v>
      </c>
      <c r="K275" s="24" t="s">
        <v>1352</v>
      </c>
      <c r="L275" s="25">
        <v>1</v>
      </c>
      <c r="M275" s="26">
        <v>50000</v>
      </c>
      <c r="N275" s="27">
        <v>45.454545454545453</v>
      </c>
      <c r="O275" s="28">
        <v>45.454545454545453</v>
      </c>
      <c r="P275" s="28">
        <v>44.247787610619469</v>
      </c>
    </row>
    <row r="276" spans="1:16" x14ac:dyDescent="0.3">
      <c r="A276" t="s">
        <v>3185</v>
      </c>
      <c r="B276" s="24">
        <v>300039</v>
      </c>
      <c r="C276" s="24" t="s">
        <v>2221</v>
      </c>
      <c r="D276" s="24" t="s">
        <v>2179</v>
      </c>
      <c r="E276" s="24" t="s">
        <v>2179</v>
      </c>
      <c r="F276" s="24" t="s">
        <v>1349</v>
      </c>
      <c r="G276" s="24" t="s">
        <v>2199</v>
      </c>
      <c r="H276" s="24" t="s">
        <v>2367</v>
      </c>
      <c r="I276" s="24" t="s">
        <v>2368</v>
      </c>
      <c r="J276" s="24" t="s">
        <v>761</v>
      </c>
      <c r="K276" s="24" t="s">
        <v>1146</v>
      </c>
      <c r="L276" s="25">
        <v>1070</v>
      </c>
      <c r="M276" s="26">
        <v>33.75</v>
      </c>
      <c r="N276" s="27">
        <v>33.75</v>
      </c>
      <c r="O276" s="28">
        <v>3.0681818181818182E-2</v>
      </c>
      <c r="P276" s="28">
        <v>31.957964601769913</v>
      </c>
    </row>
    <row r="277" spans="1:16" x14ac:dyDescent="0.3">
      <c r="A277" t="s">
        <v>3186</v>
      </c>
      <c r="B277" s="24">
        <v>300040</v>
      </c>
      <c r="C277" s="24" t="s">
        <v>2255</v>
      </c>
      <c r="D277" s="24" t="s">
        <v>2179</v>
      </c>
      <c r="E277" s="24" t="s">
        <v>2179</v>
      </c>
      <c r="F277" s="24" t="s">
        <v>1349</v>
      </c>
      <c r="G277" s="24" t="s">
        <v>2208</v>
      </c>
      <c r="H277" s="24" t="s">
        <v>2367</v>
      </c>
      <c r="I277" s="24" t="s">
        <v>2368</v>
      </c>
      <c r="J277" s="24" t="s">
        <v>761</v>
      </c>
      <c r="K277" s="24" t="s">
        <v>1146</v>
      </c>
      <c r="L277" s="25">
        <v>1070</v>
      </c>
      <c r="M277" s="26">
        <v>70</v>
      </c>
      <c r="N277" s="27">
        <v>70</v>
      </c>
      <c r="O277" s="28">
        <v>6.363636363636363E-2</v>
      </c>
      <c r="P277" s="28">
        <v>66.283185840707958</v>
      </c>
    </row>
    <row r="278" spans="1:16" x14ac:dyDescent="0.3">
      <c r="A278" t="s">
        <v>3187</v>
      </c>
      <c r="B278" s="24">
        <v>300055</v>
      </c>
      <c r="C278" s="24" t="s">
        <v>2222</v>
      </c>
      <c r="D278" s="24" t="s">
        <v>2179</v>
      </c>
      <c r="E278" s="24" t="s">
        <v>2179</v>
      </c>
      <c r="F278" s="24" t="s">
        <v>1349</v>
      </c>
      <c r="G278" s="24" t="s">
        <v>2199</v>
      </c>
      <c r="H278" s="24" t="s">
        <v>2367</v>
      </c>
      <c r="I278" s="24" t="s">
        <v>2368</v>
      </c>
      <c r="J278" s="24" t="s">
        <v>761</v>
      </c>
      <c r="K278" s="24" t="s">
        <v>1146</v>
      </c>
      <c r="L278" s="25">
        <v>1070</v>
      </c>
      <c r="M278" s="26">
        <v>21.09</v>
      </c>
      <c r="N278" s="27">
        <v>21.09</v>
      </c>
      <c r="O278" s="28">
        <v>1.9172727272727272E-2</v>
      </c>
      <c r="P278" s="28">
        <v>19.970176991150442</v>
      </c>
    </row>
    <row r="279" spans="1:16" x14ac:dyDescent="0.3">
      <c r="A279" t="s">
        <v>3188</v>
      </c>
      <c r="B279" s="24">
        <v>300067</v>
      </c>
      <c r="C279" s="24" t="s">
        <v>2198</v>
      </c>
      <c r="D279" s="24" t="s">
        <v>2179</v>
      </c>
      <c r="E279" s="24" t="s">
        <v>2179</v>
      </c>
      <c r="F279" s="24" t="s">
        <v>1349</v>
      </c>
      <c r="G279" s="24" t="s">
        <v>2199</v>
      </c>
      <c r="H279" s="24" t="s">
        <v>2367</v>
      </c>
      <c r="I279" s="24" t="s">
        <v>2368</v>
      </c>
      <c r="J279" s="24" t="s">
        <v>761</v>
      </c>
      <c r="K279" s="24" t="s">
        <v>1146</v>
      </c>
      <c r="L279" s="25">
        <v>1070</v>
      </c>
      <c r="M279" s="26">
        <v>33.86</v>
      </c>
      <c r="N279" s="27">
        <v>33.86</v>
      </c>
      <c r="O279" s="28">
        <v>3.0781818181818181E-2</v>
      </c>
      <c r="P279" s="28">
        <v>32.062123893805307</v>
      </c>
    </row>
    <row r="280" spans="1:16" x14ac:dyDescent="0.3">
      <c r="A280" t="s">
        <v>3189</v>
      </c>
      <c r="B280" s="24">
        <v>300073</v>
      </c>
      <c r="C280" s="24" t="s">
        <v>2283</v>
      </c>
      <c r="D280" s="24" t="s">
        <v>2179</v>
      </c>
      <c r="E280" s="24" t="s">
        <v>2179</v>
      </c>
      <c r="F280" s="24" t="s">
        <v>1349</v>
      </c>
      <c r="G280" s="24" t="s">
        <v>2199</v>
      </c>
      <c r="H280" s="24" t="s">
        <v>2367</v>
      </c>
      <c r="I280" s="24" t="s">
        <v>2368</v>
      </c>
      <c r="J280" s="24" t="s">
        <v>761</v>
      </c>
      <c r="K280" s="24" t="s">
        <v>1146</v>
      </c>
      <c r="L280" s="25">
        <v>1070</v>
      </c>
      <c r="M280" s="26">
        <v>31.34</v>
      </c>
      <c r="N280" s="27">
        <v>31.34</v>
      </c>
      <c r="O280" s="28">
        <v>2.8490909090909091E-2</v>
      </c>
      <c r="P280" s="28">
        <v>29.675929203539827</v>
      </c>
    </row>
    <row r="281" spans="1:16" x14ac:dyDescent="0.3">
      <c r="A281" t="s">
        <v>3190</v>
      </c>
      <c r="B281" s="24">
        <v>142664</v>
      </c>
      <c r="C281" s="24" t="s">
        <v>2236</v>
      </c>
      <c r="D281" s="24" t="s">
        <v>2179</v>
      </c>
      <c r="E281" s="24" t="s">
        <v>2179</v>
      </c>
      <c r="F281" s="24" t="s">
        <v>1349</v>
      </c>
      <c r="G281" s="24" t="s">
        <v>2208</v>
      </c>
      <c r="H281" s="24" t="s">
        <v>2369</v>
      </c>
      <c r="I281" s="24" t="s">
        <v>2370</v>
      </c>
      <c r="J281" s="24" t="s">
        <v>761</v>
      </c>
      <c r="K281" s="24" t="s">
        <v>1146</v>
      </c>
      <c r="L281" s="25">
        <v>1070</v>
      </c>
      <c r="M281" s="26">
        <v>50</v>
      </c>
      <c r="N281" s="27">
        <v>50</v>
      </c>
      <c r="O281" s="28">
        <v>4.5454545454545456E-2</v>
      </c>
      <c r="P281" s="28">
        <v>47.345132743362832</v>
      </c>
    </row>
    <row r="282" spans="1:16" x14ac:dyDescent="0.3">
      <c r="A282" t="s">
        <v>3191</v>
      </c>
      <c r="B282" s="24">
        <v>300017</v>
      </c>
      <c r="C282" s="24" t="s">
        <v>2265</v>
      </c>
      <c r="D282" s="24" t="s">
        <v>2179</v>
      </c>
      <c r="E282" s="24" t="s">
        <v>2179</v>
      </c>
      <c r="F282" s="24" t="s">
        <v>1349</v>
      </c>
      <c r="G282" s="24" t="s">
        <v>2208</v>
      </c>
      <c r="H282" s="24" t="s">
        <v>2371</v>
      </c>
      <c r="I282" s="24" t="s">
        <v>2372</v>
      </c>
      <c r="J282" s="24" t="s">
        <v>761</v>
      </c>
      <c r="K282" s="24" t="s">
        <v>1146</v>
      </c>
      <c r="L282" s="25">
        <v>1070</v>
      </c>
      <c r="M282" s="26">
        <v>41</v>
      </c>
      <c r="N282" s="27">
        <v>41</v>
      </c>
      <c r="O282" s="28">
        <v>3.727272727272727E-2</v>
      </c>
      <c r="P282" s="28">
        <v>38.823008849557525</v>
      </c>
    </row>
    <row r="283" spans="1:16" x14ac:dyDescent="0.3">
      <c r="A283" t="s">
        <v>3192</v>
      </c>
      <c r="B283" s="24">
        <v>300040</v>
      </c>
      <c r="C283" s="24" t="s">
        <v>2255</v>
      </c>
      <c r="D283" s="24" t="s">
        <v>2179</v>
      </c>
      <c r="E283" s="24" t="s">
        <v>2179</v>
      </c>
      <c r="F283" s="24" t="s">
        <v>1349</v>
      </c>
      <c r="G283" s="24" t="s">
        <v>2208</v>
      </c>
      <c r="H283" s="24" t="s">
        <v>2371</v>
      </c>
      <c r="I283" s="24" t="s">
        <v>2372</v>
      </c>
      <c r="J283" s="24" t="s">
        <v>761</v>
      </c>
      <c r="K283" s="24" t="s">
        <v>1146</v>
      </c>
      <c r="L283" s="25">
        <v>1070</v>
      </c>
      <c r="M283" s="26">
        <v>84</v>
      </c>
      <c r="N283" s="27">
        <v>84</v>
      </c>
      <c r="O283" s="28">
        <v>7.636363636363637E-2</v>
      </c>
      <c r="P283" s="28">
        <v>79.539823008849552</v>
      </c>
    </row>
    <row r="284" spans="1:16" x14ac:dyDescent="0.3">
      <c r="A284" t="s">
        <v>3193</v>
      </c>
      <c r="B284" s="24">
        <v>300017</v>
      </c>
      <c r="C284" s="24" t="s">
        <v>2265</v>
      </c>
      <c r="D284" s="24" t="s">
        <v>2179</v>
      </c>
      <c r="E284" s="24" t="s">
        <v>2179</v>
      </c>
      <c r="F284" s="24" t="s">
        <v>1349</v>
      </c>
      <c r="G284" s="24" t="s">
        <v>2208</v>
      </c>
      <c r="H284" s="24" t="s">
        <v>2373</v>
      </c>
      <c r="I284" s="24" t="s">
        <v>2370</v>
      </c>
      <c r="J284" s="24" t="s">
        <v>761</v>
      </c>
      <c r="K284" s="24" t="s">
        <v>1146</v>
      </c>
      <c r="L284" s="25">
        <v>1070</v>
      </c>
      <c r="M284" s="26">
        <v>41</v>
      </c>
      <c r="N284" s="27">
        <v>41</v>
      </c>
      <c r="O284" s="28">
        <v>3.727272727272727E-2</v>
      </c>
      <c r="P284" s="28">
        <v>38.823008849557525</v>
      </c>
    </row>
    <row r="285" spans="1:16" x14ac:dyDescent="0.3">
      <c r="A285" t="s">
        <v>3194</v>
      </c>
      <c r="B285" s="24">
        <v>142368</v>
      </c>
      <c r="C285" s="24" t="s">
        <v>2186</v>
      </c>
      <c r="D285" s="24" t="s">
        <v>2179</v>
      </c>
      <c r="E285" s="24" t="s">
        <v>2179</v>
      </c>
      <c r="F285" s="24" t="s">
        <v>1349</v>
      </c>
      <c r="G285" s="24" t="s">
        <v>2187</v>
      </c>
      <c r="H285" s="24" t="s">
        <v>2374</v>
      </c>
      <c r="I285" s="24" t="s">
        <v>2375</v>
      </c>
      <c r="J285" s="24" t="s">
        <v>761</v>
      </c>
      <c r="K285" s="24" t="s">
        <v>1352</v>
      </c>
      <c r="L285" s="25">
        <v>1</v>
      </c>
      <c r="M285" s="26">
        <v>30000</v>
      </c>
      <c r="N285" s="27">
        <v>27.272727272727273</v>
      </c>
      <c r="O285" s="28">
        <v>27.272727272727273</v>
      </c>
      <c r="P285" s="28">
        <v>26.548672566371682</v>
      </c>
    </row>
    <row r="286" spans="1:16" x14ac:dyDescent="0.3">
      <c r="A286" t="s">
        <v>3195</v>
      </c>
      <c r="B286" s="24">
        <v>142639</v>
      </c>
      <c r="C286" s="24" t="s">
        <v>2235</v>
      </c>
      <c r="D286" s="24" t="s">
        <v>2179</v>
      </c>
      <c r="E286" s="24" t="s">
        <v>2179</v>
      </c>
      <c r="F286" s="24" t="s">
        <v>1349</v>
      </c>
      <c r="G286" s="24" t="s">
        <v>2199</v>
      </c>
      <c r="H286" s="24" t="s">
        <v>2374</v>
      </c>
      <c r="I286" s="24" t="s">
        <v>2375</v>
      </c>
      <c r="J286" s="24" t="s">
        <v>761</v>
      </c>
      <c r="K286" s="24" t="s">
        <v>2194</v>
      </c>
      <c r="L286" s="25">
        <v>1300</v>
      </c>
      <c r="M286" s="26">
        <v>42.5</v>
      </c>
      <c r="N286" s="27">
        <v>48.89380530973451</v>
      </c>
      <c r="O286" s="28">
        <v>3.8636363636363635E-2</v>
      </c>
      <c r="P286" s="28">
        <v>48.89380530973451</v>
      </c>
    </row>
    <row r="287" spans="1:16" x14ac:dyDescent="0.3">
      <c r="A287" t="s">
        <v>3196</v>
      </c>
      <c r="B287" s="24">
        <v>142651</v>
      </c>
      <c r="C287" s="24" t="s">
        <v>2178</v>
      </c>
      <c r="D287" s="24" t="s">
        <v>2179</v>
      </c>
      <c r="E287" s="24" t="s">
        <v>2179</v>
      </c>
      <c r="F287" s="24" t="s">
        <v>1349</v>
      </c>
      <c r="G287" s="24" t="s">
        <v>2180</v>
      </c>
      <c r="H287" s="24" t="s">
        <v>2374</v>
      </c>
      <c r="I287" s="24" t="s">
        <v>2375</v>
      </c>
      <c r="J287" s="24" t="s">
        <v>761</v>
      </c>
      <c r="K287" s="24" t="s">
        <v>1352</v>
      </c>
      <c r="L287" s="25">
        <v>1</v>
      </c>
      <c r="M287" s="26">
        <v>42290</v>
      </c>
      <c r="N287" s="27">
        <v>38.445454545454545</v>
      </c>
      <c r="O287" s="28">
        <v>38.445454545454545</v>
      </c>
      <c r="P287" s="28">
        <v>37.424778761061944</v>
      </c>
    </row>
    <row r="288" spans="1:16" x14ac:dyDescent="0.3">
      <c r="A288" t="s">
        <v>3197</v>
      </c>
      <c r="B288" s="24">
        <v>142664</v>
      </c>
      <c r="C288" s="24" t="s">
        <v>2236</v>
      </c>
      <c r="D288" s="24" t="s">
        <v>2179</v>
      </c>
      <c r="E288" s="24" t="s">
        <v>2179</v>
      </c>
      <c r="F288" s="24" t="s">
        <v>1349</v>
      </c>
      <c r="G288" s="24" t="s">
        <v>2208</v>
      </c>
      <c r="H288" s="24" t="s">
        <v>2374</v>
      </c>
      <c r="I288" s="24" t="s">
        <v>2375</v>
      </c>
      <c r="J288" s="24" t="s">
        <v>761</v>
      </c>
      <c r="K288" s="24" t="s">
        <v>1146</v>
      </c>
      <c r="L288" s="25">
        <v>1070</v>
      </c>
      <c r="M288" s="26">
        <v>40</v>
      </c>
      <c r="N288" s="27">
        <v>40</v>
      </c>
      <c r="O288" s="28">
        <v>3.6363636363636362E-2</v>
      </c>
      <c r="P288" s="28">
        <v>37.876106194690266</v>
      </c>
    </row>
    <row r="289" spans="1:16" x14ac:dyDescent="0.3">
      <c r="A289" t="s">
        <v>3198</v>
      </c>
      <c r="B289" s="24">
        <v>142807</v>
      </c>
      <c r="C289" s="24" t="s">
        <v>2217</v>
      </c>
      <c r="D289" s="24" t="s">
        <v>2179</v>
      </c>
      <c r="E289" s="24" t="s">
        <v>2179</v>
      </c>
      <c r="F289" s="24" t="s">
        <v>1349</v>
      </c>
      <c r="G289" s="24" t="s">
        <v>2208</v>
      </c>
      <c r="H289" s="24" t="s">
        <v>2374</v>
      </c>
      <c r="I289" s="24" t="s">
        <v>2375</v>
      </c>
      <c r="J289" s="24" t="s">
        <v>761</v>
      </c>
      <c r="K289" s="24" t="s">
        <v>1146</v>
      </c>
      <c r="L289" s="25">
        <v>1070</v>
      </c>
      <c r="M289" s="26">
        <v>40</v>
      </c>
      <c r="N289" s="27">
        <v>40</v>
      </c>
      <c r="O289" s="28">
        <v>3.6363636363636362E-2</v>
      </c>
      <c r="P289" s="28">
        <v>37.876106194690266</v>
      </c>
    </row>
    <row r="290" spans="1:16" x14ac:dyDescent="0.3">
      <c r="A290" t="s">
        <v>3199</v>
      </c>
      <c r="B290" s="24">
        <v>150518</v>
      </c>
      <c r="C290" s="24" t="s">
        <v>2197</v>
      </c>
      <c r="D290" s="24" t="s">
        <v>2179</v>
      </c>
      <c r="E290" s="24" t="s">
        <v>2179</v>
      </c>
      <c r="F290" s="24" t="s">
        <v>1349</v>
      </c>
      <c r="G290" s="24" t="s">
        <v>2180</v>
      </c>
      <c r="H290" s="24" t="s">
        <v>2374</v>
      </c>
      <c r="I290" s="24" t="s">
        <v>2375</v>
      </c>
      <c r="J290" s="24" t="s">
        <v>761</v>
      </c>
      <c r="K290" s="24" t="s">
        <v>1352</v>
      </c>
      <c r="L290" s="25">
        <v>1</v>
      </c>
      <c r="M290" s="26">
        <v>53000</v>
      </c>
      <c r="N290" s="27">
        <v>48.18181818181818</v>
      </c>
      <c r="O290" s="28">
        <v>48.18181818181818</v>
      </c>
      <c r="P290" s="28">
        <v>46.902654867256636</v>
      </c>
    </row>
    <row r="291" spans="1:16" x14ac:dyDescent="0.3">
      <c r="A291" t="s">
        <v>3200</v>
      </c>
      <c r="B291" s="24">
        <v>300008</v>
      </c>
      <c r="C291" s="24" t="s">
        <v>2219</v>
      </c>
      <c r="D291" s="24" t="s">
        <v>2179</v>
      </c>
      <c r="E291" s="24" t="s">
        <v>2179</v>
      </c>
      <c r="F291" s="24" t="s">
        <v>2220</v>
      </c>
      <c r="G291" s="24" t="s">
        <v>2179</v>
      </c>
      <c r="H291" s="24" t="s">
        <v>2374</v>
      </c>
      <c r="I291" s="24" t="s">
        <v>2375</v>
      </c>
      <c r="J291" s="24" t="s">
        <v>761</v>
      </c>
      <c r="K291" s="24" t="s">
        <v>1146</v>
      </c>
      <c r="L291" s="25">
        <v>1070</v>
      </c>
      <c r="M291" s="26">
        <v>46</v>
      </c>
      <c r="N291" s="27">
        <v>46</v>
      </c>
      <c r="O291" s="28">
        <v>4.1818181818181817E-2</v>
      </c>
      <c r="P291" s="28">
        <v>43.557522123893804</v>
      </c>
    </row>
    <row r="292" spans="1:16" x14ac:dyDescent="0.3">
      <c r="A292" t="s">
        <v>3201</v>
      </c>
      <c r="B292" s="24">
        <v>300022</v>
      </c>
      <c r="C292" s="24" t="s">
        <v>2282</v>
      </c>
      <c r="D292" s="24" t="s">
        <v>2179</v>
      </c>
      <c r="E292" s="24" t="s">
        <v>2179</v>
      </c>
      <c r="F292" s="24" t="s">
        <v>1349</v>
      </c>
      <c r="G292" s="24" t="s">
        <v>2208</v>
      </c>
      <c r="H292" s="24" t="s">
        <v>2374</v>
      </c>
      <c r="I292" s="24" t="s">
        <v>2375</v>
      </c>
      <c r="J292" s="24" t="s">
        <v>761</v>
      </c>
      <c r="K292" s="24" t="s">
        <v>2194</v>
      </c>
      <c r="L292" s="25">
        <v>1300</v>
      </c>
      <c r="M292" s="26">
        <v>40.24</v>
      </c>
      <c r="N292" s="27">
        <v>46.293805309734516</v>
      </c>
      <c r="O292" s="28">
        <v>3.6581818181818181E-2</v>
      </c>
      <c r="P292" s="28">
        <v>46.293805309734516</v>
      </c>
    </row>
    <row r="293" spans="1:16" x14ac:dyDescent="0.3">
      <c r="A293" t="s">
        <v>3202</v>
      </c>
      <c r="B293" s="24">
        <v>300023</v>
      </c>
      <c r="C293" s="24" t="s">
        <v>2264</v>
      </c>
      <c r="D293" s="24" t="s">
        <v>2179</v>
      </c>
      <c r="E293" s="24" t="s">
        <v>2179</v>
      </c>
      <c r="F293" s="24" t="s">
        <v>1349</v>
      </c>
      <c r="G293" s="24" t="s">
        <v>2208</v>
      </c>
      <c r="H293" s="24" t="s">
        <v>2374</v>
      </c>
      <c r="I293" s="24" t="s">
        <v>2375</v>
      </c>
      <c r="J293" s="24" t="s">
        <v>761</v>
      </c>
      <c r="K293" s="24" t="s">
        <v>2194</v>
      </c>
      <c r="L293" s="25">
        <v>1300</v>
      </c>
      <c r="M293" s="26">
        <v>35</v>
      </c>
      <c r="N293" s="27">
        <v>40.26548672566372</v>
      </c>
      <c r="O293" s="28">
        <v>3.1818181818181815E-2</v>
      </c>
      <c r="P293" s="28">
        <v>40.26548672566372</v>
      </c>
    </row>
    <row r="294" spans="1:16" x14ac:dyDescent="0.3">
      <c r="A294" t="s">
        <v>3203</v>
      </c>
      <c r="B294" s="24">
        <v>300039</v>
      </c>
      <c r="C294" s="24" t="s">
        <v>2221</v>
      </c>
      <c r="D294" s="24" t="s">
        <v>2179</v>
      </c>
      <c r="E294" s="24" t="s">
        <v>2179</v>
      </c>
      <c r="F294" s="24" t="s">
        <v>1349</v>
      </c>
      <c r="G294" s="24" t="s">
        <v>2199</v>
      </c>
      <c r="H294" s="24" t="s">
        <v>2374</v>
      </c>
      <c r="I294" s="24" t="s">
        <v>2375</v>
      </c>
      <c r="J294" s="24" t="s">
        <v>761</v>
      </c>
      <c r="K294" s="24" t="s">
        <v>1146</v>
      </c>
      <c r="L294" s="25">
        <v>1070</v>
      </c>
      <c r="M294" s="26">
        <v>47.53</v>
      </c>
      <c r="N294" s="27">
        <v>47.53</v>
      </c>
      <c r="O294" s="28">
        <v>4.3209090909090912E-2</v>
      </c>
      <c r="P294" s="28">
        <v>45.006283185840708</v>
      </c>
    </row>
    <row r="295" spans="1:16" x14ac:dyDescent="0.3">
      <c r="A295" t="s">
        <v>3204</v>
      </c>
      <c r="B295" s="24">
        <v>300040</v>
      </c>
      <c r="C295" s="24" t="s">
        <v>2255</v>
      </c>
      <c r="D295" s="24" t="s">
        <v>2179</v>
      </c>
      <c r="E295" s="24" t="s">
        <v>2179</v>
      </c>
      <c r="F295" s="24" t="s">
        <v>1349</v>
      </c>
      <c r="G295" s="24" t="s">
        <v>2208</v>
      </c>
      <c r="H295" s="24" t="s">
        <v>2374</v>
      </c>
      <c r="I295" s="24" t="s">
        <v>2375</v>
      </c>
      <c r="J295" s="24" t="s">
        <v>761</v>
      </c>
      <c r="K295" s="24" t="s">
        <v>1146</v>
      </c>
      <c r="L295" s="25">
        <v>1070</v>
      </c>
      <c r="M295" s="26">
        <v>84</v>
      </c>
      <c r="N295" s="27">
        <v>84</v>
      </c>
      <c r="O295" s="28">
        <v>7.636363636363637E-2</v>
      </c>
      <c r="P295" s="28">
        <v>79.539823008849552</v>
      </c>
    </row>
    <row r="296" spans="1:16" x14ac:dyDescent="0.3">
      <c r="A296" t="s">
        <v>3205</v>
      </c>
      <c r="B296" s="24">
        <v>300055</v>
      </c>
      <c r="C296" s="24" t="s">
        <v>2222</v>
      </c>
      <c r="D296" s="24" t="s">
        <v>2179</v>
      </c>
      <c r="E296" s="24" t="s">
        <v>2179</v>
      </c>
      <c r="F296" s="24" t="s">
        <v>1349</v>
      </c>
      <c r="G296" s="24" t="s">
        <v>2199</v>
      </c>
      <c r="H296" s="24" t="s">
        <v>2374</v>
      </c>
      <c r="I296" s="24" t="s">
        <v>2375</v>
      </c>
      <c r="J296" s="24" t="s">
        <v>761</v>
      </c>
      <c r="K296" s="24" t="s">
        <v>1146</v>
      </c>
      <c r="L296" s="25">
        <v>1070</v>
      </c>
      <c r="M296" s="26">
        <v>23.88</v>
      </c>
      <c r="N296" s="27">
        <v>23.88</v>
      </c>
      <c r="O296" s="28">
        <v>2.1709090909090907E-2</v>
      </c>
      <c r="P296" s="28">
        <v>22.612035398230088</v>
      </c>
    </row>
    <row r="297" spans="1:16" x14ac:dyDescent="0.3">
      <c r="A297" t="s">
        <v>3206</v>
      </c>
      <c r="B297" s="24">
        <v>300067</v>
      </c>
      <c r="C297" s="24" t="s">
        <v>2198</v>
      </c>
      <c r="D297" s="24" t="s">
        <v>2179</v>
      </c>
      <c r="E297" s="24" t="s">
        <v>2179</v>
      </c>
      <c r="F297" s="24" t="s">
        <v>1349</v>
      </c>
      <c r="G297" s="24" t="s">
        <v>2199</v>
      </c>
      <c r="H297" s="24" t="s">
        <v>2374</v>
      </c>
      <c r="I297" s="24" t="s">
        <v>2375</v>
      </c>
      <c r="J297" s="24" t="s">
        <v>761</v>
      </c>
      <c r="K297" s="24" t="s">
        <v>1146</v>
      </c>
      <c r="L297" s="25">
        <v>1070</v>
      </c>
      <c r="M297" s="26">
        <v>42.46</v>
      </c>
      <c r="N297" s="27">
        <v>42.46</v>
      </c>
      <c r="O297" s="28">
        <v>3.8600000000000002E-2</v>
      </c>
      <c r="P297" s="28">
        <v>40.205486725663718</v>
      </c>
    </row>
    <row r="298" spans="1:16" x14ac:dyDescent="0.3">
      <c r="A298" t="s">
        <v>3207</v>
      </c>
      <c r="B298" s="24">
        <v>300073</v>
      </c>
      <c r="C298" s="24" t="s">
        <v>2283</v>
      </c>
      <c r="D298" s="24" t="s">
        <v>2179</v>
      </c>
      <c r="E298" s="24" t="s">
        <v>2179</v>
      </c>
      <c r="F298" s="24" t="s">
        <v>1349</v>
      </c>
      <c r="G298" s="24" t="s">
        <v>2199</v>
      </c>
      <c r="H298" s="24" t="s">
        <v>2374</v>
      </c>
      <c r="I298" s="24" t="s">
        <v>2375</v>
      </c>
      <c r="J298" s="24" t="s">
        <v>761</v>
      </c>
      <c r="K298" s="24" t="s">
        <v>1146</v>
      </c>
      <c r="L298" s="25">
        <v>1070</v>
      </c>
      <c r="M298" s="26">
        <v>42.74</v>
      </c>
      <c r="N298" s="27">
        <v>42.74</v>
      </c>
      <c r="O298" s="28">
        <v>3.8854545454545454E-2</v>
      </c>
      <c r="P298" s="28">
        <v>40.470619469026552</v>
      </c>
    </row>
    <row r="299" spans="1:16" x14ac:dyDescent="0.3">
      <c r="A299" t="s">
        <v>3208</v>
      </c>
      <c r="B299" s="24">
        <v>300111</v>
      </c>
      <c r="C299" s="24" t="s">
        <v>2202</v>
      </c>
      <c r="D299" s="24" t="s">
        <v>2179</v>
      </c>
      <c r="E299" s="24" t="s">
        <v>2179</v>
      </c>
      <c r="F299" s="24" t="s">
        <v>1349</v>
      </c>
      <c r="G299" s="24" t="s">
        <v>2191</v>
      </c>
      <c r="H299" s="24" t="s">
        <v>2374</v>
      </c>
      <c r="I299" s="24" t="s">
        <v>2375</v>
      </c>
      <c r="J299" s="24" t="s">
        <v>761</v>
      </c>
      <c r="K299" s="24" t="s">
        <v>2194</v>
      </c>
      <c r="L299" s="25">
        <v>1300</v>
      </c>
      <c r="M299" s="26">
        <v>37.47</v>
      </c>
      <c r="N299" s="27">
        <v>43.107079646017702</v>
      </c>
      <c r="O299" s="28">
        <v>3.4063636363636365E-2</v>
      </c>
      <c r="P299" s="28">
        <v>43.107079646017702</v>
      </c>
    </row>
    <row r="300" spans="1:16" x14ac:dyDescent="0.3">
      <c r="A300" t="s">
        <v>3209</v>
      </c>
      <c r="B300" s="24">
        <v>300138</v>
      </c>
      <c r="C300" s="24" t="s">
        <v>2256</v>
      </c>
      <c r="D300" s="24" t="s">
        <v>2179</v>
      </c>
      <c r="E300" s="24" t="s">
        <v>2179</v>
      </c>
      <c r="F300" s="24" t="s">
        <v>1349</v>
      </c>
      <c r="G300" s="24" t="s">
        <v>2199</v>
      </c>
      <c r="H300" s="24" t="s">
        <v>2374</v>
      </c>
      <c r="I300" s="24" t="s">
        <v>2375</v>
      </c>
      <c r="J300" s="24" t="s">
        <v>761</v>
      </c>
      <c r="K300" s="24" t="s">
        <v>2194</v>
      </c>
      <c r="L300" s="25">
        <v>1300</v>
      </c>
      <c r="M300" s="26">
        <v>43.05</v>
      </c>
      <c r="N300" s="27">
        <v>49.526548672566364</v>
      </c>
      <c r="O300" s="28">
        <v>3.9136363636363636E-2</v>
      </c>
      <c r="P300" s="28">
        <v>49.526548672566364</v>
      </c>
    </row>
    <row r="301" spans="1:16" x14ac:dyDescent="0.3">
      <c r="A301" t="s">
        <v>3210</v>
      </c>
      <c r="B301" s="24">
        <v>300161</v>
      </c>
      <c r="C301" s="24" t="s">
        <v>2204</v>
      </c>
      <c r="D301" s="24" t="s">
        <v>2179</v>
      </c>
      <c r="E301" s="24" t="s">
        <v>2179</v>
      </c>
      <c r="F301" s="24" t="s">
        <v>1349</v>
      </c>
      <c r="G301" s="24" t="s">
        <v>2187</v>
      </c>
      <c r="H301" s="24" t="s">
        <v>2374</v>
      </c>
      <c r="I301" s="24" t="s">
        <v>2375</v>
      </c>
      <c r="J301" s="24" t="s">
        <v>761</v>
      </c>
      <c r="K301" s="24" t="s">
        <v>1352</v>
      </c>
      <c r="L301" s="25">
        <v>1</v>
      </c>
      <c r="M301" s="26">
        <v>49900</v>
      </c>
      <c r="N301" s="27">
        <v>45.363636363636367</v>
      </c>
      <c r="O301" s="28">
        <v>45.363636363636367</v>
      </c>
      <c r="P301" s="28">
        <v>44.159292035398231</v>
      </c>
    </row>
    <row r="302" spans="1:16" x14ac:dyDescent="0.3">
      <c r="A302" t="s">
        <v>3211</v>
      </c>
      <c r="B302" s="24">
        <v>142807</v>
      </c>
      <c r="C302" s="24" t="s">
        <v>2217</v>
      </c>
      <c r="D302" s="24" t="s">
        <v>2179</v>
      </c>
      <c r="E302" s="24" t="s">
        <v>2179</v>
      </c>
      <c r="F302" s="24" t="s">
        <v>1349</v>
      </c>
      <c r="G302" s="24" t="s">
        <v>2208</v>
      </c>
      <c r="H302" s="24" t="s">
        <v>2376</v>
      </c>
      <c r="I302" s="24" t="s">
        <v>2372</v>
      </c>
      <c r="J302" s="24" t="s">
        <v>761</v>
      </c>
      <c r="K302" s="24" t="s">
        <v>1146</v>
      </c>
      <c r="L302" s="25">
        <v>1070</v>
      </c>
      <c r="M302" s="26">
        <v>40</v>
      </c>
      <c r="N302" s="27">
        <v>40</v>
      </c>
      <c r="O302" s="28">
        <v>3.6363636363636362E-2</v>
      </c>
      <c r="P302" s="28">
        <v>37.876106194690266</v>
      </c>
    </row>
    <row r="303" spans="1:16" x14ac:dyDescent="0.3">
      <c r="A303" t="s">
        <v>3212</v>
      </c>
      <c r="B303" s="24">
        <v>300008</v>
      </c>
      <c r="C303" s="24" t="s">
        <v>2219</v>
      </c>
      <c r="D303" s="24" t="s">
        <v>2179</v>
      </c>
      <c r="E303" s="24" t="s">
        <v>2179</v>
      </c>
      <c r="F303" s="24" t="s">
        <v>2220</v>
      </c>
      <c r="G303" s="24" t="s">
        <v>2179</v>
      </c>
      <c r="H303" s="24" t="s">
        <v>2376</v>
      </c>
      <c r="I303" s="24" t="s">
        <v>2372</v>
      </c>
      <c r="J303" s="24" t="s">
        <v>761</v>
      </c>
      <c r="K303" s="24" t="s">
        <v>1146</v>
      </c>
      <c r="L303" s="25">
        <v>1070</v>
      </c>
      <c r="M303" s="26">
        <v>46.5</v>
      </c>
      <c r="N303" s="27">
        <v>46.5</v>
      </c>
      <c r="O303" s="28">
        <v>4.2272727272727274E-2</v>
      </c>
      <c r="P303" s="28">
        <v>44.030973451327434</v>
      </c>
    </row>
    <row r="304" spans="1:16" x14ac:dyDescent="0.3">
      <c r="A304" t="s">
        <v>3213</v>
      </c>
      <c r="B304" s="24">
        <v>300017</v>
      </c>
      <c r="C304" s="24" t="s">
        <v>2265</v>
      </c>
      <c r="D304" s="24" t="s">
        <v>2179</v>
      </c>
      <c r="E304" s="24" t="s">
        <v>2179</v>
      </c>
      <c r="F304" s="24" t="s">
        <v>1349</v>
      </c>
      <c r="G304" s="24" t="s">
        <v>2208</v>
      </c>
      <c r="H304" s="24" t="s">
        <v>2376</v>
      </c>
      <c r="I304" s="24" t="s">
        <v>2372</v>
      </c>
      <c r="J304" s="24" t="s">
        <v>761</v>
      </c>
      <c r="K304" s="24" t="s">
        <v>1146</v>
      </c>
      <c r="L304" s="25">
        <v>1070</v>
      </c>
      <c r="M304" s="26">
        <v>41</v>
      </c>
      <c r="N304" s="27">
        <v>41</v>
      </c>
      <c r="O304" s="28">
        <v>3.727272727272727E-2</v>
      </c>
      <c r="P304" s="28">
        <v>38.823008849557525</v>
      </c>
    </row>
    <row r="305" spans="1:16" x14ac:dyDescent="0.3">
      <c r="A305" t="s">
        <v>3214</v>
      </c>
      <c r="B305" s="24">
        <v>300039</v>
      </c>
      <c r="C305" s="24" t="s">
        <v>2221</v>
      </c>
      <c r="D305" s="24" t="s">
        <v>2179</v>
      </c>
      <c r="E305" s="24" t="s">
        <v>2179</v>
      </c>
      <c r="F305" s="24" t="s">
        <v>1349</v>
      </c>
      <c r="G305" s="24" t="s">
        <v>2199</v>
      </c>
      <c r="H305" s="24" t="s">
        <v>2376</v>
      </c>
      <c r="I305" s="24" t="s">
        <v>2372</v>
      </c>
      <c r="J305" s="24" t="s">
        <v>761</v>
      </c>
      <c r="K305" s="24" t="s">
        <v>1146</v>
      </c>
      <c r="L305" s="25">
        <v>1070</v>
      </c>
      <c r="M305" s="26">
        <v>47.53</v>
      </c>
      <c r="N305" s="27">
        <v>47.53</v>
      </c>
      <c r="O305" s="28">
        <v>4.3209090909090912E-2</v>
      </c>
      <c r="P305" s="28">
        <v>45.006283185840708</v>
      </c>
    </row>
    <row r="306" spans="1:16" x14ac:dyDescent="0.3">
      <c r="A306" t="s">
        <v>3215</v>
      </c>
      <c r="B306" s="24">
        <v>300040</v>
      </c>
      <c r="C306" s="24" t="s">
        <v>2255</v>
      </c>
      <c r="D306" s="24" t="s">
        <v>2179</v>
      </c>
      <c r="E306" s="24" t="s">
        <v>2179</v>
      </c>
      <c r="F306" s="24" t="s">
        <v>1349</v>
      </c>
      <c r="G306" s="24" t="s">
        <v>2208</v>
      </c>
      <c r="H306" s="24" t="s">
        <v>2376</v>
      </c>
      <c r="I306" s="24" t="s">
        <v>2372</v>
      </c>
      <c r="J306" s="24" t="s">
        <v>761</v>
      </c>
      <c r="K306" s="24" t="s">
        <v>1146</v>
      </c>
      <c r="L306" s="25">
        <v>1070</v>
      </c>
      <c r="M306" s="26">
        <v>84</v>
      </c>
      <c r="N306" s="27">
        <v>84</v>
      </c>
      <c r="O306" s="28">
        <v>7.636363636363637E-2</v>
      </c>
      <c r="P306" s="28">
        <v>79.539823008849552</v>
      </c>
    </row>
    <row r="307" spans="1:16" x14ac:dyDescent="0.3">
      <c r="A307" t="s">
        <v>3216</v>
      </c>
      <c r="B307" s="24">
        <v>300042</v>
      </c>
      <c r="C307" s="24" t="s">
        <v>2190</v>
      </c>
      <c r="D307" s="24" t="s">
        <v>2179</v>
      </c>
      <c r="E307" s="24" t="s">
        <v>2179</v>
      </c>
      <c r="F307" s="24" t="s">
        <v>1349</v>
      </c>
      <c r="G307" s="24" t="s">
        <v>2191</v>
      </c>
      <c r="H307" s="24" t="s">
        <v>2376</v>
      </c>
      <c r="I307" s="24" t="s">
        <v>2372</v>
      </c>
      <c r="J307" s="24" t="s">
        <v>761</v>
      </c>
      <c r="K307" s="24" t="s">
        <v>2194</v>
      </c>
      <c r="L307" s="25">
        <v>1300</v>
      </c>
      <c r="M307" s="26">
        <v>35</v>
      </c>
      <c r="N307" s="27">
        <v>40.26548672566372</v>
      </c>
      <c r="O307" s="28">
        <v>3.1818181818181815E-2</v>
      </c>
      <c r="P307" s="28">
        <v>40.26548672566372</v>
      </c>
    </row>
    <row r="308" spans="1:16" x14ac:dyDescent="0.3">
      <c r="A308" t="s">
        <v>3217</v>
      </c>
      <c r="B308" s="24">
        <v>142582</v>
      </c>
      <c r="C308" s="24" t="s">
        <v>2253</v>
      </c>
      <c r="D308" s="24" t="s">
        <v>2179</v>
      </c>
      <c r="E308" s="24" t="s">
        <v>2179</v>
      </c>
      <c r="F308" s="24" t="s">
        <v>1349</v>
      </c>
      <c r="G308" s="24" t="s">
        <v>2208</v>
      </c>
      <c r="H308" s="24" t="s">
        <v>2377</v>
      </c>
      <c r="I308" s="24" t="s">
        <v>2378</v>
      </c>
      <c r="J308" s="24" t="s">
        <v>761</v>
      </c>
      <c r="K308" s="24" t="s">
        <v>1146</v>
      </c>
      <c r="L308" s="25">
        <v>1070</v>
      </c>
      <c r="M308" s="26">
        <v>8.36</v>
      </c>
      <c r="N308" s="27">
        <v>8.36</v>
      </c>
      <c r="O308" s="28">
        <v>7.5999999999999991E-3</v>
      </c>
      <c r="P308" s="28">
        <v>7.9161061946902649</v>
      </c>
    </row>
    <row r="309" spans="1:16" x14ac:dyDescent="0.3">
      <c r="A309" t="s">
        <v>3218</v>
      </c>
      <c r="B309" s="24">
        <v>142599</v>
      </c>
      <c r="C309" s="24" t="s">
        <v>2233</v>
      </c>
      <c r="D309" s="24" t="s">
        <v>2179</v>
      </c>
      <c r="E309" s="24" t="s">
        <v>2179</v>
      </c>
      <c r="F309" s="24" t="s">
        <v>1349</v>
      </c>
      <c r="G309" s="24" t="s">
        <v>2208</v>
      </c>
      <c r="H309" s="24" t="s">
        <v>2377</v>
      </c>
      <c r="I309" s="24" t="s">
        <v>2378</v>
      </c>
      <c r="J309" s="24" t="s">
        <v>761</v>
      </c>
      <c r="K309" s="24" t="s">
        <v>1146</v>
      </c>
      <c r="L309" s="25">
        <v>1070</v>
      </c>
      <c r="M309" s="26">
        <v>6.46</v>
      </c>
      <c r="N309" s="27">
        <v>6.46</v>
      </c>
      <c r="O309" s="28">
        <v>5.8727272727272725E-3</v>
      </c>
      <c r="P309" s="28">
        <v>6.1169911504424777</v>
      </c>
    </row>
    <row r="310" spans="1:16" x14ac:dyDescent="0.3">
      <c r="A310" t="s">
        <v>3219</v>
      </c>
      <c r="B310" s="24">
        <v>142612</v>
      </c>
      <c r="C310" s="24" t="s">
        <v>2234</v>
      </c>
      <c r="D310" s="24" t="s">
        <v>2179</v>
      </c>
      <c r="E310" s="24" t="s">
        <v>2179</v>
      </c>
      <c r="F310" s="24" t="s">
        <v>1349</v>
      </c>
      <c r="G310" s="24" t="s">
        <v>2208</v>
      </c>
      <c r="H310" s="24" t="s">
        <v>2377</v>
      </c>
      <c r="I310" s="24" t="s">
        <v>2378</v>
      </c>
      <c r="J310" s="24" t="s">
        <v>761</v>
      </c>
      <c r="K310" s="24" t="s">
        <v>2194</v>
      </c>
      <c r="L310" s="25">
        <v>1300</v>
      </c>
      <c r="M310" s="26">
        <v>5.9</v>
      </c>
      <c r="N310" s="27">
        <v>6.7876106194690271</v>
      </c>
      <c r="O310" s="28">
        <v>5.3636363636363638E-3</v>
      </c>
      <c r="P310" s="28">
        <v>6.7876106194690271</v>
      </c>
    </row>
    <row r="311" spans="1:16" x14ac:dyDescent="0.3">
      <c r="A311" t="s">
        <v>3220</v>
      </c>
      <c r="B311" s="24">
        <v>142664</v>
      </c>
      <c r="C311" s="24" t="s">
        <v>2236</v>
      </c>
      <c r="D311" s="24" t="s">
        <v>2179</v>
      </c>
      <c r="E311" s="24" t="s">
        <v>2179</v>
      </c>
      <c r="F311" s="24" t="s">
        <v>1349</v>
      </c>
      <c r="G311" s="24" t="s">
        <v>2208</v>
      </c>
      <c r="H311" s="24" t="s">
        <v>2377</v>
      </c>
      <c r="I311" s="24" t="s">
        <v>2378</v>
      </c>
      <c r="J311" s="24" t="s">
        <v>761</v>
      </c>
      <c r="K311" s="24" t="s">
        <v>1146</v>
      </c>
      <c r="L311" s="25">
        <v>1070</v>
      </c>
      <c r="M311" s="26">
        <v>7.06</v>
      </c>
      <c r="N311" s="27">
        <v>7.06</v>
      </c>
      <c r="O311" s="28">
        <v>6.4181818181818177E-3</v>
      </c>
      <c r="P311" s="28">
        <v>6.685132743362832</v>
      </c>
    </row>
    <row r="312" spans="1:16" x14ac:dyDescent="0.3">
      <c r="A312" t="s">
        <v>3221</v>
      </c>
      <c r="B312" s="24">
        <v>142796</v>
      </c>
      <c r="C312" s="24" t="s">
        <v>2237</v>
      </c>
      <c r="D312" s="24" t="s">
        <v>2179</v>
      </c>
      <c r="E312" s="24" t="s">
        <v>2179</v>
      </c>
      <c r="F312" s="24" t="s">
        <v>1349</v>
      </c>
      <c r="G312" s="24" t="s">
        <v>2208</v>
      </c>
      <c r="H312" s="24" t="s">
        <v>2377</v>
      </c>
      <c r="I312" s="24" t="s">
        <v>2378</v>
      </c>
      <c r="J312" s="24" t="s">
        <v>761</v>
      </c>
      <c r="K312" s="24" t="s">
        <v>1146</v>
      </c>
      <c r="L312" s="25">
        <v>1070</v>
      </c>
      <c r="M312" s="26">
        <v>7.06</v>
      </c>
      <c r="N312" s="27">
        <v>7.06</v>
      </c>
      <c r="O312" s="28">
        <v>6.4181818181818177E-3</v>
      </c>
      <c r="P312" s="28">
        <v>6.685132743362832</v>
      </c>
    </row>
    <row r="313" spans="1:16" x14ac:dyDescent="0.3">
      <c r="A313" t="s">
        <v>3222</v>
      </c>
      <c r="B313" s="24">
        <v>142825</v>
      </c>
      <c r="C313" s="24" t="s">
        <v>2218</v>
      </c>
      <c r="D313" s="24" t="s">
        <v>2179</v>
      </c>
      <c r="E313" s="24" t="s">
        <v>2179</v>
      </c>
      <c r="F313" s="24" t="s">
        <v>1349</v>
      </c>
      <c r="G313" s="24" t="s">
        <v>2208</v>
      </c>
      <c r="H313" s="24" t="s">
        <v>2377</v>
      </c>
      <c r="I313" s="24" t="s">
        <v>2378</v>
      </c>
      <c r="J313" s="24" t="s">
        <v>761</v>
      </c>
      <c r="K313" s="24" t="s">
        <v>1146</v>
      </c>
      <c r="L313" s="25">
        <v>1070</v>
      </c>
      <c r="M313" s="26">
        <v>7</v>
      </c>
      <c r="N313" s="27">
        <v>7</v>
      </c>
      <c r="O313" s="28">
        <v>6.3636363636363638E-3</v>
      </c>
      <c r="P313" s="28">
        <v>6.6283185840707963</v>
      </c>
    </row>
    <row r="314" spans="1:16" x14ac:dyDescent="0.3">
      <c r="A314" t="s">
        <v>3223</v>
      </c>
      <c r="B314" s="24">
        <v>142639</v>
      </c>
      <c r="C314" s="24" t="s">
        <v>2235</v>
      </c>
      <c r="D314" s="24" t="s">
        <v>2179</v>
      </c>
      <c r="E314" s="24" t="s">
        <v>2179</v>
      </c>
      <c r="F314" s="24" t="s">
        <v>1349</v>
      </c>
      <c r="G314" s="24" t="s">
        <v>2199</v>
      </c>
      <c r="H314" s="24" t="s">
        <v>2379</v>
      </c>
      <c r="I314" s="24" t="s">
        <v>2380</v>
      </c>
      <c r="J314" s="24" t="s">
        <v>761</v>
      </c>
      <c r="K314" s="24" t="s">
        <v>2194</v>
      </c>
      <c r="L314" s="25">
        <v>1300</v>
      </c>
      <c r="M314" s="26">
        <v>5.15</v>
      </c>
      <c r="N314" s="27">
        <v>5.9247787610619476</v>
      </c>
      <c r="O314" s="28">
        <v>4.681818181818182E-3</v>
      </c>
      <c r="P314" s="28">
        <v>5.9247787610619476</v>
      </c>
    </row>
    <row r="315" spans="1:16" x14ac:dyDescent="0.3">
      <c r="A315" t="s">
        <v>3224</v>
      </c>
      <c r="B315" s="24">
        <v>150518</v>
      </c>
      <c r="C315" s="24" t="s">
        <v>2197</v>
      </c>
      <c r="D315" s="24" t="s">
        <v>2179</v>
      </c>
      <c r="E315" s="24" t="s">
        <v>2179</v>
      </c>
      <c r="F315" s="24" t="s">
        <v>1349</v>
      </c>
      <c r="G315" s="24" t="s">
        <v>2180</v>
      </c>
      <c r="H315" s="24" t="s">
        <v>2381</v>
      </c>
      <c r="I315" s="24" t="s">
        <v>2382</v>
      </c>
      <c r="J315" s="24" t="s">
        <v>761</v>
      </c>
      <c r="K315" s="24" t="s">
        <v>1352</v>
      </c>
      <c r="L315" s="25">
        <v>1</v>
      </c>
      <c r="M315" s="26">
        <v>9500</v>
      </c>
      <c r="N315" s="27">
        <v>8.6363636363636367</v>
      </c>
      <c r="O315" s="28">
        <v>8.6363636363636367</v>
      </c>
      <c r="P315" s="28">
        <v>8.4070796460176993</v>
      </c>
    </row>
    <row r="316" spans="1:16" x14ac:dyDescent="0.3">
      <c r="A316" t="s">
        <v>3225</v>
      </c>
      <c r="B316" s="24">
        <v>142582</v>
      </c>
      <c r="C316" s="24" t="s">
        <v>2253</v>
      </c>
      <c r="D316" s="24" t="s">
        <v>2179</v>
      </c>
      <c r="E316" s="24" t="s">
        <v>2179</v>
      </c>
      <c r="F316" s="24" t="s">
        <v>1349</v>
      </c>
      <c r="G316" s="24" t="s">
        <v>2208</v>
      </c>
      <c r="H316" s="24" t="s">
        <v>2383</v>
      </c>
      <c r="I316" s="24" t="s">
        <v>2248</v>
      </c>
      <c r="J316" s="24" t="s">
        <v>761</v>
      </c>
      <c r="K316" s="24" t="s">
        <v>1146</v>
      </c>
      <c r="L316" s="25">
        <v>1070</v>
      </c>
      <c r="M316" s="26">
        <v>8.93</v>
      </c>
      <c r="N316" s="27">
        <v>8.93</v>
      </c>
      <c r="O316" s="28">
        <v>8.1181818181818178E-3</v>
      </c>
      <c r="P316" s="28">
        <v>8.4558407079646027</v>
      </c>
    </row>
    <row r="317" spans="1:16" x14ac:dyDescent="0.3">
      <c r="A317" t="s">
        <v>3226</v>
      </c>
      <c r="B317" s="24">
        <v>142599</v>
      </c>
      <c r="C317" s="24" t="s">
        <v>2233</v>
      </c>
      <c r="D317" s="24" t="s">
        <v>2179</v>
      </c>
      <c r="E317" s="24" t="s">
        <v>2179</v>
      </c>
      <c r="F317" s="24" t="s">
        <v>1349</v>
      </c>
      <c r="G317" s="24" t="s">
        <v>2208</v>
      </c>
      <c r="H317" s="24" t="s">
        <v>2383</v>
      </c>
      <c r="I317" s="24" t="s">
        <v>2248</v>
      </c>
      <c r="J317" s="24" t="s">
        <v>761</v>
      </c>
      <c r="K317" s="24" t="s">
        <v>1146</v>
      </c>
      <c r="L317" s="25">
        <v>1070</v>
      </c>
      <c r="M317" s="26">
        <v>7.01</v>
      </c>
      <c r="N317" s="27">
        <v>7.01</v>
      </c>
      <c r="O317" s="28">
        <v>6.372727272727273E-3</v>
      </c>
      <c r="P317" s="28">
        <v>6.6377876106194691</v>
      </c>
    </row>
    <row r="318" spans="1:16" x14ac:dyDescent="0.3">
      <c r="A318" t="s">
        <v>3227</v>
      </c>
      <c r="B318" s="24">
        <v>142612</v>
      </c>
      <c r="C318" s="24" t="s">
        <v>2234</v>
      </c>
      <c r="D318" s="24" t="s">
        <v>2179</v>
      </c>
      <c r="E318" s="24" t="s">
        <v>2179</v>
      </c>
      <c r="F318" s="24" t="s">
        <v>1349</v>
      </c>
      <c r="G318" s="24" t="s">
        <v>2208</v>
      </c>
      <c r="H318" s="24" t="s">
        <v>2383</v>
      </c>
      <c r="I318" s="24" t="s">
        <v>2248</v>
      </c>
      <c r="J318" s="24" t="s">
        <v>761</v>
      </c>
      <c r="K318" s="24" t="s">
        <v>2194</v>
      </c>
      <c r="L318" s="25">
        <v>1300</v>
      </c>
      <c r="M318" s="26">
        <v>7</v>
      </c>
      <c r="N318" s="27">
        <v>8.053097345132743</v>
      </c>
      <c r="O318" s="28">
        <v>6.3636363636363638E-3</v>
      </c>
      <c r="P318" s="28">
        <v>8.053097345132743</v>
      </c>
    </row>
    <row r="319" spans="1:16" x14ac:dyDescent="0.3">
      <c r="A319" t="s">
        <v>3228</v>
      </c>
      <c r="B319" s="24">
        <v>142825</v>
      </c>
      <c r="C319" s="24" t="s">
        <v>2218</v>
      </c>
      <c r="D319" s="24" t="s">
        <v>2179</v>
      </c>
      <c r="E319" s="24" t="s">
        <v>2179</v>
      </c>
      <c r="F319" s="24" t="s">
        <v>1349</v>
      </c>
      <c r="G319" s="24" t="s">
        <v>2208</v>
      </c>
      <c r="H319" s="24" t="s">
        <v>2383</v>
      </c>
      <c r="I319" s="24" t="s">
        <v>2248</v>
      </c>
      <c r="J319" s="24" t="s">
        <v>761</v>
      </c>
      <c r="K319" s="24" t="s">
        <v>1146</v>
      </c>
      <c r="L319" s="25">
        <v>1070</v>
      </c>
      <c r="M319" s="26">
        <v>8</v>
      </c>
      <c r="N319" s="27">
        <v>8</v>
      </c>
      <c r="O319" s="28">
        <v>7.2727272727272727E-3</v>
      </c>
      <c r="P319" s="28">
        <v>7.5752212389380533</v>
      </c>
    </row>
    <row r="320" spans="1:16" x14ac:dyDescent="0.3">
      <c r="A320" t="s">
        <v>3229</v>
      </c>
      <c r="B320" s="24">
        <v>142825</v>
      </c>
      <c r="C320" s="24" t="s">
        <v>2218</v>
      </c>
      <c r="D320" s="24" t="s">
        <v>2179</v>
      </c>
      <c r="E320" s="24" t="s">
        <v>2179</v>
      </c>
      <c r="F320" s="24" t="s">
        <v>1349</v>
      </c>
      <c r="G320" s="24" t="s">
        <v>2208</v>
      </c>
      <c r="H320" s="24" t="s">
        <v>2384</v>
      </c>
      <c r="I320" s="24" t="s">
        <v>2252</v>
      </c>
      <c r="J320" s="24" t="s">
        <v>761</v>
      </c>
      <c r="K320" s="24" t="s">
        <v>1146</v>
      </c>
      <c r="L320" s="25">
        <v>1070</v>
      </c>
      <c r="M320" s="26">
        <v>6.2</v>
      </c>
      <c r="N320" s="27">
        <v>6.2</v>
      </c>
      <c r="O320" s="28">
        <v>5.6363636363636364E-3</v>
      </c>
      <c r="P320" s="28">
        <v>5.8707964601769911</v>
      </c>
    </row>
    <row r="321" spans="1:16" x14ac:dyDescent="0.3">
      <c r="A321" t="s">
        <v>3230</v>
      </c>
      <c r="B321" s="24">
        <v>142603</v>
      </c>
      <c r="C321" s="24" t="s">
        <v>2207</v>
      </c>
      <c r="D321" s="24" t="s">
        <v>2179</v>
      </c>
      <c r="E321" s="24" t="s">
        <v>2179</v>
      </c>
      <c r="F321" s="24" t="s">
        <v>1349</v>
      </c>
      <c r="G321" s="24" t="s">
        <v>2208</v>
      </c>
      <c r="H321" s="24" t="s">
        <v>2385</v>
      </c>
      <c r="I321" s="24" t="s">
        <v>2386</v>
      </c>
      <c r="J321" s="24" t="s">
        <v>761</v>
      </c>
      <c r="K321" s="24" t="s">
        <v>1146</v>
      </c>
      <c r="L321" s="25">
        <v>1070</v>
      </c>
      <c r="M321" s="26">
        <v>7.99</v>
      </c>
      <c r="N321" s="27">
        <v>7.99</v>
      </c>
      <c r="O321" s="28">
        <v>7.2636363636363636E-3</v>
      </c>
      <c r="P321" s="28">
        <v>7.5657522123893814</v>
      </c>
    </row>
    <row r="322" spans="1:16" x14ac:dyDescent="0.3">
      <c r="A322" t="s">
        <v>3231</v>
      </c>
      <c r="B322" s="24">
        <v>142603</v>
      </c>
      <c r="C322" s="24" t="s">
        <v>2207</v>
      </c>
      <c r="D322" s="24" t="s">
        <v>2179</v>
      </c>
      <c r="E322" s="24" t="s">
        <v>2179</v>
      </c>
      <c r="F322" s="24" t="s">
        <v>1349</v>
      </c>
      <c r="G322" s="24" t="s">
        <v>2208</v>
      </c>
      <c r="H322" s="24" t="s">
        <v>2387</v>
      </c>
      <c r="I322" s="24" t="s">
        <v>2260</v>
      </c>
      <c r="J322" s="24" t="s">
        <v>761</v>
      </c>
      <c r="K322" s="24" t="s">
        <v>1146</v>
      </c>
      <c r="L322" s="25">
        <v>1070</v>
      </c>
      <c r="M322" s="26">
        <v>8.59</v>
      </c>
      <c r="N322" s="27">
        <v>8.59</v>
      </c>
      <c r="O322" s="28">
        <v>7.8090909090909088E-3</v>
      </c>
      <c r="P322" s="28">
        <v>8.133893805309734</v>
      </c>
    </row>
    <row r="323" spans="1:16" x14ac:dyDescent="0.3">
      <c r="A323" t="s">
        <v>3232</v>
      </c>
      <c r="B323" s="24">
        <v>142603</v>
      </c>
      <c r="C323" s="24" t="s">
        <v>2207</v>
      </c>
      <c r="D323" s="24" t="s">
        <v>2179</v>
      </c>
      <c r="E323" s="24" t="s">
        <v>2179</v>
      </c>
      <c r="F323" s="24" t="s">
        <v>1349</v>
      </c>
      <c r="G323" s="24" t="s">
        <v>2208</v>
      </c>
      <c r="H323" s="24" t="s">
        <v>2388</v>
      </c>
      <c r="I323" s="24" t="s">
        <v>2386</v>
      </c>
      <c r="J323" s="24" t="s">
        <v>761</v>
      </c>
      <c r="K323" s="24" t="s">
        <v>1146</v>
      </c>
      <c r="L323" s="25">
        <v>1070</v>
      </c>
      <c r="M323" s="26">
        <v>7.99</v>
      </c>
      <c r="N323" s="27">
        <v>7.99</v>
      </c>
      <c r="O323" s="28">
        <v>7.2636363636363636E-3</v>
      </c>
      <c r="P323" s="28">
        <v>7.5657522123893814</v>
      </c>
    </row>
    <row r="324" spans="1:16" x14ac:dyDescent="0.3">
      <c r="A324" t="s">
        <v>3233</v>
      </c>
      <c r="B324" s="24">
        <v>142662</v>
      </c>
      <c r="C324" s="24" t="s">
        <v>2389</v>
      </c>
      <c r="D324" s="24" t="s">
        <v>2179</v>
      </c>
      <c r="E324" s="24" t="s">
        <v>2179</v>
      </c>
      <c r="F324" s="24" t="s">
        <v>1349</v>
      </c>
      <c r="G324" s="24" t="s">
        <v>2208</v>
      </c>
      <c r="H324" s="24" t="s">
        <v>2388</v>
      </c>
      <c r="I324" s="24" t="s">
        <v>2386</v>
      </c>
      <c r="J324" s="24" t="s">
        <v>761</v>
      </c>
      <c r="K324" s="24" t="s">
        <v>1146</v>
      </c>
      <c r="L324" s="25">
        <v>1070</v>
      </c>
      <c r="M324" s="26">
        <v>7.99</v>
      </c>
      <c r="N324" s="27">
        <v>7.99</v>
      </c>
      <c r="O324" s="28">
        <v>7.2636363636363636E-3</v>
      </c>
      <c r="P324" s="28">
        <v>7.5657522123893814</v>
      </c>
    </row>
    <row r="325" spans="1:16" x14ac:dyDescent="0.3">
      <c r="A325" t="s">
        <v>3234</v>
      </c>
      <c r="B325" s="24">
        <v>150518</v>
      </c>
      <c r="C325" s="24" t="s">
        <v>2197</v>
      </c>
      <c r="D325" s="24" t="s">
        <v>2179</v>
      </c>
      <c r="E325" s="24" t="s">
        <v>2179</v>
      </c>
      <c r="F325" s="24" t="s">
        <v>1349</v>
      </c>
      <c r="G325" s="24" t="s">
        <v>2180</v>
      </c>
      <c r="H325" s="24" t="s">
        <v>2390</v>
      </c>
      <c r="I325" s="24" t="s">
        <v>2391</v>
      </c>
      <c r="J325" s="24" t="s">
        <v>761</v>
      </c>
      <c r="K325" s="24" t="s">
        <v>1352</v>
      </c>
      <c r="L325" s="25">
        <v>1</v>
      </c>
      <c r="M325" s="26">
        <v>12000</v>
      </c>
      <c r="N325" s="27">
        <v>10.909090909090908</v>
      </c>
      <c r="O325" s="28">
        <v>10.909090909090908</v>
      </c>
      <c r="P325" s="28">
        <v>10.619469026548673</v>
      </c>
    </row>
    <row r="326" spans="1:16" x14ac:dyDescent="0.3">
      <c r="A326" t="s">
        <v>3235</v>
      </c>
      <c r="B326" s="24">
        <v>142612</v>
      </c>
      <c r="C326" s="24" t="s">
        <v>2234</v>
      </c>
      <c r="D326" s="24" t="s">
        <v>2179</v>
      </c>
      <c r="E326" s="24" t="s">
        <v>2179</v>
      </c>
      <c r="F326" s="24" t="s">
        <v>1349</v>
      </c>
      <c r="G326" s="24" t="s">
        <v>2208</v>
      </c>
      <c r="H326" s="24" t="s">
        <v>2392</v>
      </c>
      <c r="I326" s="24" t="s">
        <v>2386</v>
      </c>
      <c r="J326" s="24" t="s">
        <v>761</v>
      </c>
      <c r="K326" s="24" t="s">
        <v>2194</v>
      </c>
      <c r="L326" s="25">
        <v>1300</v>
      </c>
      <c r="M326" s="26">
        <v>8</v>
      </c>
      <c r="N326" s="27">
        <v>9.2035398230088497</v>
      </c>
      <c r="O326" s="28">
        <v>7.2727272727272727E-3</v>
      </c>
      <c r="P326" s="28">
        <v>9.2035398230088497</v>
      </c>
    </row>
    <row r="327" spans="1:16" x14ac:dyDescent="0.3">
      <c r="A327" t="s">
        <v>3236</v>
      </c>
      <c r="B327" s="24">
        <v>142825</v>
      </c>
      <c r="C327" s="24" t="s">
        <v>2218</v>
      </c>
      <c r="D327" s="24" t="s">
        <v>2179</v>
      </c>
      <c r="E327" s="24" t="s">
        <v>2179</v>
      </c>
      <c r="F327" s="24" t="s">
        <v>1349</v>
      </c>
      <c r="G327" s="24" t="s">
        <v>2208</v>
      </c>
      <c r="H327" s="24" t="s">
        <v>2392</v>
      </c>
      <c r="I327" s="24" t="s">
        <v>2386</v>
      </c>
      <c r="J327" s="24" t="s">
        <v>761</v>
      </c>
      <c r="K327" s="24" t="s">
        <v>1146</v>
      </c>
      <c r="L327" s="25">
        <v>1070</v>
      </c>
      <c r="M327" s="26">
        <v>10</v>
      </c>
      <c r="N327" s="27">
        <v>10</v>
      </c>
      <c r="O327" s="28">
        <v>9.0909090909090905E-3</v>
      </c>
      <c r="P327" s="28">
        <v>9.4690265486725664</v>
      </c>
    </row>
    <row r="328" spans="1:16" x14ac:dyDescent="0.3">
      <c r="A328" t="s">
        <v>3237</v>
      </c>
      <c r="B328" s="24">
        <v>150518</v>
      </c>
      <c r="C328" s="24" t="s">
        <v>2197</v>
      </c>
      <c r="D328" s="24" t="s">
        <v>2179</v>
      </c>
      <c r="E328" s="24" t="s">
        <v>2179</v>
      </c>
      <c r="F328" s="24" t="s">
        <v>1349</v>
      </c>
      <c r="G328" s="24" t="s">
        <v>2180</v>
      </c>
      <c r="H328" s="24" t="s">
        <v>2392</v>
      </c>
      <c r="I328" s="24" t="s">
        <v>2386</v>
      </c>
      <c r="J328" s="24" t="s">
        <v>761</v>
      </c>
      <c r="K328" s="24" t="s">
        <v>1352</v>
      </c>
      <c r="L328" s="25">
        <v>1</v>
      </c>
      <c r="M328" s="26">
        <v>12500</v>
      </c>
      <c r="N328" s="27">
        <v>11.363636363636363</v>
      </c>
      <c r="O328" s="28">
        <v>11.363636363636363</v>
      </c>
      <c r="P328" s="28">
        <v>11.061946902654867</v>
      </c>
    </row>
    <row r="329" spans="1:16" x14ac:dyDescent="0.3">
      <c r="A329" t="s">
        <v>3238</v>
      </c>
      <c r="B329" s="24">
        <v>300068</v>
      </c>
      <c r="C329" s="24" t="s">
        <v>2393</v>
      </c>
      <c r="D329" s="24" t="s">
        <v>2179</v>
      </c>
      <c r="E329" s="24" t="s">
        <v>2179</v>
      </c>
      <c r="F329" s="24" t="s">
        <v>1237</v>
      </c>
      <c r="G329" s="24" t="s">
        <v>2216</v>
      </c>
      <c r="H329" s="24" t="s">
        <v>2392</v>
      </c>
      <c r="I329" s="24" t="s">
        <v>2386</v>
      </c>
      <c r="J329" s="24" t="s">
        <v>761</v>
      </c>
      <c r="K329" s="24" t="s">
        <v>1146</v>
      </c>
      <c r="L329" s="25">
        <v>1070</v>
      </c>
      <c r="M329" s="26">
        <v>4.18</v>
      </c>
      <c r="N329" s="27">
        <v>4.18</v>
      </c>
      <c r="O329" s="28">
        <v>3.7999999999999996E-3</v>
      </c>
      <c r="P329" s="28">
        <v>3.9580530973451324</v>
      </c>
    </row>
    <row r="330" spans="1:16" x14ac:dyDescent="0.3">
      <c r="A330" t="s">
        <v>3239</v>
      </c>
      <c r="B330" s="24">
        <v>300070</v>
      </c>
      <c r="C330" s="24" t="s">
        <v>2223</v>
      </c>
      <c r="D330" s="24" t="s">
        <v>2179</v>
      </c>
      <c r="E330" s="24" t="s">
        <v>2179</v>
      </c>
      <c r="F330" s="24" t="s">
        <v>1237</v>
      </c>
      <c r="G330" s="24" t="s">
        <v>2216</v>
      </c>
      <c r="H330" s="24" t="s">
        <v>2392</v>
      </c>
      <c r="I330" s="24" t="s">
        <v>2386</v>
      </c>
      <c r="J330" s="24" t="s">
        <v>761</v>
      </c>
      <c r="K330" s="24" t="s">
        <v>1146</v>
      </c>
      <c r="L330" s="25">
        <v>1070</v>
      </c>
      <c r="M330" s="26">
        <v>4.18</v>
      </c>
      <c r="N330" s="27">
        <v>4.18</v>
      </c>
      <c r="O330" s="28">
        <v>3.7999999999999996E-3</v>
      </c>
      <c r="P330" s="28">
        <v>3.9580530973451324</v>
      </c>
    </row>
    <row r="331" spans="1:16" x14ac:dyDescent="0.3">
      <c r="A331" t="s">
        <v>3240</v>
      </c>
      <c r="B331" s="24">
        <v>142651</v>
      </c>
      <c r="C331" s="24" t="s">
        <v>2178</v>
      </c>
      <c r="D331" s="24" t="s">
        <v>2179</v>
      </c>
      <c r="E331" s="24" t="s">
        <v>2179</v>
      </c>
      <c r="F331" s="24" t="s">
        <v>1349</v>
      </c>
      <c r="G331" s="24" t="s">
        <v>2180</v>
      </c>
      <c r="H331" s="24" t="s">
        <v>2394</v>
      </c>
      <c r="I331" s="24" t="s">
        <v>2386</v>
      </c>
      <c r="J331" s="24" t="s">
        <v>761</v>
      </c>
      <c r="K331" s="24" t="s">
        <v>1352</v>
      </c>
      <c r="L331" s="25">
        <v>1</v>
      </c>
      <c r="M331" s="26">
        <v>13000</v>
      </c>
      <c r="N331" s="27">
        <v>11.818181818181818</v>
      </c>
      <c r="O331" s="28">
        <v>11.818181818181818</v>
      </c>
      <c r="P331" s="28">
        <v>11.504424778761061</v>
      </c>
    </row>
    <row r="332" spans="1:16" x14ac:dyDescent="0.3">
      <c r="A332" t="s">
        <v>3241</v>
      </c>
      <c r="B332" s="24">
        <v>142664</v>
      </c>
      <c r="C332" s="24" t="s">
        <v>2236</v>
      </c>
      <c r="D332" s="24" t="s">
        <v>2179</v>
      </c>
      <c r="E332" s="24" t="s">
        <v>2179</v>
      </c>
      <c r="F332" s="24" t="s">
        <v>1349</v>
      </c>
      <c r="G332" s="24" t="s">
        <v>2208</v>
      </c>
      <c r="H332" s="24" t="s">
        <v>2394</v>
      </c>
      <c r="I332" s="24" t="s">
        <v>2386</v>
      </c>
      <c r="J332" s="24" t="s">
        <v>761</v>
      </c>
      <c r="K332" s="24" t="s">
        <v>1146</v>
      </c>
      <c r="L332" s="25">
        <v>1070</v>
      </c>
      <c r="M332" s="26">
        <v>11</v>
      </c>
      <c r="N332" s="27">
        <v>11</v>
      </c>
      <c r="O332" s="28">
        <v>0.01</v>
      </c>
      <c r="P332" s="28">
        <v>10.415929203539823</v>
      </c>
    </row>
    <row r="333" spans="1:16" x14ac:dyDescent="0.3">
      <c r="A333" t="s">
        <v>3242</v>
      </c>
      <c r="B333" s="24">
        <v>150518</v>
      </c>
      <c r="C333" s="24" t="s">
        <v>2197</v>
      </c>
      <c r="D333" s="24" t="s">
        <v>2179</v>
      </c>
      <c r="E333" s="24" t="s">
        <v>2179</v>
      </c>
      <c r="F333" s="24" t="s">
        <v>1349</v>
      </c>
      <c r="G333" s="24" t="s">
        <v>2180</v>
      </c>
      <c r="H333" s="24" t="s">
        <v>2394</v>
      </c>
      <c r="I333" s="24" t="s">
        <v>2386</v>
      </c>
      <c r="J333" s="24" t="s">
        <v>761</v>
      </c>
      <c r="K333" s="24" t="s">
        <v>1352</v>
      </c>
      <c r="L333" s="25">
        <v>1</v>
      </c>
      <c r="M333" s="26">
        <v>14100</v>
      </c>
      <c r="N333" s="27">
        <v>12.818181818181818</v>
      </c>
      <c r="O333" s="28">
        <v>12.818181818181818</v>
      </c>
      <c r="P333" s="28">
        <v>12.477876106194691</v>
      </c>
    </row>
    <row r="334" spans="1:16" x14ac:dyDescent="0.3">
      <c r="A334" t="s">
        <v>3243</v>
      </c>
      <c r="B334" s="24">
        <v>300008</v>
      </c>
      <c r="C334" s="24" t="s">
        <v>2219</v>
      </c>
      <c r="D334" s="24" t="s">
        <v>2179</v>
      </c>
      <c r="E334" s="24" t="s">
        <v>2179</v>
      </c>
      <c r="F334" s="24" t="s">
        <v>2220</v>
      </c>
      <c r="G334" s="24" t="s">
        <v>2179</v>
      </c>
      <c r="H334" s="24" t="s">
        <v>2394</v>
      </c>
      <c r="I334" s="24" t="s">
        <v>2386</v>
      </c>
      <c r="J334" s="24" t="s">
        <v>761</v>
      </c>
      <c r="K334" s="24" t="s">
        <v>1146</v>
      </c>
      <c r="L334" s="25">
        <v>1070</v>
      </c>
      <c r="M334" s="26">
        <v>12</v>
      </c>
      <c r="N334" s="27">
        <v>12</v>
      </c>
      <c r="O334" s="28">
        <v>1.090909090909091E-2</v>
      </c>
      <c r="P334" s="28">
        <v>11.36283185840708</v>
      </c>
    </row>
    <row r="335" spans="1:16" x14ac:dyDescent="0.3">
      <c r="A335" t="s">
        <v>3244</v>
      </c>
      <c r="B335" s="24">
        <v>300017</v>
      </c>
      <c r="C335" s="24" t="s">
        <v>2265</v>
      </c>
      <c r="D335" s="24" t="s">
        <v>2179</v>
      </c>
      <c r="E335" s="24" t="s">
        <v>2179</v>
      </c>
      <c r="F335" s="24" t="s">
        <v>1349</v>
      </c>
      <c r="G335" s="24" t="s">
        <v>2208</v>
      </c>
      <c r="H335" s="24" t="s">
        <v>2394</v>
      </c>
      <c r="I335" s="24" t="s">
        <v>2386</v>
      </c>
      <c r="J335" s="24" t="s">
        <v>761</v>
      </c>
      <c r="K335" s="24" t="s">
        <v>1146</v>
      </c>
      <c r="L335" s="25">
        <v>1070</v>
      </c>
      <c r="M335" s="26">
        <v>10</v>
      </c>
      <c r="N335" s="27">
        <v>10</v>
      </c>
      <c r="O335" s="28">
        <v>9.0909090909090905E-3</v>
      </c>
      <c r="P335" s="28">
        <v>9.4690265486725664</v>
      </c>
    </row>
    <row r="336" spans="1:16" x14ac:dyDescent="0.3">
      <c r="A336" t="s">
        <v>3245</v>
      </c>
      <c r="B336" s="24">
        <v>300023</v>
      </c>
      <c r="C336" s="24" t="s">
        <v>2264</v>
      </c>
      <c r="D336" s="24" t="s">
        <v>2179</v>
      </c>
      <c r="E336" s="24" t="s">
        <v>2179</v>
      </c>
      <c r="F336" s="24" t="s">
        <v>1349</v>
      </c>
      <c r="G336" s="24" t="s">
        <v>2208</v>
      </c>
      <c r="H336" s="24" t="s">
        <v>2394</v>
      </c>
      <c r="I336" s="24" t="s">
        <v>2386</v>
      </c>
      <c r="J336" s="24" t="s">
        <v>761</v>
      </c>
      <c r="K336" s="24" t="s">
        <v>2194</v>
      </c>
      <c r="L336" s="25">
        <v>1300</v>
      </c>
      <c r="M336" s="26">
        <v>8</v>
      </c>
      <c r="N336" s="27">
        <v>9.2035398230088497</v>
      </c>
      <c r="O336" s="28">
        <v>7.2727272727272727E-3</v>
      </c>
      <c r="P336" s="28">
        <v>9.2035398230088497</v>
      </c>
    </row>
    <row r="337" spans="1:16" x14ac:dyDescent="0.3">
      <c r="A337" t="s">
        <v>3246</v>
      </c>
      <c r="B337" s="24">
        <v>300032</v>
      </c>
      <c r="C337" s="24" t="s">
        <v>2183</v>
      </c>
      <c r="D337" s="24" t="s">
        <v>2179</v>
      </c>
      <c r="E337" s="24" t="s">
        <v>2179</v>
      </c>
      <c r="F337" s="24" t="s">
        <v>1349</v>
      </c>
      <c r="G337" s="24" t="s">
        <v>2180</v>
      </c>
      <c r="H337" s="24" t="s">
        <v>2394</v>
      </c>
      <c r="I337" s="24" t="s">
        <v>2386</v>
      </c>
      <c r="J337" s="24" t="s">
        <v>761</v>
      </c>
      <c r="K337" s="24" t="s">
        <v>1352</v>
      </c>
      <c r="L337" s="25">
        <v>1</v>
      </c>
      <c r="M337" s="26">
        <v>12000</v>
      </c>
      <c r="N337" s="27">
        <v>10.909090909090908</v>
      </c>
      <c r="O337" s="28">
        <v>10.909090909090908</v>
      </c>
      <c r="P337" s="28">
        <v>10.619469026548673</v>
      </c>
    </row>
    <row r="338" spans="1:16" x14ac:dyDescent="0.3">
      <c r="A338" t="s">
        <v>3247</v>
      </c>
      <c r="B338" s="24">
        <v>300039</v>
      </c>
      <c r="C338" s="24" t="s">
        <v>2221</v>
      </c>
      <c r="D338" s="24" t="s">
        <v>2179</v>
      </c>
      <c r="E338" s="24" t="s">
        <v>2179</v>
      </c>
      <c r="F338" s="24" t="s">
        <v>1349</v>
      </c>
      <c r="G338" s="24" t="s">
        <v>2199</v>
      </c>
      <c r="H338" s="24" t="s">
        <v>2394</v>
      </c>
      <c r="I338" s="24" t="s">
        <v>2386</v>
      </c>
      <c r="J338" s="24" t="s">
        <v>761</v>
      </c>
      <c r="K338" s="24" t="s">
        <v>1146</v>
      </c>
      <c r="L338" s="25">
        <v>1070</v>
      </c>
      <c r="M338" s="26">
        <v>12.15</v>
      </c>
      <c r="N338" s="27">
        <v>12.15</v>
      </c>
      <c r="O338" s="28">
        <v>1.1045454545454546E-2</v>
      </c>
      <c r="P338" s="28">
        <v>11.504867256637167</v>
      </c>
    </row>
    <row r="339" spans="1:16" x14ac:dyDescent="0.3">
      <c r="A339" t="s">
        <v>3248</v>
      </c>
      <c r="B339" s="24">
        <v>300040</v>
      </c>
      <c r="C339" s="24" t="s">
        <v>2255</v>
      </c>
      <c r="D339" s="24" t="s">
        <v>2179</v>
      </c>
      <c r="E339" s="24" t="s">
        <v>2179</v>
      </c>
      <c r="F339" s="24" t="s">
        <v>1349</v>
      </c>
      <c r="G339" s="24" t="s">
        <v>2208</v>
      </c>
      <c r="H339" s="24" t="s">
        <v>2394</v>
      </c>
      <c r="I339" s="24" t="s">
        <v>2386</v>
      </c>
      <c r="J339" s="24" t="s">
        <v>761</v>
      </c>
      <c r="K339" s="24" t="s">
        <v>1146</v>
      </c>
      <c r="L339" s="25">
        <v>1070</v>
      </c>
      <c r="M339" s="26">
        <v>12</v>
      </c>
      <c r="N339" s="27">
        <v>12</v>
      </c>
      <c r="O339" s="28">
        <v>1.090909090909091E-2</v>
      </c>
      <c r="P339" s="28">
        <v>11.36283185840708</v>
      </c>
    </row>
    <row r="340" spans="1:16" x14ac:dyDescent="0.3">
      <c r="A340" t="s">
        <v>3249</v>
      </c>
      <c r="B340" s="24">
        <v>300055</v>
      </c>
      <c r="C340" s="24" t="s">
        <v>2222</v>
      </c>
      <c r="D340" s="24" t="s">
        <v>2179</v>
      </c>
      <c r="E340" s="24" t="s">
        <v>2179</v>
      </c>
      <c r="F340" s="24" t="s">
        <v>1349</v>
      </c>
      <c r="G340" s="24" t="s">
        <v>2199</v>
      </c>
      <c r="H340" s="24" t="s">
        <v>2394</v>
      </c>
      <c r="I340" s="24" t="s">
        <v>2386</v>
      </c>
      <c r="J340" s="24" t="s">
        <v>761</v>
      </c>
      <c r="K340" s="24" t="s">
        <v>1146</v>
      </c>
      <c r="L340" s="25">
        <v>1070</v>
      </c>
      <c r="M340" s="26">
        <v>12.15</v>
      </c>
      <c r="N340" s="27">
        <v>12.15</v>
      </c>
      <c r="O340" s="28">
        <v>1.1045454545454546E-2</v>
      </c>
      <c r="P340" s="28">
        <v>11.504867256637167</v>
      </c>
    </row>
    <row r="341" spans="1:16" x14ac:dyDescent="0.3">
      <c r="A341" t="s">
        <v>3250</v>
      </c>
      <c r="B341" s="24">
        <v>300059</v>
      </c>
      <c r="C341" s="24" t="s">
        <v>2279</v>
      </c>
      <c r="D341" s="24" t="s">
        <v>2179</v>
      </c>
      <c r="E341" s="24" t="s">
        <v>2179</v>
      </c>
      <c r="F341" s="24" t="s">
        <v>1237</v>
      </c>
      <c r="G341" s="24" t="s">
        <v>2216</v>
      </c>
      <c r="H341" s="24" t="s">
        <v>2394</v>
      </c>
      <c r="I341" s="24" t="s">
        <v>2386</v>
      </c>
      <c r="J341" s="24" t="s">
        <v>761</v>
      </c>
      <c r="K341" s="24" t="s">
        <v>1146</v>
      </c>
      <c r="L341" s="25">
        <v>1070</v>
      </c>
      <c r="M341" s="26">
        <v>11.78</v>
      </c>
      <c r="N341" s="27">
        <v>11.78</v>
      </c>
      <c r="O341" s="28">
        <v>1.0709090909090908E-2</v>
      </c>
      <c r="P341" s="28">
        <v>11.154513274336281</v>
      </c>
    </row>
    <row r="342" spans="1:16" x14ac:dyDescent="0.3">
      <c r="A342" t="s">
        <v>3251</v>
      </c>
      <c r="B342" s="24">
        <v>300067</v>
      </c>
      <c r="C342" s="24" t="s">
        <v>2198</v>
      </c>
      <c r="D342" s="24" t="s">
        <v>2179</v>
      </c>
      <c r="E342" s="24" t="s">
        <v>2179</v>
      </c>
      <c r="F342" s="24" t="s">
        <v>1349</v>
      </c>
      <c r="G342" s="24" t="s">
        <v>2199</v>
      </c>
      <c r="H342" s="24" t="s">
        <v>2394</v>
      </c>
      <c r="I342" s="24" t="s">
        <v>2386</v>
      </c>
      <c r="J342" s="24" t="s">
        <v>761</v>
      </c>
      <c r="K342" s="24" t="s">
        <v>1146</v>
      </c>
      <c r="L342" s="25">
        <v>1070</v>
      </c>
      <c r="M342" s="26">
        <v>13</v>
      </c>
      <c r="N342" s="27">
        <v>13</v>
      </c>
      <c r="O342" s="28">
        <v>1.1818181818181818E-2</v>
      </c>
      <c r="P342" s="28">
        <v>12.309734513274336</v>
      </c>
    </row>
    <row r="343" spans="1:16" x14ac:dyDescent="0.3">
      <c r="A343" t="s">
        <v>3252</v>
      </c>
      <c r="B343" s="24">
        <v>142603</v>
      </c>
      <c r="C343" s="24" t="s">
        <v>2207</v>
      </c>
      <c r="D343" s="24" t="s">
        <v>2179</v>
      </c>
      <c r="E343" s="24" t="s">
        <v>2179</v>
      </c>
      <c r="F343" s="24" t="s">
        <v>1349</v>
      </c>
      <c r="G343" s="24" t="s">
        <v>2208</v>
      </c>
      <c r="H343" s="24" t="s">
        <v>2395</v>
      </c>
      <c r="I343" s="24" t="s">
        <v>2396</v>
      </c>
      <c r="J343" s="24" t="s">
        <v>761</v>
      </c>
      <c r="K343" s="24" t="s">
        <v>1146</v>
      </c>
      <c r="L343" s="25">
        <v>1070</v>
      </c>
      <c r="M343" s="26">
        <v>8.59</v>
      </c>
      <c r="N343" s="27">
        <v>8.59</v>
      </c>
      <c r="O343" s="28">
        <v>7.8090909090909088E-3</v>
      </c>
      <c r="P343" s="28">
        <v>8.133893805309734</v>
      </c>
    </row>
    <row r="344" spans="1:16" x14ac:dyDescent="0.3">
      <c r="A344" t="s">
        <v>3253</v>
      </c>
      <c r="B344" s="24">
        <v>142368</v>
      </c>
      <c r="C344" s="24" t="s">
        <v>2186</v>
      </c>
      <c r="D344" s="24" t="s">
        <v>2179</v>
      </c>
      <c r="E344" s="24" t="s">
        <v>2179</v>
      </c>
      <c r="F344" s="24" t="s">
        <v>1349</v>
      </c>
      <c r="G344" s="24" t="s">
        <v>2187</v>
      </c>
      <c r="H344" s="24" t="s">
        <v>2397</v>
      </c>
      <c r="I344" s="24" t="s">
        <v>2398</v>
      </c>
      <c r="J344" s="24" t="s">
        <v>761</v>
      </c>
      <c r="K344" s="24" t="s">
        <v>1352</v>
      </c>
      <c r="L344" s="25">
        <v>1</v>
      </c>
      <c r="M344" s="26">
        <v>10000</v>
      </c>
      <c r="N344" s="27">
        <v>9.0909090909090917</v>
      </c>
      <c r="O344" s="28">
        <v>9.0909090909090917</v>
      </c>
      <c r="P344" s="28">
        <v>8.8495575221238933</v>
      </c>
    </row>
    <row r="345" spans="1:16" x14ac:dyDescent="0.3">
      <c r="A345" t="s">
        <v>3254</v>
      </c>
      <c r="B345" s="24">
        <v>300042</v>
      </c>
      <c r="C345" s="24" t="s">
        <v>2190</v>
      </c>
      <c r="D345" s="24" t="s">
        <v>2179</v>
      </c>
      <c r="E345" s="24" t="s">
        <v>2179</v>
      </c>
      <c r="F345" s="24" t="s">
        <v>1349</v>
      </c>
      <c r="G345" s="24" t="s">
        <v>2191</v>
      </c>
      <c r="H345" s="24" t="s">
        <v>2399</v>
      </c>
      <c r="I345" s="24" t="s">
        <v>2400</v>
      </c>
      <c r="J345" s="24" t="s">
        <v>761</v>
      </c>
      <c r="K345" s="24" t="s">
        <v>2194</v>
      </c>
      <c r="L345" s="25">
        <v>1300</v>
      </c>
      <c r="M345" s="26">
        <v>9.68</v>
      </c>
      <c r="N345" s="27">
        <v>11.136283185840709</v>
      </c>
      <c r="O345" s="28">
        <v>8.8000000000000005E-3</v>
      </c>
      <c r="P345" s="28">
        <v>11.136283185840709</v>
      </c>
    </row>
    <row r="346" spans="1:16" x14ac:dyDescent="0.3">
      <c r="A346" t="s">
        <v>3255</v>
      </c>
      <c r="B346" s="24">
        <v>300146</v>
      </c>
      <c r="C346" s="24" t="s">
        <v>2224</v>
      </c>
      <c r="D346" s="24" t="s">
        <v>2179</v>
      </c>
      <c r="E346" s="24" t="s">
        <v>2179</v>
      </c>
      <c r="F346" s="24" t="s">
        <v>1386</v>
      </c>
      <c r="G346" s="24" t="s">
        <v>2225</v>
      </c>
      <c r="H346" s="24" t="s">
        <v>2399</v>
      </c>
      <c r="I346" s="24" t="s">
        <v>2400</v>
      </c>
      <c r="J346" s="24" t="s">
        <v>761</v>
      </c>
      <c r="K346" s="24" t="s">
        <v>1146</v>
      </c>
      <c r="L346" s="25">
        <v>1070</v>
      </c>
      <c r="M346" s="26">
        <v>8.9499999999999993</v>
      </c>
      <c r="N346" s="27">
        <v>8.9499999999999993</v>
      </c>
      <c r="O346" s="28">
        <v>8.136363636363636E-3</v>
      </c>
      <c r="P346" s="28">
        <v>8.4747787610619465</v>
      </c>
    </row>
    <row r="347" spans="1:16" x14ac:dyDescent="0.3">
      <c r="A347" t="s">
        <v>3256</v>
      </c>
      <c r="B347" s="24">
        <v>142582</v>
      </c>
      <c r="C347" s="24" t="s">
        <v>2253</v>
      </c>
      <c r="D347" s="24" t="s">
        <v>2179</v>
      </c>
      <c r="E347" s="24" t="s">
        <v>2179</v>
      </c>
      <c r="F347" s="24" t="s">
        <v>1349</v>
      </c>
      <c r="G347" s="24" t="s">
        <v>2208</v>
      </c>
      <c r="H347" s="24" t="s">
        <v>2401</v>
      </c>
      <c r="I347" s="24" t="s">
        <v>2402</v>
      </c>
      <c r="J347" s="24" t="s">
        <v>761</v>
      </c>
      <c r="K347" s="24" t="s">
        <v>1146</v>
      </c>
      <c r="L347" s="25">
        <v>1070</v>
      </c>
      <c r="M347" s="26">
        <v>25.7</v>
      </c>
      <c r="N347" s="27">
        <v>25.7</v>
      </c>
      <c r="O347" s="28">
        <v>2.3363636363636364E-2</v>
      </c>
      <c r="P347" s="28">
        <v>24.335398230088497</v>
      </c>
    </row>
    <row r="348" spans="1:16" x14ac:dyDescent="0.3">
      <c r="A348" t="s">
        <v>3257</v>
      </c>
      <c r="B348" s="24">
        <v>142598</v>
      </c>
      <c r="C348" s="24" t="s">
        <v>2403</v>
      </c>
      <c r="D348" s="24" t="s">
        <v>2179</v>
      </c>
      <c r="E348" s="24" t="s">
        <v>2179</v>
      </c>
      <c r="F348" s="24" t="s">
        <v>1349</v>
      </c>
      <c r="G348" s="24" t="s">
        <v>2208</v>
      </c>
      <c r="H348" s="24" t="s">
        <v>2401</v>
      </c>
      <c r="I348" s="24" t="s">
        <v>2402</v>
      </c>
      <c r="J348" s="24" t="s">
        <v>761</v>
      </c>
      <c r="K348" s="24" t="s">
        <v>1146</v>
      </c>
      <c r="L348" s="25">
        <v>1070</v>
      </c>
      <c r="M348" s="26">
        <v>6.75</v>
      </c>
      <c r="N348" s="27">
        <v>6.75</v>
      </c>
      <c r="O348" s="28">
        <v>6.136363636363636E-3</v>
      </c>
      <c r="P348" s="28">
        <v>6.3915929203539825</v>
      </c>
    </row>
    <row r="349" spans="1:16" x14ac:dyDescent="0.3">
      <c r="A349" t="s">
        <v>3258</v>
      </c>
      <c r="B349" s="24">
        <v>142599</v>
      </c>
      <c r="C349" s="24" t="s">
        <v>2233</v>
      </c>
      <c r="D349" s="24" t="s">
        <v>2179</v>
      </c>
      <c r="E349" s="24" t="s">
        <v>2179</v>
      </c>
      <c r="F349" s="24" t="s">
        <v>1349</v>
      </c>
      <c r="G349" s="24" t="s">
        <v>2208</v>
      </c>
      <c r="H349" s="24" t="s">
        <v>2401</v>
      </c>
      <c r="I349" s="24" t="s">
        <v>2402</v>
      </c>
      <c r="J349" s="24" t="s">
        <v>761</v>
      </c>
      <c r="K349" s="24" t="s">
        <v>1146</v>
      </c>
      <c r="L349" s="25">
        <v>1070</v>
      </c>
      <c r="M349" s="26">
        <v>26.93</v>
      </c>
      <c r="N349" s="27">
        <v>26.93</v>
      </c>
      <c r="O349" s="28">
        <v>2.4481818181818181E-2</v>
      </c>
      <c r="P349" s="28">
        <v>25.50008849557522</v>
      </c>
    </row>
    <row r="350" spans="1:16" x14ac:dyDescent="0.3">
      <c r="A350" t="s">
        <v>3259</v>
      </c>
      <c r="B350" s="24">
        <v>142664</v>
      </c>
      <c r="C350" s="24" t="s">
        <v>2236</v>
      </c>
      <c r="D350" s="24" t="s">
        <v>2179</v>
      </c>
      <c r="E350" s="24" t="s">
        <v>2179</v>
      </c>
      <c r="F350" s="24" t="s">
        <v>1349</v>
      </c>
      <c r="G350" s="24" t="s">
        <v>2208</v>
      </c>
      <c r="H350" s="24" t="s">
        <v>2401</v>
      </c>
      <c r="I350" s="24" t="s">
        <v>2402</v>
      </c>
      <c r="J350" s="24" t="s">
        <v>761</v>
      </c>
      <c r="K350" s="24" t="s">
        <v>1146</v>
      </c>
      <c r="L350" s="25">
        <v>1070</v>
      </c>
      <c r="M350" s="26">
        <v>22.26</v>
      </c>
      <c r="N350" s="27">
        <v>22.26</v>
      </c>
      <c r="O350" s="28">
        <v>2.0236363636363639E-2</v>
      </c>
      <c r="P350" s="28">
        <v>21.078053097345133</v>
      </c>
    </row>
    <row r="351" spans="1:16" x14ac:dyDescent="0.3">
      <c r="A351" t="s">
        <v>3260</v>
      </c>
      <c r="B351" s="24">
        <v>142796</v>
      </c>
      <c r="C351" s="24" t="s">
        <v>2237</v>
      </c>
      <c r="D351" s="24" t="s">
        <v>2179</v>
      </c>
      <c r="E351" s="24" t="s">
        <v>2179</v>
      </c>
      <c r="F351" s="24" t="s">
        <v>1349</v>
      </c>
      <c r="G351" s="24" t="s">
        <v>2208</v>
      </c>
      <c r="H351" s="24" t="s">
        <v>2401</v>
      </c>
      <c r="I351" s="24" t="s">
        <v>2402</v>
      </c>
      <c r="J351" s="24" t="s">
        <v>761</v>
      </c>
      <c r="K351" s="24" t="s">
        <v>1146</v>
      </c>
      <c r="L351" s="25">
        <v>1070</v>
      </c>
      <c r="M351" s="26">
        <v>26.15</v>
      </c>
      <c r="N351" s="27">
        <v>26.15</v>
      </c>
      <c r="O351" s="28">
        <v>2.3772727272727272E-2</v>
      </c>
      <c r="P351" s="28">
        <v>24.76150442477876</v>
      </c>
    </row>
    <row r="352" spans="1:16" x14ac:dyDescent="0.3">
      <c r="A352" t="s">
        <v>3261</v>
      </c>
      <c r="B352" s="24">
        <v>142825</v>
      </c>
      <c r="C352" s="24" t="s">
        <v>2218</v>
      </c>
      <c r="D352" s="24" t="s">
        <v>2179</v>
      </c>
      <c r="E352" s="24" t="s">
        <v>2179</v>
      </c>
      <c r="F352" s="24" t="s">
        <v>1349</v>
      </c>
      <c r="G352" s="24" t="s">
        <v>2208</v>
      </c>
      <c r="H352" s="24" t="s">
        <v>2401</v>
      </c>
      <c r="I352" s="24" t="s">
        <v>2402</v>
      </c>
      <c r="J352" s="24" t="s">
        <v>761</v>
      </c>
      <c r="K352" s="24" t="s">
        <v>1146</v>
      </c>
      <c r="L352" s="25">
        <v>1070</v>
      </c>
      <c r="M352" s="26">
        <v>20</v>
      </c>
      <c r="N352" s="27">
        <v>20</v>
      </c>
      <c r="O352" s="28">
        <v>1.8181818181818181E-2</v>
      </c>
      <c r="P352" s="28">
        <v>18.938053097345133</v>
      </c>
    </row>
    <row r="353" spans="1:16" x14ac:dyDescent="0.3">
      <c r="A353" t="s">
        <v>3262</v>
      </c>
      <c r="B353" s="24">
        <v>142612</v>
      </c>
      <c r="C353" s="24" t="s">
        <v>2234</v>
      </c>
      <c r="D353" s="24" t="s">
        <v>2179</v>
      </c>
      <c r="E353" s="24" t="s">
        <v>2179</v>
      </c>
      <c r="F353" s="24" t="s">
        <v>1349</v>
      </c>
      <c r="G353" s="24" t="s">
        <v>2208</v>
      </c>
      <c r="H353" s="24" t="s">
        <v>2404</v>
      </c>
      <c r="I353" s="24" t="s">
        <v>2405</v>
      </c>
      <c r="J353" s="24" t="s">
        <v>761</v>
      </c>
      <c r="K353" s="24" t="s">
        <v>2194</v>
      </c>
      <c r="L353" s="25">
        <v>1300</v>
      </c>
      <c r="M353" s="26">
        <v>20</v>
      </c>
      <c r="N353" s="27">
        <v>23.008849557522122</v>
      </c>
      <c r="O353" s="28">
        <v>1.8181818181818181E-2</v>
      </c>
      <c r="P353" s="28">
        <v>23.008849557522122</v>
      </c>
    </row>
    <row r="354" spans="1:16" x14ac:dyDescent="0.3">
      <c r="A354" t="s">
        <v>3263</v>
      </c>
      <c r="B354" s="24">
        <v>142599</v>
      </c>
      <c r="C354" s="24" t="s">
        <v>2233</v>
      </c>
      <c r="D354" s="24" t="s">
        <v>2179</v>
      </c>
      <c r="E354" s="24" t="s">
        <v>2179</v>
      </c>
      <c r="F354" s="24" t="s">
        <v>1349</v>
      </c>
      <c r="G354" s="24" t="s">
        <v>2208</v>
      </c>
      <c r="H354" s="24" t="s">
        <v>2406</v>
      </c>
      <c r="I354" s="24" t="s">
        <v>2407</v>
      </c>
      <c r="J354" s="24" t="s">
        <v>761</v>
      </c>
      <c r="K354" s="24" t="s">
        <v>1146</v>
      </c>
      <c r="L354" s="25">
        <v>1070</v>
      </c>
      <c r="M354" s="26">
        <v>58.8</v>
      </c>
      <c r="N354" s="27">
        <v>58.8</v>
      </c>
      <c r="O354" s="28">
        <v>5.3454545454545449E-2</v>
      </c>
      <c r="P354" s="28">
        <v>55.677876106194688</v>
      </c>
    </row>
    <row r="355" spans="1:16" x14ac:dyDescent="0.3">
      <c r="A355" t="s">
        <v>3264</v>
      </c>
      <c r="B355" s="24">
        <v>142796</v>
      </c>
      <c r="C355" s="24" t="s">
        <v>2237</v>
      </c>
      <c r="D355" s="24" t="s">
        <v>2179</v>
      </c>
      <c r="E355" s="24" t="s">
        <v>2179</v>
      </c>
      <c r="F355" s="24" t="s">
        <v>1349</v>
      </c>
      <c r="G355" s="24" t="s">
        <v>2208</v>
      </c>
      <c r="H355" s="24" t="s">
        <v>2406</v>
      </c>
      <c r="I355" s="24" t="s">
        <v>2407</v>
      </c>
      <c r="J355" s="24" t="s">
        <v>761</v>
      </c>
      <c r="K355" s="24" t="s">
        <v>1146</v>
      </c>
      <c r="L355" s="25">
        <v>1070</v>
      </c>
      <c r="M355" s="26">
        <v>57.75</v>
      </c>
      <c r="N355" s="27">
        <v>57.75</v>
      </c>
      <c r="O355" s="28">
        <v>5.2499999999999998E-2</v>
      </c>
      <c r="P355" s="28">
        <v>54.68362831858407</v>
      </c>
    </row>
    <row r="356" spans="1:16" x14ac:dyDescent="0.3">
      <c r="A356" t="s">
        <v>3265</v>
      </c>
      <c r="B356" s="24">
        <v>101906</v>
      </c>
      <c r="C356" s="24" t="s">
        <v>2243</v>
      </c>
      <c r="D356" s="24" t="s">
        <v>2179</v>
      </c>
      <c r="E356" s="24" t="s">
        <v>2179</v>
      </c>
      <c r="F356" s="24" t="s">
        <v>1349</v>
      </c>
      <c r="G356" s="24" t="s">
        <v>2180</v>
      </c>
      <c r="H356" s="24" t="s">
        <v>2408</v>
      </c>
      <c r="I356" s="24" t="s">
        <v>2409</v>
      </c>
      <c r="J356" s="24" t="s">
        <v>761</v>
      </c>
      <c r="K356" s="24" t="s">
        <v>1352</v>
      </c>
      <c r="L356" s="25">
        <v>1</v>
      </c>
      <c r="M356" s="26">
        <v>300000</v>
      </c>
      <c r="N356" s="27">
        <v>272.72727272727275</v>
      </c>
      <c r="O356" s="28">
        <v>272.72727272727275</v>
      </c>
      <c r="P356" s="28">
        <v>265.48672566371681</v>
      </c>
    </row>
    <row r="357" spans="1:16" x14ac:dyDescent="0.3">
      <c r="A357" t="s">
        <v>3266</v>
      </c>
      <c r="B357" s="24">
        <v>142475</v>
      </c>
      <c r="C357" s="24" t="s">
        <v>2246</v>
      </c>
      <c r="D357" s="24" t="s">
        <v>2179</v>
      </c>
      <c r="E357" s="24" t="s">
        <v>2179</v>
      </c>
      <c r="F357" s="24" t="s">
        <v>1349</v>
      </c>
      <c r="G357" s="24" t="s">
        <v>2208</v>
      </c>
      <c r="H357" s="24" t="s">
        <v>2408</v>
      </c>
      <c r="I357" s="24" t="s">
        <v>2409</v>
      </c>
      <c r="J357" s="24" t="s">
        <v>761</v>
      </c>
      <c r="K357" s="24" t="s">
        <v>1146</v>
      </c>
      <c r="L357" s="25">
        <v>1070</v>
      </c>
      <c r="M357" s="26">
        <v>200</v>
      </c>
      <c r="N357" s="27">
        <v>200</v>
      </c>
      <c r="O357" s="28">
        <v>0.18181818181818182</v>
      </c>
      <c r="P357" s="28">
        <v>189.38053097345133</v>
      </c>
    </row>
    <row r="358" spans="1:16" x14ac:dyDescent="0.3">
      <c r="A358" t="s">
        <v>3267</v>
      </c>
      <c r="B358" s="24">
        <v>142599</v>
      </c>
      <c r="C358" s="24" t="s">
        <v>2233</v>
      </c>
      <c r="D358" s="24" t="s">
        <v>2179</v>
      </c>
      <c r="E358" s="24" t="s">
        <v>2179</v>
      </c>
      <c r="F358" s="24" t="s">
        <v>1349</v>
      </c>
      <c r="G358" s="24" t="s">
        <v>2208</v>
      </c>
      <c r="H358" s="24" t="s">
        <v>2408</v>
      </c>
      <c r="I358" s="24" t="s">
        <v>2409</v>
      </c>
      <c r="J358" s="24" t="s">
        <v>761</v>
      </c>
      <c r="K358" s="24" t="s">
        <v>1146</v>
      </c>
      <c r="L358" s="25">
        <v>1070</v>
      </c>
      <c r="M358" s="26">
        <v>350</v>
      </c>
      <c r="N358" s="27">
        <v>350</v>
      </c>
      <c r="O358" s="28">
        <v>0.31818181818181818</v>
      </c>
      <c r="P358" s="28">
        <v>331.4159292035398</v>
      </c>
    </row>
    <row r="359" spans="1:16" x14ac:dyDescent="0.3">
      <c r="A359" t="s">
        <v>3268</v>
      </c>
      <c r="B359" s="24">
        <v>142603</v>
      </c>
      <c r="C359" s="24" t="s">
        <v>2207</v>
      </c>
      <c r="D359" s="24" t="s">
        <v>2179</v>
      </c>
      <c r="E359" s="24" t="s">
        <v>2179</v>
      </c>
      <c r="F359" s="24" t="s">
        <v>1349</v>
      </c>
      <c r="G359" s="24" t="s">
        <v>2208</v>
      </c>
      <c r="H359" s="24" t="s">
        <v>2408</v>
      </c>
      <c r="I359" s="24" t="s">
        <v>2409</v>
      </c>
      <c r="J359" s="24" t="s">
        <v>761</v>
      </c>
      <c r="K359" s="24" t="s">
        <v>1146</v>
      </c>
      <c r="L359" s="25">
        <v>1070</v>
      </c>
      <c r="M359" s="26">
        <v>320</v>
      </c>
      <c r="N359" s="27">
        <v>320</v>
      </c>
      <c r="O359" s="28">
        <v>0.29090909090909089</v>
      </c>
      <c r="P359" s="28">
        <v>303.00884955752213</v>
      </c>
    </row>
    <row r="360" spans="1:16" x14ac:dyDescent="0.3">
      <c r="A360" t="s">
        <v>3269</v>
      </c>
      <c r="B360" s="24">
        <v>142612</v>
      </c>
      <c r="C360" s="24" t="s">
        <v>2234</v>
      </c>
      <c r="D360" s="24" t="s">
        <v>2179</v>
      </c>
      <c r="E360" s="24" t="s">
        <v>2179</v>
      </c>
      <c r="F360" s="24" t="s">
        <v>1349</v>
      </c>
      <c r="G360" s="24" t="s">
        <v>2208</v>
      </c>
      <c r="H360" s="24" t="s">
        <v>2408</v>
      </c>
      <c r="I360" s="24" t="s">
        <v>2409</v>
      </c>
      <c r="J360" s="24" t="s">
        <v>761</v>
      </c>
      <c r="K360" s="24" t="s">
        <v>2194</v>
      </c>
      <c r="L360" s="25">
        <v>1300</v>
      </c>
      <c r="M360" s="26">
        <v>400</v>
      </c>
      <c r="N360" s="27">
        <v>460.17699115044246</v>
      </c>
      <c r="O360" s="28">
        <v>0.36363636363636365</v>
      </c>
      <c r="P360" s="28">
        <v>460.17699115044246</v>
      </c>
    </row>
    <row r="361" spans="1:16" x14ac:dyDescent="0.3">
      <c r="A361" t="s">
        <v>3270</v>
      </c>
      <c r="B361" s="24">
        <v>142662</v>
      </c>
      <c r="C361" s="24" t="s">
        <v>2389</v>
      </c>
      <c r="D361" s="24" t="s">
        <v>2179</v>
      </c>
      <c r="E361" s="24" t="s">
        <v>2179</v>
      </c>
      <c r="F361" s="24" t="s">
        <v>1349</v>
      </c>
      <c r="G361" s="24" t="s">
        <v>2208</v>
      </c>
      <c r="H361" s="24" t="s">
        <v>2408</v>
      </c>
      <c r="I361" s="24" t="s">
        <v>2409</v>
      </c>
      <c r="J361" s="24" t="s">
        <v>761</v>
      </c>
      <c r="K361" s="24" t="s">
        <v>1146</v>
      </c>
      <c r="L361" s="25">
        <v>1070</v>
      </c>
      <c r="M361" s="26">
        <v>320</v>
      </c>
      <c r="N361" s="27">
        <v>320</v>
      </c>
      <c r="O361" s="28">
        <v>0.29090909090909089</v>
      </c>
      <c r="P361" s="28">
        <v>303.00884955752213</v>
      </c>
    </row>
    <row r="362" spans="1:16" x14ac:dyDescent="0.3">
      <c r="A362" t="s">
        <v>3271</v>
      </c>
      <c r="B362" s="24">
        <v>142796</v>
      </c>
      <c r="C362" s="24" t="s">
        <v>2237</v>
      </c>
      <c r="D362" s="24" t="s">
        <v>2179</v>
      </c>
      <c r="E362" s="24" t="s">
        <v>2179</v>
      </c>
      <c r="F362" s="24" t="s">
        <v>1349</v>
      </c>
      <c r="G362" s="24" t="s">
        <v>2208</v>
      </c>
      <c r="H362" s="24" t="s">
        <v>2408</v>
      </c>
      <c r="I362" s="24" t="s">
        <v>2409</v>
      </c>
      <c r="J362" s="24" t="s">
        <v>761</v>
      </c>
      <c r="K362" s="24" t="s">
        <v>1146</v>
      </c>
      <c r="L362" s="25">
        <v>1070</v>
      </c>
      <c r="M362" s="26">
        <v>350</v>
      </c>
      <c r="N362" s="27">
        <v>350</v>
      </c>
      <c r="O362" s="28">
        <v>0.31818181818181818</v>
      </c>
      <c r="P362" s="28">
        <v>331.4159292035398</v>
      </c>
    </row>
    <row r="363" spans="1:16" x14ac:dyDescent="0.3">
      <c r="A363" t="s">
        <v>3272</v>
      </c>
      <c r="B363" s="24">
        <v>142807</v>
      </c>
      <c r="C363" s="24" t="s">
        <v>2217</v>
      </c>
      <c r="D363" s="24" t="s">
        <v>2179</v>
      </c>
      <c r="E363" s="24" t="s">
        <v>2179</v>
      </c>
      <c r="F363" s="24" t="s">
        <v>1349</v>
      </c>
      <c r="G363" s="24" t="s">
        <v>2208</v>
      </c>
      <c r="H363" s="24" t="s">
        <v>2408</v>
      </c>
      <c r="I363" s="24" t="s">
        <v>2409</v>
      </c>
      <c r="J363" s="24" t="s">
        <v>761</v>
      </c>
      <c r="K363" s="24" t="s">
        <v>2194</v>
      </c>
      <c r="L363" s="25">
        <v>1300</v>
      </c>
      <c r="M363" s="26">
        <v>250</v>
      </c>
      <c r="N363" s="27">
        <v>287.61061946902657</v>
      </c>
      <c r="O363" s="28">
        <v>0.22727272727272727</v>
      </c>
      <c r="P363" s="28">
        <v>287.61061946902657</v>
      </c>
    </row>
    <row r="364" spans="1:16" x14ac:dyDescent="0.3">
      <c r="A364" t="s">
        <v>3273</v>
      </c>
      <c r="B364" s="24">
        <v>142825</v>
      </c>
      <c r="C364" s="24" t="s">
        <v>2218</v>
      </c>
      <c r="D364" s="24" t="s">
        <v>2179</v>
      </c>
      <c r="E364" s="24" t="s">
        <v>2179</v>
      </c>
      <c r="F364" s="24" t="s">
        <v>1349</v>
      </c>
      <c r="G364" s="24" t="s">
        <v>2208</v>
      </c>
      <c r="H364" s="24" t="s">
        <v>2408</v>
      </c>
      <c r="I364" s="24" t="s">
        <v>2409</v>
      </c>
      <c r="J364" s="24" t="s">
        <v>761</v>
      </c>
      <c r="K364" s="24" t="s">
        <v>1146</v>
      </c>
      <c r="L364" s="25">
        <v>1070</v>
      </c>
      <c r="M364" s="26">
        <v>250</v>
      </c>
      <c r="N364" s="27">
        <v>250</v>
      </c>
      <c r="O364" s="28">
        <v>0.22727272727272727</v>
      </c>
      <c r="P364" s="28">
        <v>236.72566371681415</v>
      </c>
    </row>
    <row r="365" spans="1:16" x14ac:dyDescent="0.3">
      <c r="A365" t="s">
        <v>3274</v>
      </c>
      <c r="B365" s="24">
        <v>300017</v>
      </c>
      <c r="C365" s="24" t="s">
        <v>2265</v>
      </c>
      <c r="D365" s="24" t="s">
        <v>2179</v>
      </c>
      <c r="E365" s="24" t="s">
        <v>2179</v>
      </c>
      <c r="F365" s="24" t="s">
        <v>1349</v>
      </c>
      <c r="G365" s="24" t="s">
        <v>2208</v>
      </c>
      <c r="H365" s="24" t="s">
        <v>2408</v>
      </c>
      <c r="I365" s="24" t="s">
        <v>2409</v>
      </c>
      <c r="J365" s="24" t="s">
        <v>761</v>
      </c>
      <c r="K365" s="24" t="s">
        <v>1146</v>
      </c>
      <c r="L365" s="25">
        <v>1070</v>
      </c>
      <c r="M365" s="26">
        <v>280</v>
      </c>
      <c r="N365" s="27">
        <v>280</v>
      </c>
      <c r="O365" s="28">
        <v>0.25454545454545452</v>
      </c>
      <c r="P365" s="28">
        <v>265.13274336283183</v>
      </c>
    </row>
    <row r="366" spans="1:16" x14ac:dyDescent="0.3">
      <c r="A366" t="s">
        <v>3275</v>
      </c>
      <c r="B366" s="24">
        <v>300022</v>
      </c>
      <c r="C366" s="24" t="s">
        <v>2282</v>
      </c>
      <c r="D366" s="24" t="s">
        <v>2179</v>
      </c>
      <c r="E366" s="24" t="s">
        <v>2179</v>
      </c>
      <c r="F366" s="24" t="s">
        <v>1349</v>
      </c>
      <c r="G366" s="24" t="s">
        <v>2208</v>
      </c>
      <c r="H366" s="24" t="s">
        <v>2408</v>
      </c>
      <c r="I366" s="24" t="s">
        <v>2409</v>
      </c>
      <c r="J366" s="24" t="s">
        <v>761</v>
      </c>
      <c r="K366" s="24" t="s">
        <v>2194</v>
      </c>
      <c r="L366" s="25">
        <v>1300</v>
      </c>
      <c r="M366" s="26">
        <v>335</v>
      </c>
      <c r="N366" s="27">
        <v>385.39823008849555</v>
      </c>
      <c r="O366" s="28">
        <v>0.30454545454545456</v>
      </c>
      <c r="P366" s="28">
        <v>385.39823008849555</v>
      </c>
    </row>
    <row r="367" spans="1:16" x14ac:dyDescent="0.3">
      <c r="A367" t="s">
        <v>3276</v>
      </c>
      <c r="B367" s="24">
        <v>300023</v>
      </c>
      <c r="C367" s="24" t="s">
        <v>2264</v>
      </c>
      <c r="D367" s="24" t="s">
        <v>2179</v>
      </c>
      <c r="E367" s="24" t="s">
        <v>2179</v>
      </c>
      <c r="F367" s="24" t="s">
        <v>1349</v>
      </c>
      <c r="G367" s="24" t="s">
        <v>2208</v>
      </c>
      <c r="H367" s="24" t="s">
        <v>2408</v>
      </c>
      <c r="I367" s="24" t="s">
        <v>2409</v>
      </c>
      <c r="J367" s="24" t="s">
        <v>761</v>
      </c>
      <c r="K367" s="24" t="s">
        <v>2194</v>
      </c>
      <c r="L367" s="25">
        <v>1300</v>
      </c>
      <c r="M367" s="26">
        <v>270</v>
      </c>
      <c r="N367" s="27">
        <v>310.6194690265487</v>
      </c>
      <c r="O367" s="28">
        <v>0.24545454545454545</v>
      </c>
      <c r="P367" s="28">
        <v>310.6194690265487</v>
      </c>
    </row>
    <row r="368" spans="1:16" x14ac:dyDescent="0.3">
      <c r="A368" t="s">
        <v>3277</v>
      </c>
      <c r="B368" s="24">
        <v>142603</v>
      </c>
      <c r="C368" s="24" t="s">
        <v>2207</v>
      </c>
      <c r="D368" s="24" t="s">
        <v>2179</v>
      </c>
      <c r="E368" s="24" t="s">
        <v>2179</v>
      </c>
      <c r="F368" s="24" t="s">
        <v>1349</v>
      </c>
      <c r="G368" s="24" t="s">
        <v>2208</v>
      </c>
      <c r="H368" s="24" t="s">
        <v>2410</v>
      </c>
      <c r="I368" s="24" t="s">
        <v>2411</v>
      </c>
      <c r="J368" s="24" t="s">
        <v>761</v>
      </c>
      <c r="K368" s="24" t="s">
        <v>1146</v>
      </c>
      <c r="L368" s="25">
        <v>1070</v>
      </c>
      <c r="M368" s="26">
        <v>320</v>
      </c>
      <c r="N368" s="27">
        <v>320</v>
      </c>
      <c r="O368" s="28">
        <v>0.29090909090909089</v>
      </c>
      <c r="P368" s="28">
        <v>303.00884955752213</v>
      </c>
    </row>
    <row r="369" spans="1:16" x14ac:dyDescent="0.3">
      <c r="A369" t="s">
        <v>3278</v>
      </c>
      <c r="B369" s="24">
        <v>101906</v>
      </c>
      <c r="C369" s="24" t="s">
        <v>2243</v>
      </c>
      <c r="D369" s="24" t="s">
        <v>2179</v>
      </c>
      <c r="E369" s="24" t="s">
        <v>2179</v>
      </c>
      <c r="F369" s="24" t="s">
        <v>1349</v>
      </c>
      <c r="G369" s="24" t="s">
        <v>2180</v>
      </c>
      <c r="H369" s="24" t="s">
        <v>2412</v>
      </c>
      <c r="I369" s="24" t="s">
        <v>2413</v>
      </c>
      <c r="J369" s="24" t="s">
        <v>761</v>
      </c>
      <c r="K369" s="24" t="s">
        <v>1352</v>
      </c>
      <c r="L369" s="25">
        <v>1</v>
      </c>
      <c r="M369" s="26">
        <v>300000</v>
      </c>
      <c r="N369" s="27">
        <v>272.72727272727275</v>
      </c>
      <c r="O369" s="28">
        <v>272.72727272727275</v>
      </c>
      <c r="P369" s="28">
        <v>265.48672566371681</v>
      </c>
    </row>
    <row r="370" spans="1:16" x14ac:dyDescent="0.3">
      <c r="A370" t="s">
        <v>3279</v>
      </c>
      <c r="B370" s="24">
        <v>141958</v>
      </c>
      <c r="C370" s="24" t="s">
        <v>2352</v>
      </c>
      <c r="D370" s="24" t="s">
        <v>2179</v>
      </c>
      <c r="E370" s="24" t="s">
        <v>2179</v>
      </c>
      <c r="F370" s="24" t="s">
        <v>1349</v>
      </c>
      <c r="G370" s="24" t="s">
        <v>2191</v>
      </c>
      <c r="H370" s="24" t="s">
        <v>2412</v>
      </c>
      <c r="I370" s="24" t="s">
        <v>2413</v>
      </c>
      <c r="J370" s="24" t="s">
        <v>761</v>
      </c>
      <c r="K370" s="24" t="s">
        <v>2194</v>
      </c>
      <c r="L370" s="25">
        <v>1300</v>
      </c>
      <c r="M370" s="26">
        <v>329</v>
      </c>
      <c r="N370" s="27">
        <v>378.49557522123894</v>
      </c>
      <c r="O370" s="28">
        <v>0.29909090909090907</v>
      </c>
      <c r="P370" s="28">
        <v>378.49557522123894</v>
      </c>
    </row>
    <row r="371" spans="1:16" x14ac:dyDescent="0.3">
      <c r="A371" t="s">
        <v>3280</v>
      </c>
      <c r="B371" s="24">
        <v>142368</v>
      </c>
      <c r="C371" s="24" t="s">
        <v>2186</v>
      </c>
      <c r="D371" s="24" t="s">
        <v>2179</v>
      </c>
      <c r="E371" s="24" t="s">
        <v>2179</v>
      </c>
      <c r="F371" s="24" t="s">
        <v>1349</v>
      </c>
      <c r="G371" s="24" t="s">
        <v>2187</v>
      </c>
      <c r="H371" s="24" t="s">
        <v>2412</v>
      </c>
      <c r="I371" s="24" t="s">
        <v>2413</v>
      </c>
      <c r="J371" s="24" t="s">
        <v>761</v>
      </c>
      <c r="K371" s="24" t="s">
        <v>1352</v>
      </c>
      <c r="L371" s="25">
        <v>1</v>
      </c>
      <c r="M371" s="26">
        <v>300000</v>
      </c>
      <c r="N371" s="27">
        <v>272.72727272727275</v>
      </c>
      <c r="O371" s="28">
        <v>272.72727272727275</v>
      </c>
      <c r="P371" s="28">
        <v>265.48672566371681</v>
      </c>
    </row>
    <row r="372" spans="1:16" x14ac:dyDescent="0.3">
      <c r="A372" t="s">
        <v>3281</v>
      </c>
      <c r="B372" s="24">
        <v>142651</v>
      </c>
      <c r="C372" s="24" t="s">
        <v>2178</v>
      </c>
      <c r="D372" s="24" t="s">
        <v>2179</v>
      </c>
      <c r="E372" s="24" t="s">
        <v>2179</v>
      </c>
      <c r="F372" s="24" t="s">
        <v>1349</v>
      </c>
      <c r="G372" s="24" t="s">
        <v>2180</v>
      </c>
      <c r="H372" s="24" t="s">
        <v>2412</v>
      </c>
      <c r="I372" s="24" t="s">
        <v>2413</v>
      </c>
      <c r="J372" s="24" t="s">
        <v>761</v>
      </c>
      <c r="K372" s="24" t="s">
        <v>1352</v>
      </c>
      <c r="L372" s="25">
        <v>1</v>
      </c>
      <c r="M372" s="26">
        <v>300000</v>
      </c>
      <c r="N372" s="27">
        <v>272.72727272727275</v>
      </c>
      <c r="O372" s="28">
        <v>272.72727272727275</v>
      </c>
      <c r="P372" s="28">
        <v>265.48672566371681</v>
      </c>
    </row>
    <row r="373" spans="1:16" x14ac:dyDescent="0.3">
      <c r="A373" t="s">
        <v>3282</v>
      </c>
      <c r="B373" s="24">
        <v>142796</v>
      </c>
      <c r="C373" s="24" t="s">
        <v>2237</v>
      </c>
      <c r="D373" s="24" t="s">
        <v>2179</v>
      </c>
      <c r="E373" s="24" t="s">
        <v>2179</v>
      </c>
      <c r="F373" s="24" t="s">
        <v>1349</v>
      </c>
      <c r="G373" s="24" t="s">
        <v>2208</v>
      </c>
      <c r="H373" s="24" t="s">
        <v>2412</v>
      </c>
      <c r="I373" s="24" t="s">
        <v>2413</v>
      </c>
      <c r="J373" s="24" t="s">
        <v>761</v>
      </c>
      <c r="K373" s="24" t="s">
        <v>1146</v>
      </c>
      <c r="L373" s="25">
        <v>1070</v>
      </c>
      <c r="M373" s="26">
        <v>330</v>
      </c>
      <c r="N373" s="27">
        <v>330</v>
      </c>
      <c r="O373" s="28">
        <v>0.3</v>
      </c>
      <c r="P373" s="28">
        <v>312.47787610619469</v>
      </c>
    </row>
    <row r="374" spans="1:16" x14ac:dyDescent="0.3">
      <c r="A374" t="s">
        <v>3283</v>
      </c>
      <c r="B374" s="24">
        <v>150518</v>
      </c>
      <c r="C374" s="24" t="s">
        <v>2197</v>
      </c>
      <c r="D374" s="24" t="s">
        <v>2179</v>
      </c>
      <c r="E374" s="24" t="s">
        <v>2179</v>
      </c>
      <c r="F374" s="24" t="s">
        <v>1349</v>
      </c>
      <c r="G374" s="24" t="s">
        <v>2180</v>
      </c>
      <c r="H374" s="24" t="s">
        <v>2412</v>
      </c>
      <c r="I374" s="24" t="s">
        <v>2413</v>
      </c>
      <c r="J374" s="24" t="s">
        <v>761</v>
      </c>
      <c r="K374" s="24" t="s">
        <v>1352</v>
      </c>
      <c r="L374" s="25">
        <v>1</v>
      </c>
      <c r="M374" s="26">
        <v>300000</v>
      </c>
      <c r="N374" s="27">
        <v>272.72727272727275</v>
      </c>
      <c r="O374" s="28">
        <v>272.72727272727275</v>
      </c>
      <c r="P374" s="28">
        <v>265.48672566371681</v>
      </c>
    </row>
    <row r="375" spans="1:16" x14ac:dyDescent="0.3">
      <c r="A375" t="s">
        <v>3284</v>
      </c>
      <c r="B375" s="24">
        <v>300032</v>
      </c>
      <c r="C375" s="24" t="s">
        <v>2183</v>
      </c>
      <c r="D375" s="24" t="s">
        <v>2179</v>
      </c>
      <c r="E375" s="24" t="s">
        <v>2179</v>
      </c>
      <c r="F375" s="24" t="s">
        <v>1349</v>
      </c>
      <c r="G375" s="24" t="s">
        <v>2180</v>
      </c>
      <c r="H375" s="24" t="s">
        <v>2412</v>
      </c>
      <c r="I375" s="24" t="s">
        <v>2413</v>
      </c>
      <c r="J375" s="24" t="s">
        <v>761</v>
      </c>
      <c r="K375" s="24" t="s">
        <v>1352</v>
      </c>
      <c r="L375" s="25">
        <v>1</v>
      </c>
      <c r="M375" s="26">
        <v>300000</v>
      </c>
      <c r="N375" s="27">
        <v>272.72727272727275</v>
      </c>
      <c r="O375" s="28">
        <v>272.72727272727275</v>
      </c>
      <c r="P375" s="28">
        <v>265.48672566371681</v>
      </c>
    </row>
    <row r="376" spans="1:16" x14ac:dyDescent="0.3">
      <c r="A376" t="s">
        <v>3285</v>
      </c>
      <c r="B376" s="24">
        <v>300034</v>
      </c>
      <c r="C376" s="24" t="s">
        <v>2184</v>
      </c>
      <c r="D376" s="24" t="s">
        <v>2179</v>
      </c>
      <c r="E376" s="24" t="s">
        <v>2179</v>
      </c>
      <c r="F376" s="24" t="s">
        <v>1349</v>
      </c>
      <c r="G376" s="24" t="s">
        <v>2180</v>
      </c>
      <c r="H376" s="24" t="s">
        <v>2412</v>
      </c>
      <c r="I376" s="24" t="s">
        <v>2413</v>
      </c>
      <c r="J376" s="24" t="s">
        <v>761</v>
      </c>
      <c r="K376" s="24" t="s">
        <v>1352</v>
      </c>
      <c r="L376" s="25">
        <v>1</v>
      </c>
      <c r="M376" s="26">
        <v>300000</v>
      </c>
      <c r="N376" s="27">
        <v>272.72727272727275</v>
      </c>
      <c r="O376" s="28">
        <v>272.72727272727275</v>
      </c>
      <c r="P376" s="28">
        <v>265.48672566371681</v>
      </c>
    </row>
    <row r="377" spans="1:16" x14ac:dyDescent="0.3">
      <c r="A377" t="s">
        <v>3286</v>
      </c>
      <c r="B377" s="24">
        <v>300040</v>
      </c>
      <c r="C377" s="24" t="s">
        <v>2255</v>
      </c>
      <c r="D377" s="24" t="s">
        <v>2179</v>
      </c>
      <c r="E377" s="24" t="s">
        <v>2179</v>
      </c>
      <c r="F377" s="24" t="s">
        <v>1349</v>
      </c>
      <c r="G377" s="24" t="s">
        <v>2208</v>
      </c>
      <c r="H377" s="24" t="s">
        <v>2412</v>
      </c>
      <c r="I377" s="24" t="s">
        <v>2413</v>
      </c>
      <c r="J377" s="24" t="s">
        <v>761</v>
      </c>
      <c r="K377" s="24" t="s">
        <v>1146</v>
      </c>
      <c r="L377" s="25">
        <v>1070</v>
      </c>
      <c r="M377" s="26">
        <v>360</v>
      </c>
      <c r="N377" s="27">
        <v>360</v>
      </c>
      <c r="O377" s="28">
        <v>0.32727272727272727</v>
      </c>
      <c r="P377" s="28">
        <v>340.88495575221236</v>
      </c>
    </row>
    <row r="378" spans="1:16" x14ac:dyDescent="0.3">
      <c r="A378" t="s">
        <v>3287</v>
      </c>
      <c r="B378" s="24">
        <v>300062</v>
      </c>
      <c r="C378" s="24" t="s">
        <v>2185</v>
      </c>
      <c r="D378" s="24" t="s">
        <v>2179</v>
      </c>
      <c r="E378" s="24" t="s">
        <v>2179</v>
      </c>
      <c r="F378" s="24" t="s">
        <v>1349</v>
      </c>
      <c r="G378" s="24" t="s">
        <v>2180</v>
      </c>
      <c r="H378" s="24" t="s">
        <v>2412</v>
      </c>
      <c r="I378" s="24" t="s">
        <v>2413</v>
      </c>
      <c r="J378" s="24" t="s">
        <v>761</v>
      </c>
      <c r="K378" s="24" t="s">
        <v>1352</v>
      </c>
      <c r="L378" s="25">
        <v>1</v>
      </c>
      <c r="M378" s="26">
        <v>300000</v>
      </c>
      <c r="N378" s="27">
        <v>272.72727272727275</v>
      </c>
      <c r="O378" s="28">
        <v>272.72727272727275</v>
      </c>
      <c r="P378" s="28">
        <v>265.48672566371681</v>
      </c>
    </row>
    <row r="379" spans="1:16" x14ac:dyDescent="0.3">
      <c r="A379" t="s">
        <v>3288</v>
      </c>
      <c r="B379" s="24">
        <v>300111</v>
      </c>
      <c r="C379" s="24" t="s">
        <v>2202</v>
      </c>
      <c r="D379" s="24" t="s">
        <v>2179</v>
      </c>
      <c r="E379" s="24" t="s">
        <v>2179</v>
      </c>
      <c r="F379" s="24" t="s">
        <v>1349</v>
      </c>
      <c r="G379" s="24" t="s">
        <v>2191</v>
      </c>
      <c r="H379" s="24" t="s">
        <v>2412</v>
      </c>
      <c r="I379" s="24" t="s">
        <v>2413</v>
      </c>
      <c r="J379" s="24" t="s">
        <v>761</v>
      </c>
      <c r="K379" s="24" t="s">
        <v>2194</v>
      </c>
      <c r="L379" s="25">
        <v>1300</v>
      </c>
      <c r="M379" s="26">
        <v>224.78</v>
      </c>
      <c r="N379" s="27">
        <v>258.59646017699117</v>
      </c>
      <c r="O379" s="28">
        <v>0.20434545454545455</v>
      </c>
      <c r="P379" s="28">
        <v>258.59646017699117</v>
      </c>
    </row>
    <row r="380" spans="1:16" x14ac:dyDescent="0.3">
      <c r="A380" t="s">
        <v>3289</v>
      </c>
      <c r="B380" s="24">
        <v>300146</v>
      </c>
      <c r="C380" s="24" t="s">
        <v>2224</v>
      </c>
      <c r="D380" s="24" t="s">
        <v>2179</v>
      </c>
      <c r="E380" s="24" t="s">
        <v>2179</v>
      </c>
      <c r="F380" s="24" t="s">
        <v>1386</v>
      </c>
      <c r="G380" s="24" t="s">
        <v>2225</v>
      </c>
      <c r="H380" s="24" t="s">
        <v>2412</v>
      </c>
      <c r="I380" s="24" t="s">
        <v>2413</v>
      </c>
      <c r="J380" s="24" t="s">
        <v>761</v>
      </c>
      <c r="K380" s="24" t="s">
        <v>1146</v>
      </c>
      <c r="L380" s="25">
        <v>1070</v>
      </c>
      <c r="M380" s="26">
        <v>240</v>
      </c>
      <c r="N380" s="27">
        <v>240</v>
      </c>
      <c r="O380" s="28">
        <v>0.21818181818181817</v>
      </c>
      <c r="P380" s="28">
        <v>227.25663716814159</v>
      </c>
    </row>
    <row r="381" spans="1:16" x14ac:dyDescent="0.3">
      <c r="A381" t="s">
        <v>3290</v>
      </c>
      <c r="B381" s="24">
        <v>142603</v>
      </c>
      <c r="C381" s="24" t="s">
        <v>2207</v>
      </c>
      <c r="D381" s="24" t="s">
        <v>2179</v>
      </c>
      <c r="E381" s="24" t="s">
        <v>2179</v>
      </c>
      <c r="F381" s="24" t="s">
        <v>1349</v>
      </c>
      <c r="G381" s="24" t="s">
        <v>2208</v>
      </c>
      <c r="H381" s="24" t="s">
        <v>2414</v>
      </c>
      <c r="I381" s="24" t="s">
        <v>2413</v>
      </c>
      <c r="J381" s="24" t="s">
        <v>761</v>
      </c>
      <c r="K381" s="24" t="s">
        <v>1146</v>
      </c>
      <c r="L381" s="25">
        <v>1070</v>
      </c>
      <c r="M381" s="26">
        <v>280</v>
      </c>
      <c r="N381" s="27">
        <v>280</v>
      </c>
      <c r="O381" s="28">
        <v>0.25454545454545452</v>
      </c>
      <c r="P381" s="28">
        <v>265.13274336283183</v>
      </c>
    </row>
    <row r="382" spans="1:16" x14ac:dyDescent="0.3">
      <c r="A382" t="s">
        <v>3291</v>
      </c>
      <c r="B382" s="24">
        <v>300040</v>
      </c>
      <c r="C382" s="24" t="s">
        <v>2255</v>
      </c>
      <c r="D382" s="24" t="s">
        <v>2179</v>
      </c>
      <c r="E382" s="24" t="s">
        <v>2179</v>
      </c>
      <c r="F382" s="24" t="s">
        <v>1349</v>
      </c>
      <c r="G382" s="24" t="s">
        <v>2208</v>
      </c>
      <c r="H382" s="24" t="s">
        <v>2414</v>
      </c>
      <c r="I382" s="24" t="s">
        <v>2413</v>
      </c>
      <c r="J382" s="24" t="s">
        <v>761</v>
      </c>
      <c r="K382" s="24" t="s">
        <v>1146</v>
      </c>
      <c r="L382" s="25">
        <v>1070</v>
      </c>
      <c r="M382" s="26">
        <v>360</v>
      </c>
      <c r="N382" s="27">
        <v>360</v>
      </c>
      <c r="O382" s="28">
        <v>0.32727272727272727</v>
      </c>
      <c r="P382" s="28">
        <v>340.88495575221236</v>
      </c>
    </row>
    <row r="383" spans="1:16" x14ac:dyDescent="0.3">
      <c r="A383" t="s">
        <v>3292</v>
      </c>
      <c r="B383" s="24">
        <v>300045</v>
      </c>
      <c r="C383" s="24" t="s">
        <v>2415</v>
      </c>
      <c r="D383" s="24" t="s">
        <v>2179</v>
      </c>
      <c r="E383" s="24" t="s">
        <v>2179</v>
      </c>
      <c r="F383" s="24" t="s">
        <v>1349</v>
      </c>
      <c r="G383" s="24" t="s">
        <v>2187</v>
      </c>
      <c r="H383" s="24" t="s">
        <v>2414</v>
      </c>
      <c r="I383" s="24" t="s">
        <v>2413</v>
      </c>
      <c r="J383" s="24" t="s">
        <v>761</v>
      </c>
      <c r="K383" s="24" t="s">
        <v>1352</v>
      </c>
      <c r="L383" s="25">
        <v>1</v>
      </c>
      <c r="M383" s="26">
        <v>500000</v>
      </c>
      <c r="N383" s="27">
        <v>454.54545454545456</v>
      </c>
      <c r="O383" s="28">
        <v>454.54545454545456</v>
      </c>
      <c r="P383" s="28">
        <v>442.47787610619469</v>
      </c>
    </row>
    <row r="384" spans="1:16" x14ac:dyDescent="0.3">
      <c r="A384" t="s">
        <v>3293</v>
      </c>
      <c r="B384" s="24">
        <v>300080</v>
      </c>
      <c r="C384" s="24" t="s">
        <v>2416</v>
      </c>
      <c r="D384" s="24" t="s">
        <v>2179</v>
      </c>
      <c r="E384" s="24" t="s">
        <v>2179</v>
      </c>
      <c r="F384" s="24" t="s">
        <v>1237</v>
      </c>
      <c r="G384" s="24" t="s">
        <v>2201</v>
      </c>
      <c r="H384" s="24" t="s">
        <v>2414</v>
      </c>
      <c r="I384" s="24" t="s">
        <v>2413</v>
      </c>
      <c r="J384" s="24" t="s">
        <v>761</v>
      </c>
      <c r="K384" s="24" t="s">
        <v>1146</v>
      </c>
      <c r="L384" s="25">
        <v>1070</v>
      </c>
      <c r="M384" s="26">
        <v>299</v>
      </c>
      <c r="N384" s="27">
        <v>299</v>
      </c>
      <c r="O384" s="28">
        <v>0.27181818181818179</v>
      </c>
      <c r="P384" s="28">
        <v>283.12389380530976</v>
      </c>
    </row>
    <row r="385" spans="1:16" x14ac:dyDescent="0.3">
      <c r="A385" t="s">
        <v>3294</v>
      </c>
      <c r="B385" s="24">
        <v>300116</v>
      </c>
      <c r="C385" s="24" t="s">
        <v>2203</v>
      </c>
      <c r="D385" s="24" t="s">
        <v>2179</v>
      </c>
      <c r="E385" s="24" t="s">
        <v>2179</v>
      </c>
      <c r="F385" s="24" t="s">
        <v>1237</v>
      </c>
      <c r="G385" s="24" t="s">
        <v>2201</v>
      </c>
      <c r="H385" s="24" t="s">
        <v>2417</v>
      </c>
      <c r="I385" s="24" t="s">
        <v>2418</v>
      </c>
      <c r="J385" s="24" t="s">
        <v>761</v>
      </c>
      <c r="K385" s="24" t="s">
        <v>1146</v>
      </c>
      <c r="L385" s="25">
        <v>1070</v>
      </c>
      <c r="M385" s="26">
        <v>300</v>
      </c>
      <c r="N385" s="27">
        <v>300</v>
      </c>
      <c r="O385" s="28">
        <v>0.27272727272727271</v>
      </c>
      <c r="P385" s="28">
        <v>284.07079646017701</v>
      </c>
    </row>
    <row r="386" spans="1:16" x14ac:dyDescent="0.3">
      <c r="A386" t="s">
        <v>3295</v>
      </c>
      <c r="B386" s="24">
        <v>112498</v>
      </c>
      <c r="C386" s="24" t="s">
        <v>2211</v>
      </c>
      <c r="D386" s="24" t="s">
        <v>2179</v>
      </c>
      <c r="E386" s="24" t="s">
        <v>2179</v>
      </c>
      <c r="F386" s="24" t="s">
        <v>1237</v>
      </c>
      <c r="G386" s="24" t="s">
        <v>2201</v>
      </c>
      <c r="H386" s="24" t="s">
        <v>2419</v>
      </c>
      <c r="I386" s="24" t="s">
        <v>2420</v>
      </c>
      <c r="J386" s="24" t="s">
        <v>761</v>
      </c>
      <c r="K386" s="24" t="s">
        <v>1146</v>
      </c>
      <c r="L386" s="25">
        <v>1070</v>
      </c>
      <c r="M386" s="26">
        <v>290</v>
      </c>
      <c r="N386" s="27">
        <v>290</v>
      </c>
      <c r="O386" s="28">
        <v>0.26363636363636361</v>
      </c>
      <c r="P386" s="28">
        <v>274.60176991150445</v>
      </c>
    </row>
    <row r="387" spans="1:16" x14ac:dyDescent="0.3">
      <c r="A387" t="s">
        <v>3296</v>
      </c>
      <c r="B387" s="24">
        <v>142597</v>
      </c>
      <c r="C387" s="24" t="s">
        <v>2214</v>
      </c>
      <c r="D387" s="24" t="s">
        <v>2179</v>
      </c>
      <c r="E387" s="24" t="s">
        <v>2179</v>
      </c>
      <c r="F387" s="24" t="s">
        <v>1349</v>
      </c>
      <c r="G387" s="24" t="s">
        <v>2199</v>
      </c>
      <c r="H387" s="24" t="s">
        <v>2419</v>
      </c>
      <c r="I387" s="24" t="s">
        <v>2420</v>
      </c>
      <c r="J387" s="24" t="s">
        <v>761</v>
      </c>
      <c r="K387" s="24" t="s">
        <v>2194</v>
      </c>
      <c r="L387" s="25">
        <v>1300</v>
      </c>
      <c r="M387" s="26">
        <v>300</v>
      </c>
      <c r="N387" s="27">
        <v>345.13274336283183</v>
      </c>
      <c r="O387" s="28">
        <v>0.27272727272727271</v>
      </c>
      <c r="P387" s="28">
        <v>345.13274336283183</v>
      </c>
    </row>
    <row r="388" spans="1:16" x14ac:dyDescent="0.3">
      <c r="A388" t="s">
        <v>3297</v>
      </c>
      <c r="B388" s="24">
        <v>142603</v>
      </c>
      <c r="C388" s="24" t="s">
        <v>2207</v>
      </c>
      <c r="D388" s="24" t="s">
        <v>2179</v>
      </c>
      <c r="E388" s="24" t="s">
        <v>2179</v>
      </c>
      <c r="F388" s="24" t="s">
        <v>1349</v>
      </c>
      <c r="G388" s="24" t="s">
        <v>2208</v>
      </c>
      <c r="H388" s="24" t="s">
        <v>2419</v>
      </c>
      <c r="I388" s="24" t="s">
        <v>2420</v>
      </c>
      <c r="J388" s="24" t="s">
        <v>761</v>
      </c>
      <c r="K388" s="24" t="s">
        <v>1146</v>
      </c>
      <c r="L388" s="25">
        <v>1070</v>
      </c>
      <c r="M388" s="26">
        <v>300</v>
      </c>
      <c r="N388" s="27">
        <v>300</v>
      </c>
      <c r="O388" s="28">
        <v>0.27272727272727271</v>
      </c>
      <c r="P388" s="28">
        <v>284.07079646017701</v>
      </c>
    </row>
    <row r="389" spans="1:16" x14ac:dyDescent="0.3">
      <c r="A389" t="s">
        <v>3298</v>
      </c>
      <c r="B389" s="24">
        <v>142639</v>
      </c>
      <c r="C389" s="24" t="s">
        <v>2235</v>
      </c>
      <c r="D389" s="24" t="s">
        <v>2179</v>
      </c>
      <c r="E389" s="24" t="s">
        <v>2179</v>
      </c>
      <c r="F389" s="24" t="s">
        <v>1349</v>
      </c>
      <c r="G389" s="24" t="s">
        <v>2199</v>
      </c>
      <c r="H389" s="24" t="s">
        <v>2419</v>
      </c>
      <c r="I389" s="24" t="s">
        <v>2420</v>
      </c>
      <c r="J389" s="24" t="s">
        <v>761</v>
      </c>
      <c r="K389" s="24" t="s">
        <v>2194</v>
      </c>
      <c r="L389" s="25">
        <v>1300</v>
      </c>
      <c r="M389" s="26">
        <v>360</v>
      </c>
      <c r="N389" s="27">
        <v>414.15929203539821</v>
      </c>
      <c r="O389" s="28">
        <v>0.32727272727272727</v>
      </c>
      <c r="P389" s="28">
        <v>414.15929203539821</v>
      </c>
    </row>
    <row r="390" spans="1:16" x14ac:dyDescent="0.3">
      <c r="A390" t="s">
        <v>3299</v>
      </c>
      <c r="B390" s="24">
        <v>142660</v>
      </c>
      <c r="C390" s="24" t="s">
        <v>2215</v>
      </c>
      <c r="D390" s="24" t="s">
        <v>2179</v>
      </c>
      <c r="E390" s="24" t="s">
        <v>2179</v>
      </c>
      <c r="F390" s="24" t="s">
        <v>1237</v>
      </c>
      <c r="G390" s="24" t="s">
        <v>2216</v>
      </c>
      <c r="H390" s="24" t="s">
        <v>2419</v>
      </c>
      <c r="I390" s="24" t="s">
        <v>2420</v>
      </c>
      <c r="J390" s="24" t="s">
        <v>761</v>
      </c>
      <c r="K390" s="24" t="s">
        <v>1146</v>
      </c>
      <c r="L390" s="25">
        <v>1070</v>
      </c>
      <c r="M390" s="26">
        <v>280</v>
      </c>
      <c r="N390" s="27">
        <v>280</v>
      </c>
      <c r="O390" s="28">
        <v>0.25454545454545452</v>
      </c>
      <c r="P390" s="28">
        <v>265.13274336283183</v>
      </c>
    </row>
    <row r="391" spans="1:16" x14ac:dyDescent="0.3">
      <c r="A391" t="s">
        <v>3300</v>
      </c>
      <c r="B391" s="24">
        <v>142807</v>
      </c>
      <c r="C391" s="24" t="s">
        <v>2217</v>
      </c>
      <c r="D391" s="24" t="s">
        <v>2179</v>
      </c>
      <c r="E391" s="24" t="s">
        <v>2179</v>
      </c>
      <c r="F391" s="24" t="s">
        <v>1349</v>
      </c>
      <c r="G391" s="24" t="s">
        <v>2208</v>
      </c>
      <c r="H391" s="24" t="s">
        <v>2419</v>
      </c>
      <c r="I391" s="24" t="s">
        <v>2420</v>
      </c>
      <c r="J391" s="24" t="s">
        <v>761</v>
      </c>
      <c r="K391" s="24" t="s">
        <v>2194</v>
      </c>
      <c r="L391" s="25">
        <v>1300</v>
      </c>
      <c r="M391" s="26">
        <v>250</v>
      </c>
      <c r="N391" s="27">
        <v>287.61061946902657</v>
      </c>
      <c r="O391" s="28">
        <v>0.22727272727272727</v>
      </c>
      <c r="P391" s="28">
        <v>287.61061946902657</v>
      </c>
    </row>
    <row r="392" spans="1:16" x14ac:dyDescent="0.3">
      <c r="A392" t="s">
        <v>3301</v>
      </c>
      <c r="B392" s="24">
        <v>150518</v>
      </c>
      <c r="C392" s="24" t="s">
        <v>2197</v>
      </c>
      <c r="D392" s="24" t="s">
        <v>2179</v>
      </c>
      <c r="E392" s="24" t="s">
        <v>2179</v>
      </c>
      <c r="F392" s="24" t="s">
        <v>1349</v>
      </c>
      <c r="G392" s="24" t="s">
        <v>2180</v>
      </c>
      <c r="H392" s="24" t="s">
        <v>2419</v>
      </c>
      <c r="I392" s="24" t="s">
        <v>2420</v>
      </c>
      <c r="J392" s="24" t="s">
        <v>761</v>
      </c>
      <c r="K392" s="24" t="s">
        <v>1352</v>
      </c>
      <c r="L392" s="25">
        <v>1</v>
      </c>
      <c r="M392" s="26">
        <v>350000</v>
      </c>
      <c r="N392" s="27">
        <v>318.18181818181819</v>
      </c>
      <c r="O392" s="28">
        <v>318.18181818181819</v>
      </c>
      <c r="P392" s="28">
        <v>309.73451327433628</v>
      </c>
    </row>
    <row r="393" spans="1:16" x14ac:dyDescent="0.3">
      <c r="A393" t="s">
        <v>3302</v>
      </c>
      <c r="B393" s="24">
        <v>300008</v>
      </c>
      <c r="C393" s="24" t="s">
        <v>2219</v>
      </c>
      <c r="D393" s="24" t="s">
        <v>2179</v>
      </c>
      <c r="E393" s="24" t="s">
        <v>2179</v>
      </c>
      <c r="F393" s="24" t="s">
        <v>2220</v>
      </c>
      <c r="G393" s="24" t="s">
        <v>2179</v>
      </c>
      <c r="H393" s="24" t="s">
        <v>2419</v>
      </c>
      <c r="I393" s="24" t="s">
        <v>2420</v>
      </c>
      <c r="J393" s="24" t="s">
        <v>761</v>
      </c>
      <c r="K393" s="24" t="s">
        <v>1146</v>
      </c>
      <c r="L393" s="25">
        <v>1070</v>
      </c>
      <c r="M393" s="26">
        <v>300</v>
      </c>
      <c r="N393" s="27">
        <v>300</v>
      </c>
      <c r="O393" s="28">
        <v>0.27272727272727271</v>
      </c>
      <c r="P393" s="28">
        <v>284.07079646017701</v>
      </c>
    </row>
    <row r="394" spans="1:16" x14ac:dyDescent="0.3">
      <c r="A394" t="s">
        <v>3303</v>
      </c>
      <c r="B394" s="24">
        <v>300032</v>
      </c>
      <c r="C394" s="24" t="s">
        <v>2183</v>
      </c>
      <c r="D394" s="24" t="s">
        <v>2179</v>
      </c>
      <c r="E394" s="24" t="s">
        <v>2179</v>
      </c>
      <c r="F394" s="24" t="s">
        <v>1349</v>
      </c>
      <c r="G394" s="24" t="s">
        <v>2187</v>
      </c>
      <c r="H394" s="24" t="s">
        <v>2419</v>
      </c>
      <c r="I394" s="24" t="s">
        <v>2420</v>
      </c>
      <c r="J394" s="24" t="s">
        <v>761</v>
      </c>
      <c r="K394" s="24" t="s">
        <v>1352</v>
      </c>
      <c r="L394" s="25">
        <v>1</v>
      </c>
      <c r="M394" s="26">
        <v>300000</v>
      </c>
      <c r="N394" s="27">
        <v>272.72727272727275</v>
      </c>
      <c r="O394" s="28">
        <v>272.72727272727275</v>
      </c>
      <c r="P394" s="28">
        <v>265.48672566371681</v>
      </c>
    </row>
    <row r="395" spans="1:16" x14ac:dyDescent="0.3">
      <c r="A395" t="s">
        <v>3304</v>
      </c>
      <c r="B395" s="24">
        <v>300039</v>
      </c>
      <c r="C395" s="24" t="s">
        <v>2221</v>
      </c>
      <c r="D395" s="24" t="s">
        <v>2179</v>
      </c>
      <c r="E395" s="24" t="s">
        <v>2179</v>
      </c>
      <c r="F395" s="24" t="s">
        <v>1349</v>
      </c>
      <c r="G395" s="24" t="s">
        <v>2199</v>
      </c>
      <c r="H395" s="24" t="s">
        <v>2419</v>
      </c>
      <c r="I395" s="24" t="s">
        <v>2420</v>
      </c>
      <c r="J395" s="24" t="s">
        <v>761</v>
      </c>
      <c r="K395" s="24" t="s">
        <v>1146</v>
      </c>
      <c r="L395" s="25">
        <v>1070</v>
      </c>
      <c r="M395" s="26">
        <v>360</v>
      </c>
      <c r="N395" s="27">
        <v>360</v>
      </c>
      <c r="O395" s="28">
        <v>0.32727272727272727</v>
      </c>
      <c r="P395" s="28">
        <v>340.88495575221236</v>
      </c>
    </row>
    <row r="396" spans="1:16" x14ac:dyDescent="0.3">
      <c r="A396" t="s">
        <v>3305</v>
      </c>
      <c r="B396" s="24">
        <v>300055</v>
      </c>
      <c r="C396" s="24" t="s">
        <v>2222</v>
      </c>
      <c r="D396" s="24" t="s">
        <v>2179</v>
      </c>
      <c r="E396" s="24" t="s">
        <v>2179</v>
      </c>
      <c r="F396" s="24" t="s">
        <v>1349</v>
      </c>
      <c r="G396" s="24" t="s">
        <v>2199</v>
      </c>
      <c r="H396" s="24" t="s">
        <v>2419</v>
      </c>
      <c r="I396" s="24" t="s">
        <v>2420</v>
      </c>
      <c r="J396" s="24" t="s">
        <v>761</v>
      </c>
      <c r="K396" s="24" t="s">
        <v>1146</v>
      </c>
      <c r="L396" s="25">
        <v>1070</v>
      </c>
      <c r="M396" s="26">
        <v>370</v>
      </c>
      <c r="N396" s="27">
        <v>370</v>
      </c>
      <c r="O396" s="28">
        <v>0.33636363636363636</v>
      </c>
      <c r="P396" s="28">
        <v>350.35398230088498</v>
      </c>
    </row>
    <row r="397" spans="1:16" x14ac:dyDescent="0.3">
      <c r="A397" t="s">
        <v>3306</v>
      </c>
      <c r="B397" s="24">
        <v>300062</v>
      </c>
      <c r="C397" s="24" t="s">
        <v>2185</v>
      </c>
      <c r="D397" s="24" t="s">
        <v>2179</v>
      </c>
      <c r="E397" s="24" t="s">
        <v>2179</v>
      </c>
      <c r="F397" s="24" t="s">
        <v>1349</v>
      </c>
      <c r="G397" s="24" t="s">
        <v>2180</v>
      </c>
      <c r="H397" s="24" t="s">
        <v>2419</v>
      </c>
      <c r="I397" s="24" t="s">
        <v>2420</v>
      </c>
      <c r="J397" s="24" t="s">
        <v>761</v>
      </c>
      <c r="K397" s="24" t="s">
        <v>1352</v>
      </c>
      <c r="L397" s="25">
        <v>1</v>
      </c>
      <c r="M397" s="26">
        <v>30000</v>
      </c>
      <c r="N397" s="27">
        <v>27.272727272727273</v>
      </c>
      <c r="O397" s="28">
        <v>27.272727272727273</v>
      </c>
      <c r="P397" s="28">
        <v>26.548672566371682</v>
      </c>
    </row>
    <row r="398" spans="1:16" x14ac:dyDescent="0.3">
      <c r="A398" t="s">
        <v>3307</v>
      </c>
      <c r="B398" s="24">
        <v>300067</v>
      </c>
      <c r="C398" s="24" t="s">
        <v>2198</v>
      </c>
      <c r="D398" s="24" t="s">
        <v>2179</v>
      </c>
      <c r="E398" s="24" t="s">
        <v>2179</v>
      </c>
      <c r="F398" s="24" t="s">
        <v>1349</v>
      </c>
      <c r="G398" s="24" t="s">
        <v>2199</v>
      </c>
      <c r="H398" s="24" t="s">
        <v>2419</v>
      </c>
      <c r="I398" s="24" t="s">
        <v>2420</v>
      </c>
      <c r="J398" s="24" t="s">
        <v>761</v>
      </c>
      <c r="K398" s="24" t="s">
        <v>1146</v>
      </c>
      <c r="L398" s="25">
        <v>1070</v>
      </c>
      <c r="M398" s="26">
        <v>370</v>
      </c>
      <c r="N398" s="27">
        <v>370</v>
      </c>
      <c r="O398" s="28">
        <v>0.33636363636363636</v>
      </c>
      <c r="P398" s="28">
        <v>350.35398230088498</v>
      </c>
    </row>
    <row r="399" spans="1:16" x14ac:dyDescent="0.3">
      <c r="A399" t="s">
        <v>3308</v>
      </c>
      <c r="B399" s="24">
        <v>300070</v>
      </c>
      <c r="C399" s="24" t="s">
        <v>2223</v>
      </c>
      <c r="D399" s="24" t="s">
        <v>2179</v>
      </c>
      <c r="E399" s="24" t="s">
        <v>2179</v>
      </c>
      <c r="F399" s="24" t="s">
        <v>1237</v>
      </c>
      <c r="G399" s="24" t="s">
        <v>2216</v>
      </c>
      <c r="H399" s="24" t="s">
        <v>2419</v>
      </c>
      <c r="I399" s="24" t="s">
        <v>2420</v>
      </c>
      <c r="J399" s="24" t="s">
        <v>761</v>
      </c>
      <c r="K399" s="24" t="s">
        <v>1146</v>
      </c>
      <c r="L399" s="25">
        <v>1070</v>
      </c>
      <c r="M399" s="26">
        <v>290</v>
      </c>
      <c r="N399" s="27">
        <v>290</v>
      </c>
      <c r="O399" s="28">
        <v>0.26363636363636361</v>
      </c>
      <c r="P399" s="28">
        <v>274.60176991150445</v>
      </c>
    </row>
    <row r="400" spans="1:16" x14ac:dyDescent="0.3">
      <c r="A400" t="s">
        <v>3309</v>
      </c>
      <c r="B400" s="24">
        <v>300073</v>
      </c>
      <c r="C400" s="24" t="s">
        <v>2283</v>
      </c>
      <c r="D400" s="24" t="s">
        <v>2179</v>
      </c>
      <c r="E400" s="24" t="s">
        <v>2179</v>
      </c>
      <c r="F400" s="24" t="s">
        <v>1349</v>
      </c>
      <c r="G400" s="24" t="s">
        <v>2199</v>
      </c>
      <c r="H400" s="24" t="s">
        <v>2419</v>
      </c>
      <c r="I400" s="24" t="s">
        <v>2420</v>
      </c>
      <c r="J400" s="24" t="s">
        <v>761</v>
      </c>
      <c r="K400" s="24" t="s">
        <v>1146</v>
      </c>
      <c r="L400" s="25">
        <v>1070</v>
      </c>
      <c r="M400" s="26">
        <v>332.5</v>
      </c>
      <c r="N400" s="27">
        <v>332.5</v>
      </c>
      <c r="O400" s="28">
        <v>0.30227272727272725</v>
      </c>
      <c r="P400" s="28">
        <v>314.84513274336285</v>
      </c>
    </row>
    <row r="401" spans="1:16" x14ac:dyDescent="0.3">
      <c r="A401" t="s">
        <v>3310</v>
      </c>
      <c r="B401" s="24">
        <v>300077</v>
      </c>
      <c r="C401" s="24" t="s">
        <v>2200</v>
      </c>
      <c r="D401" s="24" t="s">
        <v>2179</v>
      </c>
      <c r="E401" s="24" t="s">
        <v>2179</v>
      </c>
      <c r="F401" s="24" t="s">
        <v>1237</v>
      </c>
      <c r="G401" s="24" t="s">
        <v>2201</v>
      </c>
      <c r="H401" s="24" t="s">
        <v>2419</v>
      </c>
      <c r="I401" s="24" t="s">
        <v>2420</v>
      </c>
      <c r="J401" s="24" t="s">
        <v>761</v>
      </c>
      <c r="K401" s="24" t="s">
        <v>1146</v>
      </c>
      <c r="L401" s="25">
        <v>1070</v>
      </c>
      <c r="M401" s="26">
        <v>0</v>
      </c>
      <c r="N401" s="27">
        <v>0</v>
      </c>
      <c r="O401" s="28">
        <v>0</v>
      </c>
      <c r="P401" s="28">
        <v>0</v>
      </c>
    </row>
    <row r="402" spans="1:16" x14ac:dyDescent="0.3">
      <c r="A402" t="s">
        <v>3311</v>
      </c>
      <c r="B402" s="24">
        <v>300117</v>
      </c>
      <c r="C402" s="24" t="s">
        <v>2304</v>
      </c>
      <c r="D402" s="24" t="s">
        <v>2179</v>
      </c>
      <c r="E402" s="24" t="s">
        <v>2179</v>
      </c>
      <c r="F402" s="24" t="s">
        <v>1237</v>
      </c>
      <c r="G402" s="24" t="s">
        <v>2216</v>
      </c>
      <c r="H402" s="24" t="s">
        <v>2419</v>
      </c>
      <c r="I402" s="24" t="s">
        <v>2420</v>
      </c>
      <c r="J402" s="24" t="s">
        <v>761</v>
      </c>
      <c r="K402" s="24" t="s">
        <v>1146</v>
      </c>
      <c r="L402" s="25">
        <v>1070</v>
      </c>
      <c r="M402" s="26">
        <v>290</v>
      </c>
      <c r="N402" s="27">
        <v>290</v>
      </c>
      <c r="O402" s="28">
        <v>0.26363636363636361</v>
      </c>
      <c r="P402" s="28">
        <v>274.60176991150445</v>
      </c>
    </row>
    <row r="403" spans="1:16" x14ac:dyDescent="0.3">
      <c r="A403" t="s">
        <v>3312</v>
      </c>
      <c r="B403" s="24">
        <v>300138</v>
      </c>
      <c r="C403" s="24" t="s">
        <v>2256</v>
      </c>
      <c r="D403" s="24" t="s">
        <v>2179</v>
      </c>
      <c r="E403" s="24" t="s">
        <v>2179</v>
      </c>
      <c r="F403" s="24" t="s">
        <v>1349</v>
      </c>
      <c r="G403" s="24" t="s">
        <v>2199</v>
      </c>
      <c r="H403" s="24" t="s">
        <v>2419</v>
      </c>
      <c r="I403" s="24" t="s">
        <v>2420</v>
      </c>
      <c r="J403" s="24" t="s">
        <v>761</v>
      </c>
      <c r="K403" s="24" t="s">
        <v>2194</v>
      </c>
      <c r="L403" s="25">
        <v>1300</v>
      </c>
      <c r="M403" s="26">
        <v>300</v>
      </c>
      <c r="N403" s="27">
        <v>345.13274336283183</v>
      </c>
      <c r="O403" s="28">
        <v>0.27272727272727271</v>
      </c>
      <c r="P403" s="28">
        <v>345.13274336283183</v>
      </c>
    </row>
    <row r="404" spans="1:16" x14ac:dyDescent="0.3">
      <c r="A404" t="s">
        <v>3313</v>
      </c>
      <c r="B404" s="24">
        <v>300161</v>
      </c>
      <c r="C404" s="24" t="s">
        <v>2204</v>
      </c>
      <c r="D404" s="24" t="s">
        <v>2179</v>
      </c>
      <c r="E404" s="24" t="s">
        <v>2179</v>
      </c>
      <c r="F404" s="24" t="s">
        <v>1349</v>
      </c>
      <c r="G404" s="24" t="s">
        <v>2187</v>
      </c>
      <c r="H404" s="24" t="s">
        <v>2419</v>
      </c>
      <c r="I404" s="24" t="s">
        <v>2420</v>
      </c>
      <c r="J404" s="24" t="s">
        <v>761</v>
      </c>
      <c r="K404" s="24" t="s">
        <v>1352</v>
      </c>
      <c r="L404" s="25">
        <v>1</v>
      </c>
      <c r="M404" s="26">
        <v>339000</v>
      </c>
      <c r="N404" s="27">
        <v>308.18181818181819</v>
      </c>
      <c r="O404" s="28">
        <v>308.18181818181819</v>
      </c>
      <c r="P404" s="28">
        <v>300</v>
      </c>
    </row>
    <row r="405" spans="1:16" x14ac:dyDescent="0.3">
      <c r="A405" t="s">
        <v>3314</v>
      </c>
      <c r="B405" s="24">
        <v>300173</v>
      </c>
      <c r="C405" s="24" t="s">
        <v>2289</v>
      </c>
      <c r="D405" s="24" t="s">
        <v>2179</v>
      </c>
      <c r="E405" s="24" t="s">
        <v>2179</v>
      </c>
      <c r="F405" s="24" t="s">
        <v>1349</v>
      </c>
      <c r="G405" s="24" t="s">
        <v>2187</v>
      </c>
      <c r="H405" s="24" t="s">
        <v>2419</v>
      </c>
      <c r="I405" s="24" t="s">
        <v>2420</v>
      </c>
      <c r="J405" s="24" t="s">
        <v>761</v>
      </c>
      <c r="K405" s="24" t="s">
        <v>1352</v>
      </c>
      <c r="L405" s="25">
        <v>1</v>
      </c>
      <c r="M405" s="26">
        <v>400000</v>
      </c>
      <c r="N405" s="27">
        <v>363.63636363636363</v>
      </c>
      <c r="O405" s="28">
        <v>363.63636363636363</v>
      </c>
      <c r="P405" s="28">
        <v>353.98230088495575</v>
      </c>
    </row>
    <row r="406" spans="1:16" x14ac:dyDescent="0.3">
      <c r="A406" t="s">
        <v>3315</v>
      </c>
      <c r="B406" s="24">
        <v>700062</v>
      </c>
      <c r="C406" s="24" t="s">
        <v>2226</v>
      </c>
      <c r="D406" s="24" t="s">
        <v>2179</v>
      </c>
      <c r="E406" s="24" t="s">
        <v>2179</v>
      </c>
      <c r="F406" s="24" t="s">
        <v>1349</v>
      </c>
      <c r="G406" s="24" t="s">
        <v>2187</v>
      </c>
      <c r="H406" s="24" t="s">
        <v>2419</v>
      </c>
      <c r="I406" s="24" t="s">
        <v>2420</v>
      </c>
      <c r="J406" s="24" t="s">
        <v>761</v>
      </c>
      <c r="K406" s="24" t="s">
        <v>1352</v>
      </c>
      <c r="L406" s="25">
        <v>1</v>
      </c>
      <c r="M406" s="26">
        <v>220000</v>
      </c>
      <c r="N406" s="27">
        <v>200</v>
      </c>
      <c r="O406" s="28">
        <v>200</v>
      </c>
      <c r="P406" s="28">
        <v>194.69026548672565</v>
      </c>
    </row>
    <row r="407" spans="1:16" x14ac:dyDescent="0.3">
      <c r="A407" t="s">
        <v>3316</v>
      </c>
      <c r="B407" s="24">
        <v>300008</v>
      </c>
      <c r="C407" s="24" t="s">
        <v>2219</v>
      </c>
      <c r="D407" s="24" t="s">
        <v>2179</v>
      </c>
      <c r="E407" s="24" t="s">
        <v>2179</v>
      </c>
      <c r="F407" s="24" t="s">
        <v>2220</v>
      </c>
      <c r="G407" s="24" t="s">
        <v>2179</v>
      </c>
      <c r="H407" s="24" t="s">
        <v>2421</v>
      </c>
      <c r="I407" s="24" t="s">
        <v>2422</v>
      </c>
      <c r="J407" s="24" t="s">
        <v>761</v>
      </c>
      <c r="K407" s="24" t="s">
        <v>1146</v>
      </c>
      <c r="L407" s="25">
        <v>1070</v>
      </c>
      <c r="M407" s="26">
        <v>6.1</v>
      </c>
      <c r="N407" s="27">
        <v>6.1</v>
      </c>
      <c r="O407" s="28">
        <v>5.5454545454545453E-3</v>
      </c>
      <c r="P407" s="28">
        <v>5.7761061946902652</v>
      </c>
    </row>
    <row r="408" spans="1:16" x14ac:dyDescent="0.3">
      <c r="A408" t="s">
        <v>3317</v>
      </c>
      <c r="B408" s="24">
        <v>141111</v>
      </c>
      <c r="C408" s="24" t="s">
        <v>2238</v>
      </c>
      <c r="D408" s="24" t="s">
        <v>2179</v>
      </c>
      <c r="E408" s="24" t="s">
        <v>2179</v>
      </c>
      <c r="F408" s="24" t="s">
        <v>1349</v>
      </c>
      <c r="G408" s="24" t="s">
        <v>2191</v>
      </c>
      <c r="H408" s="24" t="s">
        <v>2423</v>
      </c>
      <c r="I408" s="24" t="s">
        <v>2424</v>
      </c>
      <c r="J408" s="24" t="s">
        <v>761</v>
      </c>
      <c r="K408" s="24" t="s">
        <v>1146</v>
      </c>
      <c r="L408" s="25">
        <v>1070</v>
      </c>
      <c r="M408" s="26">
        <v>2.5</v>
      </c>
      <c r="N408" s="27">
        <v>2.5</v>
      </c>
      <c r="O408" s="28">
        <v>2.2727272727272726E-3</v>
      </c>
      <c r="P408" s="28">
        <v>2.3672566371681416</v>
      </c>
    </row>
    <row r="409" spans="1:16" x14ac:dyDescent="0.3">
      <c r="A409" t="s">
        <v>3318</v>
      </c>
      <c r="B409" s="24">
        <v>300040</v>
      </c>
      <c r="C409" s="24" t="s">
        <v>2255</v>
      </c>
      <c r="D409" s="24" t="s">
        <v>2179</v>
      </c>
      <c r="E409" s="24" t="s">
        <v>2179</v>
      </c>
      <c r="F409" s="24" t="s">
        <v>1349</v>
      </c>
      <c r="G409" s="24" t="s">
        <v>2208</v>
      </c>
      <c r="H409" s="24" t="s">
        <v>2423</v>
      </c>
      <c r="I409" s="24" t="s">
        <v>2424</v>
      </c>
      <c r="J409" s="24" t="s">
        <v>761</v>
      </c>
      <c r="K409" s="24" t="s">
        <v>1146</v>
      </c>
      <c r="L409" s="25">
        <v>1070</v>
      </c>
      <c r="M409" s="26">
        <v>6.78</v>
      </c>
      <c r="N409" s="27">
        <v>6.78</v>
      </c>
      <c r="O409" s="28">
        <v>6.1636363636363642E-3</v>
      </c>
      <c r="P409" s="28">
        <v>6.42</v>
      </c>
    </row>
    <row r="410" spans="1:16" x14ac:dyDescent="0.3">
      <c r="A410" t="s">
        <v>3319</v>
      </c>
      <c r="B410" s="24">
        <v>300042</v>
      </c>
      <c r="C410" s="24" t="s">
        <v>2190</v>
      </c>
      <c r="D410" s="24" t="s">
        <v>2179</v>
      </c>
      <c r="E410" s="24" t="s">
        <v>2179</v>
      </c>
      <c r="F410" s="24" t="s">
        <v>1349</v>
      </c>
      <c r="G410" s="24" t="s">
        <v>2191</v>
      </c>
      <c r="H410" s="24" t="s">
        <v>2423</v>
      </c>
      <c r="I410" s="24" t="s">
        <v>2424</v>
      </c>
      <c r="J410" s="24" t="s">
        <v>761</v>
      </c>
      <c r="K410" s="24" t="s">
        <v>1146</v>
      </c>
      <c r="L410" s="25">
        <v>1070</v>
      </c>
      <c r="M410" s="26">
        <v>6</v>
      </c>
      <c r="N410" s="27">
        <v>6</v>
      </c>
      <c r="O410" s="28">
        <v>5.454545454545455E-3</v>
      </c>
      <c r="P410" s="28">
        <v>5.6814159292035402</v>
      </c>
    </row>
    <row r="411" spans="1:16" x14ac:dyDescent="0.3">
      <c r="A411" t="s">
        <v>3320</v>
      </c>
      <c r="B411" s="24">
        <v>300008</v>
      </c>
      <c r="C411" s="24" t="s">
        <v>2219</v>
      </c>
      <c r="D411" s="24" t="s">
        <v>2179</v>
      </c>
      <c r="E411" s="24" t="s">
        <v>2179</v>
      </c>
      <c r="F411" s="24" t="s">
        <v>2220</v>
      </c>
      <c r="G411" s="24" t="s">
        <v>2179</v>
      </c>
      <c r="H411" s="24" t="s">
        <v>2425</v>
      </c>
      <c r="I411" s="24" t="s">
        <v>2426</v>
      </c>
      <c r="J411" s="24" t="s">
        <v>761</v>
      </c>
      <c r="K411" s="24" t="s">
        <v>1146</v>
      </c>
      <c r="L411" s="25">
        <v>1070</v>
      </c>
      <c r="M411" s="26">
        <v>6.8</v>
      </c>
      <c r="N411" s="27">
        <v>6.8</v>
      </c>
      <c r="O411" s="28">
        <v>6.1818181818181816E-3</v>
      </c>
      <c r="P411" s="28">
        <v>6.4389380530973455</v>
      </c>
    </row>
    <row r="412" spans="1:16" x14ac:dyDescent="0.3">
      <c r="A412" t="s">
        <v>3321</v>
      </c>
      <c r="B412" s="24">
        <v>300067</v>
      </c>
      <c r="C412" s="24" t="s">
        <v>2198</v>
      </c>
      <c r="D412" s="24" t="s">
        <v>2179</v>
      </c>
      <c r="E412" s="24" t="s">
        <v>2179</v>
      </c>
      <c r="F412" s="24" t="s">
        <v>1349</v>
      </c>
      <c r="G412" s="24" t="s">
        <v>2199</v>
      </c>
      <c r="H412" s="24" t="s">
        <v>2425</v>
      </c>
      <c r="I412" s="24" t="s">
        <v>2426</v>
      </c>
      <c r="J412" s="24" t="s">
        <v>761</v>
      </c>
      <c r="K412" s="24" t="s">
        <v>1146</v>
      </c>
      <c r="L412" s="25">
        <v>1070</v>
      </c>
      <c r="M412" s="26">
        <v>7.52</v>
      </c>
      <c r="N412" s="27">
        <v>7.52</v>
      </c>
      <c r="O412" s="28">
        <v>6.8363636363636361E-3</v>
      </c>
      <c r="P412" s="28">
        <v>7.1207079646017695</v>
      </c>
    </row>
    <row r="413" spans="1:16" x14ac:dyDescent="0.3">
      <c r="A413" t="s">
        <v>3322</v>
      </c>
      <c r="B413" s="24">
        <v>142796</v>
      </c>
      <c r="C413" s="24" t="s">
        <v>2237</v>
      </c>
      <c r="D413" s="24" t="s">
        <v>2179</v>
      </c>
      <c r="E413" s="24" t="s">
        <v>2179</v>
      </c>
      <c r="F413" s="24" t="s">
        <v>1349</v>
      </c>
      <c r="G413" s="24" t="s">
        <v>2208</v>
      </c>
      <c r="H413" s="24" t="s">
        <v>2427</v>
      </c>
      <c r="I413" s="24" t="s">
        <v>2426</v>
      </c>
      <c r="J413" s="24" t="s">
        <v>761</v>
      </c>
      <c r="K413" s="24" t="s">
        <v>1146</v>
      </c>
      <c r="L413" s="25">
        <v>1070</v>
      </c>
      <c r="M413" s="26">
        <v>7</v>
      </c>
      <c r="N413" s="27">
        <v>7</v>
      </c>
      <c r="O413" s="28">
        <v>6.3636363636363638E-3</v>
      </c>
      <c r="P413" s="28">
        <v>6.6283185840707963</v>
      </c>
    </row>
    <row r="414" spans="1:16" x14ac:dyDescent="0.3">
      <c r="A414" t="s">
        <v>3323</v>
      </c>
      <c r="B414" s="24">
        <v>300039</v>
      </c>
      <c r="C414" s="24" t="s">
        <v>2221</v>
      </c>
      <c r="D414" s="24" t="s">
        <v>2179</v>
      </c>
      <c r="E414" s="24" t="s">
        <v>2179</v>
      </c>
      <c r="F414" s="24" t="s">
        <v>1349</v>
      </c>
      <c r="G414" s="24" t="s">
        <v>2199</v>
      </c>
      <c r="H414" s="24" t="s">
        <v>2427</v>
      </c>
      <c r="I414" s="24" t="s">
        <v>2426</v>
      </c>
      <c r="J414" s="24" t="s">
        <v>761</v>
      </c>
      <c r="K414" s="24" t="s">
        <v>1146</v>
      </c>
      <c r="L414" s="25">
        <v>1070</v>
      </c>
      <c r="M414" s="26">
        <v>6.59</v>
      </c>
      <c r="N414" s="27">
        <v>6.59</v>
      </c>
      <c r="O414" s="28">
        <v>5.990909090909091E-3</v>
      </c>
      <c r="P414" s="28">
        <v>6.2400884955752218</v>
      </c>
    </row>
    <row r="415" spans="1:16" x14ac:dyDescent="0.3">
      <c r="A415" t="s">
        <v>3324</v>
      </c>
      <c r="B415" s="24">
        <v>300040</v>
      </c>
      <c r="C415" s="24" t="s">
        <v>2255</v>
      </c>
      <c r="D415" s="24" t="s">
        <v>2179</v>
      </c>
      <c r="E415" s="24" t="s">
        <v>2179</v>
      </c>
      <c r="F415" s="24" t="s">
        <v>1349</v>
      </c>
      <c r="G415" s="24" t="s">
        <v>2208</v>
      </c>
      <c r="H415" s="24" t="s">
        <v>2427</v>
      </c>
      <c r="I415" s="24" t="s">
        <v>2426</v>
      </c>
      <c r="J415" s="24" t="s">
        <v>761</v>
      </c>
      <c r="K415" s="24" t="s">
        <v>1146</v>
      </c>
      <c r="L415" s="25">
        <v>1070</v>
      </c>
      <c r="M415" s="26">
        <v>7.38</v>
      </c>
      <c r="N415" s="27">
        <v>7.38</v>
      </c>
      <c r="O415" s="28">
        <v>6.7090909090909093E-3</v>
      </c>
      <c r="P415" s="28">
        <v>6.9881415929203534</v>
      </c>
    </row>
    <row r="416" spans="1:16" x14ac:dyDescent="0.3">
      <c r="A416" t="s">
        <v>3325</v>
      </c>
      <c r="B416" s="24">
        <v>300042</v>
      </c>
      <c r="C416" s="24" t="s">
        <v>2190</v>
      </c>
      <c r="D416" s="24" t="s">
        <v>2179</v>
      </c>
      <c r="E416" s="24" t="s">
        <v>2179</v>
      </c>
      <c r="F416" s="24" t="s">
        <v>1349</v>
      </c>
      <c r="G416" s="24" t="s">
        <v>2191</v>
      </c>
      <c r="H416" s="24" t="s">
        <v>2427</v>
      </c>
      <c r="I416" s="24" t="s">
        <v>2426</v>
      </c>
      <c r="J416" s="24" t="s">
        <v>761</v>
      </c>
      <c r="K416" s="24" t="s">
        <v>1146</v>
      </c>
      <c r="L416" s="25">
        <v>1070</v>
      </c>
      <c r="M416" s="26">
        <v>7.5</v>
      </c>
      <c r="N416" s="27">
        <v>7.5</v>
      </c>
      <c r="O416" s="28">
        <v>6.8181818181818179E-3</v>
      </c>
      <c r="P416" s="28">
        <v>7.1017699115044248</v>
      </c>
    </row>
    <row r="417" spans="1:16" x14ac:dyDescent="0.3">
      <c r="A417" t="s">
        <v>3326</v>
      </c>
      <c r="B417" s="24">
        <v>300067</v>
      </c>
      <c r="C417" s="24" t="s">
        <v>2198</v>
      </c>
      <c r="D417" s="24" t="s">
        <v>2179</v>
      </c>
      <c r="E417" s="24" t="s">
        <v>2179</v>
      </c>
      <c r="F417" s="24" t="s">
        <v>1349</v>
      </c>
      <c r="G417" s="24" t="s">
        <v>2199</v>
      </c>
      <c r="H417" s="24" t="s">
        <v>2428</v>
      </c>
      <c r="I417" s="24" t="s">
        <v>2429</v>
      </c>
      <c r="J417" s="24" t="s">
        <v>761</v>
      </c>
      <c r="K417" s="24" t="s">
        <v>1146</v>
      </c>
      <c r="L417" s="25">
        <v>1070</v>
      </c>
      <c r="M417" s="26">
        <v>9.5</v>
      </c>
      <c r="N417" s="27">
        <v>9.5</v>
      </c>
      <c r="O417" s="28">
        <v>8.6363636363636365E-3</v>
      </c>
      <c r="P417" s="28">
        <v>8.9955752212389388</v>
      </c>
    </row>
    <row r="418" spans="1:16" x14ac:dyDescent="0.3">
      <c r="A418" t="s">
        <v>3327</v>
      </c>
      <c r="B418" s="24">
        <v>141111</v>
      </c>
      <c r="C418" s="24" t="s">
        <v>2238</v>
      </c>
      <c r="D418" s="24" t="s">
        <v>2179</v>
      </c>
      <c r="E418" s="24" t="s">
        <v>2179</v>
      </c>
      <c r="F418" s="24" t="s">
        <v>1349</v>
      </c>
      <c r="G418" s="24" t="s">
        <v>2191</v>
      </c>
      <c r="H418" s="24" t="s">
        <v>2430</v>
      </c>
      <c r="I418" s="24" t="s">
        <v>2431</v>
      </c>
      <c r="J418" s="24" t="s">
        <v>761</v>
      </c>
      <c r="K418" s="24" t="s">
        <v>1146</v>
      </c>
      <c r="L418" s="25">
        <v>1070</v>
      </c>
      <c r="M418" s="26">
        <v>5.99</v>
      </c>
      <c r="N418" s="27">
        <v>5.99</v>
      </c>
      <c r="O418" s="28">
        <v>5.4454545454545459E-3</v>
      </c>
      <c r="P418" s="28">
        <v>5.6719469026548675</v>
      </c>
    </row>
    <row r="419" spans="1:16" x14ac:dyDescent="0.3">
      <c r="A419" t="s">
        <v>3328</v>
      </c>
      <c r="B419" s="24">
        <v>142664</v>
      </c>
      <c r="C419" s="24" t="s">
        <v>2236</v>
      </c>
      <c r="D419" s="24" t="s">
        <v>2179</v>
      </c>
      <c r="E419" s="24" t="s">
        <v>2179</v>
      </c>
      <c r="F419" s="24" t="s">
        <v>1349</v>
      </c>
      <c r="G419" s="24" t="s">
        <v>2208</v>
      </c>
      <c r="H419" s="24" t="s">
        <v>2430</v>
      </c>
      <c r="I419" s="24" t="s">
        <v>2431</v>
      </c>
      <c r="J419" s="24" t="s">
        <v>761</v>
      </c>
      <c r="K419" s="24" t="s">
        <v>1146</v>
      </c>
      <c r="L419" s="25">
        <v>1070</v>
      </c>
      <c r="M419" s="26">
        <v>9</v>
      </c>
      <c r="N419" s="27">
        <v>9</v>
      </c>
      <c r="O419" s="28">
        <v>8.1818181818181825E-3</v>
      </c>
      <c r="P419" s="28">
        <v>8.5221238938053094</v>
      </c>
    </row>
    <row r="420" spans="1:16" x14ac:dyDescent="0.3">
      <c r="A420" t="s">
        <v>3329</v>
      </c>
      <c r="B420" s="24">
        <v>300039</v>
      </c>
      <c r="C420" s="24" t="s">
        <v>2221</v>
      </c>
      <c r="D420" s="24" t="s">
        <v>2179</v>
      </c>
      <c r="E420" s="24" t="s">
        <v>2179</v>
      </c>
      <c r="F420" s="24" t="s">
        <v>1349</v>
      </c>
      <c r="G420" s="24" t="s">
        <v>2199</v>
      </c>
      <c r="H420" s="24" t="s">
        <v>2430</v>
      </c>
      <c r="I420" s="24" t="s">
        <v>2431</v>
      </c>
      <c r="J420" s="24" t="s">
        <v>761</v>
      </c>
      <c r="K420" s="24" t="s">
        <v>1146</v>
      </c>
      <c r="L420" s="25">
        <v>1070</v>
      </c>
      <c r="M420" s="26">
        <v>8.44</v>
      </c>
      <c r="N420" s="27">
        <v>8.44</v>
      </c>
      <c r="O420" s="28">
        <v>7.672727272727272E-3</v>
      </c>
      <c r="P420" s="28">
        <v>7.9918584070796452</v>
      </c>
    </row>
    <row r="421" spans="1:16" x14ac:dyDescent="0.3">
      <c r="A421" t="s">
        <v>3330</v>
      </c>
      <c r="B421" s="24">
        <v>300008</v>
      </c>
      <c r="C421" s="24" t="s">
        <v>2219</v>
      </c>
      <c r="D421" s="24" t="s">
        <v>2179</v>
      </c>
      <c r="E421" s="24" t="s">
        <v>2179</v>
      </c>
      <c r="F421" s="24" t="s">
        <v>2220</v>
      </c>
      <c r="G421" s="24" t="s">
        <v>2179</v>
      </c>
      <c r="H421" s="24" t="s">
        <v>2432</v>
      </c>
      <c r="I421" s="24" t="s">
        <v>2364</v>
      </c>
      <c r="J421" s="24" t="s">
        <v>761</v>
      </c>
      <c r="K421" s="24" t="s">
        <v>1146</v>
      </c>
      <c r="L421" s="25">
        <v>1070</v>
      </c>
      <c r="M421" s="26">
        <v>23.9</v>
      </c>
      <c r="N421" s="27">
        <v>23.9</v>
      </c>
      <c r="O421" s="28">
        <v>2.1727272727272727E-2</v>
      </c>
      <c r="P421" s="28">
        <v>22.630973451327435</v>
      </c>
    </row>
    <row r="422" spans="1:16" x14ac:dyDescent="0.3">
      <c r="A422" t="s">
        <v>3331</v>
      </c>
      <c r="B422" s="24">
        <v>300039</v>
      </c>
      <c r="C422" s="24" t="s">
        <v>2221</v>
      </c>
      <c r="D422" s="24" t="s">
        <v>2179</v>
      </c>
      <c r="E422" s="24" t="s">
        <v>2179</v>
      </c>
      <c r="F422" s="24" t="s">
        <v>1349</v>
      </c>
      <c r="G422" s="24" t="s">
        <v>2199</v>
      </c>
      <c r="H422" s="24" t="s">
        <v>2432</v>
      </c>
      <c r="I422" s="24" t="s">
        <v>2364</v>
      </c>
      <c r="J422" s="24" t="s">
        <v>761</v>
      </c>
      <c r="K422" s="24" t="s">
        <v>1146</v>
      </c>
      <c r="L422" s="25">
        <v>1070</v>
      </c>
      <c r="M422" s="26">
        <v>23.82</v>
      </c>
      <c r="N422" s="27">
        <v>23.82</v>
      </c>
      <c r="O422" s="28">
        <v>2.1654545454545454E-2</v>
      </c>
      <c r="P422" s="28">
        <v>22.555221238938053</v>
      </c>
    </row>
    <row r="423" spans="1:16" x14ac:dyDescent="0.3">
      <c r="A423" t="s">
        <v>3332</v>
      </c>
      <c r="B423" s="24">
        <v>300039</v>
      </c>
      <c r="C423" s="24" t="s">
        <v>2221</v>
      </c>
      <c r="D423" s="24" t="s">
        <v>2179</v>
      </c>
      <c r="E423" s="24" t="s">
        <v>2179</v>
      </c>
      <c r="F423" s="24" t="s">
        <v>1349</v>
      </c>
      <c r="G423" s="24" t="s">
        <v>2199</v>
      </c>
      <c r="H423" s="24" t="s">
        <v>2433</v>
      </c>
      <c r="I423" s="24" t="s">
        <v>2434</v>
      </c>
      <c r="J423" s="24" t="s">
        <v>761</v>
      </c>
      <c r="K423" s="24" t="s">
        <v>1146</v>
      </c>
      <c r="L423" s="25">
        <v>1070</v>
      </c>
      <c r="M423" s="26">
        <v>21.8</v>
      </c>
      <c r="N423" s="27">
        <v>21.8</v>
      </c>
      <c r="O423" s="28">
        <v>1.9818181818181818E-2</v>
      </c>
      <c r="P423" s="28">
        <v>20.642477876106195</v>
      </c>
    </row>
    <row r="424" spans="1:16" x14ac:dyDescent="0.3">
      <c r="A424" t="s">
        <v>3333</v>
      </c>
      <c r="B424" s="24">
        <v>300042</v>
      </c>
      <c r="C424" s="24" t="s">
        <v>2190</v>
      </c>
      <c r="D424" s="24" t="s">
        <v>2179</v>
      </c>
      <c r="E424" s="24" t="s">
        <v>2179</v>
      </c>
      <c r="F424" s="24" t="s">
        <v>1349</v>
      </c>
      <c r="G424" s="24" t="s">
        <v>2191</v>
      </c>
      <c r="H424" s="24" t="s">
        <v>2433</v>
      </c>
      <c r="I424" s="24" t="s">
        <v>2434</v>
      </c>
      <c r="J424" s="24" t="s">
        <v>761</v>
      </c>
      <c r="K424" s="24" t="s">
        <v>1146</v>
      </c>
      <c r="L424" s="25">
        <v>1070</v>
      </c>
      <c r="M424" s="26">
        <v>19</v>
      </c>
      <c r="N424" s="27">
        <v>19</v>
      </c>
      <c r="O424" s="28">
        <v>1.7272727272727273E-2</v>
      </c>
      <c r="P424" s="28">
        <v>17.991150442477878</v>
      </c>
    </row>
    <row r="425" spans="1:16" x14ac:dyDescent="0.3">
      <c r="A425" t="s">
        <v>3334</v>
      </c>
      <c r="B425" s="24">
        <v>142664</v>
      </c>
      <c r="C425" s="24" t="s">
        <v>2236</v>
      </c>
      <c r="D425" s="24" t="s">
        <v>2179</v>
      </c>
      <c r="E425" s="24" t="s">
        <v>2179</v>
      </c>
      <c r="F425" s="24" t="s">
        <v>1349</v>
      </c>
      <c r="G425" s="24" t="s">
        <v>2208</v>
      </c>
      <c r="H425" s="24" t="s">
        <v>2435</v>
      </c>
      <c r="I425" s="24" t="s">
        <v>2436</v>
      </c>
      <c r="J425" s="24" t="s">
        <v>761</v>
      </c>
      <c r="K425" s="24" t="s">
        <v>1146</v>
      </c>
      <c r="L425" s="25">
        <v>1070</v>
      </c>
      <c r="M425" s="26">
        <v>40</v>
      </c>
      <c r="N425" s="27">
        <v>40</v>
      </c>
      <c r="O425" s="28">
        <v>3.6363636363636362E-2</v>
      </c>
      <c r="P425" s="28">
        <v>37.876106194690266</v>
      </c>
    </row>
    <row r="426" spans="1:16" x14ac:dyDescent="0.3">
      <c r="A426" t="s">
        <v>3335</v>
      </c>
      <c r="B426" s="24">
        <v>300039</v>
      </c>
      <c r="C426" s="24" t="s">
        <v>2221</v>
      </c>
      <c r="D426" s="24" t="s">
        <v>2179</v>
      </c>
      <c r="E426" s="24" t="s">
        <v>2179</v>
      </c>
      <c r="F426" s="24" t="s">
        <v>1349</v>
      </c>
      <c r="G426" s="24" t="s">
        <v>2199</v>
      </c>
      <c r="H426" s="24" t="s">
        <v>2435</v>
      </c>
      <c r="I426" s="24" t="s">
        <v>2436</v>
      </c>
      <c r="J426" s="24" t="s">
        <v>761</v>
      </c>
      <c r="K426" s="24" t="s">
        <v>1146</v>
      </c>
      <c r="L426" s="25">
        <v>1070</v>
      </c>
      <c r="M426" s="26">
        <v>40</v>
      </c>
      <c r="N426" s="27">
        <v>40</v>
      </c>
      <c r="O426" s="28">
        <v>3.6363636363636362E-2</v>
      </c>
      <c r="P426" s="28">
        <v>37.876106194690266</v>
      </c>
    </row>
    <row r="427" spans="1:16" x14ac:dyDescent="0.3">
      <c r="A427" t="s">
        <v>3336</v>
      </c>
      <c r="B427" s="24">
        <v>300039</v>
      </c>
      <c r="C427" s="24" t="s">
        <v>2221</v>
      </c>
      <c r="D427" s="24" t="s">
        <v>2179</v>
      </c>
      <c r="E427" s="24" t="s">
        <v>2179</v>
      </c>
      <c r="F427" s="24" t="s">
        <v>1349</v>
      </c>
      <c r="G427" s="24" t="s">
        <v>2199</v>
      </c>
      <c r="H427" s="24" t="s">
        <v>2437</v>
      </c>
      <c r="I427" s="24" t="s">
        <v>2438</v>
      </c>
      <c r="J427" s="24" t="s">
        <v>761</v>
      </c>
      <c r="K427" s="24" t="s">
        <v>1146</v>
      </c>
      <c r="L427" s="25">
        <v>1070</v>
      </c>
      <c r="M427" s="26">
        <v>40</v>
      </c>
      <c r="N427" s="27">
        <v>40</v>
      </c>
      <c r="O427" s="28">
        <v>3.6363636363636362E-2</v>
      </c>
      <c r="P427" s="28">
        <v>37.876106194690266</v>
      </c>
    </row>
    <row r="428" spans="1:16" x14ac:dyDescent="0.3">
      <c r="A428" t="s">
        <v>3337</v>
      </c>
      <c r="B428" s="24">
        <v>101906</v>
      </c>
      <c r="C428" s="24" t="s">
        <v>2243</v>
      </c>
      <c r="D428" s="24" t="s">
        <v>2179</v>
      </c>
      <c r="E428" s="24" t="s">
        <v>2179</v>
      </c>
      <c r="F428" s="24" t="s">
        <v>1349</v>
      </c>
      <c r="G428" s="24" t="s">
        <v>2180</v>
      </c>
      <c r="H428" s="24" t="s">
        <v>2439</v>
      </c>
      <c r="I428" s="24" t="s">
        <v>2440</v>
      </c>
      <c r="J428" s="24" t="s">
        <v>761</v>
      </c>
      <c r="K428" s="24" t="s">
        <v>1352</v>
      </c>
      <c r="L428" s="25">
        <v>1</v>
      </c>
      <c r="M428" s="26">
        <v>7000</v>
      </c>
      <c r="N428" s="27">
        <v>6.3636363636363633</v>
      </c>
      <c r="O428" s="28">
        <v>6.3636363636363633</v>
      </c>
      <c r="P428" s="28">
        <v>6.1946902654867255</v>
      </c>
    </row>
    <row r="429" spans="1:16" x14ac:dyDescent="0.3">
      <c r="A429" t="s">
        <v>3338</v>
      </c>
      <c r="B429" s="24">
        <v>112498</v>
      </c>
      <c r="C429" s="24" t="s">
        <v>2211</v>
      </c>
      <c r="D429" s="24" t="s">
        <v>2179</v>
      </c>
      <c r="E429" s="24" t="s">
        <v>2179</v>
      </c>
      <c r="F429" s="24" t="s">
        <v>1237</v>
      </c>
      <c r="G429" s="24" t="s">
        <v>2201</v>
      </c>
      <c r="H429" s="24" t="s">
        <v>2439</v>
      </c>
      <c r="I429" s="24" t="s">
        <v>2440</v>
      </c>
      <c r="J429" s="24" t="s">
        <v>761</v>
      </c>
      <c r="K429" s="24" t="s">
        <v>1146</v>
      </c>
      <c r="L429" s="25">
        <v>1070</v>
      </c>
      <c r="M429" s="26">
        <v>6.95</v>
      </c>
      <c r="N429" s="27">
        <v>6.95</v>
      </c>
      <c r="O429" s="28">
        <v>6.3181818181818183E-3</v>
      </c>
      <c r="P429" s="28">
        <v>6.5809734513274334</v>
      </c>
    </row>
    <row r="430" spans="1:16" x14ac:dyDescent="0.3">
      <c r="A430" t="s">
        <v>3339</v>
      </c>
      <c r="B430" s="24">
        <v>141958</v>
      </c>
      <c r="C430" s="24" t="s">
        <v>2352</v>
      </c>
      <c r="D430" s="24" t="s">
        <v>2179</v>
      </c>
      <c r="E430" s="24" t="s">
        <v>2179</v>
      </c>
      <c r="F430" s="24" t="s">
        <v>1349</v>
      </c>
      <c r="G430" s="24" t="s">
        <v>2191</v>
      </c>
      <c r="H430" s="24" t="s">
        <v>2439</v>
      </c>
      <c r="I430" s="24" t="s">
        <v>2440</v>
      </c>
      <c r="J430" s="24" t="s">
        <v>761</v>
      </c>
      <c r="K430" s="24" t="s">
        <v>2194</v>
      </c>
      <c r="L430" s="25">
        <v>1300</v>
      </c>
      <c r="M430" s="26">
        <v>5.4</v>
      </c>
      <c r="N430" s="27">
        <v>6.2123893805309747</v>
      </c>
      <c r="O430" s="28">
        <v>4.9090909090909098E-3</v>
      </c>
      <c r="P430" s="28">
        <v>6.2123893805309747</v>
      </c>
    </row>
    <row r="431" spans="1:16" x14ac:dyDescent="0.3">
      <c r="A431" t="s">
        <v>3340</v>
      </c>
      <c r="B431" s="24">
        <v>142368</v>
      </c>
      <c r="C431" s="24" t="s">
        <v>2186</v>
      </c>
      <c r="D431" s="24" t="s">
        <v>2179</v>
      </c>
      <c r="E431" s="24" t="s">
        <v>2179</v>
      </c>
      <c r="F431" s="24" t="s">
        <v>1349</v>
      </c>
      <c r="G431" s="24" t="s">
        <v>2187</v>
      </c>
      <c r="H431" s="24" t="s">
        <v>2439</v>
      </c>
      <c r="I431" s="24" t="s">
        <v>2440</v>
      </c>
      <c r="J431" s="24" t="s">
        <v>761</v>
      </c>
      <c r="K431" s="24" t="s">
        <v>1352</v>
      </c>
      <c r="L431" s="25">
        <v>1</v>
      </c>
      <c r="M431" s="26">
        <v>8000</v>
      </c>
      <c r="N431" s="27">
        <v>7.2727272727272725</v>
      </c>
      <c r="O431" s="28">
        <v>7.2727272727272725</v>
      </c>
      <c r="P431" s="28">
        <v>7.0796460176991154</v>
      </c>
    </row>
    <row r="432" spans="1:16" x14ac:dyDescent="0.3">
      <c r="A432" t="s">
        <v>3341</v>
      </c>
      <c r="B432" s="24">
        <v>142597</v>
      </c>
      <c r="C432" s="24" t="s">
        <v>2214</v>
      </c>
      <c r="D432" s="24" t="s">
        <v>2179</v>
      </c>
      <c r="E432" s="24" t="s">
        <v>2179</v>
      </c>
      <c r="F432" s="24" t="s">
        <v>1349</v>
      </c>
      <c r="G432" s="24" t="s">
        <v>2199</v>
      </c>
      <c r="H432" s="24" t="s">
        <v>2439</v>
      </c>
      <c r="I432" s="24" t="s">
        <v>2440</v>
      </c>
      <c r="J432" s="24" t="s">
        <v>761</v>
      </c>
      <c r="K432" s="24" t="s">
        <v>2194</v>
      </c>
      <c r="L432" s="25">
        <v>1300</v>
      </c>
      <c r="M432" s="26">
        <v>9</v>
      </c>
      <c r="N432" s="27">
        <v>10.353982300884956</v>
      </c>
      <c r="O432" s="28">
        <v>8.1818181818181825E-3</v>
      </c>
      <c r="P432" s="28">
        <v>10.353982300884956</v>
      </c>
    </row>
    <row r="433" spans="1:16" x14ac:dyDescent="0.3">
      <c r="A433" t="s">
        <v>3342</v>
      </c>
      <c r="B433" s="24">
        <v>142599</v>
      </c>
      <c r="C433" s="24" t="s">
        <v>2233</v>
      </c>
      <c r="D433" s="24" t="s">
        <v>2179</v>
      </c>
      <c r="E433" s="24" t="s">
        <v>2179</v>
      </c>
      <c r="F433" s="24" t="s">
        <v>1349</v>
      </c>
      <c r="G433" s="24" t="s">
        <v>2208</v>
      </c>
      <c r="H433" s="24" t="s">
        <v>2439</v>
      </c>
      <c r="I433" s="24" t="s">
        <v>2440</v>
      </c>
      <c r="J433" s="24" t="s">
        <v>761</v>
      </c>
      <c r="K433" s="24" t="s">
        <v>1146</v>
      </c>
      <c r="L433" s="25">
        <v>1070</v>
      </c>
      <c r="M433" s="26">
        <v>14.95</v>
      </c>
      <c r="N433" s="27">
        <v>14.95</v>
      </c>
      <c r="O433" s="28">
        <v>1.3590909090909091E-2</v>
      </c>
      <c r="P433" s="28">
        <v>14.156194690265487</v>
      </c>
    </row>
    <row r="434" spans="1:16" x14ac:dyDescent="0.3">
      <c r="A434" t="s">
        <v>3343</v>
      </c>
      <c r="B434" s="24">
        <v>142603</v>
      </c>
      <c r="C434" s="24" t="s">
        <v>2207</v>
      </c>
      <c r="D434" s="24" t="s">
        <v>2179</v>
      </c>
      <c r="E434" s="24" t="s">
        <v>2179</v>
      </c>
      <c r="F434" s="24" t="s">
        <v>1349</v>
      </c>
      <c r="G434" s="24" t="s">
        <v>2208</v>
      </c>
      <c r="H434" s="24" t="s">
        <v>2439</v>
      </c>
      <c r="I434" s="24" t="s">
        <v>2440</v>
      </c>
      <c r="J434" s="24" t="s">
        <v>761</v>
      </c>
      <c r="K434" s="24" t="s">
        <v>1146</v>
      </c>
      <c r="L434" s="25">
        <v>1070</v>
      </c>
      <c r="M434" s="26">
        <v>12</v>
      </c>
      <c r="N434" s="27">
        <v>12</v>
      </c>
      <c r="O434" s="28">
        <v>1.090909090909091E-2</v>
      </c>
      <c r="P434" s="28">
        <v>11.36283185840708</v>
      </c>
    </row>
    <row r="435" spans="1:16" x14ac:dyDescent="0.3">
      <c r="A435" t="s">
        <v>3344</v>
      </c>
      <c r="B435" s="24">
        <v>142612</v>
      </c>
      <c r="C435" s="24" t="s">
        <v>2234</v>
      </c>
      <c r="D435" s="24" t="s">
        <v>2179</v>
      </c>
      <c r="E435" s="24" t="s">
        <v>2179</v>
      </c>
      <c r="F435" s="24" t="s">
        <v>1349</v>
      </c>
      <c r="G435" s="24" t="s">
        <v>2208</v>
      </c>
      <c r="H435" s="24" t="s">
        <v>2439</v>
      </c>
      <c r="I435" s="24" t="s">
        <v>2440</v>
      </c>
      <c r="J435" s="24" t="s">
        <v>761</v>
      </c>
      <c r="K435" s="24" t="s">
        <v>2194</v>
      </c>
      <c r="L435" s="25">
        <v>1300</v>
      </c>
      <c r="M435" s="26">
        <v>19</v>
      </c>
      <c r="N435" s="27">
        <v>21.858407079646017</v>
      </c>
      <c r="O435" s="28">
        <v>1.7272727272727273E-2</v>
      </c>
      <c r="P435" s="28">
        <v>21.858407079646017</v>
      </c>
    </row>
    <row r="436" spans="1:16" x14ac:dyDescent="0.3">
      <c r="A436" t="s">
        <v>3345</v>
      </c>
      <c r="B436" s="24">
        <v>142639</v>
      </c>
      <c r="C436" s="24" t="s">
        <v>2235</v>
      </c>
      <c r="D436" s="24" t="s">
        <v>2179</v>
      </c>
      <c r="E436" s="24" t="s">
        <v>2179</v>
      </c>
      <c r="F436" s="24" t="s">
        <v>1349</v>
      </c>
      <c r="G436" s="24" t="s">
        <v>2199</v>
      </c>
      <c r="H436" s="24" t="s">
        <v>2439</v>
      </c>
      <c r="I436" s="24" t="s">
        <v>2440</v>
      </c>
      <c r="J436" s="24" t="s">
        <v>761</v>
      </c>
      <c r="K436" s="24" t="s">
        <v>2194</v>
      </c>
      <c r="L436" s="25">
        <v>1300</v>
      </c>
      <c r="M436" s="26">
        <v>5</v>
      </c>
      <c r="N436" s="27">
        <v>5.7522123893805306</v>
      </c>
      <c r="O436" s="28">
        <v>4.5454545454545452E-3</v>
      </c>
      <c r="P436" s="28">
        <v>5.7522123893805306</v>
      </c>
    </row>
    <row r="437" spans="1:16" x14ac:dyDescent="0.3">
      <c r="A437" t="s">
        <v>3346</v>
      </c>
      <c r="B437" s="24">
        <v>142651</v>
      </c>
      <c r="C437" s="24" t="s">
        <v>2178</v>
      </c>
      <c r="D437" s="24" t="s">
        <v>2179</v>
      </c>
      <c r="E437" s="24" t="s">
        <v>2179</v>
      </c>
      <c r="F437" s="24" t="s">
        <v>1349</v>
      </c>
      <c r="G437" s="24" t="s">
        <v>2180</v>
      </c>
      <c r="H437" s="24" t="s">
        <v>2439</v>
      </c>
      <c r="I437" s="24" t="s">
        <v>2440</v>
      </c>
      <c r="J437" s="24" t="s">
        <v>761</v>
      </c>
      <c r="K437" s="24" t="s">
        <v>1352</v>
      </c>
      <c r="L437" s="25">
        <v>1</v>
      </c>
      <c r="M437" s="26">
        <v>10000</v>
      </c>
      <c r="N437" s="27">
        <v>9.0909090909090917</v>
      </c>
      <c r="O437" s="28">
        <v>9.0909090909090917</v>
      </c>
      <c r="P437" s="28">
        <v>8.8495575221238933</v>
      </c>
    </row>
    <row r="438" spans="1:16" x14ac:dyDescent="0.3">
      <c r="A438" t="s">
        <v>3347</v>
      </c>
      <c r="B438" s="24">
        <v>142660</v>
      </c>
      <c r="C438" s="24" t="s">
        <v>2215</v>
      </c>
      <c r="D438" s="24" t="s">
        <v>2179</v>
      </c>
      <c r="E438" s="24" t="s">
        <v>2179</v>
      </c>
      <c r="F438" s="24" t="s">
        <v>1237</v>
      </c>
      <c r="G438" s="24" t="s">
        <v>2216</v>
      </c>
      <c r="H438" s="24" t="s">
        <v>2439</v>
      </c>
      <c r="I438" s="24" t="s">
        <v>2440</v>
      </c>
      <c r="J438" s="24" t="s">
        <v>761</v>
      </c>
      <c r="K438" s="24" t="s">
        <v>1146</v>
      </c>
      <c r="L438" s="25">
        <v>1070</v>
      </c>
      <c r="M438" s="26">
        <v>6.69</v>
      </c>
      <c r="N438" s="27">
        <v>6.69</v>
      </c>
      <c r="O438" s="28">
        <v>6.0818181818181822E-3</v>
      </c>
      <c r="P438" s="28">
        <v>6.3347787610619468</v>
      </c>
    </row>
    <row r="439" spans="1:16" x14ac:dyDescent="0.3">
      <c r="A439" t="s">
        <v>3348</v>
      </c>
      <c r="B439" s="24">
        <v>142664</v>
      </c>
      <c r="C439" s="24" t="s">
        <v>2236</v>
      </c>
      <c r="D439" s="24" t="s">
        <v>2179</v>
      </c>
      <c r="E439" s="24" t="s">
        <v>2179</v>
      </c>
      <c r="F439" s="24" t="s">
        <v>1349</v>
      </c>
      <c r="G439" s="24" t="s">
        <v>2208</v>
      </c>
      <c r="H439" s="24" t="s">
        <v>2439</v>
      </c>
      <c r="I439" s="24" t="s">
        <v>2440</v>
      </c>
      <c r="J439" s="24" t="s">
        <v>761</v>
      </c>
      <c r="K439" s="24" t="s">
        <v>1146</v>
      </c>
      <c r="L439" s="25">
        <v>1070</v>
      </c>
      <c r="M439" s="26">
        <v>10</v>
      </c>
      <c r="N439" s="27">
        <v>10</v>
      </c>
      <c r="O439" s="28">
        <v>9.0909090909090905E-3</v>
      </c>
      <c r="P439" s="28">
        <v>9.4690265486725664</v>
      </c>
    </row>
    <row r="440" spans="1:16" x14ac:dyDescent="0.3">
      <c r="A440" t="s">
        <v>3349</v>
      </c>
      <c r="B440" s="24">
        <v>142796</v>
      </c>
      <c r="C440" s="24" t="s">
        <v>2237</v>
      </c>
      <c r="D440" s="24" t="s">
        <v>2179</v>
      </c>
      <c r="E440" s="24" t="s">
        <v>2179</v>
      </c>
      <c r="F440" s="24" t="s">
        <v>1349</v>
      </c>
      <c r="G440" s="24" t="s">
        <v>2208</v>
      </c>
      <c r="H440" s="24" t="s">
        <v>2439</v>
      </c>
      <c r="I440" s="24" t="s">
        <v>2440</v>
      </c>
      <c r="J440" s="24" t="s">
        <v>761</v>
      </c>
      <c r="K440" s="24" t="s">
        <v>1146</v>
      </c>
      <c r="L440" s="25">
        <v>1070</v>
      </c>
      <c r="M440" s="26">
        <v>11</v>
      </c>
      <c r="N440" s="27">
        <v>11</v>
      </c>
      <c r="O440" s="28">
        <v>0.01</v>
      </c>
      <c r="P440" s="28">
        <v>10.415929203539823</v>
      </c>
    </row>
    <row r="441" spans="1:16" x14ac:dyDescent="0.3">
      <c r="A441" t="s">
        <v>3350</v>
      </c>
      <c r="B441" s="24">
        <v>142807</v>
      </c>
      <c r="C441" s="24" t="s">
        <v>2217</v>
      </c>
      <c r="D441" s="24" t="s">
        <v>2179</v>
      </c>
      <c r="E441" s="24" t="s">
        <v>2179</v>
      </c>
      <c r="F441" s="24" t="s">
        <v>1349</v>
      </c>
      <c r="G441" s="24" t="s">
        <v>2208</v>
      </c>
      <c r="H441" s="24" t="s">
        <v>2439</v>
      </c>
      <c r="I441" s="24" t="s">
        <v>2440</v>
      </c>
      <c r="J441" s="24" t="s">
        <v>761</v>
      </c>
      <c r="K441" s="24" t="s">
        <v>2194</v>
      </c>
      <c r="L441" s="25">
        <v>1300</v>
      </c>
      <c r="M441" s="26">
        <v>12</v>
      </c>
      <c r="N441" s="27">
        <v>13.805309734513274</v>
      </c>
      <c r="O441" s="28">
        <v>1.090909090909091E-2</v>
      </c>
      <c r="P441" s="28">
        <v>13.805309734513274</v>
      </c>
    </row>
    <row r="442" spans="1:16" x14ac:dyDescent="0.3">
      <c r="A442" t="s">
        <v>3351</v>
      </c>
      <c r="B442" s="24">
        <v>142825</v>
      </c>
      <c r="C442" s="24" t="s">
        <v>2218</v>
      </c>
      <c r="D442" s="24" t="s">
        <v>2179</v>
      </c>
      <c r="E442" s="24" t="s">
        <v>2179</v>
      </c>
      <c r="F442" s="24" t="s">
        <v>1349</v>
      </c>
      <c r="G442" s="24" t="s">
        <v>2208</v>
      </c>
      <c r="H442" s="24" t="s">
        <v>2439</v>
      </c>
      <c r="I442" s="24" t="s">
        <v>2440</v>
      </c>
      <c r="J442" s="24" t="s">
        <v>761</v>
      </c>
      <c r="K442" s="24" t="s">
        <v>1146</v>
      </c>
      <c r="L442" s="25">
        <v>1070</v>
      </c>
      <c r="M442" s="26">
        <v>15</v>
      </c>
      <c r="N442" s="27">
        <v>15</v>
      </c>
      <c r="O442" s="28">
        <v>1.3636363636363636E-2</v>
      </c>
      <c r="P442" s="28">
        <v>14.20353982300885</v>
      </c>
    </row>
    <row r="443" spans="1:16" x14ac:dyDescent="0.3">
      <c r="A443" t="s">
        <v>3352</v>
      </c>
      <c r="B443" s="24">
        <v>150518</v>
      </c>
      <c r="C443" s="24" t="s">
        <v>2197</v>
      </c>
      <c r="D443" s="24" t="s">
        <v>2179</v>
      </c>
      <c r="E443" s="24" t="s">
        <v>2179</v>
      </c>
      <c r="F443" s="24" t="s">
        <v>1349</v>
      </c>
      <c r="G443" s="24" t="s">
        <v>2180</v>
      </c>
      <c r="H443" s="24" t="s">
        <v>2439</v>
      </c>
      <c r="I443" s="24" t="s">
        <v>2440</v>
      </c>
      <c r="J443" s="24" t="s">
        <v>761</v>
      </c>
      <c r="K443" s="24" t="s">
        <v>1352</v>
      </c>
      <c r="L443" s="25">
        <v>1</v>
      </c>
      <c r="M443" s="26">
        <v>10000</v>
      </c>
      <c r="N443" s="27">
        <v>9.0909090909090917</v>
      </c>
      <c r="O443" s="28">
        <v>9.0909090909090917</v>
      </c>
      <c r="P443" s="28">
        <v>8.8495575221238933</v>
      </c>
    </row>
    <row r="444" spans="1:16" x14ac:dyDescent="0.3">
      <c r="A444" t="s">
        <v>3353</v>
      </c>
      <c r="B444" s="24">
        <v>300008</v>
      </c>
      <c r="C444" s="24" t="s">
        <v>2219</v>
      </c>
      <c r="D444" s="24" t="s">
        <v>2179</v>
      </c>
      <c r="E444" s="24" t="s">
        <v>2179</v>
      </c>
      <c r="F444" s="24" t="s">
        <v>2220</v>
      </c>
      <c r="G444" s="24" t="s">
        <v>2179</v>
      </c>
      <c r="H444" s="24" t="s">
        <v>2439</v>
      </c>
      <c r="I444" s="24" t="s">
        <v>2440</v>
      </c>
      <c r="J444" s="24" t="s">
        <v>761</v>
      </c>
      <c r="K444" s="24" t="s">
        <v>1146</v>
      </c>
      <c r="L444" s="25">
        <v>1070</v>
      </c>
      <c r="M444" s="26">
        <v>7.9</v>
      </c>
      <c r="N444" s="27">
        <v>7.9</v>
      </c>
      <c r="O444" s="28">
        <v>7.1818181818181824E-3</v>
      </c>
      <c r="P444" s="28">
        <v>7.4805309734513274</v>
      </c>
    </row>
    <row r="445" spans="1:16" x14ac:dyDescent="0.3">
      <c r="A445" t="s">
        <v>3354</v>
      </c>
      <c r="B445" s="24">
        <v>300022</v>
      </c>
      <c r="C445" s="24" t="s">
        <v>2282</v>
      </c>
      <c r="D445" s="24" t="s">
        <v>2179</v>
      </c>
      <c r="E445" s="24" t="s">
        <v>2179</v>
      </c>
      <c r="F445" s="24" t="s">
        <v>1349</v>
      </c>
      <c r="G445" s="24" t="s">
        <v>2208</v>
      </c>
      <c r="H445" s="24" t="s">
        <v>2439</v>
      </c>
      <c r="I445" s="24" t="s">
        <v>2440</v>
      </c>
      <c r="J445" s="24" t="s">
        <v>761</v>
      </c>
      <c r="K445" s="24" t="s">
        <v>2194</v>
      </c>
      <c r="L445" s="25">
        <v>1300</v>
      </c>
      <c r="M445" s="26">
        <v>11</v>
      </c>
      <c r="N445" s="27">
        <v>12.654867256637168</v>
      </c>
      <c r="O445" s="28">
        <v>0.01</v>
      </c>
      <c r="P445" s="28">
        <v>12.654867256637168</v>
      </c>
    </row>
    <row r="446" spans="1:16" x14ac:dyDescent="0.3">
      <c r="A446" t="s">
        <v>3355</v>
      </c>
      <c r="B446" s="24">
        <v>300032</v>
      </c>
      <c r="C446" s="24" t="s">
        <v>2183</v>
      </c>
      <c r="D446" s="24" t="s">
        <v>2179</v>
      </c>
      <c r="E446" s="24" t="s">
        <v>2179</v>
      </c>
      <c r="F446" s="24" t="s">
        <v>1349</v>
      </c>
      <c r="G446" s="24" t="s">
        <v>2180</v>
      </c>
      <c r="H446" s="24" t="s">
        <v>2439</v>
      </c>
      <c r="I446" s="24" t="s">
        <v>2440</v>
      </c>
      <c r="J446" s="24" t="s">
        <v>761</v>
      </c>
      <c r="K446" s="24" t="s">
        <v>1352</v>
      </c>
      <c r="L446" s="25">
        <v>1</v>
      </c>
      <c r="M446" s="26">
        <v>10000</v>
      </c>
      <c r="N446" s="27">
        <v>9.0909090909090917</v>
      </c>
      <c r="O446" s="28">
        <v>9.0909090909090917</v>
      </c>
      <c r="P446" s="28">
        <v>8.8495575221238933</v>
      </c>
    </row>
    <row r="447" spans="1:16" x14ac:dyDescent="0.3">
      <c r="A447" t="s">
        <v>3356</v>
      </c>
      <c r="B447" s="24">
        <v>300034</v>
      </c>
      <c r="C447" s="24" t="s">
        <v>2184</v>
      </c>
      <c r="D447" s="24" t="s">
        <v>2179</v>
      </c>
      <c r="E447" s="24" t="s">
        <v>2179</v>
      </c>
      <c r="F447" s="24" t="s">
        <v>1349</v>
      </c>
      <c r="G447" s="24" t="s">
        <v>2180</v>
      </c>
      <c r="H447" s="24" t="s">
        <v>2439</v>
      </c>
      <c r="I447" s="24" t="s">
        <v>2440</v>
      </c>
      <c r="J447" s="24" t="s">
        <v>761</v>
      </c>
      <c r="K447" s="24" t="s">
        <v>1352</v>
      </c>
      <c r="L447" s="25">
        <v>1</v>
      </c>
      <c r="M447" s="26">
        <v>10000</v>
      </c>
      <c r="N447" s="27">
        <v>9.0909090909090917</v>
      </c>
      <c r="O447" s="28">
        <v>9.0909090909090917</v>
      </c>
      <c r="P447" s="28">
        <v>8.8495575221238933</v>
      </c>
    </row>
    <row r="448" spans="1:16" x14ac:dyDescent="0.3">
      <c r="A448" t="s">
        <v>3357</v>
      </c>
      <c r="B448" s="24">
        <v>300039</v>
      </c>
      <c r="C448" s="24" t="s">
        <v>2221</v>
      </c>
      <c r="D448" s="24" t="s">
        <v>2179</v>
      </c>
      <c r="E448" s="24" t="s">
        <v>2179</v>
      </c>
      <c r="F448" s="24" t="s">
        <v>1349</v>
      </c>
      <c r="G448" s="24" t="s">
        <v>2199</v>
      </c>
      <c r="H448" s="24" t="s">
        <v>2439</v>
      </c>
      <c r="I448" s="24" t="s">
        <v>2440</v>
      </c>
      <c r="J448" s="24" t="s">
        <v>761</v>
      </c>
      <c r="K448" s="24" t="s">
        <v>1146</v>
      </c>
      <c r="L448" s="25">
        <v>1070</v>
      </c>
      <c r="M448" s="26">
        <v>9.6999999999999993</v>
      </c>
      <c r="N448" s="27">
        <v>9.6999999999999993</v>
      </c>
      <c r="O448" s="28">
        <v>8.818181818181817E-3</v>
      </c>
      <c r="P448" s="28">
        <v>9.1849557522123888</v>
      </c>
    </row>
    <row r="449" spans="1:16" x14ac:dyDescent="0.3">
      <c r="A449" t="s">
        <v>3358</v>
      </c>
      <c r="B449" s="24">
        <v>300040</v>
      </c>
      <c r="C449" s="24" t="s">
        <v>2255</v>
      </c>
      <c r="D449" s="24" t="s">
        <v>2179</v>
      </c>
      <c r="E449" s="24" t="s">
        <v>2179</v>
      </c>
      <c r="F449" s="24" t="s">
        <v>1349</v>
      </c>
      <c r="G449" s="24" t="s">
        <v>2208</v>
      </c>
      <c r="H449" s="24" t="s">
        <v>2439</v>
      </c>
      <c r="I449" s="24" t="s">
        <v>2440</v>
      </c>
      <c r="J449" s="24" t="s">
        <v>761</v>
      </c>
      <c r="K449" s="24" t="s">
        <v>1146</v>
      </c>
      <c r="L449" s="25">
        <v>1070</v>
      </c>
      <c r="M449" s="26">
        <v>10</v>
      </c>
      <c r="N449" s="27">
        <v>10</v>
      </c>
      <c r="O449" s="28">
        <v>9.0909090909090905E-3</v>
      </c>
      <c r="P449" s="28">
        <v>9.4690265486725664</v>
      </c>
    </row>
    <row r="450" spans="1:16" x14ac:dyDescent="0.3">
      <c r="A450" t="s">
        <v>3359</v>
      </c>
      <c r="B450" s="24">
        <v>300045</v>
      </c>
      <c r="C450" s="24" t="s">
        <v>2415</v>
      </c>
      <c r="D450" s="24" t="s">
        <v>2179</v>
      </c>
      <c r="E450" s="24" t="s">
        <v>2179</v>
      </c>
      <c r="F450" s="24" t="s">
        <v>1349</v>
      </c>
      <c r="G450" s="24" t="s">
        <v>2187</v>
      </c>
      <c r="H450" s="24" t="s">
        <v>2439</v>
      </c>
      <c r="I450" s="24" t="s">
        <v>2440</v>
      </c>
      <c r="J450" s="24" t="s">
        <v>761</v>
      </c>
      <c r="K450" s="24" t="s">
        <v>1352</v>
      </c>
      <c r="L450" s="25">
        <v>1</v>
      </c>
      <c r="M450" s="26">
        <v>13000</v>
      </c>
      <c r="N450" s="27">
        <v>11.818181818181818</v>
      </c>
      <c r="O450" s="28">
        <v>11.818181818181818</v>
      </c>
      <c r="P450" s="28">
        <v>11.504424778761061</v>
      </c>
    </row>
    <row r="451" spans="1:16" x14ac:dyDescent="0.3">
      <c r="A451" t="s">
        <v>3360</v>
      </c>
      <c r="B451" s="24">
        <v>300055</v>
      </c>
      <c r="C451" s="24" t="s">
        <v>2222</v>
      </c>
      <c r="D451" s="24" t="s">
        <v>2179</v>
      </c>
      <c r="E451" s="24" t="s">
        <v>2179</v>
      </c>
      <c r="F451" s="24" t="s">
        <v>1349</v>
      </c>
      <c r="G451" s="24" t="s">
        <v>2199</v>
      </c>
      <c r="H451" s="24" t="s">
        <v>2439</v>
      </c>
      <c r="I451" s="24" t="s">
        <v>2440</v>
      </c>
      <c r="J451" s="24" t="s">
        <v>761</v>
      </c>
      <c r="K451" s="24" t="s">
        <v>1146</v>
      </c>
      <c r="L451" s="25">
        <v>1070</v>
      </c>
      <c r="M451" s="26">
        <v>10.5</v>
      </c>
      <c r="N451" s="27">
        <v>10.5</v>
      </c>
      <c r="O451" s="28">
        <v>9.5454545454545462E-3</v>
      </c>
      <c r="P451" s="28">
        <v>9.942477876106194</v>
      </c>
    </row>
    <row r="452" spans="1:16" x14ac:dyDescent="0.3">
      <c r="A452" t="s">
        <v>3361</v>
      </c>
      <c r="B452" s="24">
        <v>300062</v>
      </c>
      <c r="C452" s="24" t="s">
        <v>2185</v>
      </c>
      <c r="D452" s="24" t="s">
        <v>2179</v>
      </c>
      <c r="E452" s="24" t="s">
        <v>2179</v>
      </c>
      <c r="F452" s="24" t="s">
        <v>1349</v>
      </c>
      <c r="G452" s="24" t="s">
        <v>2180</v>
      </c>
      <c r="H452" s="24" t="s">
        <v>2439</v>
      </c>
      <c r="I452" s="24" t="s">
        <v>2440</v>
      </c>
      <c r="J452" s="24" t="s">
        <v>761</v>
      </c>
      <c r="K452" s="24" t="s">
        <v>1352</v>
      </c>
      <c r="L452" s="25">
        <v>1</v>
      </c>
      <c r="M452" s="26">
        <v>11000</v>
      </c>
      <c r="N452" s="27">
        <v>10</v>
      </c>
      <c r="O452" s="28">
        <v>10</v>
      </c>
      <c r="P452" s="28">
        <v>9.7345132743362832</v>
      </c>
    </row>
    <row r="453" spans="1:16" x14ac:dyDescent="0.3">
      <c r="A453" t="s">
        <v>3362</v>
      </c>
      <c r="B453" s="24">
        <v>300067</v>
      </c>
      <c r="C453" s="24" t="s">
        <v>2198</v>
      </c>
      <c r="D453" s="24" t="s">
        <v>2179</v>
      </c>
      <c r="E453" s="24" t="s">
        <v>2179</v>
      </c>
      <c r="F453" s="24" t="s">
        <v>1349</v>
      </c>
      <c r="G453" s="24" t="s">
        <v>2199</v>
      </c>
      <c r="H453" s="24" t="s">
        <v>2439</v>
      </c>
      <c r="I453" s="24" t="s">
        <v>2440</v>
      </c>
      <c r="J453" s="24" t="s">
        <v>761</v>
      </c>
      <c r="K453" s="24" t="s">
        <v>1146</v>
      </c>
      <c r="L453" s="25">
        <v>1070</v>
      </c>
      <c r="M453" s="26">
        <v>9</v>
      </c>
      <c r="N453" s="27">
        <v>9</v>
      </c>
      <c r="O453" s="28">
        <v>8.1818181818181825E-3</v>
      </c>
      <c r="P453" s="28">
        <v>8.5221238938053094</v>
      </c>
    </row>
    <row r="454" spans="1:16" x14ac:dyDescent="0.3">
      <c r="A454" t="s">
        <v>3363</v>
      </c>
      <c r="B454" s="24">
        <v>300070</v>
      </c>
      <c r="C454" s="24" t="s">
        <v>2223</v>
      </c>
      <c r="D454" s="24" t="s">
        <v>2179</v>
      </c>
      <c r="E454" s="24" t="s">
        <v>2179</v>
      </c>
      <c r="F454" s="24" t="s">
        <v>1237</v>
      </c>
      <c r="G454" s="24" t="s">
        <v>2216</v>
      </c>
      <c r="H454" s="24" t="s">
        <v>2439</v>
      </c>
      <c r="I454" s="24" t="s">
        <v>2440</v>
      </c>
      <c r="J454" s="24" t="s">
        <v>761</v>
      </c>
      <c r="K454" s="24" t="s">
        <v>1146</v>
      </c>
      <c r="L454" s="25">
        <v>1070</v>
      </c>
      <c r="M454" s="26">
        <v>6.95</v>
      </c>
      <c r="N454" s="27">
        <v>6.95</v>
      </c>
      <c r="O454" s="28">
        <v>6.3181818181818183E-3</v>
      </c>
      <c r="P454" s="28">
        <v>6.5809734513274334</v>
      </c>
    </row>
    <row r="455" spans="1:16" x14ac:dyDescent="0.3">
      <c r="A455" t="s">
        <v>3364</v>
      </c>
      <c r="B455" s="24">
        <v>300073</v>
      </c>
      <c r="C455" s="24" t="s">
        <v>2283</v>
      </c>
      <c r="D455" s="24" t="s">
        <v>2179</v>
      </c>
      <c r="E455" s="24" t="s">
        <v>2179</v>
      </c>
      <c r="F455" s="24" t="s">
        <v>1349</v>
      </c>
      <c r="G455" s="24" t="s">
        <v>2199</v>
      </c>
      <c r="H455" s="24" t="s">
        <v>2439</v>
      </c>
      <c r="I455" s="24" t="s">
        <v>2440</v>
      </c>
      <c r="J455" s="24" t="s">
        <v>761</v>
      </c>
      <c r="K455" s="24" t="s">
        <v>1146</v>
      </c>
      <c r="L455" s="25">
        <v>1070</v>
      </c>
      <c r="M455" s="26">
        <v>10.45</v>
      </c>
      <c r="N455" s="27">
        <v>10.45</v>
      </c>
      <c r="O455" s="28">
        <v>9.4999999999999998E-3</v>
      </c>
      <c r="P455" s="28">
        <v>9.8951327433628311</v>
      </c>
    </row>
    <row r="456" spans="1:16" x14ac:dyDescent="0.3">
      <c r="A456" t="s">
        <v>3365</v>
      </c>
      <c r="B456" s="24">
        <v>300080</v>
      </c>
      <c r="C456" s="24" t="s">
        <v>2416</v>
      </c>
      <c r="D456" s="24" t="s">
        <v>2179</v>
      </c>
      <c r="E456" s="24" t="s">
        <v>2179</v>
      </c>
      <c r="F456" s="24" t="s">
        <v>1237</v>
      </c>
      <c r="G456" s="24" t="s">
        <v>2201</v>
      </c>
      <c r="H456" s="24" t="s">
        <v>2439</v>
      </c>
      <c r="I456" s="24" t="s">
        <v>2440</v>
      </c>
      <c r="J456" s="24" t="s">
        <v>761</v>
      </c>
      <c r="K456" s="24" t="s">
        <v>1146</v>
      </c>
      <c r="L456" s="25">
        <v>1070</v>
      </c>
      <c r="M456" s="26">
        <v>9.5</v>
      </c>
      <c r="N456" s="27">
        <v>9.5</v>
      </c>
      <c r="O456" s="28">
        <v>8.6363636363636365E-3</v>
      </c>
      <c r="P456" s="28">
        <v>8.9955752212389388</v>
      </c>
    </row>
    <row r="457" spans="1:16" x14ac:dyDescent="0.3">
      <c r="A457" t="s">
        <v>3366</v>
      </c>
      <c r="B457" s="24">
        <v>300111</v>
      </c>
      <c r="C457" s="24" t="s">
        <v>2202</v>
      </c>
      <c r="D457" s="24" t="s">
        <v>2179</v>
      </c>
      <c r="E457" s="24" t="s">
        <v>2179</v>
      </c>
      <c r="F457" s="24" t="s">
        <v>1349</v>
      </c>
      <c r="G457" s="24" t="s">
        <v>2191</v>
      </c>
      <c r="H457" s="24" t="s">
        <v>2439</v>
      </c>
      <c r="I457" s="24" t="s">
        <v>2440</v>
      </c>
      <c r="J457" s="24" t="s">
        <v>761</v>
      </c>
      <c r="K457" s="24" t="s">
        <v>2194</v>
      </c>
      <c r="L457" s="25">
        <v>1300</v>
      </c>
      <c r="M457" s="26">
        <v>4.43</v>
      </c>
      <c r="N457" s="27">
        <v>5.0964601769911502</v>
      </c>
      <c r="O457" s="28">
        <v>4.0272727272727274E-3</v>
      </c>
      <c r="P457" s="28">
        <v>5.0964601769911502</v>
      </c>
    </row>
    <row r="458" spans="1:16" x14ac:dyDescent="0.3">
      <c r="A458" t="s">
        <v>3367</v>
      </c>
      <c r="B458" s="24">
        <v>300116</v>
      </c>
      <c r="C458" s="24" t="s">
        <v>2203</v>
      </c>
      <c r="D458" s="24" t="s">
        <v>2179</v>
      </c>
      <c r="E458" s="24" t="s">
        <v>2179</v>
      </c>
      <c r="F458" s="24" t="s">
        <v>1237</v>
      </c>
      <c r="G458" s="24" t="s">
        <v>2201</v>
      </c>
      <c r="H458" s="24" t="s">
        <v>2439</v>
      </c>
      <c r="I458" s="24" t="s">
        <v>2440</v>
      </c>
      <c r="J458" s="24" t="s">
        <v>761</v>
      </c>
      <c r="K458" s="24" t="s">
        <v>1146</v>
      </c>
      <c r="L458" s="25">
        <v>1070</v>
      </c>
      <c r="M458" s="26">
        <v>6.5</v>
      </c>
      <c r="N458" s="27">
        <v>6.5</v>
      </c>
      <c r="O458" s="28">
        <v>5.909090909090909E-3</v>
      </c>
      <c r="P458" s="28">
        <v>6.1548672566371678</v>
      </c>
    </row>
    <row r="459" spans="1:16" x14ac:dyDescent="0.3">
      <c r="A459" t="s">
        <v>3368</v>
      </c>
      <c r="B459" s="24">
        <v>300117</v>
      </c>
      <c r="C459" s="24" t="s">
        <v>2304</v>
      </c>
      <c r="D459" s="24" t="s">
        <v>2179</v>
      </c>
      <c r="E459" s="24" t="s">
        <v>2179</v>
      </c>
      <c r="F459" s="24" t="s">
        <v>1237</v>
      </c>
      <c r="G459" s="24" t="s">
        <v>2216</v>
      </c>
      <c r="H459" s="24" t="s">
        <v>2439</v>
      </c>
      <c r="I459" s="24" t="s">
        <v>2440</v>
      </c>
      <c r="J459" s="24" t="s">
        <v>761</v>
      </c>
      <c r="K459" s="24" t="s">
        <v>1146</v>
      </c>
      <c r="L459" s="25">
        <v>1070</v>
      </c>
      <c r="M459" s="26">
        <v>6.95</v>
      </c>
      <c r="N459" s="27">
        <v>6.95</v>
      </c>
      <c r="O459" s="28">
        <v>6.3181818181818183E-3</v>
      </c>
      <c r="P459" s="28">
        <v>6.5809734513274334</v>
      </c>
    </row>
    <row r="460" spans="1:16" x14ac:dyDescent="0.3">
      <c r="A460" t="s">
        <v>3369</v>
      </c>
      <c r="B460" s="24">
        <v>300138</v>
      </c>
      <c r="C460" s="24" t="s">
        <v>2256</v>
      </c>
      <c r="D460" s="24" t="s">
        <v>2179</v>
      </c>
      <c r="E460" s="24" t="s">
        <v>2179</v>
      </c>
      <c r="F460" s="24" t="s">
        <v>1349</v>
      </c>
      <c r="G460" s="24" t="s">
        <v>2199</v>
      </c>
      <c r="H460" s="24" t="s">
        <v>2439</v>
      </c>
      <c r="I460" s="24" t="s">
        <v>2440</v>
      </c>
      <c r="J460" s="24" t="s">
        <v>761</v>
      </c>
      <c r="K460" s="24" t="s">
        <v>2194</v>
      </c>
      <c r="L460" s="25">
        <v>1300</v>
      </c>
      <c r="M460" s="26">
        <v>6.16</v>
      </c>
      <c r="N460" s="27">
        <v>7.0867256637168143</v>
      </c>
      <c r="O460" s="28">
        <v>5.5999999999999999E-3</v>
      </c>
      <c r="P460" s="28">
        <v>7.0867256637168143</v>
      </c>
    </row>
    <row r="461" spans="1:16" x14ac:dyDescent="0.3">
      <c r="A461" t="s">
        <v>3370</v>
      </c>
      <c r="B461" s="24">
        <v>300146</v>
      </c>
      <c r="C461" s="24" t="s">
        <v>2224</v>
      </c>
      <c r="D461" s="24" t="s">
        <v>2179</v>
      </c>
      <c r="E461" s="24" t="s">
        <v>2179</v>
      </c>
      <c r="F461" s="24" t="s">
        <v>1386</v>
      </c>
      <c r="G461" s="24" t="s">
        <v>2225</v>
      </c>
      <c r="H461" s="24" t="s">
        <v>2439</v>
      </c>
      <c r="I461" s="24" t="s">
        <v>2440</v>
      </c>
      <c r="J461" s="24" t="s">
        <v>761</v>
      </c>
      <c r="K461" s="24" t="s">
        <v>1146</v>
      </c>
      <c r="L461" s="25">
        <v>1070</v>
      </c>
      <c r="M461" s="26">
        <v>6.37</v>
      </c>
      <c r="N461" s="27">
        <v>6.37</v>
      </c>
      <c r="O461" s="28">
        <v>5.7909090909090914E-3</v>
      </c>
      <c r="P461" s="28">
        <v>6.0317699115044254</v>
      </c>
    </row>
    <row r="462" spans="1:16" x14ac:dyDescent="0.3">
      <c r="A462" t="s">
        <v>3371</v>
      </c>
      <c r="B462" s="24">
        <v>300161</v>
      </c>
      <c r="C462" s="24" t="s">
        <v>2204</v>
      </c>
      <c r="D462" s="24" t="s">
        <v>2179</v>
      </c>
      <c r="E462" s="24" t="s">
        <v>2179</v>
      </c>
      <c r="F462" s="24" t="s">
        <v>1349</v>
      </c>
      <c r="G462" s="24" t="s">
        <v>2187</v>
      </c>
      <c r="H462" s="24" t="s">
        <v>2439</v>
      </c>
      <c r="I462" s="24" t="s">
        <v>2440</v>
      </c>
      <c r="J462" s="24" t="s">
        <v>761</v>
      </c>
      <c r="K462" s="24" t="s">
        <v>1352</v>
      </c>
      <c r="L462" s="25">
        <v>1</v>
      </c>
      <c r="M462" s="26">
        <v>10000</v>
      </c>
      <c r="N462" s="27">
        <v>9.0909090909090917</v>
      </c>
      <c r="O462" s="28">
        <v>9.0909090909090917</v>
      </c>
      <c r="P462" s="28">
        <v>8.8495575221238933</v>
      </c>
    </row>
    <row r="463" spans="1:16" x14ac:dyDescent="0.3">
      <c r="A463" t="s">
        <v>3372</v>
      </c>
      <c r="B463" s="24">
        <v>300173</v>
      </c>
      <c r="C463" s="24" t="s">
        <v>2289</v>
      </c>
      <c r="D463" s="24" t="s">
        <v>2179</v>
      </c>
      <c r="E463" s="24" t="s">
        <v>2179</v>
      </c>
      <c r="F463" s="24" t="s">
        <v>1349</v>
      </c>
      <c r="G463" s="24" t="s">
        <v>2187</v>
      </c>
      <c r="H463" s="24" t="s">
        <v>2439</v>
      </c>
      <c r="I463" s="24" t="s">
        <v>2440</v>
      </c>
      <c r="J463" s="24" t="s">
        <v>761</v>
      </c>
      <c r="K463" s="24" t="s">
        <v>1352</v>
      </c>
      <c r="L463" s="25">
        <v>1</v>
      </c>
      <c r="M463" s="26">
        <v>10000</v>
      </c>
      <c r="N463" s="27">
        <v>9.0909090909090917</v>
      </c>
      <c r="O463" s="28">
        <v>9.0909090909090917</v>
      </c>
      <c r="P463" s="28">
        <v>8.8495575221238933</v>
      </c>
    </row>
    <row r="464" spans="1:16" x14ac:dyDescent="0.3">
      <c r="A464" t="s">
        <v>3373</v>
      </c>
      <c r="B464" s="24">
        <v>700062</v>
      </c>
      <c r="C464" s="24" t="s">
        <v>2226</v>
      </c>
      <c r="D464" s="24" t="s">
        <v>2179</v>
      </c>
      <c r="E464" s="24" t="s">
        <v>2179</v>
      </c>
      <c r="F464" s="24" t="s">
        <v>1349</v>
      </c>
      <c r="G464" s="24" t="s">
        <v>2187</v>
      </c>
      <c r="H464" s="24" t="s">
        <v>2439</v>
      </c>
      <c r="I464" s="24" t="s">
        <v>2440</v>
      </c>
      <c r="J464" s="24" t="s">
        <v>761</v>
      </c>
      <c r="K464" s="24" t="s">
        <v>1352</v>
      </c>
      <c r="L464" s="25">
        <v>1</v>
      </c>
      <c r="M464" s="26">
        <v>6400</v>
      </c>
      <c r="N464" s="27">
        <v>5.8181818181818183</v>
      </c>
      <c r="O464" s="28">
        <v>5.8181818181818183</v>
      </c>
      <c r="P464" s="28">
        <v>5.663716814159292</v>
      </c>
    </row>
    <row r="465" spans="1:16" x14ac:dyDescent="0.3">
      <c r="A465" t="s">
        <v>3374</v>
      </c>
      <c r="B465" s="24">
        <v>142603</v>
      </c>
      <c r="C465" s="24" t="s">
        <v>2207</v>
      </c>
      <c r="D465" s="24" t="s">
        <v>2179</v>
      </c>
      <c r="E465" s="24" t="s">
        <v>2179</v>
      </c>
      <c r="F465" s="24" t="s">
        <v>1349</v>
      </c>
      <c r="G465" s="24" t="s">
        <v>2208</v>
      </c>
      <c r="H465" s="24" t="s">
        <v>2441</v>
      </c>
      <c r="I465" s="24" t="s">
        <v>2442</v>
      </c>
      <c r="J465" s="24" t="s">
        <v>761</v>
      </c>
      <c r="K465" s="24" t="s">
        <v>1146</v>
      </c>
      <c r="L465" s="25">
        <v>1070</v>
      </c>
      <c r="M465" s="26">
        <v>12</v>
      </c>
      <c r="N465" s="27">
        <v>12</v>
      </c>
      <c r="O465" s="28">
        <v>1.090909090909091E-2</v>
      </c>
      <c r="P465" s="28">
        <v>11.36283185840708</v>
      </c>
    </row>
    <row r="466" spans="1:16" x14ac:dyDescent="0.3">
      <c r="A466" t="s">
        <v>3375</v>
      </c>
      <c r="B466" s="24">
        <v>142662</v>
      </c>
      <c r="C466" s="24" t="s">
        <v>2389</v>
      </c>
      <c r="D466" s="24" t="s">
        <v>2179</v>
      </c>
      <c r="E466" s="24" t="s">
        <v>2179</v>
      </c>
      <c r="F466" s="24" t="s">
        <v>1349</v>
      </c>
      <c r="G466" s="24" t="s">
        <v>2208</v>
      </c>
      <c r="H466" s="24" t="s">
        <v>2441</v>
      </c>
      <c r="I466" s="24" t="s">
        <v>2442</v>
      </c>
      <c r="J466" s="24" t="s">
        <v>761</v>
      </c>
      <c r="K466" s="24" t="s">
        <v>1146</v>
      </c>
      <c r="L466" s="25">
        <v>1070</v>
      </c>
      <c r="M466" s="26">
        <v>12.84</v>
      </c>
      <c r="N466" s="27">
        <v>12.84</v>
      </c>
      <c r="O466" s="28">
        <v>1.1672727272727272E-2</v>
      </c>
      <c r="P466" s="28">
        <v>12.158230088495575</v>
      </c>
    </row>
    <row r="467" spans="1:16" x14ac:dyDescent="0.3">
      <c r="A467" t="s">
        <v>3376</v>
      </c>
      <c r="B467" s="24">
        <v>142825</v>
      </c>
      <c r="C467" s="24" t="s">
        <v>2218</v>
      </c>
      <c r="D467" s="24" t="s">
        <v>2179</v>
      </c>
      <c r="E467" s="24" t="s">
        <v>2179</v>
      </c>
      <c r="F467" s="24" t="s">
        <v>1349</v>
      </c>
      <c r="G467" s="24" t="s">
        <v>2208</v>
      </c>
      <c r="H467" s="24" t="s">
        <v>2441</v>
      </c>
      <c r="I467" s="24" t="s">
        <v>2442</v>
      </c>
      <c r="J467" s="24" t="s">
        <v>761</v>
      </c>
      <c r="K467" s="24" t="s">
        <v>1146</v>
      </c>
      <c r="L467" s="25">
        <v>1070</v>
      </c>
      <c r="M467" s="26">
        <v>5</v>
      </c>
      <c r="N467" s="27">
        <v>5</v>
      </c>
      <c r="O467" s="28">
        <v>4.5454545454545452E-3</v>
      </c>
      <c r="P467" s="28">
        <v>4.7345132743362832</v>
      </c>
    </row>
    <row r="468" spans="1:16" x14ac:dyDescent="0.3">
      <c r="A468" t="s">
        <v>3377</v>
      </c>
      <c r="B468" s="24">
        <v>142660</v>
      </c>
      <c r="C468" s="24" t="s">
        <v>2215</v>
      </c>
      <c r="D468" s="24" t="s">
        <v>2179</v>
      </c>
      <c r="E468" s="24" t="s">
        <v>2179</v>
      </c>
      <c r="F468" s="24" t="s">
        <v>1237</v>
      </c>
      <c r="G468" s="24" t="s">
        <v>2216</v>
      </c>
      <c r="H468" s="24" t="s">
        <v>2862</v>
      </c>
      <c r="I468" s="24" t="s">
        <v>2863</v>
      </c>
      <c r="J468" s="24" t="s">
        <v>761</v>
      </c>
      <c r="K468" s="24" t="s">
        <v>1146</v>
      </c>
      <c r="L468" s="25">
        <v>1070</v>
      </c>
      <c r="M468" s="26">
        <v>3.15</v>
      </c>
      <c r="N468" s="27">
        <v>3.15</v>
      </c>
      <c r="O468" s="28">
        <v>2.8636363636363633E-3</v>
      </c>
      <c r="P468" s="28">
        <v>2.9827433628318585</v>
      </c>
    </row>
    <row r="469" spans="1:16" x14ac:dyDescent="0.3">
      <c r="A469" t="s">
        <v>3378</v>
      </c>
      <c r="B469" s="24">
        <v>300034</v>
      </c>
      <c r="C469" s="24" t="s">
        <v>2184</v>
      </c>
      <c r="D469" s="24" t="s">
        <v>2179</v>
      </c>
      <c r="E469" s="24" t="s">
        <v>2179</v>
      </c>
      <c r="F469" s="24" t="s">
        <v>1349</v>
      </c>
      <c r="G469" s="24" t="s">
        <v>2180</v>
      </c>
      <c r="H469" s="24" t="s">
        <v>2443</v>
      </c>
      <c r="I469" s="24" t="s">
        <v>2444</v>
      </c>
      <c r="J469" s="24" t="s">
        <v>761</v>
      </c>
      <c r="K469" s="24" t="s">
        <v>1352</v>
      </c>
      <c r="L469" s="25">
        <v>1</v>
      </c>
      <c r="M469" s="26">
        <v>4170</v>
      </c>
      <c r="N469" s="27">
        <v>3.790909090909091</v>
      </c>
      <c r="O469" s="28">
        <v>3.790909090909091</v>
      </c>
      <c r="P469" s="28">
        <v>3.6902654867256639</v>
      </c>
    </row>
    <row r="470" spans="1:16" x14ac:dyDescent="0.3">
      <c r="A470" t="s">
        <v>3379</v>
      </c>
      <c r="B470" s="24">
        <v>141958</v>
      </c>
      <c r="C470" s="24" t="s">
        <v>2352</v>
      </c>
      <c r="D470" s="24" t="s">
        <v>2179</v>
      </c>
      <c r="E470" s="24" t="s">
        <v>2179</v>
      </c>
      <c r="F470" s="24" t="s">
        <v>1349</v>
      </c>
      <c r="G470" s="24" t="s">
        <v>2191</v>
      </c>
      <c r="H470" s="24" t="s">
        <v>2445</v>
      </c>
      <c r="I470" s="24" t="s">
        <v>2446</v>
      </c>
      <c r="J470" s="24" t="s">
        <v>761</v>
      </c>
      <c r="K470" s="24" t="s">
        <v>2194</v>
      </c>
      <c r="L470" s="25">
        <v>1300</v>
      </c>
      <c r="M470" s="26">
        <v>3.49</v>
      </c>
      <c r="N470" s="27">
        <v>4.0150442477876105</v>
      </c>
      <c r="O470" s="28">
        <v>3.1727272727272728E-3</v>
      </c>
      <c r="P470" s="28">
        <v>4.0150442477876105</v>
      </c>
    </row>
    <row r="471" spans="1:16" x14ac:dyDescent="0.3">
      <c r="A471" t="s">
        <v>3380</v>
      </c>
      <c r="B471" s="24">
        <v>142603</v>
      </c>
      <c r="C471" s="24" t="s">
        <v>2207</v>
      </c>
      <c r="D471" s="24" t="s">
        <v>2179</v>
      </c>
      <c r="E471" s="24" t="s">
        <v>2179</v>
      </c>
      <c r="F471" s="24" t="s">
        <v>1349</v>
      </c>
      <c r="G471" s="24" t="s">
        <v>2208</v>
      </c>
      <c r="H471" s="24" t="s">
        <v>2447</v>
      </c>
      <c r="I471" s="24" t="s">
        <v>2448</v>
      </c>
      <c r="J471" s="24" t="s">
        <v>761</v>
      </c>
      <c r="K471" s="24" t="s">
        <v>1146</v>
      </c>
      <c r="L471" s="25">
        <v>1070</v>
      </c>
      <c r="M471" s="26">
        <v>6.6</v>
      </c>
      <c r="N471" s="27">
        <v>6.6</v>
      </c>
      <c r="O471" s="28">
        <v>5.9999999999999993E-3</v>
      </c>
      <c r="P471" s="28">
        <v>6.2495575221238937</v>
      </c>
    </row>
    <row r="472" spans="1:16" x14ac:dyDescent="0.3">
      <c r="A472" t="s">
        <v>3381</v>
      </c>
      <c r="B472" s="24">
        <v>142603</v>
      </c>
      <c r="C472" s="24" t="s">
        <v>2207</v>
      </c>
      <c r="D472" s="24" t="s">
        <v>2179</v>
      </c>
      <c r="E472" s="24" t="s">
        <v>2179</v>
      </c>
      <c r="F472" s="24" t="s">
        <v>1349</v>
      </c>
      <c r="G472" s="24" t="s">
        <v>2208</v>
      </c>
      <c r="H472" s="24" t="s">
        <v>2449</v>
      </c>
      <c r="I472" s="24" t="s">
        <v>2450</v>
      </c>
      <c r="J472" s="24" t="s">
        <v>761</v>
      </c>
      <c r="K472" s="24" t="s">
        <v>1146</v>
      </c>
      <c r="L472" s="25">
        <v>1070</v>
      </c>
      <c r="M472" s="26">
        <v>7.64</v>
      </c>
      <c r="N472" s="27">
        <v>7.64</v>
      </c>
      <c r="O472" s="28">
        <v>6.9454545454545455E-3</v>
      </c>
      <c r="P472" s="28">
        <v>7.23433628318584</v>
      </c>
    </row>
    <row r="473" spans="1:16" x14ac:dyDescent="0.3">
      <c r="A473" t="s">
        <v>3382</v>
      </c>
      <c r="B473" s="24">
        <v>142603</v>
      </c>
      <c r="C473" s="24" t="s">
        <v>2207</v>
      </c>
      <c r="D473" s="24" t="s">
        <v>2179</v>
      </c>
      <c r="E473" s="24" t="s">
        <v>2179</v>
      </c>
      <c r="F473" s="24" t="s">
        <v>1349</v>
      </c>
      <c r="G473" s="24" t="s">
        <v>2208</v>
      </c>
      <c r="H473" s="24" t="s">
        <v>2451</v>
      </c>
      <c r="I473" s="24" t="s">
        <v>2450</v>
      </c>
      <c r="J473" s="24" t="s">
        <v>761</v>
      </c>
      <c r="K473" s="24" t="s">
        <v>1146</v>
      </c>
      <c r="L473" s="25">
        <v>1070</v>
      </c>
      <c r="M473" s="26">
        <v>10</v>
      </c>
      <c r="N473" s="27">
        <v>10</v>
      </c>
      <c r="O473" s="28">
        <v>9.0909090909090905E-3</v>
      </c>
      <c r="P473" s="28">
        <v>9.4690265486725664</v>
      </c>
    </row>
    <row r="474" spans="1:16" x14ac:dyDescent="0.3">
      <c r="A474" t="s">
        <v>3383</v>
      </c>
      <c r="B474" s="24">
        <v>300146</v>
      </c>
      <c r="C474" s="24" t="s">
        <v>2224</v>
      </c>
      <c r="D474" s="24" t="s">
        <v>2179</v>
      </c>
      <c r="E474" s="24" t="s">
        <v>2179</v>
      </c>
      <c r="F474" s="24" t="s">
        <v>1386</v>
      </c>
      <c r="G474" s="24" t="s">
        <v>2225</v>
      </c>
      <c r="H474" s="24" t="s">
        <v>2452</v>
      </c>
      <c r="I474" s="24" t="s">
        <v>2453</v>
      </c>
      <c r="J474" s="24" t="s">
        <v>761</v>
      </c>
      <c r="K474" s="24" t="s">
        <v>1146</v>
      </c>
      <c r="L474" s="25">
        <v>1070</v>
      </c>
      <c r="M474" s="26">
        <v>0</v>
      </c>
      <c r="N474" s="27">
        <v>0</v>
      </c>
      <c r="O474" s="28">
        <v>0</v>
      </c>
      <c r="P474" s="28">
        <v>0</v>
      </c>
    </row>
    <row r="475" spans="1:16" x14ac:dyDescent="0.3">
      <c r="A475" t="s">
        <v>3384</v>
      </c>
      <c r="B475" s="24">
        <v>300168</v>
      </c>
      <c r="C475" s="24" t="s">
        <v>2454</v>
      </c>
      <c r="D475" s="24" t="s">
        <v>2179</v>
      </c>
      <c r="E475" s="24" t="s">
        <v>2179</v>
      </c>
      <c r="F475" s="24" t="s">
        <v>2220</v>
      </c>
      <c r="G475" s="24" t="s">
        <v>2179</v>
      </c>
      <c r="H475" s="24" t="s">
        <v>2452</v>
      </c>
      <c r="I475" s="24" t="s">
        <v>2453</v>
      </c>
      <c r="J475" s="24" t="s">
        <v>761</v>
      </c>
      <c r="K475" s="24" t="s">
        <v>1146</v>
      </c>
      <c r="L475" s="25">
        <v>1070</v>
      </c>
      <c r="M475" s="26">
        <v>9.5</v>
      </c>
      <c r="N475" s="27">
        <v>9.5</v>
      </c>
      <c r="O475" s="28">
        <v>8.6363636363636365E-3</v>
      </c>
      <c r="P475" s="28">
        <v>8.9955752212389388</v>
      </c>
    </row>
    <row r="476" spans="1:16" x14ac:dyDescent="0.3">
      <c r="A476" t="s">
        <v>3385</v>
      </c>
      <c r="B476" s="24">
        <v>142603</v>
      </c>
      <c r="C476" s="24" t="s">
        <v>2207</v>
      </c>
      <c r="D476" s="24" t="s">
        <v>2179</v>
      </c>
      <c r="E476" s="24" t="s">
        <v>2179</v>
      </c>
      <c r="F476" s="24" t="s">
        <v>1349</v>
      </c>
      <c r="G476" s="24" t="s">
        <v>2208</v>
      </c>
      <c r="H476" s="24" t="s">
        <v>2455</v>
      </c>
      <c r="I476" s="24" t="s">
        <v>2456</v>
      </c>
      <c r="J476" s="24" t="s">
        <v>761</v>
      </c>
      <c r="K476" s="24" t="s">
        <v>1146</v>
      </c>
      <c r="L476" s="25">
        <v>1070</v>
      </c>
      <c r="M476" s="26">
        <v>15</v>
      </c>
      <c r="N476" s="27">
        <v>15</v>
      </c>
      <c r="O476" s="28">
        <v>1.3636363636363636E-2</v>
      </c>
      <c r="P476" s="28">
        <v>14.20353982300885</v>
      </c>
    </row>
    <row r="477" spans="1:16" x14ac:dyDescent="0.3">
      <c r="A477" t="s">
        <v>3386</v>
      </c>
      <c r="B477" s="24">
        <v>142603</v>
      </c>
      <c r="C477" s="24" t="s">
        <v>2207</v>
      </c>
      <c r="D477" s="24" t="s">
        <v>2179</v>
      </c>
      <c r="E477" s="24" t="s">
        <v>2179</v>
      </c>
      <c r="F477" s="24" t="s">
        <v>1349</v>
      </c>
      <c r="G477" s="24" t="s">
        <v>2208</v>
      </c>
      <c r="H477" s="24" t="s">
        <v>2457</v>
      </c>
      <c r="I477" s="24" t="s">
        <v>2456</v>
      </c>
      <c r="J477" s="24" t="s">
        <v>761</v>
      </c>
      <c r="K477" s="24" t="s">
        <v>1146</v>
      </c>
      <c r="L477" s="25">
        <v>1070</v>
      </c>
      <c r="M477" s="26">
        <v>15</v>
      </c>
      <c r="N477" s="27">
        <v>15</v>
      </c>
      <c r="O477" s="28">
        <v>1.3636363636363636E-2</v>
      </c>
      <c r="P477" s="28">
        <v>14.20353982300885</v>
      </c>
    </row>
    <row r="478" spans="1:16" x14ac:dyDescent="0.3">
      <c r="A478" t="s">
        <v>3387</v>
      </c>
      <c r="B478" s="24">
        <v>142603</v>
      </c>
      <c r="C478" s="24" t="s">
        <v>2207</v>
      </c>
      <c r="D478" s="24" t="s">
        <v>2179</v>
      </c>
      <c r="E478" s="24" t="s">
        <v>2179</v>
      </c>
      <c r="F478" s="24" t="s">
        <v>1349</v>
      </c>
      <c r="G478" s="24" t="s">
        <v>2208</v>
      </c>
      <c r="H478" s="24" t="s">
        <v>2458</v>
      </c>
      <c r="I478" s="24" t="s">
        <v>2459</v>
      </c>
      <c r="J478" s="24" t="s">
        <v>761</v>
      </c>
      <c r="K478" s="24" t="s">
        <v>1146</v>
      </c>
      <c r="L478" s="25">
        <v>1070</v>
      </c>
      <c r="M478" s="26">
        <v>39</v>
      </c>
      <c r="N478" s="27">
        <v>39</v>
      </c>
      <c r="O478" s="28">
        <v>3.5454545454545454E-2</v>
      </c>
      <c r="P478" s="28">
        <v>36.929203539823007</v>
      </c>
    </row>
    <row r="479" spans="1:16" x14ac:dyDescent="0.3">
      <c r="A479" t="s">
        <v>3388</v>
      </c>
      <c r="B479" s="24">
        <v>142603</v>
      </c>
      <c r="C479" s="24" t="s">
        <v>2207</v>
      </c>
      <c r="D479" s="24" t="s">
        <v>2179</v>
      </c>
      <c r="E479" s="24" t="s">
        <v>2179</v>
      </c>
      <c r="F479" s="24" t="s">
        <v>1349</v>
      </c>
      <c r="G479" s="24" t="s">
        <v>2208</v>
      </c>
      <c r="H479" s="24" t="s">
        <v>2460</v>
      </c>
      <c r="I479" s="24" t="s">
        <v>2461</v>
      </c>
      <c r="J479" s="24" t="s">
        <v>761</v>
      </c>
      <c r="K479" s="24" t="s">
        <v>1146</v>
      </c>
      <c r="L479" s="25">
        <v>1070</v>
      </c>
      <c r="M479" s="26">
        <v>39</v>
      </c>
      <c r="N479" s="27">
        <v>39</v>
      </c>
      <c r="O479" s="28">
        <v>3.5454545454545454E-2</v>
      </c>
      <c r="P479" s="28">
        <v>36.929203539823007</v>
      </c>
    </row>
    <row r="480" spans="1:16" x14ac:dyDescent="0.3">
      <c r="A480" t="s">
        <v>3389</v>
      </c>
      <c r="B480" s="24">
        <v>142603</v>
      </c>
      <c r="C480" s="24" t="s">
        <v>2207</v>
      </c>
      <c r="D480" s="24" t="s">
        <v>2179</v>
      </c>
      <c r="E480" s="24" t="s">
        <v>2179</v>
      </c>
      <c r="F480" s="24" t="s">
        <v>1349</v>
      </c>
      <c r="G480" s="24" t="s">
        <v>2208</v>
      </c>
      <c r="H480" s="24" t="s">
        <v>2462</v>
      </c>
      <c r="I480" s="24" t="s">
        <v>2463</v>
      </c>
      <c r="J480" s="24" t="s">
        <v>761</v>
      </c>
      <c r="K480" s="24" t="s">
        <v>1146</v>
      </c>
      <c r="L480" s="25">
        <v>1070</v>
      </c>
      <c r="M480" s="26">
        <v>7.57</v>
      </c>
      <c r="N480" s="27">
        <v>7.57</v>
      </c>
      <c r="O480" s="28">
        <v>6.8818181818181817E-3</v>
      </c>
      <c r="P480" s="28">
        <v>7.1680530973451333</v>
      </c>
    </row>
    <row r="481" spans="1:16" x14ac:dyDescent="0.3">
      <c r="A481" t="s">
        <v>3390</v>
      </c>
      <c r="B481" s="24">
        <v>300042</v>
      </c>
      <c r="C481" s="24" t="s">
        <v>2190</v>
      </c>
      <c r="D481" s="24" t="s">
        <v>2179</v>
      </c>
      <c r="E481" s="24" t="s">
        <v>2179</v>
      </c>
      <c r="F481" s="24" t="s">
        <v>1349</v>
      </c>
      <c r="G481" s="24" t="s">
        <v>2191</v>
      </c>
      <c r="H481" s="24" t="s">
        <v>2462</v>
      </c>
      <c r="I481" s="24" t="s">
        <v>2463</v>
      </c>
      <c r="J481" s="24" t="s">
        <v>761</v>
      </c>
      <c r="K481" s="24" t="s">
        <v>2194</v>
      </c>
      <c r="L481" s="25">
        <v>1300</v>
      </c>
      <c r="M481" s="26">
        <v>5.19</v>
      </c>
      <c r="N481" s="27">
        <v>5.9707964601769916</v>
      </c>
      <c r="O481" s="28">
        <v>4.7181818181818184E-3</v>
      </c>
      <c r="P481" s="28">
        <v>5.9707964601769916</v>
      </c>
    </row>
    <row r="482" spans="1:16" x14ac:dyDescent="0.3">
      <c r="A482" t="s">
        <v>3391</v>
      </c>
      <c r="B482" s="24">
        <v>142807</v>
      </c>
      <c r="C482" s="24" t="s">
        <v>2217</v>
      </c>
      <c r="D482" s="24" t="s">
        <v>2179</v>
      </c>
      <c r="E482" s="24" t="s">
        <v>2179</v>
      </c>
      <c r="F482" s="24" t="s">
        <v>1349</v>
      </c>
      <c r="G482" s="24" t="s">
        <v>2208</v>
      </c>
      <c r="H482" s="24" t="s">
        <v>2464</v>
      </c>
      <c r="I482" s="24" t="s">
        <v>2465</v>
      </c>
      <c r="J482" s="24" t="s">
        <v>761</v>
      </c>
      <c r="K482" s="24" t="s">
        <v>2194</v>
      </c>
      <c r="L482" s="25">
        <v>1300</v>
      </c>
      <c r="M482" s="26">
        <v>5.99</v>
      </c>
      <c r="N482" s="27">
        <v>6.8911504424778762</v>
      </c>
      <c r="O482" s="28">
        <v>5.4454545454545459E-3</v>
      </c>
      <c r="P482" s="28">
        <v>6.8911504424778762</v>
      </c>
    </row>
    <row r="483" spans="1:16" x14ac:dyDescent="0.3">
      <c r="A483" t="s">
        <v>3392</v>
      </c>
      <c r="B483" s="24">
        <v>300168</v>
      </c>
      <c r="C483" s="24" t="s">
        <v>2454</v>
      </c>
      <c r="D483" s="24" t="s">
        <v>2179</v>
      </c>
      <c r="E483" s="24" t="s">
        <v>2179</v>
      </c>
      <c r="F483" s="24" t="s">
        <v>2220</v>
      </c>
      <c r="G483" s="24" t="s">
        <v>2179</v>
      </c>
      <c r="H483" s="24" t="s">
        <v>2464</v>
      </c>
      <c r="I483" s="24" t="s">
        <v>2465</v>
      </c>
      <c r="J483" s="24" t="s">
        <v>761</v>
      </c>
      <c r="K483" s="24" t="s">
        <v>1146</v>
      </c>
      <c r="L483" s="25">
        <v>1070</v>
      </c>
      <c r="M483" s="26">
        <v>6.03</v>
      </c>
      <c r="N483" s="27">
        <v>6.03</v>
      </c>
      <c r="O483" s="28">
        <v>5.4818181818181823E-3</v>
      </c>
      <c r="P483" s="28">
        <v>5.7098230088495576</v>
      </c>
    </row>
    <row r="484" spans="1:16" x14ac:dyDescent="0.3">
      <c r="A484" t="s">
        <v>3393</v>
      </c>
      <c r="B484" s="24">
        <v>300146</v>
      </c>
      <c r="C484" s="24" t="s">
        <v>2224</v>
      </c>
      <c r="D484" s="24" t="s">
        <v>2179</v>
      </c>
      <c r="E484" s="24" t="s">
        <v>2179</v>
      </c>
      <c r="F484" s="24" t="s">
        <v>1386</v>
      </c>
      <c r="G484" s="24" t="s">
        <v>2225</v>
      </c>
      <c r="H484" s="24" t="s">
        <v>2466</v>
      </c>
      <c r="I484" s="24" t="s">
        <v>2467</v>
      </c>
      <c r="J484" s="24" t="s">
        <v>761</v>
      </c>
      <c r="K484" s="24" t="s">
        <v>1146</v>
      </c>
      <c r="L484" s="25">
        <v>1070</v>
      </c>
      <c r="M484" s="26">
        <v>0</v>
      </c>
      <c r="N484" s="27">
        <v>0</v>
      </c>
      <c r="O484" s="28">
        <v>0</v>
      </c>
      <c r="P484" s="28">
        <v>0</v>
      </c>
    </row>
    <row r="485" spans="1:16" x14ac:dyDescent="0.3">
      <c r="A485" t="s">
        <v>3394</v>
      </c>
      <c r="B485" s="24">
        <v>300168</v>
      </c>
      <c r="C485" s="24" t="s">
        <v>2454</v>
      </c>
      <c r="D485" s="24" t="s">
        <v>2179</v>
      </c>
      <c r="E485" s="24" t="s">
        <v>2179</v>
      </c>
      <c r="F485" s="24" t="s">
        <v>2220</v>
      </c>
      <c r="G485" s="24" t="s">
        <v>2179</v>
      </c>
      <c r="H485" s="24" t="s">
        <v>2466</v>
      </c>
      <c r="I485" s="24" t="s">
        <v>2467</v>
      </c>
      <c r="J485" s="24" t="s">
        <v>761</v>
      </c>
      <c r="K485" s="24" t="s">
        <v>1146</v>
      </c>
      <c r="L485" s="25">
        <v>1070</v>
      </c>
      <c r="M485" s="26">
        <v>6.64</v>
      </c>
      <c r="N485" s="27">
        <v>6.64</v>
      </c>
      <c r="O485" s="28">
        <v>6.0363636363636357E-3</v>
      </c>
      <c r="P485" s="28">
        <v>6.287433628318583</v>
      </c>
    </row>
    <row r="486" spans="1:16" x14ac:dyDescent="0.3">
      <c r="A486" t="s">
        <v>3395</v>
      </c>
      <c r="B486" s="24">
        <v>141958</v>
      </c>
      <c r="C486" s="24" t="s">
        <v>2352</v>
      </c>
      <c r="D486" s="24" t="s">
        <v>2179</v>
      </c>
      <c r="E486" s="24" t="s">
        <v>2179</v>
      </c>
      <c r="F486" s="24" t="s">
        <v>1349</v>
      </c>
      <c r="G486" s="24" t="s">
        <v>2191</v>
      </c>
      <c r="H486" s="24" t="s">
        <v>2468</v>
      </c>
      <c r="I486" s="24" t="s">
        <v>2469</v>
      </c>
      <c r="J486" s="24" t="s">
        <v>761</v>
      </c>
      <c r="K486" s="24" t="s">
        <v>2194</v>
      </c>
      <c r="L486" s="25">
        <v>1300</v>
      </c>
      <c r="M486" s="26">
        <v>8</v>
      </c>
      <c r="N486" s="27">
        <v>9.2035398230088497</v>
      </c>
      <c r="O486" s="28">
        <v>7.2727272727272727E-3</v>
      </c>
      <c r="P486" s="28">
        <v>9.2035398230088497</v>
      </c>
    </row>
    <row r="487" spans="1:16" x14ac:dyDescent="0.3">
      <c r="A487" t="s">
        <v>3396</v>
      </c>
      <c r="B487" s="24">
        <v>142603</v>
      </c>
      <c r="C487" s="24" t="s">
        <v>2207</v>
      </c>
      <c r="D487" s="24" t="s">
        <v>2179</v>
      </c>
      <c r="E487" s="24" t="s">
        <v>2179</v>
      </c>
      <c r="F487" s="24" t="s">
        <v>1349</v>
      </c>
      <c r="G487" s="24" t="s">
        <v>2208</v>
      </c>
      <c r="H487" s="24" t="s">
        <v>2468</v>
      </c>
      <c r="I487" s="24" t="s">
        <v>2469</v>
      </c>
      <c r="J487" s="24" t="s">
        <v>761</v>
      </c>
      <c r="K487" s="24" t="s">
        <v>1146</v>
      </c>
      <c r="L487" s="25">
        <v>1070</v>
      </c>
      <c r="M487" s="26">
        <v>8.64</v>
      </c>
      <c r="N487" s="27">
        <v>8.64</v>
      </c>
      <c r="O487" s="28">
        <v>7.8545454545454543E-3</v>
      </c>
      <c r="P487" s="28">
        <v>8.1812389380530988</v>
      </c>
    </row>
    <row r="488" spans="1:16" x14ac:dyDescent="0.3">
      <c r="A488" t="s">
        <v>3397</v>
      </c>
      <c r="B488" s="24">
        <v>300080</v>
      </c>
      <c r="C488" s="24" t="s">
        <v>2416</v>
      </c>
      <c r="D488" s="24" t="s">
        <v>2179</v>
      </c>
      <c r="E488" s="24" t="s">
        <v>2179</v>
      </c>
      <c r="F488" s="24" t="s">
        <v>1237</v>
      </c>
      <c r="G488" s="24" t="s">
        <v>2201</v>
      </c>
      <c r="H488" s="24" t="s">
        <v>2470</v>
      </c>
      <c r="I488" s="24" t="s">
        <v>2471</v>
      </c>
      <c r="J488" s="24" t="s">
        <v>761</v>
      </c>
      <c r="K488" s="24" t="s">
        <v>1146</v>
      </c>
      <c r="L488" s="25">
        <v>1070</v>
      </c>
      <c r="M488" s="26">
        <v>8.99</v>
      </c>
      <c r="N488" s="27">
        <v>8.99</v>
      </c>
      <c r="O488" s="28">
        <v>8.1727272727272725E-3</v>
      </c>
      <c r="P488" s="28">
        <v>8.5126548672566376</v>
      </c>
    </row>
    <row r="489" spans="1:16" x14ac:dyDescent="0.3">
      <c r="A489" t="s">
        <v>3398</v>
      </c>
      <c r="B489" s="24">
        <v>150518</v>
      </c>
      <c r="C489" s="24" t="s">
        <v>2197</v>
      </c>
      <c r="D489" s="24" t="s">
        <v>2179</v>
      </c>
      <c r="E489" s="24" t="s">
        <v>2179</v>
      </c>
      <c r="F489" s="24" t="s">
        <v>1349</v>
      </c>
      <c r="G489" s="24" t="s">
        <v>2180</v>
      </c>
      <c r="H489" s="24" t="s">
        <v>2472</v>
      </c>
      <c r="I489" s="24" t="s">
        <v>2473</v>
      </c>
      <c r="J489" s="24" t="s">
        <v>761</v>
      </c>
      <c r="K489" s="24" t="s">
        <v>1352</v>
      </c>
      <c r="L489" s="25">
        <v>1</v>
      </c>
      <c r="M489" s="26">
        <v>18000</v>
      </c>
      <c r="N489" s="27">
        <v>16.363636363636363</v>
      </c>
      <c r="O489" s="28">
        <v>16.363636363636363</v>
      </c>
      <c r="P489" s="28">
        <v>15.929203539823009</v>
      </c>
    </row>
    <row r="490" spans="1:16" x14ac:dyDescent="0.3">
      <c r="A490" t="s">
        <v>3399</v>
      </c>
      <c r="B490" s="24">
        <v>142807</v>
      </c>
      <c r="C490" s="24" t="s">
        <v>2217</v>
      </c>
      <c r="D490" s="24" t="s">
        <v>2179</v>
      </c>
      <c r="E490" s="24" t="s">
        <v>2179</v>
      </c>
      <c r="F490" s="24" t="s">
        <v>1349</v>
      </c>
      <c r="G490" s="24" t="s">
        <v>2208</v>
      </c>
      <c r="H490" s="24" t="s">
        <v>2474</v>
      </c>
      <c r="I490" s="24" t="s">
        <v>2473</v>
      </c>
      <c r="J490" s="24" t="s">
        <v>761</v>
      </c>
      <c r="K490" s="24" t="s">
        <v>2194</v>
      </c>
      <c r="L490" s="25">
        <v>1300</v>
      </c>
      <c r="M490" s="26">
        <v>7</v>
      </c>
      <c r="N490" s="27">
        <v>8.053097345132743</v>
      </c>
      <c r="O490" s="28">
        <v>6.3636363636363638E-3</v>
      </c>
      <c r="P490" s="28">
        <v>8.053097345132743</v>
      </c>
    </row>
    <row r="491" spans="1:16" x14ac:dyDescent="0.3">
      <c r="A491" t="s">
        <v>3400</v>
      </c>
      <c r="B491" s="24">
        <v>300146</v>
      </c>
      <c r="C491" s="24" t="s">
        <v>2224</v>
      </c>
      <c r="D491" s="24" t="s">
        <v>2179</v>
      </c>
      <c r="E491" s="24" t="s">
        <v>2179</v>
      </c>
      <c r="F491" s="24" t="s">
        <v>1386</v>
      </c>
      <c r="G491" s="24" t="s">
        <v>2225</v>
      </c>
      <c r="H491" s="24" t="s">
        <v>2474</v>
      </c>
      <c r="I491" s="24" t="s">
        <v>2473</v>
      </c>
      <c r="J491" s="24" t="s">
        <v>761</v>
      </c>
      <c r="K491" s="24" t="s">
        <v>1146</v>
      </c>
      <c r="L491" s="25">
        <v>1070</v>
      </c>
      <c r="M491" s="26">
        <v>0</v>
      </c>
      <c r="N491" s="27">
        <v>0</v>
      </c>
      <c r="O491" s="28">
        <v>0</v>
      </c>
      <c r="P491" s="28">
        <v>0</v>
      </c>
    </row>
    <row r="492" spans="1:16" x14ac:dyDescent="0.3">
      <c r="A492" t="s">
        <v>3401</v>
      </c>
      <c r="B492" s="24">
        <v>300168</v>
      </c>
      <c r="C492" s="24" t="s">
        <v>2454</v>
      </c>
      <c r="D492" s="24" t="s">
        <v>2179</v>
      </c>
      <c r="E492" s="24" t="s">
        <v>2179</v>
      </c>
      <c r="F492" s="24" t="s">
        <v>2220</v>
      </c>
      <c r="G492" s="24" t="s">
        <v>2179</v>
      </c>
      <c r="H492" s="24" t="s">
        <v>2474</v>
      </c>
      <c r="I492" s="24" t="s">
        <v>2473</v>
      </c>
      <c r="J492" s="24" t="s">
        <v>761</v>
      </c>
      <c r="K492" s="24" t="s">
        <v>1146</v>
      </c>
      <c r="L492" s="25">
        <v>1070</v>
      </c>
      <c r="M492" s="26">
        <v>7.95</v>
      </c>
      <c r="N492" s="27">
        <v>7.95</v>
      </c>
      <c r="O492" s="28">
        <v>7.2272727272727271E-3</v>
      </c>
      <c r="P492" s="28">
        <v>7.5278761061946904</v>
      </c>
    </row>
    <row r="493" spans="1:16" x14ac:dyDescent="0.3">
      <c r="A493" t="s">
        <v>3402</v>
      </c>
      <c r="B493" s="24">
        <v>300077</v>
      </c>
      <c r="C493" s="24" t="s">
        <v>2200</v>
      </c>
      <c r="D493" s="24" t="s">
        <v>2179</v>
      </c>
      <c r="E493" s="24" t="s">
        <v>2179</v>
      </c>
      <c r="F493" s="24" t="s">
        <v>1237</v>
      </c>
      <c r="G493" s="24" t="s">
        <v>2201</v>
      </c>
      <c r="H493" s="24" t="s">
        <v>2475</v>
      </c>
      <c r="I493" s="24" t="s">
        <v>2473</v>
      </c>
      <c r="J493" s="24" t="s">
        <v>761</v>
      </c>
      <c r="K493" s="24" t="s">
        <v>1146</v>
      </c>
      <c r="L493" s="25">
        <v>1070</v>
      </c>
      <c r="M493" s="26">
        <v>8.49</v>
      </c>
      <c r="N493" s="27">
        <v>8.49</v>
      </c>
      <c r="O493" s="28">
        <v>7.7181818181818185E-3</v>
      </c>
      <c r="P493" s="28">
        <v>8.0392035398230099</v>
      </c>
    </row>
    <row r="494" spans="1:16" x14ac:dyDescent="0.3">
      <c r="A494" t="s">
        <v>3403</v>
      </c>
      <c r="B494" s="24">
        <v>300168</v>
      </c>
      <c r="C494" s="24" t="s">
        <v>2454</v>
      </c>
      <c r="D494" s="24" t="s">
        <v>2179</v>
      </c>
      <c r="E494" s="24" t="s">
        <v>2179</v>
      </c>
      <c r="F494" s="24" t="s">
        <v>2220</v>
      </c>
      <c r="G494" s="24" t="s">
        <v>2179</v>
      </c>
      <c r="H494" s="24" t="s">
        <v>2475</v>
      </c>
      <c r="I494" s="24" t="s">
        <v>2473</v>
      </c>
      <c r="J494" s="24" t="s">
        <v>761</v>
      </c>
      <c r="K494" s="24" t="s">
        <v>1146</v>
      </c>
      <c r="L494" s="25">
        <v>1070</v>
      </c>
      <c r="M494" s="26">
        <v>7.8</v>
      </c>
      <c r="N494" s="27">
        <v>7.8</v>
      </c>
      <c r="O494" s="28">
        <v>7.0909090909090904E-3</v>
      </c>
      <c r="P494" s="28">
        <v>7.3858407079646016</v>
      </c>
    </row>
    <row r="495" spans="1:16" x14ac:dyDescent="0.3">
      <c r="A495" t="s">
        <v>3404</v>
      </c>
      <c r="B495" s="24">
        <v>150518</v>
      </c>
      <c r="C495" s="24" t="s">
        <v>2197</v>
      </c>
      <c r="D495" s="24" t="s">
        <v>2179</v>
      </c>
      <c r="E495" s="24" t="s">
        <v>2179</v>
      </c>
      <c r="F495" s="24" t="s">
        <v>1349</v>
      </c>
      <c r="G495" s="24" t="s">
        <v>2180</v>
      </c>
      <c r="H495" s="24" t="s">
        <v>2476</v>
      </c>
      <c r="I495" s="24" t="s">
        <v>2477</v>
      </c>
      <c r="J495" s="24" t="s">
        <v>761</v>
      </c>
      <c r="K495" s="24" t="s">
        <v>1352</v>
      </c>
      <c r="L495" s="25">
        <v>1</v>
      </c>
      <c r="M495" s="26">
        <v>40900</v>
      </c>
      <c r="N495" s="27">
        <v>37.18181818181818</v>
      </c>
      <c r="O495" s="28">
        <v>37.18181818181818</v>
      </c>
      <c r="P495" s="28">
        <v>36.194690265486727</v>
      </c>
    </row>
    <row r="496" spans="1:16" x14ac:dyDescent="0.3">
      <c r="A496" t="s">
        <v>3405</v>
      </c>
      <c r="B496" s="24">
        <v>300045</v>
      </c>
      <c r="C496" s="24" t="s">
        <v>2415</v>
      </c>
      <c r="D496" s="24" t="s">
        <v>2179</v>
      </c>
      <c r="E496" s="24" t="s">
        <v>2179</v>
      </c>
      <c r="F496" s="24" t="s">
        <v>1349</v>
      </c>
      <c r="G496" s="24" t="s">
        <v>2187</v>
      </c>
      <c r="H496" s="24" t="s">
        <v>2476</v>
      </c>
      <c r="I496" s="24" t="s">
        <v>2477</v>
      </c>
      <c r="J496" s="24" t="s">
        <v>761</v>
      </c>
      <c r="K496" s="24" t="s">
        <v>1352</v>
      </c>
      <c r="L496" s="25">
        <v>1</v>
      </c>
      <c r="M496" s="26">
        <v>35800</v>
      </c>
      <c r="N496" s="27">
        <v>32.545454545454547</v>
      </c>
      <c r="O496" s="28">
        <v>32.545454545454547</v>
      </c>
      <c r="P496" s="28">
        <v>31.681415929203538</v>
      </c>
    </row>
    <row r="497" spans="1:16" x14ac:dyDescent="0.3">
      <c r="A497" t="s">
        <v>3406</v>
      </c>
      <c r="B497" s="24">
        <v>142807</v>
      </c>
      <c r="C497" s="24" t="s">
        <v>2217</v>
      </c>
      <c r="D497" s="24" t="s">
        <v>2179</v>
      </c>
      <c r="E497" s="24" t="s">
        <v>2179</v>
      </c>
      <c r="F497" s="24" t="s">
        <v>1349</v>
      </c>
      <c r="G497" s="24" t="s">
        <v>2208</v>
      </c>
      <c r="H497" s="24" t="s">
        <v>2478</v>
      </c>
      <c r="I497" s="24" t="s">
        <v>2479</v>
      </c>
      <c r="J497" s="24" t="s">
        <v>761</v>
      </c>
      <c r="K497" s="24" t="s">
        <v>2194</v>
      </c>
      <c r="L497" s="25">
        <v>1300</v>
      </c>
      <c r="M497" s="26">
        <v>17</v>
      </c>
      <c r="N497" s="27">
        <v>19.557522123893804</v>
      </c>
      <c r="O497" s="28">
        <v>1.5454545454545455E-2</v>
      </c>
      <c r="P497" s="28">
        <v>19.557522123893804</v>
      </c>
    </row>
    <row r="498" spans="1:16" x14ac:dyDescent="0.3">
      <c r="A498" t="s">
        <v>3407</v>
      </c>
      <c r="B498" s="24">
        <v>300042</v>
      </c>
      <c r="C498" s="24" t="s">
        <v>2190</v>
      </c>
      <c r="D498" s="24" t="s">
        <v>2179</v>
      </c>
      <c r="E498" s="24" t="s">
        <v>2179</v>
      </c>
      <c r="F498" s="24" t="s">
        <v>1349</v>
      </c>
      <c r="G498" s="24" t="s">
        <v>2191</v>
      </c>
      <c r="H498" s="24" t="s">
        <v>2478</v>
      </c>
      <c r="I498" s="24" t="s">
        <v>2479</v>
      </c>
      <c r="J498" s="24" t="s">
        <v>761</v>
      </c>
      <c r="K498" s="24" t="s">
        <v>2194</v>
      </c>
      <c r="L498" s="25">
        <v>1300</v>
      </c>
      <c r="M498" s="26">
        <v>18</v>
      </c>
      <c r="N498" s="27">
        <v>20.707964601769913</v>
      </c>
      <c r="O498" s="28">
        <v>1.6363636363636365E-2</v>
      </c>
      <c r="P498" s="28">
        <v>20.707964601769913</v>
      </c>
    </row>
    <row r="499" spans="1:16" x14ac:dyDescent="0.3">
      <c r="A499" t="s">
        <v>3408</v>
      </c>
      <c r="B499" s="24">
        <v>300146</v>
      </c>
      <c r="C499" s="24" t="s">
        <v>2224</v>
      </c>
      <c r="D499" s="24" t="s">
        <v>2179</v>
      </c>
      <c r="E499" s="24" t="s">
        <v>2179</v>
      </c>
      <c r="F499" s="24" t="s">
        <v>1386</v>
      </c>
      <c r="G499" s="24" t="s">
        <v>2225</v>
      </c>
      <c r="H499" s="24" t="s">
        <v>2478</v>
      </c>
      <c r="I499" s="24" t="s">
        <v>2479</v>
      </c>
      <c r="J499" s="24" t="s">
        <v>761</v>
      </c>
      <c r="K499" s="24" t="s">
        <v>1146</v>
      </c>
      <c r="L499" s="25">
        <v>1070</v>
      </c>
      <c r="M499" s="26">
        <v>0</v>
      </c>
      <c r="N499" s="27">
        <v>0</v>
      </c>
      <c r="O499" s="28">
        <v>0</v>
      </c>
      <c r="P499" s="28">
        <v>0</v>
      </c>
    </row>
    <row r="500" spans="1:16" x14ac:dyDescent="0.3">
      <c r="A500" t="s">
        <v>3409</v>
      </c>
      <c r="B500" s="24">
        <v>300168</v>
      </c>
      <c r="C500" s="24" t="s">
        <v>2454</v>
      </c>
      <c r="D500" s="24" t="s">
        <v>2179</v>
      </c>
      <c r="E500" s="24" t="s">
        <v>2179</v>
      </c>
      <c r="F500" s="24" t="s">
        <v>2220</v>
      </c>
      <c r="G500" s="24" t="s">
        <v>2179</v>
      </c>
      <c r="H500" s="24" t="s">
        <v>2478</v>
      </c>
      <c r="I500" s="24" t="s">
        <v>2479</v>
      </c>
      <c r="J500" s="24" t="s">
        <v>761</v>
      </c>
      <c r="K500" s="24" t="s">
        <v>1146</v>
      </c>
      <c r="L500" s="25">
        <v>1070</v>
      </c>
      <c r="M500" s="26">
        <v>15.8</v>
      </c>
      <c r="N500" s="27">
        <v>15.8</v>
      </c>
      <c r="O500" s="28">
        <v>1.4363636363636365E-2</v>
      </c>
      <c r="P500" s="28">
        <v>14.961061946902655</v>
      </c>
    </row>
    <row r="501" spans="1:16" x14ac:dyDescent="0.3">
      <c r="A501" t="s">
        <v>3410</v>
      </c>
      <c r="B501" s="24">
        <v>112498</v>
      </c>
      <c r="C501" s="24" t="s">
        <v>2211</v>
      </c>
      <c r="D501" s="24" t="s">
        <v>2179</v>
      </c>
      <c r="E501" s="24" t="s">
        <v>2179</v>
      </c>
      <c r="F501" s="24" t="s">
        <v>1237</v>
      </c>
      <c r="G501" s="24" t="s">
        <v>2201</v>
      </c>
      <c r="H501" s="24" t="s">
        <v>2480</v>
      </c>
      <c r="I501" s="24" t="s">
        <v>2481</v>
      </c>
      <c r="J501" s="24" t="s">
        <v>761</v>
      </c>
      <c r="K501" s="24" t="s">
        <v>1146</v>
      </c>
      <c r="L501" s="25">
        <v>1070</v>
      </c>
      <c r="M501" s="26">
        <v>15.06</v>
      </c>
      <c r="N501" s="27">
        <v>15.06</v>
      </c>
      <c r="O501" s="28">
        <v>1.3690909090909092E-2</v>
      </c>
      <c r="P501" s="28">
        <v>14.260353982300886</v>
      </c>
    </row>
    <row r="502" spans="1:16" x14ac:dyDescent="0.3">
      <c r="A502" t="s">
        <v>3411</v>
      </c>
      <c r="B502" s="24">
        <v>300168</v>
      </c>
      <c r="C502" s="24" t="s">
        <v>2454</v>
      </c>
      <c r="D502" s="24" t="s">
        <v>2179</v>
      </c>
      <c r="E502" s="24" t="s">
        <v>2179</v>
      </c>
      <c r="F502" s="24" t="s">
        <v>2220</v>
      </c>
      <c r="G502" s="24" t="s">
        <v>2179</v>
      </c>
      <c r="H502" s="24" t="s">
        <v>2480</v>
      </c>
      <c r="I502" s="24" t="s">
        <v>2481</v>
      </c>
      <c r="J502" s="24" t="s">
        <v>761</v>
      </c>
      <c r="K502" s="24" t="s">
        <v>1146</v>
      </c>
      <c r="L502" s="25">
        <v>1070</v>
      </c>
      <c r="M502" s="26">
        <v>15.06</v>
      </c>
      <c r="N502" s="27">
        <v>15.06</v>
      </c>
      <c r="O502" s="28">
        <v>1.3690909090909092E-2</v>
      </c>
      <c r="P502" s="28">
        <v>14.260353982300886</v>
      </c>
    </row>
    <row r="503" spans="1:16" x14ac:dyDescent="0.3">
      <c r="A503" t="s">
        <v>3412</v>
      </c>
      <c r="B503" s="24">
        <v>700062</v>
      </c>
      <c r="C503" s="24" t="s">
        <v>2226</v>
      </c>
      <c r="D503" s="24" t="s">
        <v>2179</v>
      </c>
      <c r="E503" s="24" t="s">
        <v>2179</v>
      </c>
      <c r="F503" s="24" t="s">
        <v>1349</v>
      </c>
      <c r="G503" s="24" t="s">
        <v>2187</v>
      </c>
      <c r="H503" s="24" t="s">
        <v>2482</v>
      </c>
      <c r="I503" s="24" t="s">
        <v>2483</v>
      </c>
      <c r="J503" s="24" t="s">
        <v>761</v>
      </c>
      <c r="K503" s="24" t="s">
        <v>1352</v>
      </c>
      <c r="L503" s="25">
        <v>1</v>
      </c>
      <c r="M503" s="26">
        <v>28000</v>
      </c>
      <c r="N503" s="27">
        <v>25.454545454545453</v>
      </c>
      <c r="O503" s="28">
        <v>25.454545454545453</v>
      </c>
      <c r="P503" s="28">
        <v>24.778761061946902</v>
      </c>
    </row>
    <row r="504" spans="1:16" x14ac:dyDescent="0.3">
      <c r="A504" t="s">
        <v>3413</v>
      </c>
      <c r="B504" s="24">
        <v>142807</v>
      </c>
      <c r="C504" s="24" t="s">
        <v>2217</v>
      </c>
      <c r="D504" s="24" t="s">
        <v>2179</v>
      </c>
      <c r="E504" s="24" t="s">
        <v>2179</v>
      </c>
      <c r="F504" s="24" t="s">
        <v>1349</v>
      </c>
      <c r="G504" s="24" t="s">
        <v>2208</v>
      </c>
      <c r="H504" s="24" t="s">
        <v>2484</v>
      </c>
      <c r="I504" s="24" t="s">
        <v>2485</v>
      </c>
      <c r="J504" s="24" t="s">
        <v>761</v>
      </c>
      <c r="K504" s="24" t="s">
        <v>2194</v>
      </c>
      <c r="L504" s="25">
        <v>1300</v>
      </c>
      <c r="M504" s="26">
        <v>28</v>
      </c>
      <c r="N504" s="27">
        <v>32.212389380530972</v>
      </c>
      <c r="O504" s="28">
        <v>2.5454545454545455E-2</v>
      </c>
      <c r="P504" s="28">
        <v>32.212389380530972</v>
      </c>
    </row>
    <row r="505" spans="1:16" x14ac:dyDescent="0.3">
      <c r="A505" t="s">
        <v>3414</v>
      </c>
      <c r="B505" s="24">
        <v>300116</v>
      </c>
      <c r="C505" s="24" t="s">
        <v>2203</v>
      </c>
      <c r="D505" s="24" t="s">
        <v>2179</v>
      </c>
      <c r="E505" s="24" t="s">
        <v>2179</v>
      </c>
      <c r="F505" s="24" t="s">
        <v>1237</v>
      </c>
      <c r="G505" s="24" t="s">
        <v>2201</v>
      </c>
      <c r="H505" s="24" t="s">
        <v>2484</v>
      </c>
      <c r="I505" s="24" t="s">
        <v>2485</v>
      </c>
      <c r="J505" s="24" t="s">
        <v>761</v>
      </c>
      <c r="K505" s="24" t="s">
        <v>1146</v>
      </c>
      <c r="L505" s="25">
        <v>1070</v>
      </c>
      <c r="M505" s="26">
        <v>28.86</v>
      </c>
      <c r="N505" s="27">
        <v>28.86</v>
      </c>
      <c r="O505" s="28">
        <v>2.6236363636363638E-2</v>
      </c>
      <c r="P505" s="28">
        <v>27.327610619469027</v>
      </c>
    </row>
    <row r="506" spans="1:16" x14ac:dyDescent="0.3">
      <c r="A506" t="s">
        <v>3415</v>
      </c>
      <c r="B506" s="24">
        <v>300168</v>
      </c>
      <c r="C506" s="24" t="s">
        <v>2454</v>
      </c>
      <c r="D506" s="24" t="s">
        <v>2179</v>
      </c>
      <c r="E506" s="24" t="s">
        <v>2179</v>
      </c>
      <c r="F506" s="24" t="s">
        <v>2220</v>
      </c>
      <c r="G506" s="24" t="s">
        <v>2179</v>
      </c>
      <c r="H506" s="24" t="s">
        <v>2484</v>
      </c>
      <c r="I506" s="24" t="s">
        <v>2485</v>
      </c>
      <c r="J506" s="24" t="s">
        <v>761</v>
      </c>
      <c r="K506" s="24" t="s">
        <v>1146</v>
      </c>
      <c r="L506" s="25">
        <v>1070</v>
      </c>
      <c r="M506" s="26">
        <v>27.42</v>
      </c>
      <c r="N506" s="27">
        <v>27.42</v>
      </c>
      <c r="O506" s="28">
        <v>2.4927272727272728E-2</v>
      </c>
      <c r="P506" s="28">
        <v>25.964070796460177</v>
      </c>
    </row>
    <row r="507" spans="1:16" x14ac:dyDescent="0.3">
      <c r="A507" t="s">
        <v>3416</v>
      </c>
      <c r="B507" s="24">
        <v>142807</v>
      </c>
      <c r="C507" s="24" t="s">
        <v>2217</v>
      </c>
      <c r="D507" s="24" t="s">
        <v>2179</v>
      </c>
      <c r="E507" s="24" t="s">
        <v>2179</v>
      </c>
      <c r="F507" s="24" t="s">
        <v>1349</v>
      </c>
      <c r="G507" s="24" t="s">
        <v>2208</v>
      </c>
      <c r="H507" s="24" t="s">
        <v>2486</v>
      </c>
      <c r="I507" s="24" t="s">
        <v>2487</v>
      </c>
      <c r="J507" s="24" t="s">
        <v>761</v>
      </c>
      <c r="K507" s="24" t="s">
        <v>2194</v>
      </c>
      <c r="L507" s="25">
        <v>1300</v>
      </c>
      <c r="M507" s="26">
        <v>29.44</v>
      </c>
      <c r="N507" s="27">
        <v>33.869026548672565</v>
      </c>
      <c r="O507" s="28">
        <v>2.6763636363636364E-2</v>
      </c>
      <c r="P507" s="28">
        <v>33.869026548672565</v>
      </c>
    </row>
    <row r="508" spans="1:16" x14ac:dyDescent="0.3">
      <c r="A508" t="s">
        <v>3417</v>
      </c>
      <c r="B508" s="24">
        <v>300077</v>
      </c>
      <c r="C508" s="24" t="s">
        <v>2200</v>
      </c>
      <c r="D508" s="24" t="s">
        <v>2179</v>
      </c>
      <c r="E508" s="24" t="s">
        <v>2179</v>
      </c>
      <c r="F508" s="24" t="s">
        <v>1237</v>
      </c>
      <c r="G508" s="24" t="s">
        <v>2201</v>
      </c>
      <c r="H508" s="24" t="s">
        <v>2486</v>
      </c>
      <c r="I508" s="24" t="s">
        <v>2487</v>
      </c>
      <c r="J508" s="24" t="s">
        <v>761</v>
      </c>
      <c r="K508" s="24" t="s">
        <v>1146</v>
      </c>
      <c r="L508" s="25">
        <v>1070</v>
      </c>
      <c r="M508" s="26">
        <v>30.08</v>
      </c>
      <c r="N508" s="27">
        <v>30.08</v>
      </c>
      <c r="O508" s="28">
        <v>2.7345454545454544E-2</v>
      </c>
      <c r="P508" s="28">
        <v>28.482831858407078</v>
      </c>
    </row>
    <row r="509" spans="1:16" x14ac:dyDescent="0.3">
      <c r="A509" t="s">
        <v>3418</v>
      </c>
      <c r="B509" s="24">
        <v>300116</v>
      </c>
      <c r="C509" s="24" t="s">
        <v>2203</v>
      </c>
      <c r="D509" s="24" t="s">
        <v>2179</v>
      </c>
      <c r="E509" s="24" t="s">
        <v>2179</v>
      </c>
      <c r="F509" s="24" t="s">
        <v>1237</v>
      </c>
      <c r="G509" s="24" t="s">
        <v>2201</v>
      </c>
      <c r="H509" s="24" t="s">
        <v>2486</v>
      </c>
      <c r="I509" s="24" t="s">
        <v>2487</v>
      </c>
      <c r="J509" s="24" t="s">
        <v>761</v>
      </c>
      <c r="K509" s="24" t="s">
        <v>1146</v>
      </c>
      <c r="L509" s="25">
        <v>1070</v>
      </c>
      <c r="M509" s="26">
        <v>28.86</v>
      </c>
      <c r="N509" s="27">
        <v>28.86</v>
      </c>
      <c r="O509" s="28">
        <v>2.6236363636363638E-2</v>
      </c>
      <c r="P509" s="28">
        <v>27.327610619469027</v>
      </c>
    </row>
    <row r="510" spans="1:16" x14ac:dyDescent="0.3">
      <c r="A510" t="s">
        <v>3419</v>
      </c>
      <c r="B510" s="24">
        <v>300168</v>
      </c>
      <c r="C510" s="24" t="s">
        <v>2454</v>
      </c>
      <c r="D510" s="24" t="s">
        <v>2179</v>
      </c>
      <c r="E510" s="24" t="s">
        <v>2179</v>
      </c>
      <c r="F510" s="24" t="s">
        <v>2220</v>
      </c>
      <c r="G510" s="24" t="s">
        <v>2179</v>
      </c>
      <c r="H510" s="24" t="s">
        <v>2486</v>
      </c>
      <c r="I510" s="24" t="s">
        <v>2487</v>
      </c>
      <c r="J510" s="24" t="s">
        <v>761</v>
      </c>
      <c r="K510" s="24" t="s">
        <v>1146</v>
      </c>
      <c r="L510" s="25">
        <v>1070</v>
      </c>
      <c r="M510" s="26">
        <v>25.21</v>
      </c>
      <c r="N510" s="27">
        <v>25.21</v>
      </c>
      <c r="O510" s="28">
        <v>2.291818181818182E-2</v>
      </c>
      <c r="P510" s="28">
        <v>23.87141592920354</v>
      </c>
    </row>
    <row r="511" spans="1:16" x14ac:dyDescent="0.3">
      <c r="A511" t="s">
        <v>3420</v>
      </c>
      <c r="B511" s="24">
        <v>141958</v>
      </c>
      <c r="C511" s="24" t="s">
        <v>2352</v>
      </c>
      <c r="D511" s="24" t="s">
        <v>2179</v>
      </c>
      <c r="E511" s="24" t="s">
        <v>2179</v>
      </c>
      <c r="F511" s="24" t="s">
        <v>1349</v>
      </c>
      <c r="G511" s="24" t="s">
        <v>2191</v>
      </c>
      <c r="H511" s="24" t="s">
        <v>2488</v>
      </c>
      <c r="I511" s="24" t="s">
        <v>2489</v>
      </c>
      <c r="J511" s="24" t="s">
        <v>761</v>
      </c>
      <c r="K511" s="24" t="s">
        <v>2194</v>
      </c>
      <c r="L511" s="25">
        <v>1300</v>
      </c>
      <c r="M511" s="26">
        <v>35</v>
      </c>
      <c r="N511" s="27">
        <v>40.26548672566372</v>
      </c>
      <c r="O511" s="28">
        <v>3.1818181818181815E-2</v>
      </c>
      <c r="P511" s="28">
        <v>40.26548672566372</v>
      </c>
    </row>
    <row r="512" spans="1:16" x14ac:dyDescent="0.3">
      <c r="A512" t="s">
        <v>3421</v>
      </c>
      <c r="B512" s="24">
        <v>300134</v>
      </c>
      <c r="C512" s="24" t="s">
        <v>2490</v>
      </c>
      <c r="D512" s="24" t="s">
        <v>2179</v>
      </c>
      <c r="E512" s="24" t="s">
        <v>2179</v>
      </c>
      <c r="F512" s="24" t="s">
        <v>2220</v>
      </c>
      <c r="G512" s="24" t="s">
        <v>2179</v>
      </c>
      <c r="H512" s="24" t="s">
        <v>2488</v>
      </c>
      <c r="I512" s="24" t="s">
        <v>2489</v>
      </c>
      <c r="J512" s="24" t="s">
        <v>761</v>
      </c>
      <c r="K512" s="24" t="s">
        <v>1146</v>
      </c>
      <c r="L512" s="25">
        <v>1070</v>
      </c>
      <c r="M512" s="26">
        <v>40</v>
      </c>
      <c r="N512" s="27">
        <v>40</v>
      </c>
      <c r="O512" s="28">
        <v>3.6363636363636362E-2</v>
      </c>
      <c r="P512" s="28">
        <v>37.876106194690266</v>
      </c>
    </row>
    <row r="513" spans="1:16" x14ac:dyDescent="0.3">
      <c r="A513" t="s">
        <v>3422</v>
      </c>
      <c r="B513" s="24">
        <v>142603</v>
      </c>
      <c r="C513" s="24" t="s">
        <v>2207</v>
      </c>
      <c r="D513" s="24" t="s">
        <v>2179</v>
      </c>
      <c r="E513" s="24" t="s">
        <v>2179</v>
      </c>
      <c r="F513" s="24" t="s">
        <v>1349</v>
      </c>
      <c r="G513" s="24" t="s">
        <v>2208</v>
      </c>
      <c r="H513" s="24" t="s">
        <v>2491</v>
      </c>
      <c r="I513" s="24" t="s">
        <v>2492</v>
      </c>
      <c r="J513" s="24" t="s">
        <v>761</v>
      </c>
      <c r="K513" s="24" t="s">
        <v>1146</v>
      </c>
      <c r="L513" s="25">
        <v>1070</v>
      </c>
      <c r="M513" s="26">
        <v>7.64</v>
      </c>
      <c r="N513" s="27">
        <v>7.64</v>
      </c>
      <c r="O513" s="28">
        <v>6.9454545454545455E-3</v>
      </c>
      <c r="P513" s="28">
        <v>7.23433628318584</v>
      </c>
    </row>
    <row r="514" spans="1:16" x14ac:dyDescent="0.3">
      <c r="A514" t="s">
        <v>3423</v>
      </c>
      <c r="B514" s="24">
        <v>141958</v>
      </c>
      <c r="C514" s="24" t="s">
        <v>2352</v>
      </c>
      <c r="D514" s="24" t="s">
        <v>2179</v>
      </c>
      <c r="E514" s="24" t="s">
        <v>2179</v>
      </c>
      <c r="F514" s="24" t="s">
        <v>1349</v>
      </c>
      <c r="G514" s="24" t="s">
        <v>2191</v>
      </c>
      <c r="H514" s="24" t="s">
        <v>2493</v>
      </c>
      <c r="I514" s="24" t="s">
        <v>2494</v>
      </c>
      <c r="J514" s="24" t="s">
        <v>761</v>
      </c>
      <c r="K514" s="24" t="s">
        <v>2194</v>
      </c>
      <c r="L514" s="25">
        <v>1300</v>
      </c>
      <c r="M514" s="26">
        <v>2.79</v>
      </c>
      <c r="N514" s="27">
        <v>3.2097345132743365</v>
      </c>
      <c r="O514" s="28">
        <v>2.5363636363636365E-3</v>
      </c>
      <c r="P514" s="28">
        <v>3.2097345132743365</v>
      </c>
    </row>
    <row r="515" spans="1:16" x14ac:dyDescent="0.3">
      <c r="A515" t="s">
        <v>3424</v>
      </c>
      <c r="B515" s="24">
        <v>142807</v>
      </c>
      <c r="C515" s="24" t="s">
        <v>2217</v>
      </c>
      <c r="D515" s="24" t="s">
        <v>2179</v>
      </c>
      <c r="E515" s="24" t="s">
        <v>2179</v>
      </c>
      <c r="F515" s="24" t="s">
        <v>1349</v>
      </c>
      <c r="G515" s="24" t="s">
        <v>2208</v>
      </c>
      <c r="H515" s="24" t="s">
        <v>2493</v>
      </c>
      <c r="I515" s="24" t="s">
        <v>2494</v>
      </c>
      <c r="J515" s="24" t="s">
        <v>761</v>
      </c>
      <c r="K515" s="24" t="s">
        <v>2194</v>
      </c>
      <c r="L515" s="25">
        <v>1300</v>
      </c>
      <c r="M515" s="26">
        <v>3.2</v>
      </c>
      <c r="N515" s="27">
        <v>3.6814159292035398</v>
      </c>
      <c r="O515" s="28">
        <v>2.9090909090909093E-3</v>
      </c>
      <c r="P515" s="28">
        <v>3.6814159292035398</v>
      </c>
    </row>
    <row r="516" spans="1:16" x14ac:dyDescent="0.3">
      <c r="A516" t="s">
        <v>3425</v>
      </c>
      <c r="B516" s="24">
        <v>141958</v>
      </c>
      <c r="C516" s="24" t="s">
        <v>2352</v>
      </c>
      <c r="D516" s="24" t="s">
        <v>2179</v>
      </c>
      <c r="E516" s="24" t="s">
        <v>2179</v>
      </c>
      <c r="F516" s="24" t="s">
        <v>1349</v>
      </c>
      <c r="G516" s="24" t="s">
        <v>2191</v>
      </c>
      <c r="H516" s="24" t="s">
        <v>2495</v>
      </c>
      <c r="I516" s="24" t="s">
        <v>2496</v>
      </c>
      <c r="J516" s="24" t="s">
        <v>761</v>
      </c>
      <c r="K516" s="24" t="s">
        <v>2194</v>
      </c>
      <c r="L516" s="25">
        <v>1300</v>
      </c>
      <c r="M516" s="26">
        <v>2.79</v>
      </c>
      <c r="N516" s="27">
        <v>3.2097345132743365</v>
      </c>
      <c r="O516" s="28">
        <v>2.5363636363636365E-3</v>
      </c>
      <c r="P516" s="28">
        <v>3.2097345132743365</v>
      </c>
    </row>
    <row r="517" spans="1:16" x14ac:dyDescent="0.3">
      <c r="A517" t="s">
        <v>3426</v>
      </c>
      <c r="B517" s="24">
        <v>141958</v>
      </c>
      <c r="C517" s="24" t="s">
        <v>2352</v>
      </c>
      <c r="D517" s="24" t="s">
        <v>2179</v>
      </c>
      <c r="E517" s="24" t="s">
        <v>2179</v>
      </c>
      <c r="F517" s="24" t="s">
        <v>1349</v>
      </c>
      <c r="G517" s="24" t="s">
        <v>2191</v>
      </c>
      <c r="H517" s="24" t="s">
        <v>2497</v>
      </c>
      <c r="I517" s="24" t="s">
        <v>2498</v>
      </c>
      <c r="J517" s="24" t="s">
        <v>761</v>
      </c>
      <c r="K517" s="24" t="s">
        <v>2194</v>
      </c>
      <c r="L517" s="25">
        <v>1300</v>
      </c>
      <c r="M517" s="26">
        <v>2.79</v>
      </c>
      <c r="N517" s="27">
        <v>3.2097345132743365</v>
      </c>
      <c r="O517" s="28">
        <v>2.5363636363636365E-3</v>
      </c>
      <c r="P517" s="28">
        <v>3.2097345132743365</v>
      </c>
    </row>
    <row r="518" spans="1:16" x14ac:dyDescent="0.3">
      <c r="A518" t="s">
        <v>3427</v>
      </c>
      <c r="B518" s="24">
        <v>300034</v>
      </c>
      <c r="C518" s="24" t="s">
        <v>2184</v>
      </c>
      <c r="D518" s="24" t="s">
        <v>2179</v>
      </c>
      <c r="E518" s="24" t="s">
        <v>2179</v>
      </c>
      <c r="F518" s="24" t="s">
        <v>1349</v>
      </c>
      <c r="G518" s="24" t="s">
        <v>2180</v>
      </c>
      <c r="H518" s="24" t="s">
        <v>2499</v>
      </c>
      <c r="I518" s="24" t="s">
        <v>2500</v>
      </c>
      <c r="J518" s="24" t="s">
        <v>761</v>
      </c>
      <c r="K518" s="24" t="s">
        <v>1352</v>
      </c>
      <c r="L518" s="25">
        <v>1</v>
      </c>
      <c r="M518" s="26">
        <v>600</v>
      </c>
      <c r="N518" s="27">
        <v>0.54545454545454541</v>
      </c>
      <c r="O518" s="28">
        <v>0.54545454545454541</v>
      </c>
      <c r="P518" s="28">
        <v>0.53097345132743368</v>
      </c>
    </row>
    <row r="519" spans="1:16" x14ac:dyDescent="0.3">
      <c r="A519" t="s">
        <v>3428</v>
      </c>
      <c r="B519" s="24">
        <v>109894</v>
      </c>
      <c r="C519" s="24" t="s">
        <v>2501</v>
      </c>
      <c r="D519" s="24" t="s">
        <v>2502</v>
      </c>
      <c r="E519" s="24" t="s">
        <v>2503</v>
      </c>
      <c r="F519" s="24" t="s">
        <v>1142</v>
      </c>
      <c r="G519" s="24" t="s">
        <v>1399</v>
      </c>
      <c r="H519" s="24" t="s">
        <v>2504</v>
      </c>
      <c r="I519" s="24" t="s">
        <v>2505</v>
      </c>
      <c r="J519" s="24" t="s">
        <v>761</v>
      </c>
      <c r="K519" s="24" t="s">
        <v>1146</v>
      </c>
      <c r="L519" s="25">
        <v>1070</v>
      </c>
      <c r="M519" s="26">
        <v>0.76</v>
      </c>
      <c r="N519" s="27">
        <v>0.76</v>
      </c>
      <c r="O519" s="28">
        <v>6.9090909090909088E-4</v>
      </c>
      <c r="P519" s="28">
        <v>0.71964601769911507</v>
      </c>
    </row>
    <row r="520" spans="1:16" x14ac:dyDescent="0.3">
      <c r="A520" t="s">
        <v>3429</v>
      </c>
      <c r="B520" s="24">
        <v>101115</v>
      </c>
      <c r="C520" s="24" t="s">
        <v>2506</v>
      </c>
      <c r="D520" s="24" t="s">
        <v>2502</v>
      </c>
      <c r="E520" s="24" t="s">
        <v>2503</v>
      </c>
      <c r="F520" s="24" t="s">
        <v>1142</v>
      </c>
      <c r="G520" s="24" t="s">
        <v>2507</v>
      </c>
      <c r="H520" s="24" t="s">
        <v>2508</v>
      </c>
      <c r="I520" s="24" t="s">
        <v>2509</v>
      </c>
      <c r="J520" s="24" t="s">
        <v>761</v>
      </c>
      <c r="K520" s="24" t="s">
        <v>1146</v>
      </c>
      <c r="L520" s="25">
        <v>1070</v>
      </c>
      <c r="M520" s="26">
        <v>2.25</v>
      </c>
      <c r="N520" s="27">
        <v>2.25</v>
      </c>
      <c r="O520" s="28">
        <v>2.0454545454545456E-3</v>
      </c>
      <c r="P520" s="28">
        <v>2.1305309734513274</v>
      </c>
    </row>
    <row r="521" spans="1:16" x14ac:dyDescent="0.3">
      <c r="A521" t="s">
        <v>3430</v>
      </c>
      <c r="B521" s="24">
        <v>100603</v>
      </c>
      <c r="C521" s="24" t="s">
        <v>1277</v>
      </c>
      <c r="D521" s="24" t="s">
        <v>2502</v>
      </c>
      <c r="E521" s="24" t="s">
        <v>2503</v>
      </c>
      <c r="F521" s="24" t="s">
        <v>1142</v>
      </c>
      <c r="G521" s="24" t="s">
        <v>2507</v>
      </c>
      <c r="H521" s="24" t="s">
        <v>2510</v>
      </c>
      <c r="I521" s="24" t="s">
        <v>2511</v>
      </c>
      <c r="J521" s="24" t="s">
        <v>761</v>
      </c>
      <c r="K521" s="24" t="s">
        <v>1146</v>
      </c>
      <c r="L521" s="25">
        <v>1070</v>
      </c>
      <c r="M521" s="26">
        <v>14.5</v>
      </c>
      <c r="N521" s="27">
        <v>14.5</v>
      </c>
      <c r="O521" s="28">
        <v>1.3181818181818182E-2</v>
      </c>
      <c r="P521" s="28">
        <v>13.730088495575222</v>
      </c>
    </row>
    <row r="522" spans="1:16" x14ac:dyDescent="0.3">
      <c r="A522" t="s">
        <v>3431</v>
      </c>
      <c r="B522" s="24">
        <v>142548</v>
      </c>
      <c r="C522" s="24" t="s">
        <v>1809</v>
      </c>
      <c r="D522" s="24" t="s">
        <v>2502</v>
      </c>
      <c r="E522" s="24" t="s">
        <v>2503</v>
      </c>
      <c r="F522" s="24" t="s">
        <v>1237</v>
      </c>
      <c r="G522" s="24" t="s">
        <v>1360</v>
      </c>
      <c r="H522" s="24" t="s">
        <v>2512</v>
      </c>
      <c r="I522" s="24" t="s">
        <v>2513</v>
      </c>
      <c r="J522" s="24" t="s">
        <v>761</v>
      </c>
      <c r="K522" s="24" t="s">
        <v>1146</v>
      </c>
      <c r="L522" s="25">
        <v>1070</v>
      </c>
      <c r="M522" s="26">
        <v>8.1199999999999992</v>
      </c>
      <c r="N522" s="27">
        <v>8.1199999999999992</v>
      </c>
      <c r="O522" s="28">
        <v>7.3818181818181812E-3</v>
      </c>
      <c r="P522" s="28">
        <v>7.6888495575221238</v>
      </c>
    </row>
    <row r="523" spans="1:16" x14ac:dyDescent="0.3">
      <c r="A523" t="s">
        <v>3432</v>
      </c>
      <c r="B523" s="24">
        <v>101134</v>
      </c>
      <c r="C523" s="24" t="s">
        <v>2514</v>
      </c>
      <c r="D523" s="24" t="s">
        <v>2502</v>
      </c>
      <c r="E523" s="24" t="s">
        <v>2515</v>
      </c>
      <c r="F523" s="24" t="s">
        <v>1142</v>
      </c>
      <c r="G523" s="24" t="s">
        <v>2507</v>
      </c>
      <c r="H523" s="24" t="s">
        <v>2516</v>
      </c>
      <c r="I523" s="24" t="s">
        <v>2517</v>
      </c>
      <c r="J523" s="24" t="s">
        <v>761</v>
      </c>
      <c r="K523" s="24" t="s">
        <v>1146</v>
      </c>
      <c r="L523" s="25">
        <v>1070</v>
      </c>
      <c r="M523" s="26">
        <v>2.92</v>
      </c>
      <c r="N523" s="27">
        <v>2.92</v>
      </c>
      <c r="O523" s="28">
        <v>2.6545454545454546E-3</v>
      </c>
      <c r="P523" s="28">
        <v>2.7649557522123893</v>
      </c>
    </row>
    <row r="524" spans="1:16" x14ac:dyDescent="0.3">
      <c r="A524" t="s">
        <v>3433</v>
      </c>
      <c r="B524" s="24">
        <v>101134</v>
      </c>
      <c r="C524" s="24" t="s">
        <v>2514</v>
      </c>
      <c r="D524" s="24" t="s">
        <v>2502</v>
      </c>
      <c r="E524" s="24" t="s">
        <v>2515</v>
      </c>
      <c r="F524" s="24" t="s">
        <v>1142</v>
      </c>
      <c r="G524" s="24" t="s">
        <v>2507</v>
      </c>
      <c r="H524" s="24" t="s">
        <v>2518</v>
      </c>
      <c r="I524" s="24" t="s">
        <v>2519</v>
      </c>
      <c r="J524" s="24" t="s">
        <v>761</v>
      </c>
      <c r="K524" s="24" t="s">
        <v>1146</v>
      </c>
      <c r="L524" s="25">
        <v>1070</v>
      </c>
      <c r="M524" s="26">
        <v>3.45</v>
      </c>
      <c r="N524" s="27">
        <v>3.45</v>
      </c>
      <c r="O524" s="28">
        <v>3.1363636363636364E-3</v>
      </c>
      <c r="P524" s="28">
        <v>3.2668141592920352</v>
      </c>
    </row>
    <row r="525" spans="1:16" x14ac:dyDescent="0.3">
      <c r="A525" t="s">
        <v>3434</v>
      </c>
      <c r="B525" s="24">
        <v>101115</v>
      </c>
      <c r="C525" s="24" t="s">
        <v>2506</v>
      </c>
      <c r="D525" s="24" t="s">
        <v>2502</v>
      </c>
      <c r="E525" s="24" t="s">
        <v>2520</v>
      </c>
      <c r="F525" s="24" t="s">
        <v>1142</v>
      </c>
      <c r="G525" s="24" t="s">
        <v>2507</v>
      </c>
      <c r="H525" s="24" t="s">
        <v>2521</v>
      </c>
      <c r="I525" s="24" t="s">
        <v>2522</v>
      </c>
      <c r="J525" s="24" t="s">
        <v>761</v>
      </c>
      <c r="K525" s="24" t="s">
        <v>1146</v>
      </c>
      <c r="L525" s="25">
        <v>1070</v>
      </c>
      <c r="M525" s="26">
        <v>3.85</v>
      </c>
      <c r="N525" s="27">
        <v>3.85</v>
      </c>
      <c r="O525" s="28">
        <v>3.5000000000000001E-3</v>
      </c>
      <c r="P525" s="28">
        <v>3.6455752212389378</v>
      </c>
    </row>
    <row r="526" spans="1:16" x14ac:dyDescent="0.3">
      <c r="A526" t="s">
        <v>3435</v>
      </c>
      <c r="B526" s="24">
        <v>142548</v>
      </c>
      <c r="C526" s="24" t="s">
        <v>1809</v>
      </c>
      <c r="D526" s="24" t="s">
        <v>2502</v>
      </c>
      <c r="E526" s="24" t="s">
        <v>2520</v>
      </c>
      <c r="F526" s="24" t="s">
        <v>1237</v>
      </c>
      <c r="G526" s="24" t="s">
        <v>1486</v>
      </c>
      <c r="H526" s="24" t="s">
        <v>2521</v>
      </c>
      <c r="I526" s="24" t="s">
        <v>2522</v>
      </c>
      <c r="J526" s="24" t="s">
        <v>761</v>
      </c>
      <c r="K526" s="24" t="s">
        <v>1146</v>
      </c>
      <c r="L526" s="25">
        <v>1070</v>
      </c>
      <c r="M526" s="26">
        <v>3.95</v>
      </c>
      <c r="N526" s="27">
        <v>3.95</v>
      </c>
      <c r="O526" s="28">
        <v>3.5909090909090912E-3</v>
      </c>
      <c r="P526" s="28">
        <v>3.7402654867256637</v>
      </c>
    </row>
    <row r="527" spans="1:16" x14ac:dyDescent="0.3">
      <c r="A527" t="s">
        <v>3436</v>
      </c>
      <c r="B527" s="24">
        <v>101206</v>
      </c>
      <c r="C527" s="24" t="s">
        <v>1199</v>
      </c>
      <c r="D527" s="24" t="s">
        <v>2502</v>
      </c>
      <c r="E527" s="24" t="s">
        <v>2523</v>
      </c>
      <c r="F527" s="24" t="s">
        <v>1142</v>
      </c>
      <c r="G527" s="24" t="s">
        <v>2507</v>
      </c>
      <c r="H527" s="24" t="s">
        <v>2524</v>
      </c>
      <c r="I527" s="24" t="s">
        <v>2525</v>
      </c>
      <c r="J527" s="24" t="s">
        <v>761</v>
      </c>
      <c r="K527" s="24" t="s">
        <v>1146</v>
      </c>
      <c r="L527" s="25">
        <v>1070</v>
      </c>
      <c r="M527" s="26">
        <v>5.99</v>
      </c>
      <c r="N527" s="27">
        <v>5.99</v>
      </c>
      <c r="O527" s="28">
        <v>5.4454545454545459E-3</v>
      </c>
      <c r="P527" s="28">
        <v>5.6719469026548675</v>
      </c>
    </row>
    <row r="528" spans="1:16" x14ac:dyDescent="0.3">
      <c r="A528" t="s">
        <v>3437</v>
      </c>
      <c r="B528" s="24">
        <v>104223</v>
      </c>
      <c r="C528" s="24" t="s">
        <v>2526</v>
      </c>
      <c r="D528" s="24" t="s">
        <v>2502</v>
      </c>
      <c r="E528" s="24" t="s">
        <v>2523</v>
      </c>
      <c r="F528" s="24" t="s">
        <v>1142</v>
      </c>
      <c r="G528" s="24" t="s">
        <v>2507</v>
      </c>
      <c r="H528" s="24" t="s">
        <v>2527</v>
      </c>
      <c r="I528" s="24" t="s">
        <v>2525</v>
      </c>
      <c r="J528" s="24" t="s">
        <v>761</v>
      </c>
      <c r="K528" s="24" t="s">
        <v>1146</v>
      </c>
      <c r="L528" s="25">
        <v>1070</v>
      </c>
      <c r="M528" s="26">
        <v>5.99</v>
      </c>
      <c r="N528" s="27">
        <v>5.99</v>
      </c>
      <c r="O528" s="28">
        <v>5.4454545454545459E-3</v>
      </c>
      <c r="P528" s="28">
        <v>5.6719469026548675</v>
      </c>
    </row>
    <row r="529" spans="1:16" x14ac:dyDescent="0.3">
      <c r="A529" t="s">
        <v>3438</v>
      </c>
      <c r="B529" s="24">
        <v>100581</v>
      </c>
      <c r="C529" s="24" t="s">
        <v>1232</v>
      </c>
      <c r="D529" s="24" t="s">
        <v>2502</v>
      </c>
      <c r="E529" s="24" t="s">
        <v>2515</v>
      </c>
      <c r="F529" s="24" t="s">
        <v>1142</v>
      </c>
      <c r="G529" s="24" t="s">
        <v>2507</v>
      </c>
      <c r="H529" s="24" t="s">
        <v>2528</v>
      </c>
      <c r="I529" s="24" t="s">
        <v>2529</v>
      </c>
      <c r="J529" s="24" t="s">
        <v>761</v>
      </c>
      <c r="K529" s="24" t="s">
        <v>1146</v>
      </c>
      <c r="L529" s="25">
        <v>1070</v>
      </c>
      <c r="M529" s="26">
        <v>5.2629999999999999</v>
      </c>
      <c r="N529" s="27">
        <v>5.2629999999999999</v>
      </c>
      <c r="O529" s="28">
        <v>4.7845454545454545E-3</v>
      </c>
      <c r="P529" s="28">
        <v>4.9835486725663714</v>
      </c>
    </row>
    <row r="530" spans="1:16" x14ac:dyDescent="0.3">
      <c r="A530" t="s">
        <v>3439</v>
      </c>
      <c r="B530" s="24">
        <v>101184</v>
      </c>
      <c r="C530" s="24" t="s">
        <v>1401</v>
      </c>
      <c r="D530" s="24" t="s">
        <v>2502</v>
      </c>
      <c r="E530" s="24" t="s">
        <v>2515</v>
      </c>
      <c r="F530" s="24" t="s">
        <v>1142</v>
      </c>
      <c r="G530" s="24" t="s">
        <v>2507</v>
      </c>
      <c r="H530" s="24" t="s">
        <v>2528</v>
      </c>
      <c r="I530" s="24" t="s">
        <v>2529</v>
      </c>
      <c r="J530" s="24" t="s">
        <v>761</v>
      </c>
      <c r="K530" s="24" t="s">
        <v>1146</v>
      </c>
      <c r="L530" s="25">
        <v>1070</v>
      </c>
      <c r="M530" s="26">
        <v>5.2629999999999999</v>
      </c>
      <c r="N530" s="27">
        <v>5.2629999999999999</v>
      </c>
      <c r="O530" s="28">
        <v>4.7845454545454545E-3</v>
      </c>
      <c r="P530" s="28">
        <v>4.9835486725663714</v>
      </c>
    </row>
    <row r="531" spans="1:16" x14ac:dyDescent="0.3">
      <c r="A531" t="s">
        <v>3440</v>
      </c>
      <c r="B531" s="24">
        <v>111550</v>
      </c>
      <c r="C531" s="24" t="s">
        <v>1582</v>
      </c>
      <c r="D531" s="24" t="s">
        <v>2502</v>
      </c>
      <c r="E531" s="24" t="s">
        <v>2515</v>
      </c>
      <c r="F531" s="24" t="s">
        <v>1142</v>
      </c>
      <c r="G531" s="24" t="s">
        <v>2507</v>
      </c>
      <c r="H531" s="24" t="s">
        <v>2528</v>
      </c>
      <c r="I531" s="24" t="s">
        <v>2529</v>
      </c>
      <c r="J531" s="24" t="s">
        <v>761</v>
      </c>
      <c r="K531" s="24" t="s">
        <v>1146</v>
      </c>
      <c r="L531" s="25">
        <v>1070</v>
      </c>
      <c r="M531" s="26">
        <v>5.2629999999999999</v>
      </c>
      <c r="N531" s="27">
        <v>5.2629999999999999</v>
      </c>
      <c r="O531" s="28">
        <v>4.7845454545454545E-3</v>
      </c>
      <c r="P531" s="28">
        <v>4.9835486725663714</v>
      </c>
    </row>
    <row r="532" spans="1:16" x14ac:dyDescent="0.3">
      <c r="A532" t="s">
        <v>3441</v>
      </c>
      <c r="B532" s="24">
        <v>101115</v>
      </c>
      <c r="C532" s="24" t="s">
        <v>2506</v>
      </c>
      <c r="D532" s="24" t="s">
        <v>2502</v>
      </c>
      <c r="E532" s="24" t="s">
        <v>2520</v>
      </c>
      <c r="F532" s="24" t="s">
        <v>1142</v>
      </c>
      <c r="G532" s="24" t="s">
        <v>2507</v>
      </c>
      <c r="H532" s="24" t="s">
        <v>2530</v>
      </c>
      <c r="I532" s="24" t="s">
        <v>2531</v>
      </c>
      <c r="J532" s="24" t="s">
        <v>761</v>
      </c>
      <c r="K532" s="24" t="s">
        <v>1146</v>
      </c>
      <c r="L532" s="25">
        <v>1070</v>
      </c>
      <c r="M532" s="26">
        <v>2.4</v>
      </c>
      <c r="N532" s="27">
        <v>2.4</v>
      </c>
      <c r="O532" s="28">
        <v>2.1818181818181819E-3</v>
      </c>
      <c r="P532" s="28">
        <v>2.2725663716814157</v>
      </c>
    </row>
    <row r="533" spans="1:16" x14ac:dyDescent="0.3">
      <c r="A533" t="s">
        <v>3442</v>
      </c>
      <c r="B533" s="24">
        <v>100581</v>
      </c>
      <c r="C533" s="24" t="s">
        <v>1232</v>
      </c>
      <c r="D533" s="24" t="s">
        <v>2502</v>
      </c>
      <c r="E533" s="24" t="s">
        <v>2520</v>
      </c>
      <c r="F533" s="24" t="s">
        <v>1142</v>
      </c>
      <c r="G533" s="24" t="s">
        <v>2507</v>
      </c>
      <c r="H533" s="24" t="s">
        <v>2532</v>
      </c>
      <c r="I533" s="24" t="s">
        <v>2533</v>
      </c>
      <c r="J533" s="24" t="s">
        <v>761</v>
      </c>
      <c r="K533" s="24" t="s">
        <v>1146</v>
      </c>
      <c r="L533" s="25">
        <v>1070</v>
      </c>
      <c r="M533" s="26">
        <v>0.9</v>
      </c>
      <c r="N533" s="27">
        <v>0.9</v>
      </c>
      <c r="O533" s="28">
        <v>8.1818181818181816E-4</v>
      </c>
      <c r="P533" s="28">
        <v>0.85221238938053101</v>
      </c>
    </row>
    <row r="534" spans="1:16" x14ac:dyDescent="0.3">
      <c r="A534" t="s">
        <v>3443</v>
      </c>
      <c r="B534" s="24">
        <v>101115</v>
      </c>
      <c r="C534" s="24" t="s">
        <v>2506</v>
      </c>
      <c r="D534" s="24" t="s">
        <v>2502</v>
      </c>
      <c r="E534" s="24" t="s">
        <v>2520</v>
      </c>
      <c r="F534" s="24" t="s">
        <v>1142</v>
      </c>
      <c r="G534" s="24" t="s">
        <v>2507</v>
      </c>
      <c r="H534" s="24" t="s">
        <v>2532</v>
      </c>
      <c r="I534" s="24" t="s">
        <v>2533</v>
      </c>
      <c r="J534" s="24" t="s">
        <v>761</v>
      </c>
      <c r="K534" s="24" t="s">
        <v>1146</v>
      </c>
      <c r="L534" s="25">
        <v>1070</v>
      </c>
      <c r="M534" s="26">
        <v>0.9</v>
      </c>
      <c r="N534" s="27">
        <v>0.9</v>
      </c>
      <c r="O534" s="28">
        <v>8.1818181818181816E-4</v>
      </c>
      <c r="P534" s="28">
        <v>0.85221238938053101</v>
      </c>
    </row>
    <row r="535" spans="1:16" x14ac:dyDescent="0.3">
      <c r="A535" t="s">
        <v>3444</v>
      </c>
      <c r="B535" s="24">
        <v>105392</v>
      </c>
      <c r="C535" s="24" t="s">
        <v>2534</v>
      </c>
      <c r="D535" s="24" t="s">
        <v>2502</v>
      </c>
      <c r="E535" s="24" t="s">
        <v>2520</v>
      </c>
      <c r="F535" s="24" t="s">
        <v>1142</v>
      </c>
      <c r="G535" s="24" t="s">
        <v>1399</v>
      </c>
      <c r="H535" s="24" t="s">
        <v>2535</v>
      </c>
      <c r="I535" s="24" t="s">
        <v>2536</v>
      </c>
      <c r="J535" s="24" t="s">
        <v>761</v>
      </c>
      <c r="K535" s="24" t="s">
        <v>1146</v>
      </c>
      <c r="L535" s="25">
        <v>1070</v>
      </c>
      <c r="M535" s="26">
        <v>3.65</v>
      </c>
      <c r="N535" s="27">
        <v>3.65</v>
      </c>
      <c r="O535" s="28">
        <v>3.3181818181818182E-3</v>
      </c>
      <c r="P535" s="28">
        <v>3.4561946902654865</v>
      </c>
    </row>
    <row r="536" spans="1:16" x14ac:dyDescent="0.3">
      <c r="A536" t="s">
        <v>3445</v>
      </c>
      <c r="B536" s="24">
        <v>105392</v>
      </c>
      <c r="C536" s="24" t="s">
        <v>2534</v>
      </c>
      <c r="D536" s="24" t="s">
        <v>2502</v>
      </c>
      <c r="E536" s="24" t="s">
        <v>2520</v>
      </c>
      <c r="F536" s="24" t="s">
        <v>1142</v>
      </c>
      <c r="G536" s="24" t="s">
        <v>1399</v>
      </c>
      <c r="H536" s="24" t="s">
        <v>2537</v>
      </c>
      <c r="I536" s="24" t="s">
        <v>2538</v>
      </c>
      <c r="J536" s="24" t="s">
        <v>761</v>
      </c>
      <c r="K536" s="24" t="s">
        <v>1146</v>
      </c>
      <c r="L536" s="25">
        <v>1070</v>
      </c>
      <c r="M536" s="26">
        <v>4.05</v>
      </c>
      <c r="N536" s="27">
        <v>4.05</v>
      </c>
      <c r="O536" s="28">
        <v>3.6818181818181815E-3</v>
      </c>
      <c r="P536" s="28">
        <v>3.8349557522123896</v>
      </c>
    </row>
    <row r="537" spans="1:16" x14ac:dyDescent="0.3">
      <c r="A537" t="s">
        <v>3446</v>
      </c>
      <c r="B537" s="24">
        <v>111550</v>
      </c>
      <c r="C537" s="24" t="s">
        <v>1582</v>
      </c>
      <c r="D537" s="24" t="s">
        <v>2502</v>
      </c>
      <c r="E537" s="24" t="s">
        <v>2520</v>
      </c>
      <c r="F537" s="24" t="s">
        <v>1142</v>
      </c>
      <c r="G537" s="24" t="s">
        <v>2507</v>
      </c>
      <c r="H537" s="24" t="s">
        <v>2539</v>
      </c>
      <c r="I537" s="24" t="s">
        <v>2540</v>
      </c>
      <c r="J537" s="24" t="s">
        <v>761</v>
      </c>
      <c r="K537" s="24" t="s">
        <v>1146</v>
      </c>
      <c r="L537" s="25">
        <v>1070</v>
      </c>
      <c r="M537" s="26">
        <v>7.2</v>
      </c>
      <c r="N537" s="27">
        <v>7.2</v>
      </c>
      <c r="O537" s="28">
        <v>6.5454545454545453E-3</v>
      </c>
      <c r="P537" s="28">
        <v>6.8176991150442481</v>
      </c>
    </row>
    <row r="538" spans="1:16" x14ac:dyDescent="0.3">
      <c r="A538" t="s">
        <v>3447</v>
      </c>
      <c r="B538" s="24">
        <v>100581</v>
      </c>
      <c r="C538" s="24" t="s">
        <v>1232</v>
      </c>
      <c r="D538" s="24" t="s">
        <v>2502</v>
      </c>
      <c r="E538" s="24" t="s">
        <v>2520</v>
      </c>
      <c r="F538" s="24" t="s">
        <v>1142</v>
      </c>
      <c r="G538" s="24" t="s">
        <v>2507</v>
      </c>
      <c r="H538" s="24" t="s">
        <v>2541</v>
      </c>
      <c r="I538" s="24" t="s">
        <v>2542</v>
      </c>
      <c r="J538" s="24" t="s">
        <v>761</v>
      </c>
      <c r="K538" s="24" t="s">
        <v>1146</v>
      </c>
      <c r="L538" s="25">
        <v>1070</v>
      </c>
      <c r="M538" s="26">
        <v>2.65</v>
      </c>
      <c r="N538" s="27">
        <v>2.65</v>
      </c>
      <c r="O538" s="28">
        <v>2.4090909090909089E-3</v>
      </c>
      <c r="P538" s="28">
        <v>2.50929203539823</v>
      </c>
    </row>
    <row r="539" spans="1:16" x14ac:dyDescent="0.3">
      <c r="A539" t="s">
        <v>3448</v>
      </c>
      <c r="B539" s="24">
        <v>101115</v>
      </c>
      <c r="C539" s="24" t="s">
        <v>2506</v>
      </c>
      <c r="D539" s="24" t="s">
        <v>2502</v>
      </c>
      <c r="E539" s="24" t="s">
        <v>2520</v>
      </c>
      <c r="F539" s="24" t="s">
        <v>1142</v>
      </c>
      <c r="G539" s="24" t="s">
        <v>2507</v>
      </c>
      <c r="H539" s="24" t="s">
        <v>2541</v>
      </c>
      <c r="I539" s="24" t="s">
        <v>2542</v>
      </c>
      <c r="J539" s="24" t="s">
        <v>761</v>
      </c>
      <c r="K539" s="24" t="s">
        <v>1146</v>
      </c>
      <c r="L539" s="25">
        <v>1070</v>
      </c>
      <c r="M539" s="26">
        <v>2.65</v>
      </c>
      <c r="N539" s="27">
        <v>2.65</v>
      </c>
      <c r="O539" s="28">
        <v>2.4090909090909089E-3</v>
      </c>
      <c r="P539" s="28">
        <v>2.50929203539823</v>
      </c>
    </row>
    <row r="540" spans="1:16" x14ac:dyDescent="0.3">
      <c r="A540" t="s">
        <v>3449</v>
      </c>
      <c r="B540" s="24">
        <v>109649</v>
      </c>
      <c r="C540" s="24" t="s">
        <v>2543</v>
      </c>
      <c r="D540" s="24" t="s">
        <v>2502</v>
      </c>
      <c r="E540" s="24" t="s">
        <v>2520</v>
      </c>
      <c r="F540" s="24" t="s">
        <v>1142</v>
      </c>
      <c r="G540" s="24" t="s">
        <v>1399</v>
      </c>
      <c r="H540" s="24" t="s">
        <v>2864</v>
      </c>
      <c r="I540" s="24" t="s">
        <v>2865</v>
      </c>
      <c r="J540" s="24" t="s">
        <v>761</v>
      </c>
      <c r="K540" s="24" t="s">
        <v>1146</v>
      </c>
      <c r="L540" s="25">
        <v>1070</v>
      </c>
      <c r="M540" s="26">
        <v>3.28</v>
      </c>
      <c r="N540" s="27">
        <v>3.28</v>
      </c>
      <c r="O540" s="28">
        <v>2.9818181818181818E-3</v>
      </c>
      <c r="P540" s="28">
        <v>3.1058407079646018</v>
      </c>
    </row>
    <row r="541" spans="1:16" x14ac:dyDescent="0.3">
      <c r="A541" t="s">
        <v>3450</v>
      </c>
      <c r="B541" s="24">
        <v>109649</v>
      </c>
      <c r="C541" s="24" t="s">
        <v>2543</v>
      </c>
      <c r="D541" s="24" t="s">
        <v>2502</v>
      </c>
      <c r="E541" s="24" t="s">
        <v>2520</v>
      </c>
      <c r="F541" s="24" t="s">
        <v>1142</v>
      </c>
      <c r="G541" s="24" t="s">
        <v>1399</v>
      </c>
      <c r="H541" s="24" t="s">
        <v>2544</v>
      </c>
      <c r="I541" s="24" t="s">
        <v>2545</v>
      </c>
      <c r="J541" s="24" t="s">
        <v>761</v>
      </c>
      <c r="K541" s="24" t="s">
        <v>1146</v>
      </c>
      <c r="L541" s="25">
        <v>1070</v>
      </c>
      <c r="M541" s="26">
        <v>3.05</v>
      </c>
      <c r="N541" s="27">
        <v>3.05</v>
      </c>
      <c r="O541" s="28">
        <v>2.7727272727272726E-3</v>
      </c>
      <c r="P541" s="28">
        <v>2.8880530973451326</v>
      </c>
    </row>
    <row r="542" spans="1:16" x14ac:dyDescent="0.3">
      <c r="A542" t="s">
        <v>3451</v>
      </c>
      <c r="B542" s="24">
        <v>105392</v>
      </c>
      <c r="C542" s="24" t="s">
        <v>2534</v>
      </c>
      <c r="D542" s="24" t="s">
        <v>2502</v>
      </c>
      <c r="E542" s="24" t="s">
        <v>2520</v>
      </c>
      <c r="F542" s="24" t="s">
        <v>1142</v>
      </c>
      <c r="G542" s="24" t="s">
        <v>1399</v>
      </c>
      <c r="H542" s="24" t="s">
        <v>2546</v>
      </c>
      <c r="I542" s="24" t="s">
        <v>2547</v>
      </c>
      <c r="J542" s="24" t="s">
        <v>761</v>
      </c>
      <c r="K542" s="24" t="s">
        <v>1146</v>
      </c>
      <c r="L542" s="25">
        <v>1070</v>
      </c>
      <c r="M542" s="26">
        <v>3.05</v>
      </c>
      <c r="N542" s="27">
        <v>3.05</v>
      </c>
      <c r="O542" s="28">
        <v>2.7727272727272726E-3</v>
      </c>
      <c r="P542" s="28">
        <v>2.8880530973451326</v>
      </c>
    </row>
    <row r="543" spans="1:16" x14ac:dyDescent="0.3">
      <c r="A543" t="s">
        <v>3452</v>
      </c>
      <c r="B543" s="24">
        <v>101115</v>
      </c>
      <c r="C543" s="24" t="s">
        <v>2506</v>
      </c>
      <c r="D543" s="24" t="s">
        <v>2502</v>
      </c>
      <c r="E543" s="24" t="s">
        <v>2520</v>
      </c>
      <c r="F543" s="24" t="s">
        <v>1142</v>
      </c>
      <c r="G543" s="24" t="s">
        <v>2507</v>
      </c>
      <c r="H543" s="24" t="s">
        <v>2548</v>
      </c>
      <c r="I543" s="24" t="s">
        <v>2549</v>
      </c>
      <c r="J543" s="24" t="s">
        <v>761</v>
      </c>
      <c r="K543" s="24" t="s">
        <v>1146</v>
      </c>
      <c r="L543" s="25">
        <v>1070</v>
      </c>
      <c r="M543" s="26">
        <v>10.3</v>
      </c>
      <c r="N543" s="27">
        <v>10.3</v>
      </c>
      <c r="O543" s="28">
        <v>9.3636363636363639E-3</v>
      </c>
      <c r="P543" s="28">
        <v>9.7530973451327441</v>
      </c>
    </row>
    <row r="544" spans="1:16" x14ac:dyDescent="0.3">
      <c r="A544" t="s">
        <v>3453</v>
      </c>
      <c r="B544" s="24">
        <v>101162</v>
      </c>
      <c r="C544" s="24" t="s">
        <v>2550</v>
      </c>
      <c r="D544" s="24" t="s">
        <v>2502</v>
      </c>
      <c r="E544" s="24" t="s">
        <v>2515</v>
      </c>
      <c r="F544" s="24" t="s">
        <v>1142</v>
      </c>
      <c r="G544" s="24" t="s">
        <v>2507</v>
      </c>
      <c r="H544" s="24" t="s">
        <v>2551</v>
      </c>
      <c r="I544" s="24" t="s">
        <v>2552</v>
      </c>
      <c r="J544" s="24" t="s">
        <v>761</v>
      </c>
      <c r="K544" s="24" t="s">
        <v>1146</v>
      </c>
      <c r="L544" s="25">
        <v>1070</v>
      </c>
      <c r="M544" s="26">
        <v>3.69</v>
      </c>
      <c r="N544" s="27">
        <v>3.69</v>
      </c>
      <c r="O544" s="28">
        <v>3.3545454545454547E-3</v>
      </c>
      <c r="P544" s="28">
        <v>3.4940707964601767</v>
      </c>
    </row>
    <row r="545" spans="1:16" x14ac:dyDescent="0.3">
      <c r="A545" t="s">
        <v>3454</v>
      </c>
      <c r="B545" s="24">
        <v>101184</v>
      </c>
      <c r="C545" s="24" t="s">
        <v>1401</v>
      </c>
      <c r="D545" s="24" t="s">
        <v>2502</v>
      </c>
      <c r="E545" s="24" t="s">
        <v>2503</v>
      </c>
      <c r="F545" s="24" t="s">
        <v>1142</v>
      </c>
      <c r="G545" s="24" t="s">
        <v>2507</v>
      </c>
      <c r="H545" s="24" t="s">
        <v>2553</v>
      </c>
      <c r="I545" s="24" t="s">
        <v>2554</v>
      </c>
      <c r="J545" s="24" t="s">
        <v>761</v>
      </c>
      <c r="K545" s="24" t="s">
        <v>1146</v>
      </c>
      <c r="L545" s="25">
        <v>1070</v>
      </c>
      <c r="M545" s="26">
        <v>7</v>
      </c>
      <c r="N545" s="27">
        <v>7</v>
      </c>
      <c r="O545" s="28">
        <v>6.3636363636363638E-3</v>
      </c>
      <c r="P545" s="28">
        <v>6.6283185840707963</v>
      </c>
    </row>
    <row r="546" spans="1:16" x14ac:dyDescent="0.3">
      <c r="A546" t="s">
        <v>3455</v>
      </c>
      <c r="B546" s="24">
        <v>100581</v>
      </c>
      <c r="C546" s="24" t="s">
        <v>1232</v>
      </c>
      <c r="D546" s="24" t="s">
        <v>2502</v>
      </c>
      <c r="E546" s="24" t="s">
        <v>2515</v>
      </c>
      <c r="F546" s="24" t="s">
        <v>1142</v>
      </c>
      <c r="G546" s="24" t="s">
        <v>2507</v>
      </c>
      <c r="H546" s="24" t="s">
        <v>2555</v>
      </c>
      <c r="I546" s="24" t="s">
        <v>2556</v>
      </c>
      <c r="J546" s="24" t="s">
        <v>761</v>
      </c>
      <c r="K546" s="24" t="s">
        <v>1146</v>
      </c>
      <c r="L546" s="25">
        <v>1070</v>
      </c>
      <c r="M546" s="26">
        <v>4.29</v>
      </c>
      <c r="N546" s="27">
        <v>4.29</v>
      </c>
      <c r="O546" s="28">
        <v>3.8999999999999998E-3</v>
      </c>
      <c r="P546" s="28">
        <v>4.0622123893805311</v>
      </c>
    </row>
    <row r="547" spans="1:16" x14ac:dyDescent="0.3">
      <c r="A547" t="s">
        <v>3456</v>
      </c>
      <c r="B547" s="24">
        <v>101184</v>
      </c>
      <c r="C547" s="24" t="s">
        <v>1401</v>
      </c>
      <c r="D547" s="24" t="s">
        <v>2502</v>
      </c>
      <c r="E547" s="24" t="s">
        <v>2515</v>
      </c>
      <c r="F547" s="24" t="s">
        <v>1142</v>
      </c>
      <c r="G547" s="24" t="s">
        <v>2507</v>
      </c>
      <c r="H547" s="24" t="s">
        <v>2555</v>
      </c>
      <c r="I547" s="24" t="s">
        <v>2556</v>
      </c>
      <c r="J547" s="24" t="s">
        <v>761</v>
      </c>
      <c r="K547" s="24" t="s">
        <v>1146</v>
      </c>
      <c r="L547" s="25">
        <v>1070</v>
      </c>
      <c r="M547" s="26">
        <v>4.29</v>
      </c>
      <c r="N547" s="27">
        <v>4.29</v>
      </c>
      <c r="O547" s="28">
        <v>3.8999999999999998E-3</v>
      </c>
      <c r="P547" s="28">
        <v>4.0622123893805311</v>
      </c>
    </row>
    <row r="548" spans="1:16" x14ac:dyDescent="0.3">
      <c r="A548" t="s">
        <v>3457</v>
      </c>
      <c r="B548" s="24">
        <v>111550</v>
      </c>
      <c r="C548" s="24" t="s">
        <v>1582</v>
      </c>
      <c r="D548" s="24" t="s">
        <v>2502</v>
      </c>
      <c r="E548" s="24" t="s">
        <v>2515</v>
      </c>
      <c r="F548" s="24" t="s">
        <v>1142</v>
      </c>
      <c r="G548" s="24" t="s">
        <v>2507</v>
      </c>
      <c r="H548" s="24" t="s">
        <v>2555</v>
      </c>
      <c r="I548" s="24" t="s">
        <v>2556</v>
      </c>
      <c r="J548" s="24" t="s">
        <v>761</v>
      </c>
      <c r="K548" s="24" t="s">
        <v>1146</v>
      </c>
      <c r="L548" s="25">
        <v>1070</v>
      </c>
      <c r="M548" s="26">
        <v>4.29</v>
      </c>
      <c r="N548" s="27">
        <v>4.29</v>
      </c>
      <c r="O548" s="28">
        <v>3.8999999999999998E-3</v>
      </c>
      <c r="P548" s="28">
        <v>4.0622123893805311</v>
      </c>
    </row>
    <row r="549" spans="1:16" x14ac:dyDescent="0.3">
      <c r="A549" t="s">
        <v>3458</v>
      </c>
      <c r="B549" s="24">
        <v>114501</v>
      </c>
      <c r="C549" s="24" t="s">
        <v>1409</v>
      </c>
      <c r="D549" s="24" t="s">
        <v>2502</v>
      </c>
      <c r="E549" s="24" t="s">
        <v>2515</v>
      </c>
      <c r="F549" s="24" t="s">
        <v>1142</v>
      </c>
      <c r="G549" s="24" t="s">
        <v>2507</v>
      </c>
      <c r="H549" s="24" t="s">
        <v>2555</v>
      </c>
      <c r="I549" s="24" t="s">
        <v>2556</v>
      </c>
      <c r="J549" s="24" t="s">
        <v>761</v>
      </c>
      <c r="K549" s="24" t="s">
        <v>1146</v>
      </c>
      <c r="L549" s="25">
        <v>1070</v>
      </c>
      <c r="M549" s="26">
        <v>4.29</v>
      </c>
      <c r="N549" s="27">
        <v>4.29</v>
      </c>
      <c r="O549" s="28">
        <v>3.8999999999999998E-3</v>
      </c>
      <c r="P549" s="28">
        <v>4.0622123893805311</v>
      </c>
    </row>
    <row r="550" spans="1:16" x14ac:dyDescent="0.3">
      <c r="A550" t="s">
        <v>3459</v>
      </c>
      <c r="B550" s="24">
        <v>101162</v>
      </c>
      <c r="C550" s="24" t="s">
        <v>2550</v>
      </c>
      <c r="D550" s="24" t="s">
        <v>2502</v>
      </c>
      <c r="E550" s="24" t="s">
        <v>2515</v>
      </c>
      <c r="F550" s="24" t="s">
        <v>1142</v>
      </c>
      <c r="G550" s="24" t="s">
        <v>2507</v>
      </c>
      <c r="H550" s="24" t="s">
        <v>2557</v>
      </c>
      <c r="I550" s="24" t="s">
        <v>2556</v>
      </c>
      <c r="J550" s="24" t="s">
        <v>761</v>
      </c>
      <c r="K550" s="24" t="s">
        <v>1146</v>
      </c>
      <c r="L550" s="25">
        <v>1070</v>
      </c>
      <c r="M550" s="26">
        <v>4.29</v>
      </c>
      <c r="N550" s="27">
        <v>4.29</v>
      </c>
      <c r="O550" s="28">
        <v>3.8999999999999998E-3</v>
      </c>
      <c r="P550" s="28">
        <v>4.0622123893805311</v>
      </c>
    </row>
    <row r="551" spans="1:16" x14ac:dyDescent="0.3">
      <c r="A551" t="s">
        <v>3460</v>
      </c>
      <c r="B551" s="24">
        <v>101184</v>
      </c>
      <c r="C551" s="24" t="s">
        <v>1401</v>
      </c>
      <c r="D551" s="24" t="s">
        <v>2502</v>
      </c>
      <c r="E551" s="24" t="s">
        <v>2515</v>
      </c>
      <c r="F551" s="24" t="s">
        <v>1142</v>
      </c>
      <c r="G551" s="24" t="s">
        <v>2507</v>
      </c>
      <c r="H551" s="24" t="s">
        <v>2557</v>
      </c>
      <c r="I551" s="24" t="s">
        <v>2556</v>
      </c>
      <c r="J551" s="24" t="s">
        <v>761</v>
      </c>
      <c r="K551" s="24" t="s">
        <v>1146</v>
      </c>
      <c r="L551" s="25">
        <v>1070</v>
      </c>
      <c r="M551" s="26">
        <v>4.29</v>
      </c>
      <c r="N551" s="27">
        <v>4.29</v>
      </c>
      <c r="O551" s="28">
        <v>3.8999999999999998E-3</v>
      </c>
      <c r="P551" s="28">
        <v>4.0622123893805311</v>
      </c>
    </row>
    <row r="552" spans="1:16" x14ac:dyDescent="0.3">
      <c r="A552" t="s">
        <v>3461</v>
      </c>
      <c r="B552" s="24">
        <v>101186</v>
      </c>
      <c r="C552" s="24" t="s">
        <v>1273</v>
      </c>
      <c r="D552" s="24" t="s">
        <v>2502</v>
      </c>
      <c r="E552" s="24" t="s">
        <v>2515</v>
      </c>
      <c r="F552" s="24" t="s">
        <v>1142</v>
      </c>
      <c r="G552" s="24" t="s">
        <v>2507</v>
      </c>
      <c r="H552" s="24" t="s">
        <v>2557</v>
      </c>
      <c r="I552" s="24" t="s">
        <v>2556</v>
      </c>
      <c r="J552" s="24" t="s">
        <v>761</v>
      </c>
      <c r="K552" s="24" t="s">
        <v>1146</v>
      </c>
      <c r="L552" s="25">
        <v>1070</v>
      </c>
      <c r="M552" s="26">
        <v>4.29</v>
      </c>
      <c r="N552" s="27">
        <v>4.29</v>
      </c>
      <c r="O552" s="28">
        <v>3.8999999999999998E-3</v>
      </c>
      <c r="P552" s="28">
        <v>4.0622123893805311</v>
      </c>
    </row>
    <row r="553" spans="1:16" x14ac:dyDescent="0.3">
      <c r="A553" t="s">
        <v>3462</v>
      </c>
      <c r="B553" s="24">
        <v>114501</v>
      </c>
      <c r="C553" s="24" t="s">
        <v>1409</v>
      </c>
      <c r="D553" s="24" t="s">
        <v>2502</v>
      </c>
      <c r="E553" s="24" t="s">
        <v>2515</v>
      </c>
      <c r="F553" s="24" t="s">
        <v>1142</v>
      </c>
      <c r="G553" s="24" t="s">
        <v>2507</v>
      </c>
      <c r="H553" s="24" t="s">
        <v>2557</v>
      </c>
      <c r="I553" s="24" t="s">
        <v>2556</v>
      </c>
      <c r="J553" s="24" t="s">
        <v>761</v>
      </c>
      <c r="K553" s="24" t="s">
        <v>1146</v>
      </c>
      <c r="L553" s="25">
        <v>1070</v>
      </c>
      <c r="M553" s="26">
        <v>4.29</v>
      </c>
      <c r="N553" s="27">
        <v>4.29</v>
      </c>
      <c r="O553" s="28">
        <v>3.8999999999999998E-3</v>
      </c>
      <c r="P553" s="28">
        <v>4.0622123893805311</v>
      </c>
    </row>
    <row r="554" spans="1:16" x14ac:dyDescent="0.3">
      <c r="A554" t="s">
        <v>3463</v>
      </c>
      <c r="B554" s="24">
        <v>104223</v>
      </c>
      <c r="C554" s="24" t="s">
        <v>2526</v>
      </c>
      <c r="D554" s="24" t="s">
        <v>2502</v>
      </c>
      <c r="E554" s="24" t="s">
        <v>2523</v>
      </c>
      <c r="F554" s="24" t="s">
        <v>1142</v>
      </c>
      <c r="G554" s="24" t="s">
        <v>2507</v>
      </c>
      <c r="H554" s="24" t="s">
        <v>2558</v>
      </c>
      <c r="I554" s="24" t="s">
        <v>2559</v>
      </c>
      <c r="J554" s="24" t="s">
        <v>761</v>
      </c>
      <c r="K554" s="24" t="s">
        <v>1146</v>
      </c>
      <c r="L554" s="25">
        <v>1070</v>
      </c>
      <c r="M554" s="26">
        <v>4.8499999999999996</v>
      </c>
      <c r="N554" s="27">
        <v>4.8499999999999996</v>
      </c>
      <c r="O554" s="28">
        <v>4.4090909090909085E-3</v>
      </c>
      <c r="P554" s="28">
        <v>4.5924778761061944</v>
      </c>
    </row>
    <row r="555" spans="1:16" x14ac:dyDescent="0.3">
      <c r="A555" t="s">
        <v>3464</v>
      </c>
      <c r="B555" s="24">
        <v>100603</v>
      </c>
      <c r="C555" s="24" t="s">
        <v>1277</v>
      </c>
      <c r="D555" s="24" t="s">
        <v>2502</v>
      </c>
      <c r="E555" s="24" t="s">
        <v>2523</v>
      </c>
      <c r="F555" s="24" t="s">
        <v>1142</v>
      </c>
      <c r="G555" s="24" t="s">
        <v>2507</v>
      </c>
      <c r="H555" s="24" t="s">
        <v>2560</v>
      </c>
      <c r="I555" s="24" t="s">
        <v>2561</v>
      </c>
      <c r="J555" s="24" t="s">
        <v>761</v>
      </c>
      <c r="K555" s="24" t="s">
        <v>1146</v>
      </c>
      <c r="L555" s="25">
        <v>1070</v>
      </c>
      <c r="M555" s="26">
        <v>4.75</v>
      </c>
      <c r="N555" s="27">
        <v>4.75</v>
      </c>
      <c r="O555" s="28">
        <v>4.3181818181818182E-3</v>
      </c>
      <c r="P555" s="28">
        <v>4.4977876106194694</v>
      </c>
    </row>
    <row r="556" spans="1:16" x14ac:dyDescent="0.3">
      <c r="A556" t="s">
        <v>3465</v>
      </c>
      <c r="B556" s="24">
        <v>101162</v>
      </c>
      <c r="C556" s="24" t="s">
        <v>2550</v>
      </c>
      <c r="D556" s="24" t="s">
        <v>2502</v>
      </c>
      <c r="E556" s="24" t="s">
        <v>2515</v>
      </c>
      <c r="F556" s="24" t="s">
        <v>1142</v>
      </c>
      <c r="G556" s="24" t="s">
        <v>2507</v>
      </c>
      <c r="H556" s="24" t="s">
        <v>2562</v>
      </c>
      <c r="I556" s="24" t="s">
        <v>2563</v>
      </c>
      <c r="J556" s="24" t="s">
        <v>761</v>
      </c>
      <c r="K556" s="24" t="s">
        <v>1146</v>
      </c>
      <c r="L556" s="25">
        <v>1070</v>
      </c>
      <c r="M556" s="26">
        <v>5.19</v>
      </c>
      <c r="N556" s="27">
        <v>5.19</v>
      </c>
      <c r="O556" s="28">
        <v>4.7181818181818184E-3</v>
      </c>
      <c r="P556" s="28">
        <v>4.9144247787610622</v>
      </c>
    </row>
    <row r="557" spans="1:16" x14ac:dyDescent="0.3">
      <c r="A557" t="s">
        <v>3466</v>
      </c>
      <c r="B557" s="24">
        <v>104223</v>
      </c>
      <c r="C557" s="24" t="s">
        <v>2526</v>
      </c>
      <c r="D557" s="24" t="s">
        <v>2502</v>
      </c>
      <c r="E557" s="24" t="s">
        <v>2515</v>
      </c>
      <c r="F557" s="24" t="s">
        <v>1142</v>
      </c>
      <c r="G557" s="24" t="s">
        <v>2507</v>
      </c>
      <c r="H557" s="24" t="s">
        <v>2562</v>
      </c>
      <c r="I557" s="24" t="s">
        <v>2563</v>
      </c>
      <c r="J557" s="24" t="s">
        <v>761</v>
      </c>
      <c r="K557" s="24" t="s">
        <v>1146</v>
      </c>
      <c r="L557" s="25">
        <v>1070</v>
      </c>
      <c r="M557" s="26">
        <v>5.2</v>
      </c>
      <c r="N557" s="27">
        <v>5.2</v>
      </c>
      <c r="O557" s="28">
        <v>4.7272727272727275E-3</v>
      </c>
      <c r="P557" s="28">
        <v>4.9238938053097341</v>
      </c>
    </row>
    <row r="558" spans="1:16" x14ac:dyDescent="0.3">
      <c r="A558" t="s">
        <v>3467</v>
      </c>
      <c r="B558" s="24">
        <v>111550</v>
      </c>
      <c r="C558" s="24" t="s">
        <v>1582</v>
      </c>
      <c r="D558" s="24" t="s">
        <v>2502</v>
      </c>
      <c r="E558" s="24" t="s">
        <v>2515</v>
      </c>
      <c r="F558" s="24" t="s">
        <v>1142</v>
      </c>
      <c r="G558" s="24" t="s">
        <v>2507</v>
      </c>
      <c r="H558" s="24" t="s">
        <v>2562</v>
      </c>
      <c r="I558" s="24" t="s">
        <v>2563</v>
      </c>
      <c r="J558" s="24" t="s">
        <v>761</v>
      </c>
      <c r="K558" s="24" t="s">
        <v>1146</v>
      </c>
      <c r="L558" s="25">
        <v>1070</v>
      </c>
      <c r="M558" s="26">
        <v>5.19</v>
      </c>
      <c r="N558" s="27">
        <v>5.19</v>
      </c>
      <c r="O558" s="28">
        <v>4.7181818181818184E-3</v>
      </c>
      <c r="P558" s="28">
        <v>4.9144247787610622</v>
      </c>
    </row>
    <row r="559" spans="1:16" x14ac:dyDescent="0.3">
      <c r="A559" t="s">
        <v>3468</v>
      </c>
      <c r="B559" s="24">
        <v>101184</v>
      </c>
      <c r="C559" s="24" t="s">
        <v>1401</v>
      </c>
      <c r="D559" s="24" t="s">
        <v>2502</v>
      </c>
      <c r="E559" s="24" t="s">
        <v>2515</v>
      </c>
      <c r="F559" s="24" t="s">
        <v>1142</v>
      </c>
      <c r="G559" s="24" t="s">
        <v>2507</v>
      </c>
      <c r="H559" s="24" t="s">
        <v>2564</v>
      </c>
      <c r="I559" s="24" t="s">
        <v>2563</v>
      </c>
      <c r="J559" s="24" t="s">
        <v>761</v>
      </c>
      <c r="K559" s="24" t="s">
        <v>1146</v>
      </c>
      <c r="L559" s="25">
        <v>1070</v>
      </c>
      <c r="M559" s="26">
        <v>5.19</v>
      </c>
      <c r="N559" s="27">
        <v>5.19</v>
      </c>
      <c r="O559" s="28">
        <v>4.7181818181818184E-3</v>
      </c>
      <c r="P559" s="28">
        <v>4.9144247787610622</v>
      </c>
    </row>
    <row r="560" spans="1:16" x14ac:dyDescent="0.3">
      <c r="A560" t="s">
        <v>3469</v>
      </c>
      <c r="B560" s="24">
        <v>114501</v>
      </c>
      <c r="C560" s="24" t="s">
        <v>1409</v>
      </c>
      <c r="D560" s="24" t="s">
        <v>2502</v>
      </c>
      <c r="E560" s="24" t="s">
        <v>2515</v>
      </c>
      <c r="F560" s="24" t="s">
        <v>1142</v>
      </c>
      <c r="G560" s="24" t="s">
        <v>2507</v>
      </c>
      <c r="H560" s="24" t="s">
        <v>2564</v>
      </c>
      <c r="I560" s="24" t="s">
        <v>2563</v>
      </c>
      <c r="J560" s="24" t="s">
        <v>761</v>
      </c>
      <c r="K560" s="24" t="s">
        <v>1146</v>
      </c>
      <c r="L560" s="25">
        <v>1070</v>
      </c>
      <c r="M560" s="26">
        <v>5.19</v>
      </c>
      <c r="N560" s="27">
        <v>5.19</v>
      </c>
      <c r="O560" s="28">
        <v>4.7181818181818184E-3</v>
      </c>
      <c r="P560" s="28">
        <v>4.9144247787610622</v>
      </c>
    </row>
    <row r="561" spans="1:16" x14ac:dyDescent="0.3">
      <c r="A561" t="s">
        <v>3470</v>
      </c>
      <c r="B561" s="24">
        <v>101134</v>
      </c>
      <c r="C561" s="24" t="s">
        <v>2514</v>
      </c>
      <c r="D561" s="24" t="s">
        <v>2502</v>
      </c>
      <c r="E561" s="24" t="s">
        <v>2515</v>
      </c>
      <c r="F561" s="24" t="s">
        <v>1142</v>
      </c>
      <c r="G561" s="24" t="s">
        <v>2507</v>
      </c>
      <c r="H561" s="24" t="s">
        <v>2565</v>
      </c>
      <c r="I561" s="24" t="s">
        <v>2556</v>
      </c>
      <c r="J561" s="24" t="s">
        <v>761</v>
      </c>
      <c r="K561" s="24" t="s">
        <v>1146</v>
      </c>
      <c r="L561" s="25">
        <v>1070</v>
      </c>
      <c r="M561" s="26">
        <v>3.64</v>
      </c>
      <c r="N561" s="27">
        <v>3.64</v>
      </c>
      <c r="O561" s="28">
        <v>3.3090909090909091E-3</v>
      </c>
      <c r="P561" s="28">
        <v>3.4467256637168142</v>
      </c>
    </row>
    <row r="562" spans="1:16" x14ac:dyDescent="0.3">
      <c r="A562" t="s">
        <v>3471</v>
      </c>
      <c r="B562" s="24">
        <v>101162</v>
      </c>
      <c r="C562" s="24" t="s">
        <v>2550</v>
      </c>
      <c r="D562" s="24" t="s">
        <v>2502</v>
      </c>
      <c r="E562" s="24" t="s">
        <v>2515</v>
      </c>
      <c r="F562" s="24" t="s">
        <v>1142</v>
      </c>
      <c r="G562" s="24" t="s">
        <v>2507</v>
      </c>
      <c r="H562" s="24" t="s">
        <v>2565</v>
      </c>
      <c r="I562" s="24" t="s">
        <v>2556</v>
      </c>
      <c r="J562" s="24" t="s">
        <v>761</v>
      </c>
      <c r="K562" s="24" t="s">
        <v>1146</v>
      </c>
      <c r="L562" s="25">
        <v>1070</v>
      </c>
      <c r="M562" s="26">
        <v>3.65</v>
      </c>
      <c r="N562" s="27">
        <v>3.65</v>
      </c>
      <c r="O562" s="28">
        <v>3.3181818181818182E-3</v>
      </c>
      <c r="P562" s="28">
        <v>3.4561946902654865</v>
      </c>
    </row>
    <row r="563" spans="1:16" x14ac:dyDescent="0.3">
      <c r="A563" t="s">
        <v>3472</v>
      </c>
      <c r="B563" s="24">
        <v>101184</v>
      </c>
      <c r="C563" s="24" t="s">
        <v>1401</v>
      </c>
      <c r="D563" s="24" t="s">
        <v>2502</v>
      </c>
      <c r="E563" s="24" t="s">
        <v>2515</v>
      </c>
      <c r="F563" s="24" t="s">
        <v>1142</v>
      </c>
      <c r="G563" s="24" t="s">
        <v>2507</v>
      </c>
      <c r="H563" s="24" t="s">
        <v>2565</v>
      </c>
      <c r="I563" s="24" t="s">
        <v>2556</v>
      </c>
      <c r="J563" s="24" t="s">
        <v>761</v>
      </c>
      <c r="K563" s="24" t="s">
        <v>1146</v>
      </c>
      <c r="L563" s="25">
        <v>1070</v>
      </c>
      <c r="M563" s="26">
        <v>3.64</v>
      </c>
      <c r="N563" s="27">
        <v>3.64</v>
      </c>
      <c r="O563" s="28">
        <v>3.3090909090909091E-3</v>
      </c>
      <c r="P563" s="28">
        <v>3.4467256637168142</v>
      </c>
    </row>
    <row r="564" spans="1:16" x14ac:dyDescent="0.3">
      <c r="A564" t="s">
        <v>3473</v>
      </c>
      <c r="B564" s="24">
        <v>101186</v>
      </c>
      <c r="C564" s="24" t="s">
        <v>1273</v>
      </c>
      <c r="D564" s="24" t="s">
        <v>2502</v>
      </c>
      <c r="E564" s="24" t="s">
        <v>2515</v>
      </c>
      <c r="F564" s="24" t="s">
        <v>1142</v>
      </c>
      <c r="G564" s="24" t="s">
        <v>2507</v>
      </c>
      <c r="H564" s="24" t="s">
        <v>2565</v>
      </c>
      <c r="I564" s="24" t="s">
        <v>2556</v>
      </c>
      <c r="J564" s="24" t="s">
        <v>761</v>
      </c>
      <c r="K564" s="24" t="s">
        <v>1146</v>
      </c>
      <c r="L564" s="25">
        <v>1070</v>
      </c>
      <c r="M564" s="26">
        <v>3.64</v>
      </c>
      <c r="N564" s="27">
        <v>3.64</v>
      </c>
      <c r="O564" s="28">
        <v>3.3090909090909091E-3</v>
      </c>
      <c r="P564" s="28">
        <v>3.4467256637168142</v>
      </c>
    </row>
    <row r="565" spans="1:16" x14ac:dyDescent="0.3">
      <c r="A565" t="s">
        <v>3474</v>
      </c>
      <c r="B565" s="24">
        <v>101305</v>
      </c>
      <c r="C565" s="24" t="s">
        <v>2566</v>
      </c>
      <c r="D565" s="24" t="s">
        <v>2502</v>
      </c>
      <c r="E565" s="24" t="s">
        <v>2515</v>
      </c>
      <c r="F565" s="24" t="s">
        <v>1142</v>
      </c>
      <c r="G565" s="24" t="s">
        <v>2507</v>
      </c>
      <c r="H565" s="24" t="s">
        <v>2565</v>
      </c>
      <c r="I565" s="24" t="s">
        <v>2556</v>
      </c>
      <c r="J565" s="24" t="s">
        <v>761</v>
      </c>
      <c r="K565" s="24" t="s">
        <v>1146</v>
      </c>
      <c r="L565" s="25">
        <v>1070</v>
      </c>
      <c r="M565" s="26">
        <v>3.64</v>
      </c>
      <c r="N565" s="27">
        <v>3.64</v>
      </c>
      <c r="O565" s="28">
        <v>3.3090909090909091E-3</v>
      </c>
      <c r="P565" s="28">
        <v>3.4467256637168142</v>
      </c>
    </row>
    <row r="566" spans="1:16" x14ac:dyDescent="0.3">
      <c r="A566" t="s">
        <v>3475</v>
      </c>
      <c r="B566" s="24">
        <v>104223</v>
      </c>
      <c r="C566" s="24" t="s">
        <v>2526</v>
      </c>
      <c r="D566" s="24" t="s">
        <v>2502</v>
      </c>
      <c r="E566" s="24" t="s">
        <v>2515</v>
      </c>
      <c r="F566" s="24" t="s">
        <v>1142</v>
      </c>
      <c r="G566" s="24" t="s">
        <v>2507</v>
      </c>
      <c r="H566" s="24" t="s">
        <v>2565</v>
      </c>
      <c r="I566" s="24" t="s">
        <v>2556</v>
      </c>
      <c r="J566" s="24" t="s">
        <v>761</v>
      </c>
      <c r="K566" s="24" t="s">
        <v>1146</v>
      </c>
      <c r="L566" s="25">
        <v>1070</v>
      </c>
      <c r="M566" s="26">
        <v>3.96</v>
      </c>
      <c r="N566" s="27">
        <v>3.96</v>
      </c>
      <c r="O566" s="28">
        <v>3.5999999999999999E-3</v>
      </c>
      <c r="P566" s="28">
        <v>3.749734513274336</v>
      </c>
    </row>
    <row r="567" spans="1:16" x14ac:dyDescent="0.3">
      <c r="A567" t="s">
        <v>3476</v>
      </c>
      <c r="B567" s="24">
        <v>111550</v>
      </c>
      <c r="C567" s="24" t="s">
        <v>1582</v>
      </c>
      <c r="D567" s="24" t="s">
        <v>2502</v>
      </c>
      <c r="E567" s="24" t="s">
        <v>2515</v>
      </c>
      <c r="F567" s="24" t="s">
        <v>1142</v>
      </c>
      <c r="G567" s="24" t="s">
        <v>2507</v>
      </c>
      <c r="H567" s="24" t="s">
        <v>2565</v>
      </c>
      <c r="I567" s="24" t="s">
        <v>2556</v>
      </c>
      <c r="J567" s="24" t="s">
        <v>761</v>
      </c>
      <c r="K567" s="24" t="s">
        <v>1146</v>
      </c>
      <c r="L567" s="25">
        <v>1070</v>
      </c>
      <c r="M567" s="26">
        <v>3.64</v>
      </c>
      <c r="N567" s="27">
        <v>3.64</v>
      </c>
      <c r="O567" s="28">
        <v>3.3090909090909091E-3</v>
      </c>
      <c r="P567" s="28">
        <v>3.4467256637168142</v>
      </c>
    </row>
    <row r="568" spans="1:16" x14ac:dyDescent="0.3">
      <c r="A568" t="s">
        <v>3477</v>
      </c>
      <c r="B568" s="24">
        <v>114501</v>
      </c>
      <c r="C568" s="24" t="s">
        <v>1409</v>
      </c>
      <c r="D568" s="24" t="s">
        <v>2502</v>
      </c>
      <c r="E568" s="24" t="s">
        <v>2515</v>
      </c>
      <c r="F568" s="24" t="s">
        <v>1142</v>
      </c>
      <c r="G568" s="24" t="s">
        <v>2507</v>
      </c>
      <c r="H568" s="24" t="s">
        <v>2565</v>
      </c>
      <c r="I568" s="24" t="s">
        <v>2556</v>
      </c>
      <c r="J568" s="24" t="s">
        <v>761</v>
      </c>
      <c r="K568" s="24" t="s">
        <v>1146</v>
      </c>
      <c r="L568" s="25">
        <v>1070</v>
      </c>
      <c r="M568" s="26">
        <v>3.64</v>
      </c>
      <c r="N568" s="27">
        <v>3.64</v>
      </c>
      <c r="O568" s="28">
        <v>3.3090909090909091E-3</v>
      </c>
      <c r="P568" s="28">
        <v>3.4467256637168142</v>
      </c>
    </row>
    <row r="569" spans="1:16" x14ac:dyDescent="0.3">
      <c r="A569" t="s">
        <v>3478</v>
      </c>
      <c r="B569" s="24">
        <v>142310</v>
      </c>
      <c r="C569" s="24" t="s">
        <v>1474</v>
      </c>
      <c r="D569" s="24" t="s">
        <v>2502</v>
      </c>
      <c r="E569" s="24" t="s">
        <v>2515</v>
      </c>
      <c r="F569" s="24" t="s">
        <v>1142</v>
      </c>
      <c r="G569" s="24" t="s">
        <v>2507</v>
      </c>
      <c r="H569" s="24" t="s">
        <v>2565</v>
      </c>
      <c r="I569" s="24" t="s">
        <v>2556</v>
      </c>
      <c r="J569" s="24" t="s">
        <v>761</v>
      </c>
      <c r="K569" s="24" t="s">
        <v>1146</v>
      </c>
      <c r="L569" s="25">
        <v>1070</v>
      </c>
      <c r="M569" s="26">
        <v>3.64</v>
      </c>
      <c r="N569" s="27">
        <v>3.64</v>
      </c>
      <c r="O569" s="28">
        <v>3.3090909090909091E-3</v>
      </c>
      <c r="P569" s="28">
        <v>3.4467256637168142</v>
      </c>
    </row>
    <row r="570" spans="1:16" x14ac:dyDescent="0.3">
      <c r="A570" t="s">
        <v>3479</v>
      </c>
      <c r="B570" s="24">
        <v>101186</v>
      </c>
      <c r="C570" s="24" t="s">
        <v>1273</v>
      </c>
      <c r="D570" s="24" t="s">
        <v>2502</v>
      </c>
      <c r="E570" s="24" t="s">
        <v>2515</v>
      </c>
      <c r="F570" s="24" t="s">
        <v>1142</v>
      </c>
      <c r="G570" s="24" t="s">
        <v>2507</v>
      </c>
      <c r="H570" s="24" t="s">
        <v>2567</v>
      </c>
      <c r="I570" s="24" t="s">
        <v>2568</v>
      </c>
      <c r="J570" s="24" t="s">
        <v>761</v>
      </c>
      <c r="K570" s="24" t="s">
        <v>1146</v>
      </c>
      <c r="L570" s="25">
        <v>1070</v>
      </c>
      <c r="M570" s="26">
        <v>8.0500000000000007</v>
      </c>
      <c r="N570" s="27">
        <v>8.0500000000000007</v>
      </c>
      <c r="O570" s="28">
        <v>7.3181818181818192E-3</v>
      </c>
      <c r="P570" s="28">
        <v>7.6225663716814163</v>
      </c>
    </row>
    <row r="571" spans="1:16" x14ac:dyDescent="0.3">
      <c r="A571" t="s">
        <v>3480</v>
      </c>
      <c r="B571" s="24">
        <v>104223</v>
      </c>
      <c r="C571" s="24" t="s">
        <v>2526</v>
      </c>
      <c r="D571" s="24" t="s">
        <v>2502</v>
      </c>
      <c r="E571" s="24" t="s">
        <v>2515</v>
      </c>
      <c r="F571" s="24" t="s">
        <v>1142</v>
      </c>
      <c r="G571" s="24" t="s">
        <v>2507</v>
      </c>
      <c r="H571" s="24" t="s">
        <v>2569</v>
      </c>
      <c r="I571" s="24" t="s">
        <v>2556</v>
      </c>
      <c r="J571" s="24" t="s">
        <v>761</v>
      </c>
      <c r="K571" s="24" t="s">
        <v>1146</v>
      </c>
      <c r="L571" s="25">
        <v>1070</v>
      </c>
      <c r="M571" s="26">
        <v>5.99</v>
      </c>
      <c r="N571" s="27">
        <v>5.99</v>
      </c>
      <c r="O571" s="28">
        <v>5.4454545454545459E-3</v>
      </c>
      <c r="P571" s="28">
        <v>5.6719469026548675</v>
      </c>
    </row>
    <row r="572" spans="1:16" x14ac:dyDescent="0.3">
      <c r="A572" t="s">
        <v>3481</v>
      </c>
      <c r="B572" s="24">
        <v>101162</v>
      </c>
      <c r="C572" s="24" t="s">
        <v>2550</v>
      </c>
      <c r="D572" s="24" t="s">
        <v>2502</v>
      </c>
      <c r="E572" s="24" t="s">
        <v>2515</v>
      </c>
      <c r="F572" s="24" t="s">
        <v>1142</v>
      </c>
      <c r="G572" s="24" t="s">
        <v>2507</v>
      </c>
      <c r="H572" s="24" t="s">
        <v>2570</v>
      </c>
      <c r="I572" s="24" t="s">
        <v>2571</v>
      </c>
      <c r="J572" s="24" t="s">
        <v>761</v>
      </c>
      <c r="K572" s="24" t="s">
        <v>1146</v>
      </c>
      <c r="L572" s="25">
        <v>1070</v>
      </c>
      <c r="M572" s="26">
        <v>4.3</v>
      </c>
      <c r="N572" s="27">
        <v>4.3</v>
      </c>
      <c r="O572" s="28">
        <v>3.9090909090909089E-3</v>
      </c>
      <c r="P572" s="28">
        <v>4.0716814159292039</v>
      </c>
    </row>
    <row r="573" spans="1:16" x14ac:dyDescent="0.3">
      <c r="A573" t="s">
        <v>3482</v>
      </c>
      <c r="B573" s="24">
        <v>101186</v>
      </c>
      <c r="C573" s="24" t="s">
        <v>1273</v>
      </c>
      <c r="D573" s="24" t="s">
        <v>2502</v>
      </c>
      <c r="E573" s="24" t="s">
        <v>2515</v>
      </c>
      <c r="F573" s="24" t="s">
        <v>1142</v>
      </c>
      <c r="G573" s="24" t="s">
        <v>2507</v>
      </c>
      <c r="H573" s="24" t="s">
        <v>2570</v>
      </c>
      <c r="I573" s="24" t="s">
        <v>2571</v>
      </c>
      <c r="J573" s="24" t="s">
        <v>761</v>
      </c>
      <c r="K573" s="24" t="s">
        <v>1146</v>
      </c>
      <c r="L573" s="25">
        <v>1070</v>
      </c>
      <c r="M573" s="26">
        <v>4.3</v>
      </c>
      <c r="N573" s="27">
        <v>4.3</v>
      </c>
      <c r="O573" s="28">
        <v>3.9090909090909089E-3</v>
      </c>
      <c r="P573" s="28">
        <v>4.0716814159292039</v>
      </c>
    </row>
    <row r="574" spans="1:16" x14ac:dyDescent="0.3">
      <c r="A574" t="s">
        <v>3483</v>
      </c>
      <c r="B574" s="24">
        <v>104223</v>
      </c>
      <c r="C574" s="24" t="s">
        <v>2526</v>
      </c>
      <c r="D574" s="24" t="s">
        <v>2502</v>
      </c>
      <c r="E574" s="24" t="s">
        <v>2515</v>
      </c>
      <c r="F574" s="24" t="s">
        <v>1142</v>
      </c>
      <c r="G574" s="24" t="s">
        <v>2507</v>
      </c>
      <c r="H574" s="24" t="s">
        <v>2572</v>
      </c>
      <c r="I574" s="24" t="s">
        <v>2556</v>
      </c>
      <c r="J574" s="24" t="s">
        <v>761</v>
      </c>
      <c r="K574" s="24" t="s">
        <v>1146</v>
      </c>
      <c r="L574" s="25">
        <v>1070</v>
      </c>
      <c r="M574" s="26">
        <v>5.99</v>
      </c>
      <c r="N574" s="27">
        <v>5.99</v>
      </c>
      <c r="O574" s="28">
        <v>5.4454545454545459E-3</v>
      </c>
      <c r="P574" s="28">
        <v>5.6719469026548675</v>
      </c>
    </row>
    <row r="575" spans="1:16" x14ac:dyDescent="0.3">
      <c r="A575" t="s">
        <v>3484</v>
      </c>
      <c r="B575" s="24">
        <v>100581</v>
      </c>
      <c r="C575" s="24" t="s">
        <v>1232</v>
      </c>
      <c r="D575" s="24" t="s">
        <v>2502</v>
      </c>
      <c r="E575" s="24" t="s">
        <v>2515</v>
      </c>
      <c r="F575" s="24" t="s">
        <v>1142</v>
      </c>
      <c r="G575" s="24" t="s">
        <v>2507</v>
      </c>
      <c r="H575" s="24" t="s">
        <v>2573</v>
      </c>
      <c r="I575" s="24" t="s">
        <v>2556</v>
      </c>
      <c r="J575" s="24" t="s">
        <v>761</v>
      </c>
      <c r="K575" s="24" t="s">
        <v>1146</v>
      </c>
      <c r="L575" s="25">
        <v>1070</v>
      </c>
      <c r="M575" s="26">
        <v>3.29</v>
      </c>
      <c r="N575" s="27">
        <v>3.29</v>
      </c>
      <c r="O575" s="28">
        <v>2.9909090909090909E-3</v>
      </c>
      <c r="P575" s="28">
        <v>3.1153097345132745</v>
      </c>
    </row>
    <row r="576" spans="1:16" x14ac:dyDescent="0.3">
      <c r="A576" t="s">
        <v>3485</v>
      </c>
      <c r="B576" s="24">
        <v>101184</v>
      </c>
      <c r="C576" s="24" t="s">
        <v>1401</v>
      </c>
      <c r="D576" s="24" t="s">
        <v>2502</v>
      </c>
      <c r="E576" s="24" t="s">
        <v>2515</v>
      </c>
      <c r="F576" s="24" t="s">
        <v>1142</v>
      </c>
      <c r="G576" s="24" t="s">
        <v>2507</v>
      </c>
      <c r="H576" s="24" t="s">
        <v>2573</v>
      </c>
      <c r="I576" s="24" t="s">
        <v>2556</v>
      </c>
      <c r="J576" s="24" t="s">
        <v>761</v>
      </c>
      <c r="K576" s="24" t="s">
        <v>1146</v>
      </c>
      <c r="L576" s="25">
        <v>1070</v>
      </c>
      <c r="M576" s="26">
        <v>3.28</v>
      </c>
      <c r="N576" s="27">
        <v>3.28</v>
      </c>
      <c r="O576" s="28">
        <v>2.9818181818181818E-3</v>
      </c>
      <c r="P576" s="28">
        <v>3.1058407079646018</v>
      </c>
    </row>
    <row r="577" spans="1:16" x14ac:dyDescent="0.3">
      <c r="A577" t="s">
        <v>3486</v>
      </c>
      <c r="B577" s="24">
        <v>101186</v>
      </c>
      <c r="C577" s="24" t="s">
        <v>1273</v>
      </c>
      <c r="D577" s="24" t="s">
        <v>2502</v>
      </c>
      <c r="E577" s="24" t="s">
        <v>2515</v>
      </c>
      <c r="F577" s="24" t="s">
        <v>1142</v>
      </c>
      <c r="G577" s="24" t="s">
        <v>2507</v>
      </c>
      <c r="H577" s="24" t="s">
        <v>2573</v>
      </c>
      <c r="I577" s="24" t="s">
        <v>2556</v>
      </c>
      <c r="J577" s="24" t="s">
        <v>761</v>
      </c>
      <c r="K577" s="24" t="s">
        <v>1146</v>
      </c>
      <c r="L577" s="25">
        <v>1070</v>
      </c>
      <c r="M577" s="26">
        <v>3.28</v>
      </c>
      <c r="N577" s="27">
        <v>3.28</v>
      </c>
      <c r="O577" s="28">
        <v>2.9818181818181818E-3</v>
      </c>
      <c r="P577" s="28">
        <v>3.1058407079646018</v>
      </c>
    </row>
    <row r="578" spans="1:16" x14ac:dyDescent="0.3">
      <c r="A578" t="s">
        <v>3487</v>
      </c>
      <c r="B578" s="24">
        <v>104223</v>
      </c>
      <c r="C578" s="24" t="s">
        <v>2526</v>
      </c>
      <c r="D578" s="24" t="s">
        <v>2502</v>
      </c>
      <c r="E578" s="24" t="s">
        <v>2515</v>
      </c>
      <c r="F578" s="24" t="s">
        <v>1142</v>
      </c>
      <c r="G578" s="24" t="s">
        <v>2507</v>
      </c>
      <c r="H578" s="24" t="s">
        <v>2573</v>
      </c>
      <c r="I578" s="24" t="s">
        <v>2556</v>
      </c>
      <c r="J578" s="24" t="s">
        <v>761</v>
      </c>
      <c r="K578" s="24" t="s">
        <v>1146</v>
      </c>
      <c r="L578" s="25">
        <v>1070</v>
      </c>
      <c r="M578" s="26">
        <v>3.35</v>
      </c>
      <c r="N578" s="27">
        <v>3.35</v>
      </c>
      <c r="O578" s="28">
        <v>3.0454545454545456E-3</v>
      </c>
      <c r="P578" s="28">
        <v>3.1721238938053098</v>
      </c>
    </row>
    <row r="579" spans="1:16" x14ac:dyDescent="0.3">
      <c r="A579" t="s">
        <v>3488</v>
      </c>
      <c r="B579" s="24">
        <v>111550</v>
      </c>
      <c r="C579" s="24" t="s">
        <v>1582</v>
      </c>
      <c r="D579" s="24" t="s">
        <v>2502</v>
      </c>
      <c r="E579" s="24" t="s">
        <v>2515</v>
      </c>
      <c r="F579" s="24" t="s">
        <v>1142</v>
      </c>
      <c r="G579" s="24" t="s">
        <v>2507</v>
      </c>
      <c r="H579" s="24" t="s">
        <v>2573</v>
      </c>
      <c r="I579" s="24" t="s">
        <v>2556</v>
      </c>
      <c r="J579" s="24" t="s">
        <v>761</v>
      </c>
      <c r="K579" s="24" t="s">
        <v>1146</v>
      </c>
      <c r="L579" s="25">
        <v>1070</v>
      </c>
      <c r="M579" s="26">
        <v>3.28</v>
      </c>
      <c r="N579" s="27">
        <v>3.28</v>
      </c>
      <c r="O579" s="28">
        <v>2.9818181818181818E-3</v>
      </c>
      <c r="P579" s="28">
        <v>3.1058407079646018</v>
      </c>
    </row>
    <row r="580" spans="1:16" x14ac:dyDescent="0.3">
      <c r="A580" t="s">
        <v>3489</v>
      </c>
      <c r="B580" s="24">
        <v>114501</v>
      </c>
      <c r="C580" s="24" t="s">
        <v>1409</v>
      </c>
      <c r="D580" s="24" t="s">
        <v>2502</v>
      </c>
      <c r="E580" s="24" t="s">
        <v>2515</v>
      </c>
      <c r="F580" s="24" t="s">
        <v>1142</v>
      </c>
      <c r="G580" s="24" t="s">
        <v>2507</v>
      </c>
      <c r="H580" s="24" t="s">
        <v>2573</v>
      </c>
      <c r="I580" s="24" t="s">
        <v>2556</v>
      </c>
      <c r="J580" s="24" t="s">
        <v>761</v>
      </c>
      <c r="K580" s="24" t="s">
        <v>1146</v>
      </c>
      <c r="L580" s="25">
        <v>1070</v>
      </c>
      <c r="M580" s="26">
        <v>3.28</v>
      </c>
      <c r="N580" s="27">
        <v>3.28</v>
      </c>
      <c r="O580" s="28">
        <v>2.9818181818181818E-3</v>
      </c>
      <c r="P580" s="28">
        <v>3.1058407079646018</v>
      </c>
    </row>
    <row r="581" spans="1:16" x14ac:dyDescent="0.3">
      <c r="A581" t="s">
        <v>3490</v>
      </c>
      <c r="B581" s="24">
        <v>101134</v>
      </c>
      <c r="C581" s="24" t="s">
        <v>2514</v>
      </c>
      <c r="D581" s="24" t="s">
        <v>2502</v>
      </c>
      <c r="E581" s="24" t="s">
        <v>2515</v>
      </c>
      <c r="F581" s="24" t="s">
        <v>1142</v>
      </c>
      <c r="G581" s="24" t="s">
        <v>2507</v>
      </c>
      <c r="H581" s="24" t="s">
        <v>2574</v>
      </c>
      <c r="I581" s="24" t="s">
        <v>2556</v>
      </c>
      <c r="J581" s="24" t="s">
        <v>761</v>
      </c>
      <c r="K581" s="24" t="s">
        <v>1146</v>
      </c>
      <c r="L581" s="25">
        <v>1070</v>
      </c>
      <c r="M581" s="26">
        <v>3.3</v>
      </c>
      <c r="N581" s="27">
        <v>3.3</v>
      </c>
      <c r="O581" s="28">
        <v>2.9999999999999996E-3</v>
      </c>
      <c r="P581" s="28">
        <v>3.1247787610619469</v>
      </c>
    </row>
    <row r="582" spans="1:16" x14ac:dyDescent="0.3">
      <c r="A582" t="s">
        <v>3491</v>
      </c>
      <c r="B582" s="24">
        <v>101162</v>
      </c>
      <c r="C582" s="24" t="s">
        <v>2550</v>
      </c>
      <c r="D582" s="24" t="s">
        <v>2502</v>
      </c>
      <c r="E582" s="24" t="s">
        <v>2515</v>
      </c>
      <c r="F582" s="24" t="s">
        <v>1142</v>
      </c>
      <c r="G582" s="24" t="s">
        <v>2507</v>
      </c>
      <c r="H582" s="24" t="s">
        <v>2574</v>
      </c>
      <c r="I582" s="24" t="s">
        <v>2556</v>
      </c>
      <c r="J582" s="24" t="s">
        <v>761</v>
      </c>
      <c r="K582" s="24" t="s">
        <v>1146</v>
      </c>
      <c r="L582" s="25">
        <v>1070</v>
      </c>
      <c r="M582" s="26">
        <v>3.31</v>
      </c>
      <c r="N582" s="27">
        <v>3.31</v>
      </c>
      <c r="O582" s="28">
        <v>3.0090909090909092E-3</v>
      </c>
      <c r="P582" s="28">
        <v>3.1342477876106196</v>
      </c>
    </row>
    <row r="583" spans="1:16" x14ac:dyDescent="0.3">
      <c r="A583" t="s">
        <v>3492</v>
      </c>
      <c r="B583" s="24">
        <v>101305</v>
      </c>
      <c r="C583" s="24" t="s">
        <v>2566</v>
      </c>
      <c r="D583" s="24" t="s">
        <v>2502</v>
      </c>
      <c r="E583" s="24" t="s">
        <v>2515</v>
      </c>
      <c r="F583" s="24" t="s">
        <v>1142</v>
      </c>
      <c r="G583" s="24" t="s">
        <v>2507</v>
      </c>
      <c r="H583" s="24" t="s">
        <v>2574</v>
      </c>
      <c r="I583" s="24" t="s">
        <v>2556</v>
      </c>
      <c r="J583" s="24" t="s">
        <v>761</v>
      </c>
      <c r="K583" s="24" t="s">
        <v>1146</v>
      </c>
      <c r="L583" s="25">
        <v>1070</v>
      </c>
      <c r="M583" s="26">
        <v>3.3</v>
      </c>
      <c r="N583" s="27">
        <v>3.3</v>
      </c>
      <c r="O583" s="28">
        <v>2.9999999999999996E-3</v>
      </c>
      <c r="P583" s="28">
        <v>3.1247787610619469</v>
      </c>
    </row>
    <row r="584" spans="1:16" x14ac:dyDescent="0.3">
      <c r="A584" t="s">
        <v>3493</v>
      </c>
      <c r="B584" s="24">
        <v>104223</v>
      </c>
      <c r="C584" s="24" t="s">
        <v>2526</v>
      </c>
      <c r="D584" s="24" t="s">
        <v>2502</v>
      </c>
      <c r="E584" s="24" t="s">
        <v>2515</v>
      </c>
      <c r="F584" s="24" t="s">
        <v>1142</v>
      </c>
      <c r="G584" s="24" t="s">
        <v>2507</v>
      </c>
      <c r="H584" s="24" t="s">
        <v>2574</v>
      </c>
      <c r="I584" s="24" t="s">
        <v>2556</v>
      </c>
      <c r="J584" s="24" t="s">
        <v>761</v>
      </c>
      <c r="K584" s="24" t="s">
        <v>1146</v>
      </c>
      <c r="L584" s="25">
        <v>1070</v>
      </c>
      <c r="M584" s="26">
        <v>3.35</v>
      </c>
      <c r="N584" s="27">
        <v>3.35</v>
      </c>
      <c r="O584" s="28">
        <v>3.0454545454545456E-3</v>
      </c>
      <c r="P584" s="28">
        <v>3.1721238938053098</v>
      </c>
    </row>
    <row r="585" spans="1:16" x14ac:dyDescent="0.3">
      <c r="A585" t="s">
        <v>3494</v>
      </c>
      <c r="B585" s="24">
        <v>142310</v>
      </c>
      <c r="C585" s="24" t="s">
        <v>1474</v>
      </c>
      <c r="D585" s="24" t="s">
        <v>2502</v>
      </c>
      <c r="E585" s="24" t="s">
        <v>2515</v>
      </c>
      <c r="F585" s="24" t="s">
        <v>1142</v>
      </c>
      <c r="G585" s="24" t="s">
        <v>2507</v>
      </c>
      <c r="H585" s="24" t="s">
        <v>2574</v>
      </c>
      <c r="I585" s="24" t="s">
        <v>2556</v>
      </c>
      <c r="J585" s="24" t="s">
        <v>761</v>
      </c>
      <c r="K585" s="24" t="s">
        <v>1146</v>
      </c>
      <c r="L585" s="25">
        <v>1070</v>
      </c>
      <c r="M585" s="26">
        <v>3.3</v>
      </c>
      <c r="N585" s="27">
        <v>3.3</v>
      </c>
      <c r="O585" s="28">
        <v>2.9999999999999996E-3</v>
      </c>
      <c r="P585" s="28">
        <v>3.1247787610619469</v>
      </c>
    </row>
    <row r="586" spans="1:16" x14ac:dyDescent="0.3">
      <c r="A586" t="s">
        <v>3495</v>
      </c>
      <c r="B586" s="24">
        <v>104223</v>
      </c>
      <c r="C586" s="24" t="s">
        <v>2526</v>
      </c>
      <c r="D586" s="24" t="s">
        <v>2502</v>
      </c>
      <c r="E586" s="24" t="s">
        <v>2515</v>
      </c>
      <c r="F586" s="24" t="s">
        <v>1142</v>
      </c>
      <c r="G586" s="24" t="s">
        <v>2507</v>
      </c>
      <c r="H586" s="24" t="s">
        <v>2575</v>
      </c>
      <c r="I586" s="24" t="s">
        <v>2576</v>
      </c>
      <c r="J586" s="24" t="s">
        <v>761</v>
      </c>
      <c r="K586" s="24" t="s">
        <v>1146</v>
      </c>
      <c r="L586" s="25">
        <v>1070</v>
      </c>
      <c r="M586" s="26">
        <v>6.9</v>
      </c>
      <c r="N586" s="27">
        <v>6.9</v>
      </c>
      <c r="O586" s="28">
        <v>6.2727272727272727E-3</v>
      </c>
      <c r="P586" s="28">
        <v>6.5336283185840704</v>
      </c>
    </row>
    <row r="587" spans="1:16" x14ac:dyDescent="0.3">
      <c r="A587" t="s">
        <v>3496</v>
      </c>
      <c r="B587" s="24">
        <v>111550</v>
      </c>
      <c r="C587" s="24" t="s">
        <v>1582</v>
      </c>
      <c r="D587" s="24" t="s">
        <v>2502</v>
      </c>
      <c r="E587" s="24" t="s">
        <v>2515</v>
      </c>
      <c r="F587" s="24" t="s">
        <v>1142</v>
      </c>
      <c r="G587" s="24" t="s">
        <v>2507</v>
      </c>
      <c r="H587" s="24" t="s">
        <v>2575</v>
      </c>
      <c r="I587" s="24" t="s">
        <v>2576</v>
      </c>
      <c r="J587" s="24" t="s">
        <v>761</v>
      </c>
      <c r="K587" s="24" t="s">
        <v>1146</v>
      </c>
      <c r="L587" s="25">
        <v>1070</v>
      </c>
      <c r="M587" s="26">
        <v>6.4</v>
      </c>
      <c r="N587" s="27">
        <v>6.4</v>
      </c>
      <c r="O587" s="28">
        <v>5.8181818181818187E-3</v>
      </c>
      <c r="P587" s="28">
        <v>6.0601769911504428</v>
      </c>
    </row>
    <row r="588" spans="1:16" x14ac:dyDescent="0.3">
      <c r="A588" t="s">
        <v>3497</v>
      </c>
      <c r="B588" s="24">
        <v>111550</v>
      </c>
      <c r="C588" s="24" t="s">
        <v>1582</v>
      </c>
      <c r="D588" s="24" t="s">
        <v>2502</v>
      </c>
      <c r="E588" s="24" t="s">
        <v>2515</v>
      </c>
      <c r="F588" s="24" t="s">
        <v>1142</v>
      </c>
      <c r="G588" s="24" t="s">
        <v>2507</v>
      </c>
      <c r="H588" s="24" t="s">
        <v>2577</v>
      </c>
      <c r="I588" s="24" t="s">
        <v>2576</v>
      </c>
      <c r="J588" s="24" t="s">
        <v>761</v>
      </c>
      <c r="K588" s="24" t="s">
        <v>1146</v>
      </c>
      <c r="L588" s="25">
        <v>1070</v>
      </c>
      <c r="M588" s="26">
        <v>4.99</v>
      </c>
      <c r="N588" s="27">
        <v>4.99</v>
      </c>
      <c r="O588" s="28">
        <v>4.536363636363637E-3</v>
      </c>
      <c r="P588" s="28">
        <v>4.7250442477876105</v>
      </c>
    </row>
    <row r="589" spans="1:16" x14ac:dyDescent="0.3">
      <c r="A589" t="s">
        <v>3498</v>
      </c>
      <c r="B589" s="24">
        <v>100581</v>
      </c>
      <c r="C589" s="24" t="s">
        <v>1232</v>
      </c>
      <c r="D589" s="24" t="s">
        <v>2502</v>
      </c>
      <c r="E589" s="24" t="s">
        <v>2515</v>
      </c>
      <c r="F589" s="24" t="s">
        <v>1142</v>
      </c>
      <c r="G589" s="24" t="s">
        <v>2507</v>
      </c>
      <c r="H589" s="24" t="s">
        <v>2578</v>
      </c>
      <c r="I589" s="24" t="s">
        <v>2579</v>
      </c>
      <c r="J589" s="24" t="s">
        <v>761</v>
      </c>
      <c r="K589" s="24" t="s">
        <v>1146</v>
      </c>
      <c r="L589" s="25">
        <v>1070</v>
      </c>
      <c r="M589" s="26">
        <v>11.6</v>
      </c>
      <c r="N589" s="27">
        <v>11.6</v>
      </c>
      <c r="O589" s="28">
        <v>1.0545454545454545E-2</v>
      </c>
      <c r="P589" s="28">
        <v>10.984070796460177</v>
      </c>
    </row>
    <row r="590" spans="1:16" x14ac:dyDescent="0.3">
      <c r="A590" t="s">
        <v>3499</v>
      </c>
      <c r="B590" s="24">
        <v>111550</v>
      </c>
      <c r="C590" s="24" t="s">
        <v>1582</v>
      </c>
      <c r="D590" s="24" t="s">
        <v>2502</v>
      </c>
      <c r="E590" s="24" t="s">
        <v>2515</v>
      </c>
      <c r="F590" s="24" t="s">
        <v>1142</v>
      </c>
      <c r="G590" s="24" t="s">
        <v>2507</v>
      </c>
      <c r="H590" s="24" t="s">
        <v>2580</v>
      </c>
      <c r="I590" s="24" t="s">
        <v>2581</v>
      </c>
      <c r="J590" s="24" t="s">
        <v>761</v>
      </c>
      <c r="K590" s="24" t="s">
        <v>1146</v>
      </c>
      <c r="L590" s="25">
        <v>1070</v>
      </c>
      <c r="M590" s="26">
        <v>8.5</v>
      </c>
      <c r="N590" s="27">
        <v>8.5</v>
      </c>
      <c r="O590" s="28">
        <v>7.7272727272727276E-3</v>
      </c>
      <c r="P590" s="28">
        <v>8.0486725663716818</v>
      </c>
    </row>
    <row r="591" spans="1:16" x14ac:dyDescent="0.3">
      <c r="A591" t="s">
        <v>3500</v>
      </c>
      <c r="B591" s="24">
        <v>100603</v>
      </c>
      <c r="C591" s="24" t="s">
        <v>1277</v>
      </c>
      <c r="D591" s="24" t="s">
        <v>2502</v>
      </c>
      <c r="E591" s="24" t="s">
        <v>2523</v>
      </c>
      <c r="F591" s="24" t="s">
        <v>1142</v>
      </c>
      <c r="G591" s="24" t="s">
        <v>2507</v>
      </c>
      <c r="H591" s="24" t="s">
        <v>2582</v>
      </c>
      <c r="I591" s="24" t="s">
        <v>2583</v>
      </c>
      <c r="J591" s="24" t="s">
        <v>761</v>
      </c>
      <c r="K591" s="24" t="s">
        <v>1146</v>
      </c>
      <c r="L591" s="25">
        <v>1070</v>
      </c>
      <c r="M591" s="26">
        <v>4.28</v>
      </c>
      <c r="N591" s="27">
        <v>4.28</v>
      </c>
      <c r="O591" s="28">
        <v>3.8909090909090911E-3</v>
      </c>
      <c r="P591" s="28">
        <v>4.0527433628318583</v>
      </c>
    </row>
    <row r="592" spans="1:16" x14ac:dyDescent="0.3">
      <c r="A592" t="s">
        <v>3501</v>
      </c>
      <c r="B592" s="24">
        <v>100581</v>
      </c>
      <c r="C592" s="24" t="s">
        <v>1232</v>
      </c>
      <c r="D592" s="24" t="s">
        <v>2502</v>
      </c>
      <c r="E592" s="24" t="s">
        <v>2523</v>
      </c>
      <c r="F592" s="24" t="s">
        <v>1142</v>
      </c>
      <c r="G592" s="24" t="s">
        <v>2507</v>
      </c>
      <c r="H592" s="24" t="s">
        <v>2584</v>
      </c>
      <c r="I592" s="24" t="s">
        <v>2585</v>
      </c>
      <c r="J592" s="24" t="s">
        <v>761</v>
      </c>
      <c r="K592" s="24" t="s">
        <v>1146</v>
      </c>
      <c r="L592" s="25">
        <v>1070</v>
      </c>
      <c r="M592" s="26">
        <v>8.75</v>
      </c>
      <c r="N592" s="27">
        <v>8.75</v>
      </c>
      <c r="O592" s="28">
        <v>7.9545454545454537E-3</v>
      </c>
      <c r="P592" s="28">
        <v>8.2853982300884947</v>
      </c>
    </row>
    <row r="593" spans="1:16" x14ac:dyDescent="0.3">
      <c r="A593" t="s">
        <v>3502</v>
      </c>
      <c r="B593" s="24">
        <v>101186</v>
      </c>
      <c r="C593" s="24" t="s">
        <v>1273</v>
      </c>
      <c r="D593" s="24" t="s">
        <v>2502</v>
      </c>
      <c r="E593" s="24" t="s">
        <v>2523</v>
      </c>
      <c r="F593" s="24" t="s">
        <v>1142</v>
      </c>
      <c r="G593" s="24" t="s">
        <v>2507</v>
      </c>
      <c r="H593" s="24" t="s">
        <v>2584</v>
      </c>
      <c r="I593" s="24" t="s">
        <v>2585</v>
      </c>
      <c r="J593" s="24" t="s">
        <v>761</v>
      </c>
      <c r="K593" s="24" t="s">
        <v>1146</v>
      </c>
      <c r="L593" s="25">
        <v>1070</v>
      </c>
      <c r="M593" s="26">
        <v>8.75</v>
      </c>
      <c r="N593" s="27">
        <v>8.75</v>
      </c>
      <c r="O593" s="28">
        <v>7.9545454545454537E-3</v>
      </c>
      <c r="P593" s="28">
        <v>8.2853982300884947</v>
      </c>
    </row>
    <row r="594" spans="1:16" x14ac:dyDescent="0.3">
      <c r="A594" t="s">
        <v>3503</v>
      </c>
      <c r="B594" s="24">
        <v>104223</v>
      </c>
      <c r="C594" s="24" t="s">
        <v>2526</v>
      </c>
      <c r="D594" s="24" t="s">
        <v>2502</v>
      </c>
      <c r="E594" s="24" t="s">
        <v>2523</v>
      </c>
      <c r="F594" s="24" t="s">
        <v>1142</v>
      </c>
      <c r="G594" s="24" t="s">
        <v>2507</v>
      </c>
      <c r="H594" s="24" t="s">
        <v>2586</v>
      </c>
      <c r="I594" s="24" t="s">
        <v>2587</v>
      </c>
      <c r="J594" s="24" t="s">
        <v>761</v>
      </c>
      <c r="K594" s="24" t="s">
        <v>1146</v>
      </c>
      <c r="L594" s="25">
        <v>1070</v>
      </c>
      <c r="M594" s="26">
        <v>7.4</v>
      </c>
      <c r="N594" s="27">
        <v>7.4</v>
      </c>
      <c r="O594" s="28">
        <v>6.7272727272727276E-3</v>
      </c>
      <c r="P594" s="28">
        <v>7.0070796460176989</v>
      </c>
    </row>
    <row r="595" spans="1:16" x14ac:dyDescent="0.3">
      <c r="A595" t="s">
        <v>3504</v>
      </c>
      <c r="B595" s="24">
        <v>100603</v>
      </c>
      <c r="C595" s="24" t="s">
        <v>1277</v>
      </c>
      <c r="D595" s="24" t="s">
        <v>2502</v>
      </c>
      <c r="E595" s="24" t="s">
        <v>2588</v>
      </c>
      <c r="F595" s="24" t="s">
        <v>1142</v>
      </c>
      <c r="G595" s="24" t="s">
        <v>2507</v>
      </c>
      <c r="H595" s="24" t="s">
        <v>2589</v>
      </c>
      <c r="I595" s="24" t="s">
        <v>2590</v>
      </c>
      <c r="J595" s="24" t="s">
        <v>761</v>
      </c>
      <c r="K595" s="24" t="s">
        <v>1146</v>
      </c>
      <c r="L595" s="25">
        <v>1070</v>
      </c>
      <c r="M595" s="26">
        <v>1.89</v>
      </c>
      <c r="N595" s="27">
        <v>1.89</v>
      </c>
      <c r="O595" s="28">
        <v>1.7181818181818181E-3</v>
      </c>
      <c r="P595" s="28">
        <v>1.7896460176991149</v>
      </c>
    </row>
    <row r="596" spans="1:16" x14ac:dyDescent="0.3">
      <c r="A596" t="s">
        <v>3505</v>
      </c>
      <c r="B596" s="24">
        <v>101186</v>
      </c>
      <c r="C596" s="24" t="s">
        <v>1273</v>
      </c>
      <c r="D596" s="24" t="s">
        <v>2502</v>
      </c>
      <c r="E596" s="24" t="s">
        <v>2588</v>
      </c>
      <c r="F596" s="24" t="s">
        <v>1142</v>
      </c>
      <c r="G596" s="24" t="s">
        <v>2507</v>
      </c>
      <c r="H596" s="24" t="s">
        <v>2589</v>
      </c>
      <c r="I596" s="24" t="s">
        <v>2590</v>
      </c>
      <c r="J596" s="24" t="s">
        <v>761</v>
      </c>
      <c r="K596" s="24" t="s">
        <v>1146</v>
      </c>
      <c r="L596" s="25">
        <v>1070</v>
      </c>
      <c r="M596" s="26">
        <v>1.89</v>
      </c>
      <c r="N596" s="27">
        <v>1.89</v>
      </c>
      <c r="O596" s="28">
        <v>1.7181818181818181E-3</v>
      </c>
      <c r="P596" s="28">
        <v>1.7896460176991149</v>
      </c>
    </row>
    <row r="597" spans="1:16" x14ac:dyDescent="0.3">
      <c r="A597" t="s">
        <v>3506</v>
      </c>
      <c r="B597" s="24">
        <v>100581</v>
      </c>
      <c r="C597" s="24" t="s">
        <v>1232</v>
      </c>
      <c r="D597" s="24" t="s">
        <v>2502</v>
      </c>
      <c r="E597" s="24" t="s">
        <v>2588</v>
      </c>
      <c r="F597" s="24" t="s">
        <v>1142</v>
      </c>
      <c r="G597" s="24" t="s">
        <v>2507</v>
      </c>
      <c r="H597" s="24" t="s">
        <v>2591</v>
      </c>
      <c r="I597" s="24" t="s">
        <v>2592</v>
      </c>
      <c r="J597" s="24" t="s">
        <v>761</v>
      </c>
      <c r="K597" s="24" t="s">
        <v>1146</v>
      </c>
      <c r="L597" s="25">
        <v>1070</v>
      </c>
      <c r="M597" s="26">
        <v>2.5</v>
      </c>
      <c r="N597" s="27">
        <v>2.5</v>
      </c>
      <c r="O597" s="28">
        <v>2.2727272727272726E-3</v>
      </c>
      <c r="P597" s="28">
        <v>2.3672566371681416</v>
      </c>
    </row>
    <row r="598" spans="1:16" x14ac:dyDescent="0.3">
      <c r="A598" t="s">
        <v>3507</v>
      </c>
      <c r="B598" s="24">
        <v>100603</v>
      </c>
      <c r="C598" s="24" t="s">
        <v>1277</v>
      </c>
      <c r="D598" s="24" t="s">
        <v>2502</v>
      </c>
      <c r="E598" s="24" t="s">
        <v>2588</v>
      </c>
      <c r="F598" s="24" t="s">
        <v>1142</v>
      </c>
      <c r="G598" s="24" t="s">
        <v>2507</v>
      </c>
      <c r="H598" s="24" t="s">
        <v>2591</v>
      </c>
      <c r="I598" s="24" t="s">
        <v>2592</v>
      </c>
      <c r="J598" s="24" t="s">
        <v>761</v>
      </c>
      <c r="K598" s="24" t="s">
        <v>1146</v>
      </c>
      <c r="L598" s="25">
        <v>1070</v>
      </c>
      <c r="M598" s="26">
        <v>2.5</v>
      </c>
      <c r="N598" s="27">
        <v>2.5</v>
      </c>
      <c r="O598" s="28">
        <v>2.2727272727272726E-3</v>
      </c>
      <c r="P598" s="28">
        <v>2.3672566371681416</v>
      </c>
    </row>
    <row r="599" spans="1:16" x14ac:dyDescent="0.3">
      <c r="A599" t="s">
        <v>3508</v>
      </c>
      <c r="B599" s="24">
        <v>101206</v>
      </c>
      <c r="C599" s="24" t="s">
        <v>1199</v>
      </c>
      <c r="D599" s="24" t="s">
        <v>2502</v>
      </c>
      <c r="E599" s="24" t="s">
        <v>2588</v>
      </c>
      <c r="F599" s="24" t="s">
        <v>1142</v>
      </c>
      <c r="G599" s="24" t="s">
        <v>2507</v>
      </c>
      <c r="H599" s="24" t="s">
        <v>2591</v>
      </c>
      <c r="I599" s="24" t="s">
        <v>2592</v>
      </c>
      <c r="J599" s="24" t="s">
        <v>761</v>
      </c>
      <c r="K599" s="24" t="s">
        <v>1146</v>
      </c>
      <c r="L599" s="25">
        <v>1070</v>
      </c>
      <c r="M599" s="26">
        <v>2.5</v>
      </c>
      <c r="N599" s="27">
        <v>2.5</v>
      </c>
      <c r="O599" s="28">
        <v>2.2727272727272726E-3</v>
      </c>
      <c r="P599" s="28">
        <v>2.3672566371681416</v>
      </c>
    </row>
    <row r="600" spans="1:16" x14ac:dyDescent="0.3">
      <c r="A600" t="s">
        <v>3509</v>
      </c>
      <c r="B600" s="24">
        <v>101206</v>
      </c>
      <c r="C600" s="24" t="s">
        <v>1199</v>
      </c>
      <c r="D600" s="24" t="s">
        <v>2502</v>
      </c>
      <c r="E600" s="24" t="s">
        <v>2588</v>
      </c>
      <c r="F600" s="24" t="s">
        <v>1142</v>
      </c>
      <c r="G600" s="24" t="s">
        <v>2507</v>
      </c>
      <c r="H600" s="24" t="s">
        <v>2593</v>
      </c>
      <c r="I600" s="24" t="s">
        <v>2592</v>
      </c>
      <c r="J600" s="24" t="s">
        <v>761</v>
      </c>
      <c r="K600" s="24" t="s">
        <v>1146</v>
      </c>
      <c r="L600" s="25">
        <v>1070</v>
      </c>
      <c r="M600" s="26">
        <v>3.5</v>
      </c>
      <c r="N600" s="27">
        <v>3.5</v>
      </c>
      <c r="O600" s="28">
        <v>3.1818181818181819E-3</v>
      </c>
      <c r="P600" s="28">
        <v>3.3141592920353982</v>
      </c>
    </row>
    <row r="601" spans="1:16" x14ac:dyDescent="0.3">
      <c r="A601" t="s">
        <v>3510</v>
      </c>
      <c r="B601" s="24">
        <v>105392</v>
      </c>
      <c r="C601" s="24" t="s">
        <v>2534</v>
      </c>
      <c r="D601" s="24" t="s">
        <v>2502</v>
      </c>
      <c r="E601" s="24" t="s">
        <v>2594</v>
      </c>
      <c r="F601" s="24" t="s">
        <v>1142</v>
      </c>
      <c r="G601" s="24" t="s">
        <v>1399</v>
      </c>
      <c r="H601" s="24" t="s">
        <v>2595</v>
      </c>
      <c r="I601" s="24" t="s">
        <v>2596</v>
      </c>
      <c r="J601" s="24" t="s">
        <v>761</v>
      </c>
      <c r="K601" s="24" t="s">
        <v>1146</v>
      </c>
      <c r="L601" s="25">
        <v>1070</v>
      </c>
      <c r="M601" s="26">
        <v>7.1</v>
      </c>
      <c r="N601" s="27">
        <v>7.1</v>
      </c>
      <c r="O601" s="28">
        <v>6.4545454545454541E-3</v>
      </c>
      <c r="P601" s="28">
        <v>6.7230088495575222</v>
      </c>
    </row>
    <row r="602" spans="1:16" x14ac:dyDescent="0.3">
      <c r="A602" t="s">
        <v>3511</v>
      </c>
      <c r="B602" s="24">
        <v>105392</v>
      </c>
      <c r="C602" s="24" t="s">
        <v>2534</v>
      </c>
      <c r="D602" s="24" t="s">
        <v>2502</v>
      </c>
      <c r="E602" s="24" t="s">
        <v>2520</v>
      </c>
      <c r="F602" s="24" t="s">
        <v>1142</v>
      </c>
      <c r="G602" s="24" t="s">
        <v>1399</v>
      </c>
      <c r="H602" s="24" t="s">
        <v>2597</v>
      </c>
      <c r="I602" s="24" t="s">
        <v>2598</v>
      </c>
      <c r="J602" s="24" t="s">
        <v>761</v>
      </c>
      <c r="K602" s="24" t="s">
        <v>1146</v>
      </c>
      <c r="L602" s="25">
        <v>1070</v>
      </c>
      <c r="M602" s="26">
        <v>3.1</v>
      </c>
      <c r="N602" s="27">
        <v>3.1</v>
      </c>
      <c r="O602" s="28">
        <v>2.8181818181818182E-3</v>
      </c>
      <c r="P602" s="28">
        <v>2.9353982300884955</v>
      </c>
    </row>
    <row r="603" spans="1:16" x14ac:dyDescent="0.3">
      <c r="A603" t="s">
        <v>3512</v>
      </c>
      <c r="B603" s="24">
        <v>111550</v>
      </c>
      <c r="C603" s="24" t="s">
        <v>1582</v>
      </c>
      <c r="D603" s="24" t="s">
        <v>2502</v>
      </c>
      <c r="E603" s="24" t="s">
        <v>2599</v>
      </c>
      <c r="F603" s="24" t="s">
        <v>1142</v>
      </c>
      <c r="G603" s="24" t="s">
        <v>2507</v>
      </c>
      <c r="H603" s="24" t="s">
        <v>2600</v>
      </c>
      <c r="I603" s="24" t="s">
        <v>2601</v>
      </c>
      <c r="J603" s="24" t="s">
        <v>761</v>
      </c>
      <c r="K603" s="24" t="s">
        <v>1146</v>
      </c>
      <c r="L603" s="25">
        <v>1070</v>
      </c>
      <c r="M603" s="26">
        <v>1.88</v>
      </c>
      <c r="N603" s="27">
        <v>1.88</v>
      </c>
      <c r="O603" s="28">
        <v>1.709090909090909E-3</v>
      </c>
      <c r="P603" s="28">
        <v>1.7801769911504424</v>
      </c>
    </row>
    <row r="604" spans="1:16" x14ac:dyDescent="0.3">
      <c r="A604" t="s">
        <v>3513</v>
      </c>
      <c r="B604" s="24">
        <v>100603</v>
      </c>
      <c r="C604" s="24" t="s">
        <v>1277</v>
      </c>
      <c r="D604" s="24" t="s">
        <v>2502</v>
      </c>
      <c r="E604" s="24" t="s">
        <v>2599</v>
      </c>
      <c r="F604" s="24" t="s">
        <v>1142</v>
      </c>
      <c r="G604" s="24" t="s">
        <v>2507</v>
      </c>
      <c r="H604" s="24" t="s">
        <v>2602</v>
      </c>
      <c r="I604" s="24" t="s">
        <v>2601</v>
      </c>
      <c r="J604" s="24" t="s">
        <v>761</v>
      </c>
      <c r="K604" s="24" t="s">
        <v>1146</v>
      </c>
      <c r="L604" s="25">
        <v>1070</v>
      </c>
      <c r="M604" s="26">
        <v>2.2400000000000002</v>
      </c>
      <c r="N604" s="27">
        <v>2.2400000000000002</v>
      </c>
      <c r="O604" s="28">
        <v>2.0363636363636365E-3</v>
      </c>
      <c r="P604" s="28">
        <v>2.121061946902655</v>
      </c>
    </row>
    <row r="605" spans="1:16" x14ac:dyDescent="0.3">
      <c r="A605" t="s">
        <v>3514</v>
      </c>
      <c r="B605" s="24">
        <v>101305</v>
      </c>
      <c r="C605" s="24" t="s">
        <v>2566</v>
      </c>
      <c r="D605" s="24" t="s">
        <v>2502</v>
      </c>
      <c r="E605" s="24" t="s">
        <v>2599</v>
      </c>
      <c r="F605" s="24" t="s">
        <v>1142</v>
      </c>
      <c r="G605" s="24" t="s">
        <v>2507</v>
      </c>
      <c r="H605" s="24" t="s">
        <v>2603</v>
      </c>
      <c r="I605" s="24" t="s">
        <v>2604</v>
      </c>
      <c r="J605" s="24" t="s">
        <v>761</v>
      </c>
      <c r="K605" s="24" t="s">
        <v>1146</v>
      </c>
      <c r="L605" s="25">
        <v>1070</v>
      </c>
      <c r="M605" s="26">
        <v>1.84</v>
      </c>
      <c r="N605" s="27">
        <v>1.84</v>
      </c>
      <c r="O605" s="28">
        <v>1.6727272727272728E-3</v>
      </c>
      <c r="P605" s="28">
        <v>1.7423008849557524</v>
      </c>
    </row>
    <row r="606" spans="1:16" x14ac:dyDescent="0.3">
      <c r="A606" t="s">
        <v>3515</v>
      </c>
      <c r="B606" s="24">
        <v>111550</v>
      </c>
      <c r="C606" s="24" t="s">
        <v>1582</v>
      </c>
      <c r="D606" s="24" t="s">
        <v>2502</v>
      </c>
      <c r="E606" s="24" t="s">
        <v>2599</v>
      </c>
      <c r="F606" s="24" t="s">
        <v>1142</v>
      </c>
      <c r="G606" s="24" t="s">
        <v>2507</v>
      </c>
      <c r="H606" s="24" t="s">
        <v>2603</v>
      </c>
      <c r="I606" s="24" t="s">
        <v>2604</v>
      </c>
      <c r="J606" s="24" t="s">
        <v>761</v>
      </c>
      <c r="K606" s="24" t="s">
        <v>1146</v>
      </c>
      <c r="L606" s="25">
        <v>1070</v>
      </c>
      <c r="M606" s="26">
        <v>1.84</v>
      </c>
      <c r="N606" s="27">
        <v>1.84</v>
      </c>
      <c r="O606" s="28">
        <v>1.6727272727272728E-3</v>
      </c>
      <c r="P606" s="28">
        <v>1.7423008849557524</v>
      </c>
    </row>
    <row r="607" spans="1:16" x14ac:dyDescent="0.3">
      <c r="A607" t="s">
        <v>3516</v>
      </c>
      <c r="B607" s="24">
        <v>114501</v>
      </c>
      <c r="C607" s="24" t="s">
        <v>1409</v>
      </c>
      <c r="D607" s="24" t="s">
        <v>2502</v>
      </c>
      <c r="E607" s="24" t="s">
        <v>2599</v>
      </c>
      <c r="F607" s="24" t="s">
        <v>1142</v>
      </c>
      <c r="G607" s="24" t="s">
        <v>2507</v>
      </c>
      <c r="H607" s="24" t="s">
        <v>2603</v>
      </c>
      <c r="I607" s="24" t="s">
        <v>2604</v>
      </c>
      <c r="J607" s="24" t="s">
        <v>761</v>
      </c>
      <c r="K607" s="24" t="s">
        <v>1146</v>
      </c>
      <c r="L607" s="25">
        <v>1070</v>
      </c>
      <c r="M607" s="26">
        <v>1.84</v>
      </c>
      <c r="N607" s="27">
        <v>1.84</v>
      </c>
      <c r="O607" s="28">
        <v>1.6727272727272728E-3</v>
      </c>
      <c r="P607" s="28">
        <v>1.7423008849557524</v>
      </c>
    </row>
    <row r="608" spans="1:16" x14ac:dyDescent="0.3">
      <c r="A608" t="s">
        <v>3517</v>
      </c>
      <c r="B608" s="24">
        <v>100581</v>
      </c>
      <c r="C608" s="24" t="s">
        <v>1232</v>
      </c>
      <c r="D608" s="24" t="s">
        <v>2502</v>
      </c>
      <c r="E608" s="24" t="s">
        <v>2599</v>
      </c>
      <c r="F608" s="24" t="s">
        <v>1142</v>
      </c>
      <c r="G608" s="24" t="s">
        <v>2507</v>
      </c>
      <c r="H608" s="24" t="s">
        <v>2605</v>
      </c>
      <c r="I608" s="24" t="s">
        <v>2606</v>
      </c>
      <c r="J608" s="24" t="s">
        <v>761</v>
      </c>
      <c r="K608" s="24" t="s">
        <v>1146</v>
      </c>
      <c r="L608" s="25">
        <v>1070</v>
      </c>
      <c r="M608" s="26">
        <v>1.7809999999999999</v>
      </c>
      <c r="N608" s="27">
        <v>1.7809999999999999</v>
      </c>
      <c r="O608" s="28">
        <v>1.619090909090909E-3</v>
      </c>
      <c r="P608" s="28">
        <v>1.6864336283185839</v>
      </c>
    </row>
    <row r="609" spans="1:16" x14ac:dyDescent="0.3">
      <c r="A609" t="s">
        <v>3518</v>
      </c>
      <c r="B609" s="24">
        <v>101184</v>
      </c>
      <c r="C609" s="24" t="s">
        <v>1401</v>
      </c>
      <c r="D609" s="24" t="s">
        <v>2502</v>
      </c>
      <c r="E609" s="24" t="s">
        <v>2599</v>
      </c>
      <c r="F609" s="24" t="s">
        <v>1142</v>
      </c>
      <c r="G609" s="24" t="s">
        <v>2507</v>
      </c>
      <c r="H609" s="24" t="s">
        <v>2605</v>
      </c>
      <c r="I609" s="24" t="s">
        <v>2606</v>
      </c>
      <c r="J609" s="24" t="s">
        <v>761</v>
      </c>
      <c r="K609" s="24" t="s">
        <v>1146</v>
      </c>
      <c r="L609" s="25">
        <v>1070</v>
      </c>
      <c r="M609" s="26">
        <v>1.7809999999999999</v>
      </c>
      <c r="N609" s="27">
        <v>1.7809999999999999</v>
      </c>
      <c r="O609" s="28">
        <v>1.619090909090909E-3</v>
      </c>
      <c r="P609" s="28">
        <v>1.6864336283185839</v>
      </c>
    </row>
    <row r="610" spans="1:16" x14ac:dyDescent="0.3">
      <c r="A610" t="s">
        <v>3519</v>
      </c>
      <c r="B610" s="24">
        <v>101186</v>
      </c>
      <c r="C610" s="24" t="s">
        <v>1273</v>
      </c>
      <c r="D610" s="24" t="s">
        <v>2502</v>
      </c>
      <c r="E610" s="24" t="s">
        <v>2599</v>
      </c>
      <c r="F610" s="24" t="s">
        <v>1142</v>
      </c>
      <c r="G610" s="24" t="s">
        <v>2507</v>
      </c>
      <c r="H610" s="24" t="s">
        <v>2605</v>
      </c>
      <c r="I610" s="24" t="s">
        <v>2606</v>
      </c>
      <c r="J610" s="24" t="s">
        <v>761</v>
      </c>
      <c r="K610" s="24" t="s">
        <v>1146</v>
      </c>
      <c r="L610" s="25">
        <v>1070</v>
      </c>
      <c r="M610" s="26">
        <v>1.7809999999999999</v>
      </c>
      <c r="N610" s="27">
        <v>1.7809999999999999</v>
      </c>
      <c r="O610" s="28">
        <v>1.619090909090909E-3</v>
      </c>
      <c r="P610" s="28">
        <v>1.6864336283185839</v>
      </c>
    </row>
    <row r="611" spans="1:16" x14ac:dyDescent="0.3">
      <c r="A611" t="s">
        <v>3520</v>
      </c>
      <c r="B611" s="24">
        <v>111550</v>
      </c>
      <c r="C611" s="24" t="s">
        <v>1582</v>
      </c>
      <c r="D611" s="24" t="s">
        <v>2502</v>
      </c>
      <c r="E611" s="24" t="s">
        <v>2599</v>
      </c>
      <c r="F611" s="24" t="s">
        <v>1142</v>
      </c>
      <c r="G611" s="24" t="s">
        <v>2507</v>
      </c>
      <c r="H611" s="24" t="s">
        <v>2605</v>
      </c>
      <c r="I611" s="24" t="s">
        <v>2606</v>
      </c>
      <c r="J611" s="24" t="s">
        <v>761</v>
      </c>
      <c r="K611" s="24" t="s">
        <v>1146</v>
      </c>
      <c r="L611" s="25">
        <v>1070</v>
      </c>
      <c r="M611" s="26">
        <v>1.7809999999999999</v>
      </c>
      <c r="N611" s="27">
        <v>1.7809999999999999</v>
      </c>
      <c r="O611" s="28">
        <v>1.619090909090909E-3</v>
      </c>
      <c r="P611" s="28">
        <v>1.6864336283185839</v>
      </c>
    </row>
    <row r="612" spans="1:16" x14ac:dyDescent="0.3">
      <c r="A612" t="s">
        <v>3521</v>
      </c>
      <c r="B612" s="24">
        <v>114163</v>
      </c>
      <c r="C612" s="24" t="s">
        <v>1490</v>
      </c>
      <c r="D612" s="24" t="s">
        <v>2502</v>
      </c>
      <c r="E612" s="24" t="s">
        <v>2599</v>
      </c>
      <c r="F612" s="24" t="s">
        <v>1142</v>
      </c>
      <c r="G612" s="24" t="s">
        <v>2507</v>
      </c>
      <c r="H612" s="24" t="s">
        <v>2605</v>
      </c>
      <c r="I612" s="24" t="s">
        <v>2606</v>
      </c>
      <c r="J612" s="24" t="s">
        <v>761</v>
      </c>
      <c r="K612" s="24" t="s">
        <v>1146</v>
      </c>
      <c r="L612" s="25">
        <v>1070</v>
      </c>
      <c r="M612" s="26">
        <v>1.7809999999999999</v>
      </c>
      <c r="N612" s="27">
        <v>1.7809999999999999</v>
      </c>
      <c r="O612" s="28">
        <v>1.619090909090909E-3</v>
      </c>
      <c r="P612" s="28">
        <v>1.6864336283185839</v>
      </c>
    </row>
    <row r="613" spans="1:16" x14ac:dyDescent="0.3">
      <c r="A613" t="s">
        <v>3522</v>
      </c>
      <c r="B613" s="24">
        <v>114501</v>
      </c>
      <c r="C613" s="24" t="s">
        <v>1409</v>
      </c>
      <c r="D613" s="24" t="s">
        <v>2502</v>
      </c>
      <c r="E613" s="24" t="s">
        <v>2599</v>
      </c>
      <c r="F613" s="24" t="s">
        <v>1142</v>
      </c>
      <c r="G613" s="24" t="s">
        <v>2507</v>
      </c>
      <c r="H613" s="24" t="s">
        <v>2605</v>
      </c>
      <c r="I613" s="24" t="s">
        <v>2606</v>
      </c>
      <c r="J613" s="24" t="s">
        <v>761</v>
      </c>
      <c r="K613" s="24" t="s">
        <v>1146</v>
      </c>
      <c r="L613" s="25">
        <v>1070</v>
      </c>
      <c r="M613" s="26">
        <v>1.7809999999999999</v>
      </c>
      <c r="N613" s="27">
        <v>1.7809999999999999</v>
      </c>
      <c r="O613" s="28">
        <v>1.619090909090909E-3</v>
      </c>
      <c r="P613" s="28">
        <v>1.6864336283185839</v>
      </c>
    </row>
    <row r="614" spans="1:16" x14ac:dyDescent="0.3">
      <c r="A614" t="s">
        <v>3523</v>
      </c>
      <c r="B614" s="24">
        <v>142310</v>
      </c>
      <c r="C614" s="24" t="s">
        <v>1474</v>
      </c>
      <c r="D614" s="24" t="s">
        <v>2502</v>
      </c>
      <c r="E614" s="24" t="s">
        <v>2599</v>
      </c>
      <c r="F614" s="24" t="s">
        <v>1142</v>
      </c>
      <c r="G614" s="24" t="s">
        <v>2507</v>
      </c>
      <c r="H614" s="24" t="s">
        <v>2605</v>
      </c>
      <c r="I614" s="24" t="s">
        <v>2606</v>
      </c>
      <c r="J614" s="24" t="s">
        <v>761</v>
      </c>
      <c r="K614" s="24" t="s">
        <v>1146</v>
      </c>
      <c r="L614" s="25">
        <v>1070</v>
      </c>
      <c r="M614" s="26">
        <v>1.7809999999999999</v>
      </c>
      <c r="N614" s="27">
        <v>1.7809999999999999</v>
      </c>
      <c r="O614" s="28">
        <v>1.619090909090909E-3</v>
      </c>
      <c r="P614" s="28">
        <v>1.6864336283185839</v>
      </c>
    </row>
    <row r="615" spans="1:16" x14ac:dyDescent="0.3">
      <c r="A615" t="s">
        <v>3524</v>
      </c>
      <c r="B615" s="24">
        <v>141565</v>
      </c>
      <c r="C615" s="24" t="s">
        <v>2607</v>
      </c>
      <c r="D615" s="24" t="s">
        <v>2502</v>
      </c>
      <c r="E615" s="24" t="s">
        <v>2599</v>
      </c>
      <c r="F615" s="24" t="s">
        <v>1142</v>
      </c>
      <c r="G615" s="24" t="s">
        <v>1399</v>
      </c>
      <c r="H615" s="24" t="s">
        <v>2608</v>
      </c>
      <c r="I615" s="24" t="s">
        <v>2609</v>
      </c>
      <c r="J615" s="24" t="s">
        <v>761</v>
      </c>
      <c r="K615" s="24" t="s">
        <v>1146</v>
      </c>
      <c r="L615" s="25">
        <v>1070</v>
      </c>
      <c r="M615" s="26">
        <v>1.96</v>
      </c>
      <c r="N615" s="27">
        <v>1.96</v>
      </c>
      <c r="O615" s="28">
        <v>1.7818181818181817E-3</v>
      </c>
      <c r="P615" s="28">
        <v>1.8559292035398229</v>
      </c>
    </row>
    <row r="616" spans="1:16" x14ac:dyDescent="0.3">
      <c r="A616" t="s">
        <v>3525</v>
      </c>
      <c r="B616" s="24">
        <v>101134</v>
      </c>
      <c r="C616" s="24" t="s">
        <v>2514</v>
      </c>
      <c r="D616" s="24" t="s">
        <v>2502</v>
      </c>
      <c r="E616" s="24" t="s">
        <v>2599</v>
      </c>
      <c r="F616" s="24" t="s">
        <v>1142</v>
      </c>
      <c r="G616" s="24" t="s">
        <v>2507</v>
      </c>
      <c r="H616" s="24" t="s">
        <v>2610</v>
      </c>
      <c r="I616" s="24" t="s">
        <v>2601</v>
      </c>
      <c r="J616" s="24" t="s">
        <v>761</v>
      </c>
      <c r="K616" s="24" t="s">
        <v>1146</v>
      </c>
      <c r="L616" s="25">
        <v>1070</v>
      </c>
      <c r="M616" s="26">
        <v>1.0640000000000001</v>
      </c>
      <c r="N616" s="27">
        <v>1.0640000000000001</v>
      </c>
      <c r="O616" s="28">
        <v>9.6727272727272732E-4</v>
      </c>
      <c r="P616" s="28">
        <v>1.007504424778761</v>
      </c>
    </row>
    <row r="617" spans="1:16" x14ac:dyDescent="0.3">
      <c r="A617" t="s">
        <v>3526</v>
      </c>
      <c r="B617" s="24">
        <v>101162</v>
      </c>
      <c r="C617" s="24" t="s">
        <v>2550</v>
      </c>
      <c r="D617" s="24" t="s">
        <v>2502</v>
      </c>
      <c r="E617" s="24" t="s">
        <v>2599</v>
      </c>
      <c r="F617" s="24" t="s">
        <v>1142</v>
      </c>
      <c r="G617" s="24" t="s">
        <v>2507</v>
      </c>
      <c r="H617" s="24" t="s">
        <v>2610</v>
      </c>
      <c r="I617" s="24" t="s">
        <v>2601</v>
      </c>
      <c r="J617" s="24" t="s">
        <v>761</v>
      </c>
      <c r="K617" s="24" t="s">
        <v>1146</v>
      </c>
      <c r="L617" s="25">
        <v>1070</v>
      </c>
      <c r="M617" s="26">
        <v>1.0740000000000001</v>
      </c>
      <c r="N617" s="27">
        <v>1.0740000000000001</v>
      </c>
      <c r="O617" s="28">
        <v>9.7636363636363643E-4</v>
      </c>
      <c r="P617" s="28">
        <v>1.0169734513274338</v>
      </c>
    </row>
    <row r="618" spans="1:16" x14ac:dyDescent="0.3">
      <c r="A618" t="s">
        <v>3527</v>
      </c>
      <c r="B618" s="24">
        <v>101184</v>
      </c>
      <c r="C618" s="24" t="s">
        <v>1401</v>
      </c>
      <c r="D618" s="24" t="s">
        <v>2502</v>
      </c>
      <c r="E618" s="24" t="s">
        <v>2599</v>
      </c>
      <c r="F618" s="24" t="s">
        <v>1142</v>
      </c>
      <c r="G618" s="24" t="s">
        <v>2507</v>
      </c>
      <c r="H618" s="24" t="s">
        <v>2610</v>
      </c>
      <c r="I618" s="24" t="s">
        <v>2601</v>
      </c>
      <c r="J618" s="24" t="s">
        <v>761</v>
      </c>
      <c r="K618" s="24" t="s">
        <v>1146</v>
      </c>
      <c r="L618" s="25">
        <v>1070</v>
      </c>
      <c r="M618" s="26">
        <v>1.0640000000000001</v>
      </c>
      <c r="N618" s="27">
        <v>1.0640000000000001</v>
      </c>
      <c r="O618" s="28">
        <v>9.6727272727272732E-4</v>
      </c>
      <c r="P618" s="28">
        <v>1.007504424778761</v>
      </c>
    </row>
    <row r="619" spans="1:16" x14ac:dyDescent="0.3">
      <c r="A619" t="s">
        <v>3528</v>
      </c>
      <c r="B619" s="24">
        <v>101186</v>
      </c>
      <c r="C619" s="24" t="s">
        <v>1273</v>
      </c>
      <c r="D619" s="24" t="s">
        <v>2502</v>
      </c>
      <c r="E619" s="24" t="s">
        <v>2599</v>
      </c>
      <c r="F619" s="24" t="s">
        <v>1142</v>
      </c>
      <c r="G619" s="24" t="s">
        <v>2507</v>
      </c>
      <c r="H619" s="24" t="s">
        <v>2610</v>
      </c>
      <c r="I619" s="24" t="s">
        <v>2601</v>
      </c>
      <c r="J619" s="24" t="s">
        <v>761</v>
      </c>
      <c r="K619" s="24" t="s">
        <v>1146</v>
      </c>
      <c r="L619" s="25">
        <v>1070</v>
      </c>
      <c r="M619" s="26">
        <v>1.0640000000000001</v>
      </c>
      <c r="N619" s="27">
        <v>1.0640000000000001</v>
      </c>
      <c r="O619" s="28">
        <v>9.6727272727272732E-4</v>
      </c>
      <c r="P619" s="28">
        <v>1.007504424778761</v>
      </c>
    </row>
    <row r="620" spans="1:16" x14ac:dyDescent="0.3">
      <c r="A620" t="s">
        <v>3529</v>
      </c>
      <c r="B620" s="24">
        <v>104223</v>
      </c>
      <c r="C620" s="24" t="s">
        <v>2526</v>
      </c>
      <c r="D620" s="24" t="s">
        <v>2502</v>
      </c>
      <c r="E620" s="24" t="s">
        <v>2599</v>
      </c>
      <c r="F620" s="24" t="s">
        <v>1142</v>
      </c>
      <c r="G620" s="24" t="s">
        <v>2507</v>
      </c>
      <c r="H620" s="24" t="s">
        <v>2610</v>
      </c>
      <c r="I620" s="24" t="s">
        <v>2601</v>
      </c>
      <c r="J620" s="24" t="s">
        <v>761</v>
      </c>
      <c r="K620" s="24" t="s">
        <v>1146</v>
      </c>
      <c r="L620" s="25">
        <v>1070</v>
      </c>
      <c r="M620" s="26">
        <v>1.1200000000000001</v>
      </c>
      <c r="N620" s="27">
        <v>1.1200000000000001</v>
      </c>
      <c r="O620" s="28">
        <v>1.0181818181818183E-3</v>
      </c>
      <c r="P620" s="28">
        <v>1.0605309734513275</v>
      </c>
    </row>
    <row r="621" spans="1:16" x14ac:dyDescent="0.3">
      <c r="A621" t="s">
        <v>3530</v>
      </c>
      <c r="B621" s="24">
        <v>111550</v>
      </c>
      <c r="C621" s="24" t="s">
        <v>1582</v>
      </c>
      <c r="D621" s="24" t="s">
        <v>2502</v>
      </c>
      <c r="E621" s="24" t="s">
        <v>2599</v>
      </c>
      <c r="F621" s="24" t="s">
        <v>1142</v>
      </c>
      <c r="G621" s="24" t="s">
        <v>2507</v>
      </c>
      <c r="H621" s="24" t="s">
        <v>2610</v>
      </c>
      <c r="I621" s="24" t="s">
        <v>2601</v>
      </c>
      <c r="J621" s="24" t="s">
        <v>761</v>
      </c>
      <c r="K621" s="24" t="s">
        <v>1146</v>
      </c>
      <c r="L621" s="25">
        <v>1070</v>
      </c>
      <c r="M621" s="26">
        <v>1.0640000000000001</v>
      </c>
      <c r="N621" s="27">
        <v>1.0640000000000001</v>
      </c>
      <c r="O621" s="28">
        <v>9.6727272727272732E-4</v>
      </c>
      <c r="P621" s="28">
        <v>1.007504424778761</v>
      </c>
    </row>
    <row r="622" spans="1:16" x14ac:dyDescent="0.3">
      <c r="A622" t="s">
        <v>3531</v>
      </c>
      <c r="B622" s="24">
        <v>114163</v>
      </c>
      <c r="C622" s="24" t="s">
        <v>1490</v>
      </c>
      <c r="D622" s="24" t="s">
        <v>2502</v>
      </c>
      <c r="E622" s="24" t="s">
        <v>2599</v>
      </c>
      <c r="F622" s="24" t="s">
        <v>1142</v>
      </c>
      <c r="G622" s="24" t="s">
        <v>2507</v>
      </c>
      <c r="H622" s="24" t="s">
        <v>2610</v>
      </c>
      <c r="I622" s="24" t="s">
        <v>2601</v>
      </c>
      <c r="J622" s="24" t="s">
        <v>761</v>
      </c>
      <c r="K622" s="24" t="s">
        <v>1146</v>
      </c>
      <c r="L622" s="25">
        <v>1070</v>
      </c>
      <c r="M622" s="26">
        <v>1.0640000000000001</v>
      </c>
      <c r="N622" s="27">
        <v>1.0640000000000001</v>
      </c>
      <c r="O622" s="28">
        <v>9.6727272727272732E-4</v>
      </c>
      <c r="P622" s="28">
        <v>1.007504424778761</v>
      </c>
    </row>
    <row r="623" spans="1:16" x14ac:dyDescent="0.3">
      <c r="A623" t="s">
        <v>3532</v>
      </c>
      <c r="B623" s="24">
        <v>142310</v>
      </c>
      <c r="C623" s="24" t="s">
        <v>1474</v>
      </c>
      <c r="D623" s="24" t="s">
        <v>2502</v>
      </c>
      <c r="E623" s="24" t="s">
        <v>2599</v>
      </c>
      <c r="F623" s="24" t="s">
        <v>1142</v>
      </c>
      <c r="G623" s="24" t="s">
        <v>2507</v>
      </c>
      <c r="H623" s="24" t="s">
        <v>2610</v>
      </c>
      <c r="I623" s="24" t="s">
        <v>2601</v>
      </c>
      <c r="J623" s="24" t="s">
        <v>761</v>
      </c>
      <c r="K623" s="24" t="s">
        <v>1146</v>
      </c>
      <c r="L623" s="25">
        <v>1070</v>
      </c>
      <c r="M623" s="26">
        <v>1.0640000000000001</v>
      </c>
      <c r="N623" s="27">
        <v>1.0640000000000001</v>
      </c>
      <c r="O623" s="28">
        <v>9.6727272727272732E-4</v>
      </c>
      <c r="P623" s="28">
        <v>1.007504424778761</v>
      </c>
    </row>
    <row r="624" spans="1:16" x14ac:dyDescent="0.3">
      <c r="A624" t="s">
        <v>3533</v>
      </c>
      <c r="B624" s="24">
        <v>100581</v>
      </c>
      <c r="C624" s="24" t="s">
        <v>1232</v>
      </c>
      <c r="D624" s="24" t="s">
        <v>2502</v>
      </c>
      <c r="E624" s="24" t="s">
        <v>2599</v>
      </c>
      <c r="F624" s="24" t="s">
        <v>1142</v>
      </c>
      <c r="G624" s="24" t="s">
        <v>2507</v>
      </c>
      <c r="H624" s="24" t="s">
        <v>2611</v>
      </c>
      <c r="I624" s="24" t="s">
        <v>2612</v>
      </c>
      <c r="J624" s="24" t="s">
        <v>761</v>
      </c>
      <c r="K624" s="24" t="s">
        <v>1146</v>
      </c>
      <c r="L624" s="25">
        <v>1070</v>
      </c>
      <c r="M624" s="26">
        <v>1.05</v>
      </c>
      <c r="N624" s="27">
        <v>1.05</v>
      </c>
      <c r="O624" s="28">
        <v>9.5454545454545456E-4</v>
      </c>
      <c r="P624" s="28">
        <v>0.99424778761061949</v>
      </c>
    </row>
    <row r="625" spans="1:16" x14ac:dyDescent="0.3">
      <c r="A625" t="s">
        <v>3534</v>
      </c>
      <c r="B625" s="24">
        <v>100581</v>
      </c>
      <c r="C625" s="24" t="s">
        <v>1232</v>
      </c>
      <c r="D625" s="24" t="s">
        <v>2502</v>
      </c>
      <c r="E625" s="24" t="s">
        <v>2599</v>
      </c>
      <c r="F625" s="24" t="s">
        <v>1142</v>
      </c>
      <c r="G625" s="24" t="s">
        <v>2507</v>
      </c>
      <c r="H625" s="24" t="s">
        <v>2613</v>
      </c>
      <c r="I625" s="24" t="s">
        <v>2614</v>
      </c>
      <c r="J625" s="24" t="s">
        <v>761</v>
      </c>
      <c r="K625" s="24" t="s">
        <v>1146</v>
      </c>
      <c r="L625" s="25">
        <v>1070</v>
      </c>
      <c r="M625" s="26">
        <v>0.97099999999999997</v>
      </c>
      <c r="N625" s="27">
        <v>0.97099999999999997</v>
      </c>
      <c r="O625" s="28">
        <v>8.8272727272727266E-4</v>
      </c>
      <c r="P625" s="28">
        <v>0.91944247787610622</v>
      </c>
    </row>
    <row r="626" spans="1:16" x14ac:dyDescent="0.3">
      <c r="A626" t="s">
        <v>3535</v>
      </c>
      <c r="B626" s="24">
        <v>100603</v>
      </c>
      <c r="C626" s="24" t="s">
        <v>1277</v>
      </c>
      <c r="D626" s="24" t="s">
        <v>2502</v>
      </c>
      <c r="E626" s="24" t="s">
        <v>2599</v>
      </c>
      <c r="F626" s="24" t="s">
        <v>1142</v>
      </c>
      <c r="G626" s="24" t="s">
        <v>2507</v>
      </c>
      <c r="H626" s="24" t="s">
        <v>2613</v>
      </c>
      <c r="I626" s="24" t="s">
        <v>2614</v>
      </c>
      <c r="J626" s="24" t="s">
        <v>761</v>
      </c>
      <c r="K626" s="24" t="s">
        <v>1146</v>
      </c>
      <c r="L626" s="25">
        <v>1070</v>
      </c>
      <c r="M626" s="26">
        <v>0.97099999999999997</v>
      </c>
      <c r="N626" s="27">
        <v>0.97099999999999997</v>
      </c>
      <c r="O626" s="28">
        <v>8.8272727272727266E-4</v>
      </c>
      <c r="P626" s="28">
        <v>0.91944247787610622</v>
      </c>
    </row>
    <row r="627" spans="1:16" x14ac:dyDescent="0.3">
      <c r="A627" t="s">
        <v>3536</v>
      </c>
      <c r="B627" s="24">
        <v>101134</v>
      </c>
      <c r="C627" s="24" t="s">
        <v>2514</v>
      </c>
      <c r="D627" s="24" t="s">
        <v>2502</v>
      </c>
      <c r="E627" s="24" t="s">
        <v>2599</v>
      </c>
      <c r="F627" s="24" t="s">
        <v>1142</v>
      </c>
      <c r="G627" s="24" t="s">
        <v>2507</v>
      </c>
      <c r="H627" s="24" t="s">
        <v>2613</v>
      </c>
      <c r="I627" s="24" t="s">
        <v>2614</v>
      </c>
      <c r="J627" s="24" t="s">
        <v>761</v>
      </c>
      <c r="K627" s="24" t="s">
        <v>1146</v>
      </c>
      <c r="L627" s="25">
        <v>1070</v>
      </c>
      <c r="M627" s="26">
        <v>0.97099999999999997</v>
      </c>
      <c r="N627" s="27">
        <v>0.97099999999999997</v>
      </c>
      <c r="O627" s="28">
        <v>8.8272727272727266E-4</v>
      </c>
      <c r="P627" s="28">
        <v>0.91944247787610622</v>
      </c>
    </row>
    <row r="628" spans="1:16" x14ac:dyDescent="0.3">
      <c r="A628" t="s">
        <v>3537</v>
      </c>
      <c r="B628" s="24">
        <v>101184</v>
      </c>
      <c r="C628" s="24" t="s">
        <v>1401</v>
      </c>
      <c r="D628" s="24" t="s">
        <v>2502</v>
      </c>
      <c r="E628" s="24" t="s">
        <v>2599</v>
      </c>
      <c r="F628" s="24" t="s">
        <v>1142</v>
      </c>
      <c r="G628" s="24" t="s">
        <v>2507</v>
      </c>
      <c r="H628" s="24" t="s">
        <v>2613</v>
      </c>
      <c r="I628" s="24" t="s">
        <v>2614</v>
      </c>
      <c r="J628" s="24" t="s">
        <v>761</v>
      </c>
      <c r="K628" s="24" t="s">
        <v>1146</v>
      </c>
      <c r="L628" s="25">
        <v>1070</v>
      </c>
      <c r="M628" s="26">
        <v>0.97099999999999997</v>
      </c>
      <c r="N628" s="27">
        <v>0.97099999999999997</v>
      </c>
      <c r="O628" s="28">
        <v>8.8272727272727266E-4</v>
      </c>
      <c r="P628" s="28">
        <v>0.91944247787610622</v>
      </c>
    </row>
    <row r="629" spans="1:16" x14ac:dyDescent="0.3">
      <c r="A629" t="s">
        <v>3538</v>
      </c>
      <c r="B629" s="24">
        <v>101186</v>
      </c>
      <c r="C629" s="24" t="s">
        <v>1273</v>
      </c>
      <c r="D629" s="24" t="s">
        <v>2502</v>
      </c>
      <c r="E629" s="24" t="s">
        <v>2599</v>
      </c>
      <c r="F629" s="24" t="s">
        <v>1142</v>
      </c>
      <c r="G629" s="24" t="s">
        <v>2507</v>
      </c>
      <c r="H629" s="24" t="s">
        <v>2613</v>
      </c>
      <c r="I629" s="24" t="s">
        <v>2614</v>
      </c>
      <c r="J629" s="24" t="s">
        <v>761</v>
      </c>
      <c r="K629" s="24" t="s">
        <v>1146</v>
      </c>
      <c r="L629" s="25">
        <v>1070</v>
      </c>
      <c r="M629" s="26">
        <v>0.97099999999999997</v>
      </c>
      <c r="N629" s="27">
        <v>0.97099999999999997</v>
      </c>
      <c r="O629" s="28">
        <v>8.8272727272727266E-4</v>
      </c>
      <c r="P629" s="28">
        <v>0.91944247787610622</v>
      </c>
    </row>
    <row r="630" spans="1:16" x14ac:dyDescent="0.3">
      <c r="A630" t="s">
        <v>3539</v>
      </c>
      <c r="B630" s="24">
        <v>111550</v>
      </c>
      <c r="C630" s="24" t="s">
        <v>1582</v>
      </c>
      <c r="D630" s="24" t="s">
        <v>2502</v>
      </c>
      <c r="E630" s="24" t="s">
        <v>2599</v>
      </c>
      <c r="F630" s="24" t="s">
        <v>1142</v>
      </c>
      <c r="G630" s="24" t="s">
        <v>2507</v>
      </c>
      <c r="H630" s="24" t="s">
        <v>2613</v>
      </c>
      <c r="I630" s="24" t="s">
        <v>2614</v>
      </c>
      <c r="J630" s="24" t="s">
        <v>761</v>
      </c>
      <c r="K630" s="24" t="s">
        <v>1146</v>
      </c>
      <c r="L630" s="25">
        <v>1070</v>
      </c>
      <c r="M630" s="26">
        <v>0.97099999999999997</v>
      </c>
      <c r="N630" s="27">
        <v>0.97099999999999997</v>
      </c>
      <c r="O630" s="28">
        <v>8.8272727272727266E-4</v>
      </c>
      <c r="P630" s="28">
        <v>0.91944247787610622</v>
      </c>
    </row>
    <row r="631" spans="1:16" x14ac:dyDescent="0.3">
      <c r="A631" t="s">
        <v>3540</v>
      </c>
      <c r="B631" s="24">
        <v>114163</v>
      </c>
      <c r="C631" s="24" t="s">
        <v>1490</v>
      </c>
      <c r="D631" s="24" t="s">
        <v>2502</v>
      </c>
      <c r="E631" s="24" t="s">
        <v>2599</v>
      </c>
      <c r="F631" s="24" t="s">
        <v>1142</v>
      </c>
      <c r="G631" s="24" t="s">
        <v>2507</v>
      </c>
      <c r="H631" s="24" t="s">
        <v>2613</v>
      </c>
      <c r="I631" s="24" t="s">
        <v>2614</v>
      </c>
      <c r="J631" s="24" t="s">
        <v>761</v>
      </c>
      <c r="K631" s="24" t="s">
        <v>1146</v>
      </c>
      <c r="L631" s="25">
        <v>1070</v>
      </c>
      <c r="M631" s="26">
        <v>0.97099999999999997</v>
      </c>
      <c r="N631" s="27">
        <v>0.97099999999999997</v>
      </c>
      <c r="O631" s="28">
        <v>8.8272727272727266E-4</v>
      </c>
      <c r="P631" s="28">
        <v>0.91944247787610622</v>
      </c>
    </row>
    <row r="632" spans="1:16" x14ac:dyDescent="0.3">
      <c r="A632" t="s">
        <v>3541</v>
      </c>
      <c r="B632" s="24">
        <v>142310</v>
      </c>
      <c r="C632" s="24" t="s">
        <v>1474</v>
      </c>
      <c r="D632" s="24" t="s">
        <v>2502</v>
      </c>
      <c r="E632" s="24" t="s">
        <v>2599</v>
      </c>
      <c r="F632" s="24" t="s">
        <v>1142</v>
      </c>
      <c r="G632" s="24" t="s">
        <v>2507</v>
      </c>
      <c r="H632" s="24" t="s">
        <v>2613</v>
      </c>
      <c r="I632" s="24" t="s">
        <v>2614</v>
      </c>
      <c r="J632" s="24" t="s">
        <v>761</v>
      </c>
      <c r="K632" s="24" t="s">
        <v>1146</v>
      </c>
      <c r="L632" s="25">
        <v>1070</v>
      </c>
      <c r="M632" s="26">
        <v>0.97099999999999997</v>
      </c>
      <c r="N632" s="27">
        <v>0.97099999999999997</v>
      </c>
      <c r="O632" s="28">
        <v>8.8272727272727266E-4</v>
      </c>
      <c r="P632" s="28">
        <v>0.91944247787610622</v>
      </c>
    </row>
    <row r="633" spans="1:16" x14ac:dyDescent="0.3">
      <c r="A633" t="s">
        <v>3542</v>
      </c>
      <c r="B633" s="24">
        <v>101162</v>
      </c>
      <c r="C633" s="24" t="s">
        <v>2550</v>
      </c>
      <c r="D633" s="24" t="s">
        <v>2502</v>
      </c>
      <c r="E633" s="24" t="s">
        <v>2599</v>
      </c>
      <c r="F633" s="24" t="s">
        <v>1142</v>
      </c>
      <c r="G633" s="24" t="s">
        <v>2507</v>
      </c>
      <c r="H633" s="24" t="s">
        <v>2615</v>
      </c>
      <c r="I633" s="24" t="s">
        <v>2601</v>
      </c>
      <c r="J633" s="24" t="s">
        <v>761</v>
      </c>
      <c r="K633" s="24" t="s">
        <v>1146</v>
      </c>
      <c r="L633" s="25">
        <v>1070</v>
      </c>
      <c r="M633" s="26">
        <v>1.69</v>
      </c>
      <c r="N633" s="27">
        <v>1.69</v>
      </c>
      <c r="O633" s="28">
        <v>1.5363636363636363E-3</v>
      </c>
      <c r="P633" s="28">
        <v>1.6002654867256636</v>
      </c>
    </row>
    <row r="634" spans="1:16" x14ac:dyDescent="0.3">
      <c r="A634" t="s">
        <v>3543</v>
      </c>
      <c r="B634" s="24">
        <v>104223</v>
      </c>
      <c r="C634" s="24" t="s">
        <v>2526</v>
      </c>
      <c r="D634" s="24" t="s">
        <v>2502</v>
      </c>
      <c r="E634" s="24" t="s">
        <v>2599</v>
      </c>
      <c r="F634" s="24" t="s">
        <v>1142</v>
      </c>
      <c r="G634" s="24" t="s">
        <v>2507</v>
      </c>
      <c r="H634" s="24" t="s">
        <v>2615</v>
      </c>
      <c r="I634" s="24" t="s">
        <v>2601</v>
      </c>
      <c r="J634" s="24" t="s">
        <v>761</v>
      </c>
      <c r="K634" s="24" t="s">
        <v>1146</v>
      </c>
      <c r="L634" s="25">
        <v>1070</v>
      </c>
      <c r="M634" s="26">
        <v>1.69</v>
      </c>
      <c r="N634" s="27">
        <v>1.69</v>
      </c>
      <c r="O634" s="28">
        <v>1.5363636363636363E-3</v>
      </c>
      <c r="P634" s="28">
        <v>1.6002654867256636</v>
      </c>
    </row>
    <row r="635" spans="1:16" x14ac:dyDescent="0.3">
      <c r="A635" t="s">
        <v>3544</v>
      </c>
      <c r="B635" s="24">
        <v>101162</v>
      </c>
      <c r="C635" s="24" t="s">
        <v>2550</v>
      </c>
      <c r="D635" s="24" t="s">
        <v>2502</v>
      </c>
      <c r="E635" s="24" t="s">
        <v>2599</v>
      </c>
      <c r="F635" s="24" t="s">
        <v>1142</v>
      </c>
      <c r="G635" s="24" t="s">
        <v>2507</v>
      </c>
      <c r="H635" s="24" t="s">
        <v>2616</v>
      </c>
      <c r="I635" s="24" t="s">
        <v>2601</v>
      </c>
      <c r="J635" s="24" t="s">
        <v>761</v>
      </c>
      <c r="K635" s="24" t="s">
        <v>1146</v>
      </c>
      <c r="L635" s="25">
        <v>1070</v>
      </c>
      <c r="M635" s="26">
        <v>1.92</v>
      </c>
      <c r="N635" s="27">
        <v>1.92</v>
      </c>
      <c r="O635" s="28">
        <v>1.7454545454545455E-3</v>
      </c>
      <c r="P635" s="28">
        <v>1.8180530973451328</v>
      </c>
    </row>
    <row r="636" spans="1:16" x14ac:dyDescent="0.3">
      <c r="A636" t="s">
        <v>3545</v>
      </c>
      <c r="B636" s="24">
        <v>101186</v>
      </c>
      <c r="C636" s="24" t="s">
        <v>1273</v>
      </c>
      <c r="D636" s="24" t="s">
        <v>2502</v>
      </c>
      <c r="E636" s="24" t="s">
        <v>2599</v>
      </c>
      <c r="F636" s="24" t="s">
        <v>1142</v>
      </c>
      <c r="G636" s="24" t="s">
        <v>2507</v>
      </c>
      <c r="H636" s="24" t="s">
        <v>2616</v>
      </c>
      <c r="I636" s="24" t="s">
        <v>2601</v>
      </c>
      <c r="J636" s="24" t="s">
        <v>761</v>
      </c>
      <c r="K636" s="24" t="s">
        <v>1146</v>
      </c>
      <c r="L636" s="25">
        <v>1070</v>
      </c>
      <c r="M636" s="26">
        <v>1.92</v>
      </c>
      <c r="N636" s="27">
        <v>1.92</v>
      </c>
      <c r="O636" s="28">
        <v>1.7454545454545455E-3</v>
      </c>
      <c r="P636" s="28">
        <v>1.8180530973451328</v>
      </c>
    </row>
    <row r="637" spans="1:16" x14ac:dyDescent="0.3">
      <c r="A637" t="s">
        <v>3546</v>
      </c>
      <c r="B637" s="24">
        <v>101184</v>
      </c>
      <c r="C637" s="24" t="s">
        <v>1401</v>
      </c>
      <c r="D637" s="24" t="s">
        <v>2502</v>
      </c>
      <c r="E637" s="24" t="s">
        <v>2599</v>
      </c>
      <c r="F637" s="24" t="s">
        <v>1142</v>
      </c>
      <c r="G637" s="24" t="s">
        <v>2507</v>
      </c>
      <c r="H637" s="24" t="s">
        <v>2617</v>
      </c>
      <c r="I637" s="24" t="s">
        <v>2601</v>
      </c>
      <c r="J637" s="24" t="s">
        <v>761</v>
      </c>
      <c r="K637" s="24" t="s">
        <v>1146</v>
      </c>
      <c r="L637" s="25">
        <v>1070</v>
      </c>
      <c r="M637" s="26">
        <v>1.19</v>
      </c>
      <c r="N637" s="27">
        <v>1.19</v>
      </c>
      <c r="O637" s="28">
        <v>1.0818181818181818E-3</v>
      </c>
      <c r="P637" s="28">
        <v>1.1268141592920353</v>
      </c>
    </row>
    <row r="638" spans="1:16" x14ac:dyDescent="0.3">
      <c r="A638" t="s">
        <v>3547</v>
      </c>
      <c r="B638" s="24">
        <v>101162</v>
      </c>
      <c r="C638" s="24" t="s">
        <v>2550</v>
      </c>
      <c r="D638" s="24" t="s">
        <v>2502</v>
      </c>
      <c r="E638" s="24" t="s">
        <v>2599</v>
      </c>
      <c r="F638" s="24" t="s">
        <v>1142</v>
      </c>
      <c r="G638" s="24" t="s">
        <v>2507</v>
      </c>
      <c r="H638" s="24" t="s">
        <v>2618</v>
      </c>
      <c r="I638" s="24" t="s">
        <v>2601</v>
      </c>
      <c r="J638" s="24" t="s">
        <v>761</v>
      </c>
      <c r="K638" s="24" t="s">
        <v>1146</v>
      </c>
      <c r="L638" s="25">
        <v>1070</v>
      </c>
      <c r="M638" s="26">
        <v>1.5</v>
      </c>
      <c r="N638" s="27">
        <v>1.5</v>
      </c>
      <c r="O638" s="28">
        <v>1.3636363636363637E-3</v>
      </c>
      <c r="P638" s="28">
        <v>1.4203539823008851</v>
      </c>
    </row>
    <row r="639" spans="1:16" x14ac:dyDescent="0.3">
      <c r="A639" t="s">
        <v>3548</v>
      </c>
      <c r="B639" s="24">
        <v>101186</v>
      </c>
      <c r="C639" s="24" t="s">
        <v>1273</v>
      </c>
      <c r="D639" s="24" t="s">
        <v>2502</v>
      </c>
      <c r="E639" s="24" t="s">
        <v>2599</v>
      </c>
      <c r="F639" s="24" t="s">
        <v>1142</v>
      </c>
      <c r="G639" s="24" t="s">
        <v>2507</v>
      </c>
      <c r="H639" s="24" t="s">
        <v>2618</v>
      </c>
      <c r="I639" s="24" t="s">
        <v>2601</v>
      </c>
      <c r="J639" s="24" t="s">
        <v>761</v>
      </c>
      <c r="K639" s="24" t="s">
        <v>1146</v>
      </c>
      <c r="L639" s="25">
        <v>1070</v>
      </c>
      <c r="M639" s="26">
        <v>1.5</v>
      </c>
      <c r="N639" s="27">
        <v>1.5</v>
      </c>
      <c r="O639" s="28">
        <v>1.3636363636363637E-3</v>
      </c>
      <c r="P639" s="28">
        <v>1.4203539823008851</v>
      </c>
    </row>
    <row r="640" spans="1:16" x14ac:dyDescent="0.3">
      <c r="A640" t="s">
        <v>3549</v>
      </c>
      <c r="B640" s="24">
        <v>142310</v>
      </c>
      <c r="C640" s="24" t="s">
        <v>1474</v>
      </c>
      <c r="D640" s="24" t="s">
        <v>2502</v>
      </c>
      <c r="E640" s="24" t="s">
        <v>2599</v>
      </c>
      <c r="F640" s="24" t="s">
        <v>1142</v>
      </c>
      <c r="G640" s="24" t="s">
        <v>2507</v>
      </c>
      <c r="H640" s="24" t="s">
        <v>2618</v>
      </c>
      <c r="I640" s="24" t="s">
        <v>2601</v>
      </c>
      <c r="J640" s="24" t="s">
        <v>761</v>
      </c>
      <c r="K640" s="24" t="s">
        <v>1146</v>
      </c>
      <c r="L640" s="25">
        <v>1070</v>
      </c>
      <c r="M640" s="26">
        <v>1.5</v>
      </c>
      <c r="N640" s="27">
        <v>1.5</v>
      </c>
      <c r="O640" s="28">
        <v>1.3636363636363637E-3</v>
      </c>
      <c r="P640" s="28">
        <v>1.4203539823008851</v>
      </c>
    </row>
    <row r="641" spans="1:16" x14ac:dyDescent="0.3">
      <c r="A641" t="s">
        <v>3550</v>
      </c>
      <c r="B641" s="24">
        <v>101162</v>
      </c>
      <c r="C641" s="24" t="s">
        <v>2550</v>
      </c>
      <c r="D641" s="24" t="s">
        <v>2502</v>
      </c>
      <c r="E641" s="24" t="s">
        <v>2599</v>
      </c>
      <c r="F641" s="24" t="s">
        <v>1142</v>
      </c>
      <c r="G641" s="24" t="s">
        <v>2507</v>
      </c>
      <c r="H641" s="24" t="s">
        <v>2619</v>
      </c>
      <c r="I641" s="24" t="s">
        <v>2601</v>
      </c>
      <c r="J641" s="24" t="s">
        <v>761</v>
      </c>
      <c r="K641" s="24" t="s">
        <v>1146</v>
      </c>
      <c r="L641" s="25">
        <v>1070</v>
      </c>
      <c r="M641" s="26">
        <v>1.92</v>
      </c>
      <c r="N641" s="27">
        <v>1.92</v>
      </c>
      <c r="O641" s="28">
        <v>1.7454545454545455E-3</v>
      </c>
      <c r="P641" s="28">
        <v>1.8180530973451328</v>
      </c>
    </row>
    <row r="642" spans="1:16" x14ac:dyDescent="0.3">
      <c r="A642" t="s">
        <v>3551</v>
      </c>
      <c r="B642" s="24">
        <v>101186</v>
      </c>
      <c r="C642" s="24" t="s">
        <v>1273</v>
      </c>
      <c r="D642" s="24" t="s">
        <v>2502</v>
      </c>
      <c r="E642" s="24" t="s">
        <v>2599</v>
      </c>
      <c r="F642" s="24" t="s">
        <v>1142</v>
      </c>
      <c r="G642" s="24" t="s">
        <v>2507</v>
      </c>
      <c r="H642" s="24" t="s">
        <v>2619</v>
      </c>
      <c r="I642" s="24" t="s">
        <v>2601</v>
      </c>
      <c r="J642" s="24" t="s">
        <v>761</v>
      </c>
      <c r="K642" s="24" t="s">
        <v>1146</v>
      </c>
      <c r="L642" s="25">
        <v>1070</v>
      </c>
      <c r="M642" s="26">
        <v>1.92</v>
      </c>
      <c r="N642" s="27">
        <v>1.92</v>
      </c>
      <c r="O642" s="28">
        <v>1.7454545454545455E-3</v>
      </c>
      <c r="P642" s="28">
        <v>1.8180530973451328</v>
      </c>
    </row>
    <row r="643" spans="1:16" x14ac:dyDescent="0.3">
      <c r="A643" t="s">
        <v>3552</v>
      </c>
      <c r="B643" s="24">
        <v>101184</v>
      </c>
      <c r="C643" s="24" t="s">
        <v>1401</v>
      </c>
      <c r="D643" s="24" t="s">
        <v>2502</v>
      </c>
      <c r="E643" s="24" t="s">
        <v>2599</v>
      </c>
      <c r="F643" s="24" t="s">
        <v>1142</v>
      </c>
      <c r="G643" s="24" t="s">
        <v>2507</v>
      </c>
      <c r="H643" s="24" t="s">
        <v>2620</v>
      </c>
      <c r="I643" s="24" t="s">
        <v>2601</v>
      </c>
      <c r="J643" s="24" t="s">
        <v>761</v>
      </c>
      <c r="K643" s="24" t="s">
        <v>1146</v>
      </c>
      <c r="L643" s="25">
        <v>1070</v>
      </c>
      <c r="M643" s="26">
        <v>1.19</v>
      </c>
      <c r="N643" s="27">
        <v>1.19</v>
      </c>
      <c r="O643" s="28">
        <v>1.0818181818181818E-3</v>
      </c>
      <c r="P643" s="28">
        <v>1.1268141592920353</v>
      </c>
    </row>
    <row r="644" spans="1:16" x14ac:dyDescent="0.3">
      <c r="A644" t="s">
        <v>3553</v>
      </c>
      <c r="B644" s="24">
        <v>104223</v>
      </c>
      <c r="C644" s="24" t="s">
        <v>2526</v>
      </c>
      <c r="D644" s="24" t="s">
        <v>2502</v>
      </c>
      <c r="E644" s="24" t="s">
        <v>2599</v>
      </c>
      <c r="F644" s="24" t="s">
        <v>1142</v>
      </c>
      <c r="G644" s="24" t="s">
        <v>2507</v>
      </c>
      <c r="H644" s="24" t="s">
        <v>2620</v>
      </c>
      <c r="I644" s="24" t="s">
        <v>2601</v>
      </c>
      <c r="J644" s="24" t="s">
        <v>761</v>
      </c>
      <c r="K644" s="24" t="s">
        <v>1146</v>
      </c>
      <c r="L644" s="25">
        <v>1070</v>
      </c>
      <c r="M644" s="26">
        <v>1.2</v>
      </c>
      <c r="N644" s="27">
        <v>1.2</v>
      </c>
      <c r="O644" s="28">
        <v>1.090909090909091E-3</v>
      </c>
      <c r="P644" s="28">
        <v>1.1362831858407079</v>
      </c>
    </row>
    <row r="645" spans="1:16" x14ac:dyDescent="0.3">
      <c r="A645" t="s">
        <v>3554</v>
      </c>
      <c r="B645" s="24">
        <v>142310</v>
      </c>
      <c r="C645" s="24" t="s">
        <v>1474</v>
      </c>
      <c r="D645" s="24" t="s">
        <v>2502</v>
      </c>
      <c r="E645" s="24" t="s">
        <v>2599</v>
      </c>
      <c r="F645" s="24" t="s">
        <v>1142</v>
      </c>
      <c r="G645" s="24" t="s">
        <v>2507</v>
      </c>
      <c r="H645" s="24" t="s">
        <v>2620</v>
      </c>
      <c r="I645" s="24" t="s">
        <v>2601</v>
      </c>
      <c r="J645" s="24" t="s">
        <v>761</v>
      </c>
      <c r="K645" s="24" t="s">
        <v>1146</v>
      </c>
      <c r="L645" s="25">
        <v>1070</v>
      </c>
      <c r="M645" s="26">
        <v>1.19</v>
      </c>
      <c r="N645" s="27">
        <v>1.19</v>
      </c>
      <c r="O645" s="28">
        <v>1.0818181818181818E-3</v>
      </c>
      <c r="P645" s="28">
        <v>1.1268141592920353</v>
      </c>
    </row>
    <row r="646" spans="1:16" x14ac:dyDescent="0.3">
      <c r="A646" t="s">
        <v>3555</v>
      </c>
      <c r="B646" s="24">
        <v>100702</v>
      </c>
      <c r="C646" s="24" t="s">
        <v>1357</v>
      </c>
      <c r="D646" s="24" t="s">
        <v>2502</v>
      </c>
      <c r="E646" s="24" t="s">
        <v>2520</v>
      </c>
      <c r="F646" s="24" t="s">
        <v>1142</v>
      </c>
      <c r="G646" s="24" t="s">
        <v>1399</v>
      </c>
      <c r="H646" s="24" t="s">
        <v>2621</v>
      </c>
      <c r="I646" s="24" t="s">
        <v>2622</v>
      </c>
      <c r="J646" s="24" t="s">
        <v>761</v>
      </c>
      <c r="K646" s="24" t="s">
        <v>1146</v>
      </c>
      <c r="L646" s="25">
        <v>1070</v>
      </c>
      <c r="M646" s="26">
        <v>1.6</v>
      </c>
      <c r="N646" s="27">
        <v>1.6</v>
      </c>
      <c r="O646" s="28">
        <v>1.4545454545454547E-3</v>
      </c>
      <c r="P646" s="28">
        <v>1.5150442477876107</v>
      </c>
    </row>
    <row r="647" spans="1:16" x14ac:dyDescent="0.3">
      <c r="A647" t="s">
        <v>3556</v>
      </c>
      <c r="B647" s="24">
        <v>100702</v>
      </c>
      <c r="C647" s="24" t="s">
        <v>1357</v>
      </c>
      <c r="D647" s="24" t="s">
        <v>2502</v>
      </c>
      <c r="E647" s="24" t="s">
        <v>2520</v>
      </c>
      <c r="F647" s="24" t="s">
        <v>1142</v>
      </c>
      <c r="G647" s="24" t="s">
        <v>1399</v>
      </c>
      <c r="H647" s="24" t="s">
        <v>2623</v>
      </c>
      <c r="I647" s="24" t="s">
        <v>2624</v>
      </c>
      <c r="J647" s="24" t="s">
        <v>761</v>
      </c>
      <c r="K647" s="24" t="s">
        <v>1146</v>
      </c>
      <c r="L647" s="25">
        <v>1070</v>
      </c>
      <c r="M647" s="26">
        <v>2.2999999999999998</v>
      </c>
      <c r="N647" s="27">
        <v>2.2999999999999998</v>
      </c>
      <c r="O647" s="28">
        <v>2.0909090909090908E-3</v>
      </c>
      <c r="P647" s="28">
        <v>2.1778761061946903</v>
      </c>
    </row>
    <row r="648" spans="1:16" x14ac:dyDescent="0.3">
      <c r="A648" t="s">
        <v>3557</v>
      </c>
      <c r="B648" s="24">
        <v>105392</v>
      </c>
      <c r="C648" s="24" t="s">
        <v>2534</v>
      </c>
      <c r="D648" s="24" t="s">
        <v>2502</v>
      </c>
      <c r="E648" s="24" t="s">
        <v>2520</v>
      </c>
      <c r="F648" s="24" t="s">
        <v>1142</v>
      </c>
      <c r="G648" s="24" t="s">
        <v>1399</v>
      </c>
      <c r="H648" s="24" t="s">
        <v>2625</v>
      </c>
      <c r="I648" s="24" t="s">
        <v>2626</v>
      </c>
      <c r="J648" s="24" t="s">
        <v>761</v>
      </c>
      <c r="K648" s="24" t="s">
        <v>1146</v>
      </c>
      <c r="L648" s="25">
        <v>1070</v>
      </c>
      <c r="M648" s="26">
        <v>2.2999999999999998</v>
      </c>
      <c r="N648" s="27">
        <v>2.2999999999999998</v>
      </c>
      <c r="O648" s="28">
        <v>2.0909090909090908E-3</v>
      </c>
      <c r="P648" s="28">
        <v>2.1778761061946903</v>
      </c>
    </row>
    <row r="649" spans="1:16" x14ac:dyDescent="0.3">
      <c r="A649" t="s">
        <v>3558</v>
      </c>
      <c r="B649" s="24">
        <v>105392</v>
      </c>
      <c r="C649" s="24" t="s">
        <v>2534</v>
      </c>
      <c r="D649" s="24" t="s">
        <v>2502</v>
      </c>
      <c r="E649" s="24" t="s">
        <v>2520</v>
      </c>
      <c r="F649" s="24" t="s">
        <v>1142</v>
      </c>
      <c r="G649" s="24" t="s">
        <v>1399</v>
      </c>
      <c r="H649" s="24" t="s">
        <v>2627</v>
      </c>
      <c r="I649" s="24" t="s">
        <v>2628</v>
      </c>
      <c r="J649" s="24" t="s">
        <v>761</v>
      </c>
      <c r="K649" s="24" t="s">
        <v>1146</v>
      </c>
      <c r="L649" s="25">
        <v>1070</v>
      </c>
      <c r="M649" s="26">
        <v>2.4500000000000002</v>
      </c>
      <c r="N649" s="27">
        <v>2.4500000000000002</v>
      </c>
      <c r="O649" s="28">
        <v>2.2272727272727275E-3</v>
      </c>
      <c r="P649" s="28">
        <v>2.3199115044247787</v>
      </c>
    </row>
    <row r="650" spans="1:16" x14ac:dyDescent="0.3">
      <c r="A650" t="s">
        <v>3559</v>
      </c>
      <c r="B650" s="24">
        <v>100581</v>
      </c>
      <c r="C650" s="24" t="s">
        <v>1232</v>
      </c>
      <c r="D650" s="24" t="s">
        <v>2502</v>
      </c>
      <c r="E650" s="24" t="s">
        <v>2520</v>
      </c>
      <c r="F650" s="24" t="s">
        <v>1142</v>
      </c>
      <c r="G650" s="24" t="s">
        <v>2507</v>
      </c>
      <c r="H650" s="24" t="s">
        <v>2629</v>
      </c>
      <c r="I650" s="24" t="s">
        <v>2522</v>
      </c>
      <c r="J650" s="24" t="s">
        <v>761</v>
      </c>
      <c r="K650" s="24" t="s">
        <v>1146</v>
      </c>
      <c r="L650" s="25">
        <v>1070</v>
      </c>
      <c r="M650" s="26">
        <v>1.5</v>
      </c>
      <c r="N650" s="27">
        <v>1.5</v>
      </c>
      <c r="O650" s="28">
        <v>1.3636363636363637E-3</v>
      </c>
      <c r="P650" s="28">
        <v>1.4203539823008851</v>
      </c>
    </row>
    <row r="651" spans="1:16" x14ac:dyDescent="0.3">
      <c r="A651" t="s">
        <v>3560</v>
      </c>
      <c r="B651" s="24">
        <v>101115</v>
      </c>
      <c r="C651" s="24" t="s">
        <v>2506</v>
      </c>
      <c r="D651" s="24" t="s">
        <v>2502</v>
      </c>
      <c r="E651" s="24" t="s">
        <v>2520</v>
      </c>
      <c r="F651" s="24" t="s">
        <v>1142</v>
      </c>
      <c r="G651" s="24" t="s">
        <v>2507</v>
      </c>
      <c r="H651" s="24" t="s">
        <v>2629</v>
      </c>
      <c r="I651" s="24" t="s">
        <v>2522</v>
      </c>
      <c r="J651" s="24" t="s">
        <v>761</v>
      </c>
      <c r="K651" s="24" t="s">
        <v>1146</v>
      </c>
      <c r="L651" s="25">
        <v>1070</v>
      </c>
      <c r="M651" s="26">
        <v>1.5</v>
      </c>
      <c r="N651" s="27">
        <v>1.5</v>
      </c>
      <c r="O651" s="28">
        <v>1.3636363636363637E-3</v>
      </c>
      <c r="P651" s="28">
        <v>1.4203539823008851</v>
      </c>
    </row>
    <row r="652" spans="1:16" x14ac:dyDescent="0.3">
      <c r="A652" t="s">
        <v>3561</v>
      </c>
      <c r="B652" s="24">
        <v>100702</v>
      </c>
      <c r="C652" s="24" t="s">
        <v>1357</v>
      </c>
      <c r="D652" s="24" t="s">
        <v>2502</v>
      </c>
      <c r="E652" s="24" t="s">
        <v>2630</v>
      </c>
      <c r="F652" s="24" t="s">
        <v>1142</v>
      </c>
      <c r="G652" s="24" t="s">
        <v>1399</v>
      </c>
      <c r="H652" s="24" t="s">
        <v>2631</v>
      </c>
      <c r="I652" s="24" t="s">
        <v>2632</v>
      </c>
      <c r="J652" s="24" t="s">
        <v>761</v>
      </c>
      <c r="K652" s="24" t="s">
        <v>1146</v>
      </c>
      <c r="L652" s="25">
        <v>1070</v>
      </c>
      <c r="M652" s="26">
        <v>2.93</v>
      </c>
      <c r="N652" s="27">
        <v>2.93</v>
      </c>
      <c r="O652" s="28">
        <v>2.6636363636363637E-3</v>
      </c>
      <c r="P652" s="28">
        <v>2.7744247787610621</v>
      </c>
    </row>
    <row r="653" spans="1:16" x14ac:dyDescent="0.3">
      <c r="A653" t="s">
        <v>3562</v>
      </c>
      <c r="B653" s="24">
        <v>101115</v>
      </c>
      <c r="C653" s="24" t="s">
        <v>2506</v>
      </c>
      <c r="D653" s="24" t="s">
        <v>2502</v>
      </c>
      <c r="E653" s="24" t="s">
        <v>2503</v>
      </c>
      <c r="F653" s="24" t="s">
        <v>1142</v>
      </c>
      <c r="G653" s="24" t="s">
        <v>2507</v>
      </c>
      <c r="H653" s="24" t="s">
        <v>2633</v>
      </c>
      <c r="I653" s="24" t="s">
        <v>2634</v>
      </c>
      <c r="J653" s="24" t="s">
        <v>761</v>
      </c>
      <c r="K653" s="24" t="s">
        <v>1146</v>
      </c>
      <c r="L653" s="25">
        <v>1070</v>
      </c>
      <c r="M653" s="26">
        <v>0.68</v>
      </c>
      <c r="N653" s="27">
        <v>0.68</v>
      </c>
      <c r="O653" s="28">
        <v>6.1818181818181818E-4</v>
      </c>
      <c r="P653" s="28">
        <v>0.6438938053097345</v>
      </c>
    </row>
    <row r="654" spans="1:16" x14ac:dyDescent="0.3">
      <c r="A654" t="s">
        <v>3563</v>
      </c>
      <c r="B654" s="24">
        <v>100581</v>
      </c>
      <c r="C654" s="24" t="s">
        <v>1232</v>
      </c>
      <c r="D654" s="24" t="s">
        <v>2502</v>
      </c>
      <c r="E654" s="24" t="s">
        <v>2503</v>
      </c>
      <c r="F654" s="24" t="s">
        <v>1142</v>
      </c>
      <c r="G654" s="24" t="s">
        <v>2507</v>
      </c>
      <c r="H654" s="24" t="s">
        <v>2635</v>
      </c>
      <c r="I654" s="24" t="s">
        <v>2634</v>
      </c>
      <c r="J654" s="24" t="s">
        <v>761</v>
      </c>
      <c r="K654" s="24" t="s">
        <v>1146</v>
      </c>
      <c r="L654" s="25">
        <v>1070</v>
      </c>
      <c r="M654" s="26">
        <v>0.7</v>
      </c>
      <c r="N654" s="27">
        <v>0.7</v>
      </c>
      <c r="O654" s="28">
        <v>6.363636363636363E-4</v>
      </c>
      <c r="P654" s="28">
        <v>0.6628318584070797</v>
      </c>
    </row>
    <row r="655" spans="1:16" x14ac:dyDescent="0.3">
      <c r="A655" t="s">
        <v>3564</v>
      </c>
      <c r="B655" s="24">
        <v>101115</v>
      </c>
      <c r="C655" s="24" t="s">
        <v>2506</v>
      </c>
      <c r="D655" s="24" t="s">
        <v>2502</v>
      </c>
      <c r="E655" s="24" t="s">
        <v>2503</v>
      </c>
      <c r="F655" s="24" t="s">
        <v>1142</v>
      </c>
      <c r="G655" s="24" t="s">
        <v>2507</v>
      </c>
      <c r="H655" s="24" t="s">
        <v>2635</v>
      </c>
      <c r="I655" s="24" t="s">
        <v>2634</v>
      </c>
      <c r="J655" s="24" t="s">
        <v>761</v>
      </c>
      <c r="K655" s="24" t="s">
        <v>1146</v>
      </c>
      <c r="L655" s="25">
        <v>1070</v>
      </c>
      <c r="M655" s="26">
        <v>0.7</v>
      </c>
      <c r="N655" s="27">
        <v>0.7</v>
      </c>
      <c r="O655" s="28">
        <v>6.363636363636363E-4</v>
      </c>
      <c r="P655" s="28">
        <v>0.6628318584070797</v>
      </c>
    </row>
    <row r="656" spans="1:16" x14ac:dyDescent="0.3">
      <c r="A656" t="s">
        <v>3565</v>
      </c>
      <c r="B656" s="24">
        <v>141565</v>
      </c>
      <c r="C656" s="24" t="s">
        <v>2607</v>
      </c>
      <c r="D656" s="24" t="s">
        <v>2502</v>
      </c>
      <c r="E656" s="24" t="s">
        <v>2599</v>
      </c>
      <c r="F656" s="24" t="s">
        <v>1142</v>
      </c>
      <c r="G656" s="24" t="s">
        <v>1399</v>
      </c>
      <c r="H656" s="24" t="s">
        <v>2636</v>
      </c>
      <c r="I656" s="24" t="s">
        <v>2637</v>
      </c>
      <c r="J656" s="24" t="s">
        <v>761</v>
      </c>
      <c r="K656" s="24" t="s">
        <v>1146</v>
      </c>
      <c r="L656" s="25">
        <v>1070</v>
      </c>
      <c r="M656" s="26">
        <v>2.89</v>
      </c>
      <c r="N656" s="27">
        <v>2.89</v>
      </c>
      <c r="O656" s="28">
        <v>2.6272727272727272E-3</v>
      </c>
      <c r="P656" s="28">
        <v>2.7365486725663719</v>
      </c>
    </row>
    <row r="657" spans="1:16" x14ac:dyDescent="0.3">
      <c r="A657" t="s">
        <v>3566</v>
      </c>
      <c r="B657" s="24">
        <v>142548</v>
      </c>
      <c r="C657" s="24" t="s">
        <v>1809</v>
      </c>
      <c r="D657" s="24" t="s">
        <v>2502</v>
      </c>
      <c r="E657" s="24" t="s">
        <v>2599</v>
      </c>
      <c r="F657" s="24" t="s">
        <v>1237</v>
      </c>
      <c r="G657" s="24" t="s">
        <v>1486</v>
      </c>
      <c r="H657" s="24" t="s">
        <v>2638</v>
      </c>
      <c r="I657" s="24" t="s">
        <v>2637</v>
      </c>
      <c r="J657" s="24" t="s">
        <v>761</v>
      </c>
      <c r="K657" s="24" t="s">
        <v>1146</v>
      </c>
      <c r="L657" s="25">
        <v>1070</v>
      </c>
      <c r="M657" s="26">
        <v>3.5</v>
      </c>
      <c r="N657" s="27">
        <v>3.5</v>
      </c>
      <c r="O657" s="28">
        <v>3.1818181818181819E-3</v>
      </c>
      <c r="P657" s="28">
        <v>3.3141592920353982</v>
      </c>
    </row>
    <row r="658" spans="1:16" x14ac:dyDescent="0.3">
      <c r="A658" t="s">
        <v>3567</v>
      </c>
      <c r="B658" s="24">
        <v>141565</v>
      </c>
      <c r="C658" s="24" t="s">
        <v>2607</v>
      </c>
      <c r="D658" s="24" t="s">
        <v>2502</v>
      </c>
      <c r="E658" s="24" t="s">
        <v>2599</v>
      </c>
      <c r="F658" s="24" t="s">
        <v>1142</v>
      </c>
      <c r="G658" s="24" t="s">
        <v>1399</v>
      </c>
      <c r="H658" s="24" t="s">
        <v>2639</v>
      </c>
      <c r="I658" s="24" t="s">
        <v>2637</v>
      </c>
      <c r="J658" s="24" t="s">
        <v>761</v>
      </c>
      <c r="K658" s="24" t="s">
        <v>1146</v>
      </c>
      <c r="L658" s="25">
        <v>1070</v>
      </c>
      <c r="M658" s="26">
        <v>1.46</v>
      </c>
      <c r="N658" s="27">
        <v>1.46</v>
      </c>
      <c r="O658" s="28">
        <v>1.3272727272727273E-3</v>
      </c>
      <c r="P658" s="28">
        <v>1.3824778761061947</v>
      </c>
    </row>
    <row r="659" spans="1:16" x14ac:dyDescent="0.3">
      <c r="A659" t="s">
        <v>3568</v>
      </c>
      <c r="B659" s="24">
        <v>141565</v>
      </c>
      <c r="C659" s="24" t="s">
        <v>2607</v>
      </c>
      <c r="D659" s="24" t="s">
        <v>2502</v>
      </c>
      <c r="E659" s="24" t="s">
        <v>2599</v>
      </c>
      <c r="F659" s="24" t="s">
        <v>1142</v>
      </c>
      <c r="G659" s="24" t="s">
        <v>1399</v>
      </c>
      <c r="H659" s="24" t="s">
        <v>2640</v>
      </c>
      <c r="I659" s="24" t="s">
        <v>2641</v>
      </c>
      <c r="J659" s="24" t="s">
        <v>761</v>
      </c>
      <c r="K659" s="24" t="s">
        <v>1146</v>
      </c>
      <c r="L659" s="25">
        <v>1070</v>
      </c>
      <c r="M659" s="26">
        <v>1.46</v>
      </c>
      <c r="N659" s="27">
        <v>1.46</v>
      </c>
      <c r="O659" s="28">
        <v>1.3272727272727273E-3</v>
      </c>
      <c r="P659" s="28">
        <v>1.3824778761061947</v>
      </c>
    </row>
    <row r="660" spans="1:16" x14ac:dyDescent="0.3">
      <c r="A660" t="s">
        <v>3569</v>
      </c>
      <c r="B660" s="24">
        <v>100603</v>
      </c>
      <c r="C660" s="24" t="s">
        <v>1277</v>
      </c>
      <c r="D660" s="24" t="s">
        <v>2502</v>
      </c>
      <c r="E660" s="24" t="s">
        <v>2588</v>
      </c>
      <c r="F660" s="24" t="s">
        <v>1142</v>
      </c>
      <c r="G660" s="24" t="s">
        <v>2507</v>
      </c>
      <c r="H660" s="24" t="s">
        <v>2642</v>
      </c>
      <c r="I660" s="24" t="s">
        <v>2643</v>
      </c>
      <c r="J660" s="24" t="s">
        <v>761</v>
      </c>
      <c r="K660" s="24" t="s">
        <v>1146</v>
      </c>
      <c r="L660" s="25">
        <v>1070</v>
      </c>
      <c r="M660" s="26">
        <v>2.31</v>
      </c>
      <c r="N660" s="27">
        <v>2.31</v>
      </c>
      <c r="O660" s="28">
        <v>2.0999999999999999E-3</v>
      </c>
      <c r="P660" s="28">
        <v>2.1873451327433631</v>
      </c>
    </row>
    <row r="661" spans="1:16" x14ac:dyDescent="0.3">
      <c r="A661" t="s">
        <v>3570</v>
      </c>
      <c r="B661" s="24">
        <v>100603</v>
      </c>
      <c r="C661" s="24" t="s">
        <v>1277</v>
      </c>
      <c r="D661" s="24" t="s">
        <v>2502</v>
      </c>
      <c r="E661" s="24" t="s">
        <v>2588</v>
      </c>
      <c r="F661" s="24" t="s">
        <v>1142</v>
      </c>
      <c r="G661" s="24" t="s">
        <v>2507</v>
      </c>
      <c r="H661" s="24" t="s">
        <v>2644</v>
      </c>
      <c r="I661" s="24" t="s">
        <v>2643</v>
      </c>
      <c r="J661" s="24" t="s">
        <v>761</v>
      </c>
      <c r="K661" s="24" t="s">
        <v>1146</v>
      </c>
      <c r="L661" s="25">
        <v>1070</v>
      </c>
      <c r="M661" s="26">
        <v>1.87</v>
      </c>
      <c r="N661" s="27">
        <v>1.87</v>
      </c>
      <c r="O661" s="28">
        <v>1.7000000000000001E-3</v>
      </c>
      <c r="P661" s="28">
        <v>1.77070796460177</v>
      </c>
    </row>
    <row r="662" spans="1:16" x14ac:dyDescent="0.3">
      <c r="A662" t="s">
        <v>3571</v>
      </c>
      <c r="B662" s="24">
        <v>101186</v>
      </c>
      <c r="C662" s="24" t="s">
        <v>1273</v>
      </c>
      <c r="D662" s="24" t="s">
        <v>2502</v>
      </c>
      <c r="E662" s="24" t="s">
        <v>2588</v>
      </c>
      <c r="F662" s="24" t="s">
        <v>1142</v>
      </c>
      <c r="G662" s="24" t="s">
        <v>2507</v>
      </c>
      <c r="H662" s="24" t="s">
        <v>2644</v>
      </c>
      <c r="I662" s="24" t="s">
        <v>2643</v>
      </c>
      <c r="J662" s="24" t="s">
        <v>761</v>
      </c>
      <c r="K662" s="24" t="s">
        <v>1146</v>
      </c>
      <c r="L662" s="25">
        <v>1070</v>
      </c>
      <c r="M662" s="26">
        <v>1.87</v>
      </c>
      <c r="N662" s="27">
        <v>1.87</v>
      </c>
      <c r="O662" s="28">
        <v>1.7000000000000001E-3</v>
      </c>
      <c r="P662" s="28">
        <v>1.77070796460177</v>
      </c>
    </row>
    <row r="663" spans="1:16" x14ac:dyDescent="0.3">
      <c r="A663" t="s">
        <v>3572</v>
      </c>
      <c r="B663" s="24">
        <v>104223</v>
      </c>
      <c r="C663" s="24" t="s">
        <v>2526</v>
      </c>
      <c r="D663" s="24" t="s">
        <v>2502</v>
      </c>
      <c r="E663" s="24" t="s">
        <v>2588</v>
      </c>
      <c r="F663" s="24" t="s">
        <v>1142</v>
      </c>
      <c r="G663" s="24" t="s">
        <v>2507</v>
      </c>
      <c r="H663" s="24" t="s">
        <v>2644</v>
      </c>
      <c r="I663" s="24" t="s">
        <v>2643</v>
      </c>
      <c r="J663" s="24" t="s">
        <v>761</v>
      </c>
      <c r="K663" s="24" t="s">
        <v>1146</v>
      </c>
      <c r="L663" s="25">
        <v>1070</v>
      </c>
      <c r="M663" s="26">
        <v>1.87</v>
      </c>
      <c r="N663" s="27">
        <v>1.87</v>
      </c>
      <c r="O663" s="28">
        <v>1.7000000000000001E-3</v>
      </c>
      <c r="P663" s="28">
        <v>1.77070796460177</v>
      </c>
    </row>
    <row r="664" spans="1:16" x14ac:dyDescent="0.3">
      <c r="A664" t="s">
        <v>3573</v>
      </c>
      <c r="B664" s="24">
        <v>142548</v>
      </c>
      <c r="C664" s="24" t="s">
        <v>1809</v>
      </c>
      <c r="D664" s="24" t="s">
        <v>2502</v>
      </c>
      <c r="E664" s="24" t="s">
        <v>2588</v>
      </c>
      <c r="F664" s="24" t="s">
        <v>1237</v>
      </c>
      <c r="G664" s="24" t="s">
        <v>1486</v>
      </c>
      <c r="H664" s="24" t="s">
        <v>2645</v>
      </c>
      <c r="I664" s="24" t="s">
        <v>2646</v>
      </c>
      <c r="J664" s="24" t="s">
        <v>761</v>
      </c>
      <c r="K664" s="24" t="s">
        <v>1146</v>
      </c>
      <c r="L664" s="25">
        <v>1070</v>
      </c>
      <c r="M664" s="26">
        <v>0.77200000000000002</v>
      </c>
      <c r="N664" s="27">
        <v>0.77200000000000002</v>
      </c>
      <c r="O664" s="28">
        <v>7.0181818181818182E-4</v>
      </c>
      <c r="P664" s="28">
        <v>0.73100884955752221</v>
      </c>
    </row>
    <row r="665" spans="1:16" x14ac:dyDescent="0.3">
      <c r="A665" t="s">
        <v>3574</v>
      </c>
      <c r="B665" s="24">
        <v>142051</v>
      </c>
      <c r="C665" s="24" t="s">
        <v>1491</v>
      </c>
      <c r="D665" s="24" t="s">
        <v>2502</v>
      </c>
      <c r="E665" s="24" t="s">
        <v>2588</v>
      </c>
      <c r="F665" s="24" t="s">
        <v>1237</v>
      </c>
      <c r="G665" s="24" t="s">
        <v>1238</v>
      </c>
      <c r="H665" s="24" t="s">
        <v>2647</v>
      </c>
      <c r="I665" s="24" t="s">
        <v>2648</v>
      </c>
      <c r="J665" s="24" t="s">
        <v>761</v>
      </c>
      <c r="K665" s="24" t="s">
        <v>1146</v>
      </c>
      <c r="L665" s="25">
        <v>1070</v>
      </c>
      <c r="M665" s="26">
        <v>0.71799999999999997</v>
      </c>
      <c r="N665" s="27">
        <v>0.71799999999999997</v>
      </c>
      <c r="O665" s="28">
        <v>6.527272727272727E-4</v>
      </c>
      <c r="P665" s="28">
        <v>0.6798761061946903</v>
      </c>
    </row>
    <row r="666" spans="1:16" x14ac:dyDescent="0.3">
      <c r="A666" t="s">
        <v>3575</v>
      </c>
      <c r="B666" s="24">
        <v>142051</v>
      </c>
      <c r="C666" s="24" t="s">
        <v>1491</v>
      </c>
      <c r="D666" s="24" t="s">
        <v>2502</v>
      </c>
      <c r="E666" s="24" t="s">
        <v>2588</v>
      </c>
      <c r="F666" s="24" t="s">
        <v>1237</v>
      </c>
      <c r="G666" s="24" t="s">
        <v>1238</v>
      </c>
      <c r="H666" s="24" t="s">
        <v>2649</v>
      </c>
      <c r="I666" s="24" t="s">
        <v>2646</v>
      </c>
      <c r="J666" s="24" t="s">
        <v>761</v>
      </c>
      <c r="K666" s="24" t="s">
        <v>1146</v>
      </c>
      <c r="L666" s="25">
        <v>1070</v>
      </c>
      <c r="M666" s="26">
        <v>0.71299999999999997</v>
      </c>
      <c r="N666" s="27">
        <v>0.71299999999999997</v>
      </c>
      <c r="O666" s="28">
        <v>6.4818181818181815E-4</v>
      </c>
      <c r="P666" s="28">
        <v>0.67514159292035392</v>
      </c>
    </row>
    <row r="667" spans="1:16" x14ac:dyDescent="0.3">
      <c r="A667" t="s">
        <v>3576</v>
      </c>
      <c r="B667" s="24">
        <v>100603</v>
      </c>
      <c r="C667" s="24" t="s">
        <v>1277</v>
      </c>
      <c r="D667" s="24" t="s">
        <v>2502</v>
      </c>
      <c r="E667" s="24" t="s">
        <v>2588</v>
      </c>
      <c r="F667" s="24" t="s">
        <v>1142</v>
      </c>
      <c r="G667" s="24" t="s">
        <v>2507</v>
      </c>
      <c r="H667" s="24" t="s">
        <v>2650</v>
      </c>
      <c r="I667" s="24" t="s">
        <v>2651</v>
      </c>
      <c r="J667" s="24" t="s">
        <v>761</v>
      </c>
      <c r="K667" s="24" t="s">
        <v>1146</v>
      </c>
      <c r="L667" s="25">
        <v>1070</v>
      </c>
      <c r="M667" s="26">
        <v>1.31</v>
      </c>
      <c r="N667" s="27">
        <v>1.31</v>
      </c>
      <c r="O667" s="28">
        <v>1.190909090909091E-3</v>
      </c>
      <c r="P667" s="28">
        <v>1.2404424778761063</v>
      </c>
    </row>
    <row r="668" spans="1:16" x14ac:dyDescent="0.3">
      <c r="A668" t="s">
        <v>3577</v>
      </c>
      <c r="B668" s="24">
        <v>104223</v>
      </c>
      <c r="C668" s="24" t="s">
        <v>2526</v>
      </c>
      <c r="D668" s="24" t="s">
        <v>2502</v>
      </c>
      <c r="E668" s="24" t="s">
        <v>2588</v>
      </c>
      <c r="F668" s="24" t="s">
        <v>1142</v>
      </c>
      <c r="G668" s="24" t="s">
        <v>2507</v>
      </c>
      <c r="H668" s="24" t="s">
        <v>2650</v>
      </c>
      <c r="I668" s="24" t="s">
        <v>2651</v>
      </c>
      <c r="J668" s="24" t="s">
        <v>761</v>
      </c>
      <c r="K668" s="24" t="s">
        <v>1146</v>
      </c>
      <c r="L668" s="25">
        <v>1070</v>
      </c>
      <c r="M668" s="26">
        <v>1.4</v>
      </c>
      <c r="N668" s="27">
        <v>1.4</v>
      </c>
      <c r="O668" s="28">
        <v>1.2727272727272726E-3</v>
      </c>
      <c r="P668" s="28">
        <v>1.3256637168141594</v>
      </c>
    </row>
    <row r="669" spans="1:16" x14ac:dyDescent="0.3">
      <c r="A669" t="s">
        <v>3578</v>
      </c>
      <c r="B669" s="24">
        <v>100603</v>
      </c>
      <c r="C669" s="24" t="s">
        <v>1277</v>
      </c>
      <c r="D669" s="24" t="s">
        <v>2502</v>
      </c>
      <c r="E669" s="24" t="s">
        <v>2588</v>
      </c>
      <c r="F669" s="24" t="s">
        <v>1142</v>
      </c>
      <c r="G669" s="24" t="s">
        <v>2507</v>
      </c>
      <c r="H669" s="24" t="s">
        <v>2652</v>
      </c>
      <c r="I669" s="24" t="s">
        <v>2643</v>
      </c>
      <c r="J669" s="24" t="s">
        <v>761</v>
      </c>
      <c r="K669" s="24" t="s">
        <v>1146</v>
      </c>
      <c r="L669" s="25">
        <v>1070</v>
      </c>
      <c r="M669" s="26">
        <v>1.0640000000000001</v>
      </c>
      <c r="N669" s="27">
        <v>1.0640000000000001</v>
      </c>
      <c r="O669" s="28">
        <v>9.6727272727272732E-4</v>
      </c>
      <c r="P669" s="28">
        <v>1.007504424778761</v>
      </c>
    </row>
    <row r="670" spans="1:16" x14ac:dyDescent="0.3">
      <c r="A670" t="s">
        <v>3579</v>
      </c>
      <c r="B670" s="24">
        <v>101186</v>
      </c>
      <c r="C670" s="24" t="s">
        <v>1273</v>
      </c>
      <c r="D670" s="24" t="s">
        <v>2502</v>
      </c>
      <c r="E670" s="24" t="s">
        <v>2588</v>
      </c>
      <c r="F670" s="24" t="s">
        <v>1142</v>
      </c>
      <c r="G670" s="24" t="s">
        <v>2507</v>
      </c>
      <c r="H670" s="24" t="s">
        <v>2652</v>
      </c>
      <c r="I670" s="24" t="s">
        <v>2643</v>
      </c>
      <c r="J670" s="24" t="s">
        <v>761</v>
      </c>
      <c r="K670" s="24" t="s">
        <v>1146</v>
      </c>
      <c r="L670" s="25">
        <v>1070</v>
      </c>
      <c r="M670" s="26">
        <v>1.0640000000000001</v>
      </c>
      <c r="N670" s="27">
        <v>1.0640000000000001</v>
      </c>
      <c r="O670" s="28">
        <v>9.6727272727272732E-4</v>
      </c>
      <c r="P670" s="28">
        <v>1.007504424778761</v>
      </c>
    </row>
    <row r="671" spans="1:16" x14ac:dyDescent="0.3">
      <c r="A671" t="s">
        <v>3580</v>
      </c>
      <c r="B671" s="24">
        <v>101206</v>
      </c>
      <c r="C671" s="24" t="s">
        <v>1199</v>
      </c>
      <c r="D671" s="24" t="s">
        <v>2502</v>
      </c>
      <c r="E671" s="24" t="s">
        <v>2588</v>
      </c>
      <c r="F671" s="24" t="s">
        <v>1142</v>
      </c>
      <c r="G671" s="24" t="s">
        <v>2507</v>
      </c>
      <c r="H671" s="24" t="s">
        <v>2652</v>
      </c>
      <c r="I671" s="24" t="s">
        <v>2643</v>
      </c>
      <c r="J671" s="24" t="s">
        <v>761</v>
      </c>
      <c r="K671" s="24" t="s">
        <v>1146</v>
      </c>
      <c r="L671" s="25">
        <v>1070</v>
      </c>
      <c r="M671" s="26">
        <v>1.0640000000000001</v>
      </c>
      <c r="N671" s="27">
        <v>1.0640000000000001</v>
      </c>
      <c r="O671" s="28">
        <v>9.6727272727272732E-4</v>
      </c>
      <c r="P671" s="28">
        <v>1.007504424778761</v>
      </c>
    </row>
    <row r="672" spans="1:16" x14ac:dyDescent="0.3">
      <c r="A672" t="s">
        <v>3581</v>
      </c>
      <c r="B672" s="24">
        <v>104223</v>
      </c>
      <c r="C672" s="24" t="s">
        <v>2526</v>
      </c>
      <c r="D672" s="24" t="s">
        <v>2502</v>
      </c>
      <c r="E672" s="24" t="s">
        <v>2588</v>
      </c>
      <c r="F672" s="24" t="s">
        <v>1142</v>
      </c>
      <c r="G672" s="24" t="s">
        <v>2507</v>
      </c>
      <c r="H672" s="24" t="s">
        <v>2652</v>
      </c>
      <c r="I672" s="24" t="s">
        <v>2643</v>
      </c>
      <c r="J672" s="24" t="s">
        <v>761</v>
      </c>
      <c r="K672" s="24" t="s">
        <v>1146</v>
      </c>
      <c r="L672" s="25">
        <v>1070</v>
      </c>
      <c r="M672" s="26">
        <v>1.1200000000000001</v>
      </c>
      <c r="N672" s="27">
        <v>1.1200000000000001</v>
      </c>
      <c r="O672" s="28">
        <v>1.0181818181818183E-3</v>
      </c>
      <c r="P672" s="28">
        <v>1.0605309734513275</v>
      </c>
    </row>
    <row r="673" spans="1:16" x14ac:dyDescent="0.3">
      <c r="A673" t="s">
        <v>3582</v>
      </c>
      <c r="B673" s="24">
        <v>100581</v>
      </c>
      <c r="C673" s="24" t="s">
        <v>1232</v>
      </c>
      <c r="D673" s="24" t="s">
        <v>2502</v>
      </c>
      <c r="E673" s="24" t="s">
        <v>2588</v>
      </c>
      <c r="F673" s="24" t="s">
        <v>1142</v>
      </c>
      <c r="G673" s="24" t="s">
        <v>2507</v>
      </c>
      <c r="H673" s="24" t="s">
        <v>2653</v>
      </c>
      <c r="I673" s="24" t="s">
        <v>2654</v>
      </c>
      <c r="J673" s="24" t="s">
        <v>761</v>
      </c>
      <c r="K673" s="24" t="s">
        <v>1146</v>
      </c>
      <c r="L673" s="25">
        <v>1070</v>
      </c>
      <c r="M673" s="26">
        <v>1.19</v>
      </c>
      <c r="N673" s="27">
        <v>1.19</v>
      </c>
      <c r="O673" s="28">
        <v>1.0818181818181818E-3</v>
      </c>
      <c r="P673" s="28">
        <v>1.1268141592920353</v>
      </c>
    </row>
    <row r="674" spans="1:16" x14ac:dyDescent="0.3">
      <c r="A674" t="s">
        <v>3583</v>
      </c>
      <c r="B674" s="24">
        <v>100603</v>
      </c>
      <c r="C674" s="24" t="s">
        <v>1277</v>
      </c>
      <c r="D674" s="24" t="s">
        <v>2502</v>
      </c>
      <c r="E674" s="24" t="s">
        <v>2588</v>
      </c>
      <c r="F674" s="24" t="s">
        <v>1142</v>
      </c>
      <c r="G674" s="24" t="s">
        <v>2507</v>
      </c>
      <c r="H674" s="24" t="s">
        <v>2653</v>
      </c>
      <c r="I674" s="24" t="s">
        <v>2654</v>
      </c>
      <c r="J674" s="24" t="s">
        <v>761</v>
      </c>
      <c r="K674" s="24" t="s">
        <v>1146</v>
      </c>
      <c r="L674" s="25">
        <v>1070</v>
      </c>
      <c r="M674" s="26">
        <v>1.19</v>
      </c>
      <c r="N674" s="27">
        <v>1.19</v>
      </c>
      <c r="O674" s="28">
        <v>1.0818181818181818E-3</v>
      </c>
      <c r="P674" s="28">
        <v>1.1268141592920353</v>
      </c>
    </row>
    <row r="675" spans="1:16" x14ac:dyDescent="0.3">
      <c r="A675" t="s">
        <v>3584</v>
      </c>
      <c r="B675" s="24">
        <v>100603</v>
      </c>
      <c r="C675" s="24" t="s">
        <v>1277</v>
      </c>
      <c r="D675" s="24" t="s">
        <v>2502</v>
      </c>
      <c r="E675" s="24" t="s">
        <v>2588</v>
      </c>
      <c r="F675" s="24" t="s">
        <v>1142</v>
      </c>
      <c r="G675" s="24" t="s">
        <v>2507</v>
      </c>
      <c r="H675" s="24" t="s">
        <v>2655</v>
      </c>
      <c r="I675" s="24" t="s">
        <v>2654</v>
      </c>
      <c r="J675" s="24" t="s">
        <v>761</v>
      </c>
      <c r="K675" s="24" t="s">
        <v>1146</v>
      </c>
      <c r="L675" s="25">
        <v>1070</v>
      </c>
      <c r="M675" s="26">
        <v>1.028</v>
      </c>
      <c r="N675" s="27">
        <v>1.028</v>
      </c>
      <c r="O675" s="28">
        <v>9.3454545454545461E-4</v>
      </c>
      <c r="P675" s="28">
        <v>0.97341592920353981</v>
      </c>
    </row>
    <row r="676" spans="1:16" x14ac:dyDescent="0.3">
      <c r="A676" t="s">
        <v>3585</v>
      </c>
      <c r="B676" s="24">
        <v>101186</v>
      </c>
      <c r="C676" s="24" t="s">
        <v>1273</v>
      </c>
      <c r="D676" s="24" t="s">
        <v>2502</v>
      </c>
      <c r="E676" s="24" t="s">
        <v>2588</v>
      </c>
      <c r="F676" s="24" t="s">
        <v>1142</v>
      </c>
      <c r="G676" s="24" t="s">
        <v>2507</v>
      </c>
      <c r="H676" s="24" t="s">
        <v>2655</v>
      </c>
      <c r="I676" s="24" t="s">
        <v>2654</v>
      </c>
      <c r="J676" s="24" t="s">
        <v>761</v>
      </c>
      <c r="K676" s="24" t="s">
        <v>1146</v>
      </c>
      <c r="L676" s="25">
        <v>1070</v>
      </c>
      <c r="M676" s="26">
        <v>1.028</v>
      </c>
      <c r="N676" s="27">
        <v>1.028</v>
      </c>
      <c r="O676" s="28">
        <v>9.3454545454545461E-4</v>
      </c>
      <c r="P676" s="28">
        <v>0.97341592920353981</v>
      </c>
    </row>
    <row r="677" spans="1:16" x14ac:dyDescent="0.3">
      <c r="A677" t="s">
        <v>3586</v>
      </c>
      <c r="B677" s="24">
        <v>101206</v>
      </c>
      <c r="C677" s="24" t="s">
        <v>1199</v>
      </c>
      <c r="D677" s="24" t="s">
        <v>2502</v>
      </c>
      <c r="E677" s="24" t="s">
        <v>2588</v>
      </c>
      <c r="F677" s="24" t="s">
        <v>1142</v>
      </c>
      <c r="G677" s="24" t="s">
        <v>2507</v>
      </c>
      <c r="H677" s="24" t="s">
        <v>2655</v>
      </c>
      <c r="I677" s="24" t="s">
        <v>2654</v>
      </c>
      <c r="J677" s="24" t="s">
        <v>761</v>
      </c>
      <c r="K677" s="24" t="s">
        <v>1146</v>
      </c>
      <c r="L677" s="25">
        <v>1070</v>
      </c>
      <c r="M677" s="26">
        <v>1.028</v>
      </c>
      <c r="N677" s="27">
        <v>1.028</v>
      </c>
      <c r="O677" s="28">
        <v>9.3454545454545461E-4</v>
      </c>
      <c r="P677" s="28">
        <v>0.97341592920353981</v>
      </c>
    </row>
    <row r="678" spans="1:16" x14ac:dyDescent="0.3">
      <c r="A678" t="s">
        <v>3587</v>
      </c>
      <c r="B678" s="24">
        <v>100603</v>
      </c>
      <c r="C678" s="24" t="s">
        <v>1277</v>
      </c>
      <c r="D678" s="24" t="s">
        <v>2502</v>
      </c>
      <c r="E678" s="24" t="s">
        <v>2588</v>
      </c>
      <c r="F678" s="24" t="s">
        <v>1142</v>
      </c>
      <c r="G678" s="24" t="s">
        <v>2507</v>
      </c>
      <c r="H678" s="24" t="s">
        <v>2656</v>
      </c>
      <c r="I678" s="24" t="s">
        <v>2657</v>
      </c>
      <c r="J678" s="24" t="s">
        <v>761</v>
      </c>
      <c r="K678" s="24" t="s">
        <v>1146</v>
      </c>
      <c r="L678" s="25">
        <v>1070</v>
      </c>
      <c r="M678" s="26">
        <v>0.97099999999999997</v>
      </c>
      <c r="N678" s="27">
        <v>0.97099999999999997</v>
      </c>
      <c r="O678" s="28">
        <v>8.8272727272727266E-4</v>
      </c>
      <c r="P678" s="28">
        <v>0.91944247787610622</v>
      </c>
    </row>
    <row r="679" spans="1:16" x14ac:dyDescent="0.3">
      <c r="A679" t="s">
        <v>3588</v>
      </c>
      <c r="B679" s="24">
        <v>101186</v>
      </c>
      <c r="C679" s="24" t="s">
        <v>1273</v>
      </c>
      <c r="D679" s="24" t="s">
        <v>2502</v>
      </c>
      <c r="E679" s="24" t="s">
        <v>2588</v>
      </c>
      <c r="F679" s="24" t="s">
        <v>1142</v>
      </c>
      <c r="G679" s="24" t="s">
        <v>2507</v>
      </c>
      <c r="H679" s="24" t="s">
        <v>2656</v>
      </c>
      <c r="I679" s="24" t="s">
        <v>2657</v>
      </c>
      <c r="J679" s="24" t="s">
        <v>761</v>
      </c>
      <c r="K679" s="24" t="s">
        <v>1146</v>
      </c>
      <c r="L679" s="25">
        <v>1070</v>
      </c>
      <c r="M679" s="26">
        <v>0.97099999999999997</v>
      </c>
      <c r="N679" s="27">
        <v>0.97099999999999997</v>
      </c>
      <c r="O679" s="28">
        <v>8.8272727272727266E-4</v>
      </c>
      <c r="P679" s="28">
        <v>0.91944247787610622</v>
      </c>
    </row>
    <row r="680" spans="1:16" x14ac:dyDescent="0.3">
      <c r="A680" t="s">
        <v>3589</v>
      </c>
      <c r="B680" s="24">
        <v>101206</v>
      </c>
      <c r="C680" s="24" t="s">
        <v>1199</v>
      </c>
      <c r="D680" s="24" t="s">
        <v>2502</v>
      </c>
      <c r="E680" s="24" t="s">
        <v>2588</v>
      </c>
      <c r="F680" s="24" t="s">
        <v>1142</v>
      </c>
      <c r="G680" s="24" t="s">
        <v>2507</v>
      </c>
      <c r="H680" s="24" t="s">
        <v>2656</v>
      </c>
      <c r="I680" s="24" t="s">
        <v>2657</v>
      </c>
      <c r="J680" s="24" t="s">
        <v>761</v>
      </c>
      <c r="K680" s="24" t="s">
        <v>1146</v>
      </c>
      <c r="L680" s="25">
        <v>1070</v>
      </c>
      <c r="M680" s="26">
        <v>0.97099999999999997</v>
      </c>
      <c r="N680" s="27">
        <v>0.97099999999999997</v>
      </c>
      <c r="O680" s="28">
        <v>8.8272727272727266E-4</v>
      </c>
      <c r="P680" s="28">
        <v>0.91944247787610622</v>
      </c>
    </row>
    <row r="681" spans="1:16" x14ac:dyDescent="0.3">
      <c r="A681" t="s">
        <v>3590</v>
      </c>
      <c r="B681" s="24">
        <v>100603</v>
      </c>
      <c r="C681" s="24" t="s">
        <v>1277</v>
      </c>
      <c r="D681" s="24" t="s">
        <v>2502</v>
      </c>
      <c r="E681" s="24" t="s">
        <v>2588</v>
      </c>
      <c r="F681" s="24" t="s">
        <v>1142</v>
      </c>
      <c r="G681" s="24" t="s">
        <v>2507</v>
      </c>
      <c r="H681" s="24" t="s">
        <v>2658</v>
      </c>
      <c r="I681" s="24" t="s">
        <v>2643</v>
      </c>
      <c r="J681" s="24" t="s">
        <v>761</v>
      </c>
      <c r="K681" s="24" t="s">
        <v>1146</v>
      </c>
      <c r="L681" s="25">
        <v>1070</v>
      </c>
      <c r="M681" s="26">
        <v>1.32</v>
      </c>
      <c r="N681" s="27">
        <v>1.32</v>
      </c>
      <c r="O681" s="28">
        <v>1.2000000000000001E-3</v>
      </c>
      <c r="P681" s="28">
        <v>1.2499115044247788</v>
      </c>
    </row>
    <row r="682" spans="1:16" x14ac:dyDescent="0.3">
      <c r="A682" t="s">
        <v>3591</v>
      </c>
      <c r="B682" s="24">
        <v>104223</v>
      </c>
      <c r="C682" s="24" t="s">
        <v>2526</v>
      </c>
      <c r="D682" s="24" t="s">
        <v>2502</v>
      </c>
      <c r="E682" s="24" t="s">
        <v>2588</v>
      </c>
      <c r="F682" s="24" t="s">
        <v>1142</v>
      </c>
      <c r="G682" s="24" t="s">
        <v>2507</v>
      </c>
      <c r="H682" s="24" t="s">
        <v>2658</v>
      </c>
      <c r="I682" s="24" t="s">
        <v>2643</v>
      </c>
      <c r="J682" s="24" t="s">
        <v>761</v>
      </c>
      <c r="K682" s="24" t="s">
        <v>1146</v>
      </c>
      <c r="L682" s="25">
        <v>1070</v>
      </c>
      <c r="M682" s="26">
        <v>1.33</v>
      </c>
      <c r="N682" s="27">
        <v>1.33</v>
      </c>
      <c r="O682" s="28">
        <v>1.2090909090909092E-3</v>
      </c>
      <c r="P682" s="28">
        <v>1.2593805309734514</v>
      </c>
    </row>
    <row r="683" spans="1:16" x14ac:dyDescent="0.3">
      <c r="A683" t="s">
        <v>3592</v>
      </c>
      <c r="B683" s="24">
        <v>141565</v>
      </c>
      <c r="C683" s="24" t="s">
        <v>2607</v>
      </c>
      <c r="D683" s="24" t="s">
        <v>2502</v>
      </c>
      <c r="E683" s="24" t="s">
        <v>2588</v>
      </c>
      <c r="F683" s="24" t="s">
        <v>1142</v>
      </c>
      <c r="G683" s="24" t="s">
        <v>1399</v>
      </c>
      <c r="H683" s="24" t="s">
        <v>2659</v>
      </c>
      <c r="I683" s="24" t="s">
        <v>2660</v>
      </c>
      <c r="J683" s="24" t="s">
        <v>761</v>
      </c>
      <c r="K683" s="24" t="s">
        <v>1146</v>
      </c>
      <c r="L683" s="25">
        <v>1070</v>
      </c>
      <c r="M683" s="26">
        <v>1.28</v>
      </c>
      <c r="N683" s="27">
        <v>1.28</v>
      </c>
      <c r="O683" s="28">
        <v>1.1636363636363637E-3</v>
      </c>
      <c r="P683" s="28">
        <v>1.2120353982300887</v>
      </c>
    </row>
    <row r="684" spans="1:16" x14ac:dyDescent="0.3">
      <c r="A684" t="s">
        <v>3593</v>
      </c>
      <c r="B684" s="24">
        <v>141565</v>
      </c>
      <c r="C684" s="24" t="s">
        <v>2607</v>
      </c>
      <c r="D684" s="24" t="s">
        <v>2502</v>
      </c>
      <c r="E684" s="24" t="s">
        <v>2588</v>
      </c>
      <c r="F684" s="24" t="s">
        <v>1142</v>
      </c>
      <c r="G684" s="24" t="s">
        <v>1399</v>
      </c>
      <c r="H684" s="24" t="s">
        <v>2661</v>
      </c>
      <c r="I684" s="24" t="s">
        <v>2662</v>
      </c>
      <c r="J684" s="24" t="s">
        <v>761</v>
      </c>
      <c r="K684" s="24" t="s">
        <v>1146</v>
      </c>
      <c r="L684" s="25">
        <v>1070</v>
      </c>
      <c r="M684" s="26">
        <v>1.72</v>
      </c>
      <c r="N684" s="27">
        <v>1.72</v>
      </c>
      <c r="O684" s="28">
        <v>1.5636363636363636E-3</v>
      </c>
      <c r="P684" s="28">
        <v>1.6286725663716812</v>
      </c>
    </row>
    <row r="685" spans="1:16" x14ac:dyDescent="0.3">
      <c r="A685" t="s">
        <v>3594</v>
      </c>
      <c r="B685" s="24">
        <v>141565</v>
      </c>
      <c r="C685" s="24" t="s">
        <v>2607</v>
      </c>
      <c r="D685" s="24" t="s">
        <v>2502</v>
      </c>
      <c r="E685" s="24" t="s">
        <v>2588</v>
      </c>
      <c r="F685" s="24" t="s">
        <v>1142</v>
      </c>
      <c r="G685" s="24" t="s">
        <v>1399</v>
      </c>
      <c r="H685" s="24" t="s">
        <v>2663</v>
      </c>
      <c r="I685" s="24" t="s">
        <v>2660</v>
      </c>
      <c r="J685" s="24" t="s">
        <v>761</v>
      </c>
      <c r="K685" s="24" t="s">
        <v>1146</v>
      </c>
      <c r="L685" s="25">
        <v>1070</v>
      </c>
      <c r="M685" s="26">
        <v>1.28</v>
      </c>
      <c r="N685" s="27">
        <v>1.28</v>
      </c>
      <c r="O685" s="28">
        <v>1.1636363636363637E-3</v>
      </c>
      <c r="P685" s="28">
        <v>1.2120353982300887</v>
      </c>
    </row>
    <row r="686" spans="1:16" x14ac:dyDescent="0.3">
      <c r="A686" t="s">
        <v>3595</v>
      </c>
      <c r="B686" s="24">
        <v>100587</v>
      </c>
      <c r="C686" s="24" t="s">
        <v>1347</v>
      </c>
      <c r="D686" s="24" t="s">
        <v>2502</v>
      </c>
      <c r="E686" s="24"/>
      <c r="F686" s="24" t="s">
        <v>1349</v>
      </c>
      <c r="G686" s="24" t="s">
        <v>1350</v>
      </c>
      <c r="H686" s="24" t="s">
        <v>2664</v>
      </c>
      <c r="I686" s="24" t="s">
        <v>2665</v>
      </c>
      <c r="J686" s="24" t="s">
        <v>761</v>
      </c>
      <c r="K686" s="24" t="s">
        <v>1352</v>
      </c>
      <c r="L686" s="25">
        <v>1</v>
      </c>
      <c r="M686" s="26">
        <v>40000</v>
      </c>
      <c r="N686" s="27">
        <v>36.363636363636367</v>
      </c>
      <c r="O686" s="28">
        <v>36.363636363636367</v>
      </c>
      <c r="P686" s="28">
        <v>35.398230088495573</v>
      </c>
    </row>
    <row r="687" spans="1:16" x14ac:dyDescent="0.3">
      <c r="A687" t="s">
        <v>3596</v>
      </c>
      <c r="B687" s="24">
        <v>109408</v>
      </c>
      <c r="C687" s="24" t="s">
        <v>2676</v>
      </c>
      <c r="D687" s="24" t="s">
        <v>2502</v>
      </c>
      <c r="E687" s="24"/>
      <c r="F687" s="24" t="s">
        <v>1349</v>
      </c>
      <c r="G687" s="24" t="s">
        <v>1350</v>
      </c>
      <c r="H687" s="24" t="s">
        <v>2866</v>
      </c>
      <c r="I687" s="24" t="s">
        <v>2867</v>
      </c>
      <c r="J687" s="24" t="s">
        <v>761</v>
      </c>
      <c r="K687" s="24" t="s">
        <v>1352</v>
      </c>
      <c r="L687" s="25">
        <v>1</v>
      </c>
      <c r="M687" s="26">
        <v>40000</v>
      </c>
      <c r="N687" s="27">
        <v>36.363636363636367</v>
      </c>
      <c r="O687" s="28">
        <v>36.363636363636367</v>
      </c>
      <c r="P687" s="28">
        <v>35.398230088495573</v>
      </c>
    </row>
    <row r="688" spans="1:16" x14ac:dyDescent="0.3">
      <c r="A688" t="s">
        <v>3597</v>
      </c>
      <c r="B688" s="24">
        <v>142548</v>
      </c>
      <c r="C688" s="24" t="s">
        <v>1809</v>
      </c>
      <c r="D688" s="24" t="s">
        <v>2502</v>
      </c>
      <c r="E688" s="24" t="s">
        <v>2666</v>
      </c>
      <c r="F688" s="24" t="s">
        <v>1237</v>
      </c>
      <c r="G688" s="24" t="s">
        <v>1360</v>
      </c>
      <c r="H688" s="24" t="s">
        <v>2667</v>
      </c>
      <c r="I688" s="24" t="s">
        <v>2668</v>
      </c>
      <c r="J688" s="24" t="s">
        <v>761</v>
      </c>
      <c r="K688" s="24" t="s">
        <v>1146</v>
      </c>
      <c r="L688" s="25">
        <v>1070</v>
      </c>
      <c r="M688" s="26">
        <v>1.05</v>
      </c>
      <c r="N688" s="27">
        <v>1.05</v>
      </c>
      <c r="O688" s="28">
        <v>9.5454545454545456E-4</v>
      </c>
      <c r="P688" s="28">
        <v>0.99424778761061949</v>
      </c>
    </row>
    <row r="689" spans="1:16" x14ac:dyDescent="0.3">
      <c r="A689" t="s">
        <v>3598</v>
      </c>
      <c r="B689" s="24">
        <v>109894</v>
      </c>
      <c r="C689" s="24" t="s">
        <v>2501</v>
      </c>
      <c r="D689" s="24" t="s">
        <v>2502</v>
      </c>
      <c r="E689" s="24" t="s">
        <v>2666</v>
      </c>
      <c r="F689" s="24" t="s">
        <v>1142</v>
      </c>
      <c r="G689" s="24" t="s">
        <v>1399</v>
      </c>
      <c r="H689" s="24" t="s">
        <v>2669</v>
      </c>
      <c r="I689" s="24" t="s">
        <v>2670</v>
      </c>
      <c r="J689" s="24" t="s">
        <v>761</v>
      </c>
      <c r="K689" s="24" t="s">
        <v>1146</v>
      </c>
      <c r="L689" s="25">
        <v>1070</v>
      </c>
      <c r="M689" s="26">
        <v>1.03</v>
      </c>
      <c r="N689" s="27">
        <v>1.03</v>
      </c>
      <c r="O689" s="28">
        <v>9.3636363636363643E-4</v>
      </c>
      <c r="P689" s="28">
        <v>0.97530973451327441</v>
      </c>
    </row>
    <row r="690" spans="1:16" x14ac:dyDescent="0.3">
      <c r="A690" t="s">
        <v>3599</v>
      </c>
      <c r="B690" s="24">
        <v>142548</v>
      </c>
      <c r="C690" s="24" t="s">
        <v>1809</v>
      </c>
      <c r="D690" s="24" t="s">
        <v>2502</v>
      </c>
      <c r="E690" s="24" t="s">
        <v>2666</v>
      </c>
      <c r="F690" s="24" t="s">
        <v>1237</v>
      </c>
      <c r="G690" s="24" t="s">
        <v>1360</v>
      </c>
      <c r="H690" s="24" t="s">
        <v>2671</v>
      </c>
      <c r="I690" s="24" t="s">
        <v>2672</v>
      </c>
      <c r="J690" s="24" t="s">
        <v>761</v>
      </c>
      <c r="K690" s="24" t="s">
        <v>1146</v>
      </c>
      <c r="L690" s="25">
        <v>1070</v>
      </c>
      <c r="M690" s="26">
        <v>1.1000000000000001</v>
      </c>
      <c r="N690" s="27">
        <v>1.1000000000000001</v>
      </c>
      <c r="O690" s="28">
        <v>1E-3</v>
      </c>
      <c r="P690" s="28">
        <v>1.0415929203539822</v>
      </c>
    </row>
    <row r="691" spans="1:16" x14ac:dyDescent="0.3">
      <c r="A691" t="s">
        <v>3600</v>
      </c>
      <c r="B691" s="24">
        <v>100335</v>
      </c>
      <c r="C691" s="24" t="s">
        <v>1517</v>
      </c>
      <c r="D691" s="24" t="s">
        <v>2502</v>
      </c>
      <c r="E691" s="24" t="s">
        <v>2673</v>
      </c>
      <c r="F691" s="24" t="s">
        <v>1349</v>
      </c>
      <c r="G691" s="24" t="s">
        <v>1350</v>
      </c>
      <c r="H691" s="24" t="s">
        <v>2674</v>
      </c>
      <c r="I691" s="24" t="s">
        <v>2675</v>
      </c>
      <c r="J691" s="24" t="s">
        <v>761</v>
      </c>
      <c r="K691" s="24" t="s">
        <v>1146</v>
      </c>
      <c r="L691" s="25">
        <v>1070</v>
      </c>
      <c r="M691" s="26">
        <v>10.25</v>
      </c>
      <c r="N691" s="27">
        <v>10.25</v>
      </c>
      <c r="O691" s="28">
        <v>9.3181818181818175E-3</v>
      </c>
      <c r="P691" s="28">
        <v>9.7057522123893811</v>
      </c>
    </row>
    <row r="692" spans="1:16" x14ac:dyDescent="0.3">
      <c r="A692" t="s">
        <v>3600</v>
      </c>
      <c r="B692" s="24">
        <v>100335</v>
      </c>
      <c r="C692" s="24" t="s">
        <v>1517</v>
      </c>
      <c r="D692" s="24" t="s">
        <v>2502</v>
      </c>
      <c r="E692" s="24" t="s">
        <v>2673</v>
      </c>
      <c r="F692" s="24" t="s">
        <v>1237</v>
      </c>
      <c r="G692" s="24" t="s">
        <v>1358</v>
      </c>
      <c r="H692" s="24" t="s">
        <v>2674</v>
      </c>
      <c r="I692" s="24" t="s">
        <v>2675</v>
      </c>
      <c r="J692" s="24" t="s">
        <v>761</v>
      </c>
      <c r="K692" s="24" t="s">
        <v>1146</v>
      </c>
      <c r="L692" s="25">
        <v>1070</v>
      </c>
      <c r="M692" s="26">
        <v>10.25</v>
      </c>
      <c r="N692" s="27">
        <v>10.25</v>
      </c>
      <c r="O692" s="28">
        <v>9.3181818181818175E-3</v>
      </c>
      <c r="P692" s="28">
        <v>9.7057522123893811</v>
      </c>
    </row>
    <row r="693" spans="1:16" x14ac:dyDescent="0.3">
      <c r="A693" t="s">
        <v>3601</v>
      </c>
      <c r="B693" s="24">
        <v>109408</v>
      </c>
      <c r="C693" s="24" t="s">
        <v>2676</v>
      </c>
      <c r="D693" s="24" t="s">
        <v>2502</v>
      </c>
      <c r="E693" s="24" t="s">
        <v>2673</v>
      </c>
      <c r="F693" s="24" t="s">
        <v>1349</v>
      </c>
      <c r="G693" s="24" t="s">
        <v>1350</v>
      </c>
      <c r="H693" s="24" t="s">
        <v>2677</v>
      </c>
      <c r="I693" s="24" t="s">
        <v>2678</v>
      </c>
      <c r="J693" s="24" t="s">
        <v>761</v>
      </c>
      <c r="K693" s="24" t="s">
        <v>1352</v>
      </c>
      <c r="L693" s="25">
        <v>1</v>
      </c>
      <c r="M693" s="26">
        <v>31000</v>
      </c>
      <c r="N693" s="27">
        <v>28.181818181818183</v>
      </c>
      <c r="O693" s="28">
        <v>28.181818181818183</v>
      </c>
      <c r="P693" s="28">
        <v>27.43362831858407</v>
      </c>
    </row>
    <row r="694" spans="1:16" x14ac:dyDescent="0.3">
      <c r="A694" t="s">
        <v>3601</v>
      </c>
      <c r="B694" s="24">
        <v>109408</v>
      </c>
      <c r="C694" s="24" t="s">
        <v>2676</v>
      </c>
      <c r="D694" s="24" t="s">
        <v>2502</v>
      </c>
      <c r="E694" s="24" t="s">
        <v>2673</v>
      </c>
      <c r="F694" s="24" t="s">
        <v>1237</v>
      </c>
      <c r="G694" s="24" t="s">
        <v>1358</v>
      </c>
      <c r="H694" s="24" t="s">
        <v>2677</v>
      </c>
      <c r="I694" s="24" t="s">
        <v>2678</v>
      </c>
      <c r="J694" s="24" t="s">
        <v>761</v>
      </c>
      <c r="K694" s="24" t="s">
        <v>1352</v>
      </c>
      <c r="L694" s="25">
        <v>1</v>
      </c>
      <c r="M694" s="26">
        <v>30000</v>
      </c>
      <c r="N694" s="27">
        <v>27.272727272727273</v>
      </c>
      <c r="O694" s="28">
        <v>27.272727272727273</v>
      </c>
      <c r="P694" s="28">
        <v>26.548672566371682</v>
      </c>
    </row>
    <row r="695" spans="1:16" x14ac:dyDescent="0.3">
      <c r="A695" t="s">
        <v>3602</v>
      </c>
      <c r="B695" s="24">
        <v>109408</v>
      </c>
      <c r="C695" s="24" t="s">
        <v>2676</v>
      </c>
      <c r="D695" s="24" t="s">
        <v>2502</v>
      </c>
      <c r="E695" s="24"/>
      <c r="F695" s="24" t="s">
        <v>1349</v>
      </c>
      <c r="G695" s="24" t="s">
        <v>1350</v>
      </c>
      <c r="H695" s="24" t="s">
        <v>2679</v>
      </c>
      <c r="I695" s="24" t="s">
        <v>2680</v>
      </c>
      <c r="J695" s="24" t="s">
        <v>761</v>
      </c>
      <c r="K695" s="24" t="s">
        <v>1352</v>
      </c>
      <c r="L695" s="25">
        <v>1</v>
      </c>
      <c r="M695" s="26">
        <v>25000</v>
      </c>
      <c r="N695" s="27">
        <v>22.727272727272727</v>
      </c>
      <c r="O695" s="28">
        <v>22.727272727272727</v>
      </c>
      <c r="P695" s="28">
        <v>22.123893805309734</v>
      </c>
    </row>
    <row r="696" spans="1:16" x14ac:dyDescent="0.3">
      <c r="A696" t="s">
        <v>3603</v>
      </c>
      <c r="B696" s="24">
        <v>100702</v>
      </c>
      <c r="C696" s="24" t="s">
        <v>1357</v>
      </c>
      <c r="D696" s="24" t="s">
        <v>2502</v>
      </c>
      <c r="E696" s="24" t="s">
        <v>2681</v>
      </c>
      <c r="F696" s="24" t="s">
        <v>1142</v>
      </c>
      <c r="G696" s="24" t="s">
        <v>1399</v>
      </c>
      <c r="H696" s="24" t="s">
        <v>2682</v>
      </c>
      <c r="I696" s="24" t="s">
        <v>2683</v>
      </c>
      <c r="J696" s="24" t="s">
        <v>761</v>
      </c>
      <c r="K696" s="24" t="s">
        <v>1146</v>
      </c>
      <c r="L696" s="25">
        <v>1070</v>
      </c>
      <c r="M696" s="26">
        <v>3</v>
      </c>
      <c r="N696" s="27">
        <v>3</v>
      </c>
      <c r="O696" s="28">
        <v>2.7272727272727275E-3</v>
      </c>
      <c r="P696" s="28">
        <v>2.8407079646017701</v>
      </c>
    </row>
    <row r="697" spans="1:16" x14ac:dyDescent="0.3">
      <c r="A697" t="s">
        <v>3604</v>
      </c>
      <c r="B697" s="24">
        <v>106916</v>
      </c>
      <c r="C697" s="24" t="s">
        <v>1216</v>
      </c>
      <c r="D697" s="24" t="s">
        <v>2502</v>
      </c>
      <c r="E697" s="24" t="s">
        <v>2681</v>
      </c>
      <c r="F697" s="24" t="s">
        <v>1142</v>
      </c>
      <c r="G697" s="24" t="s">
        <v>1399</v>
      </c>
      <c r="H697" s="24" t="s">
        <v>2682</v>
      </c>
      <c r="I697" s="24" t="s">
        <v>2683</v>
      </c>
      <c r="J697" s="24" t="s">
        <v>761</v>
      </c>
      <c r="K697" s="24" t="s">
        <v>1146</v>
      </c>
      <c r="L697" s="25">
        <v>1070</v>
      </c>
      <c r="M697" s="26">
        <v>3</v>
      </c>
      <c r="N697" s="27">
        <v>3</v>
      </c>
      <c r="O697" s="28">
        <v>2.7272727272727275E-3</v>
      </c>
      <c r="P697" s="28">
        <v>2.8407079646017701</v>
      </c>
    </row>
    <row r="698" spans="1:16" x14ac:dyDescent="0.3">
      <c r="A698" t="s">
        <v>3605</v>
      </c>
      <c r="B698" s="24">
        <v>106916</v>
      </c>
      <c r="C698" s="24" t="s">
        <v>1216</v>
      </c>
      <c r="D698" s="24" t="s">
        <v>2502</v>
      </c>
      <c r="E698" s="24" t="s">
        <v>2681</v>
      </c>
      <c r="F698" s="24" t="s">
        <v>1142</v>
      </c>
      <c r="G698" s="24" t="s">
        <v>1399</v>
      </c>
      <c r="H698" s="24" t="s">
        <v>2684</v>
      </c>
      <c r="I698" s="24" t="s">
        <v>2683</v>
      </c>
      <c r="J698" s="24" t="s">
        <v>761</v>
      </c>
      <c r="K698" s="24" t="s">
        <v>1146</v>
      </c>
      <c r="L698" s="25">
        <v>1070</v>
      </c>
      <c r="M698" s="26">
        <v>3</v>
      </c>
      <c r="N698" s="27">
        <v>3</v>
      </c>
      <c r="O698" s="28">
        <v>2.7272727272727275E-3</v>
      </c>
      <c r="P698" s="28">
        <v>2.8407079646017701</v>
      </c>
    </row>
    <row r="699" spans="1:16" x14ac:dyDescent="0.3">
      <c r="A699" t="s">
        <v>3606</v>
      </c>
      <c r="B699" s="24">
        <v>106916</v>
      </c>
      <c r="C699" s="24" t="s">
        <v>1216</v>
      </c>
      <c r="D699" s="24" t="s">
        <v>2502</v>
      </c>
      <c r="E699" s="24" t="s">
        <v>2681</v>
      </c>
      <c r="F699" s="24" t="s">
        <v>1142</v>
      </c>
      <c r="G699" s="24" t="s">
        <v>1399</v>
      </c>
      <c r="H699" s="24" t="s">
        <v>2685</v>
      </c>
      <c r="I699" s="24" t="s">
        <v>2683</v>
      </c>
      <c r="J699" s="24" t="s">
        <v>761</v>
      </c>
      <c r="K699" s="24" t="s">
        <v>1146</v>
      </c>
      <c r="L699" s="25">
        <v>1070</v>
      </c>
      <c r="M699" s="26">
        <v>3</v>
      </c>
      <c r="N699" s="27">
        <v>3</v>
      </c>
      <c r="O699" s="28">
        <v>2.7272727272727275E-3</v>
      </c>
      <c r="P699" s="28">
        <v>2.8407079646017701</v>
      </c>
    </row>
    <row r="700" spans="1:16" x14ac:dyDescent="0.3">
      <c r="A700" t="s">
        <v>3607</v>
      </c>
      <c r="B700" s="24">
        <v>300157</v>
      </c>
      <c r="C700" s="24" t="s">
        <v>2686</v>
      </c>
      <c r="D700" s="24" t="s">
        <v>2502</v>
      </c>
      <c r="E700" s="24" t="s">
        <v>2681</v>
      </c>
      <c r="F700" s="24" t="s">
        <v>1142</v>
      </c>
      <c r="G700" s="24" t="s">
        <v>1399</v>
      </c>
      <c r="H700" s="24" t="s">
        <v>2685</v>
      </c>
      <c r="I700" s="24" t="s">
        <v>2683</v>
      </c>
      <c r="J700" s="24" t="s">
        <v>761</v>
      </c>
      <c r="K700" s="24" t="s">
        <v>1146</v>
      </c>
      <c r="L700" s="25">
        <v>1070</v>
      </c>
      <c r="M700" s="26">
        <v>3.73</v>
      </c>
      <c r="N700" s="27">
        <v>3.73</v>
      </c>
      <c r="O700" s="28">
        <v>3.3909090909090907E-3</v>
      </c>
      <c r="P700" s="28">
        <v>3.5319469026548673</v>
      </c>
    </row>
    <row r="701" spans="1:16" x14ac:dyDescent="0.3">
      <c r="A701" t="s">
        <v>3608</v>
      </c>
      <c r="B701" s="24">
        <v>109408</v>
      </c>
      <c r="C701" s="24" t="s">
        <v>2676</v>
      </c>
      <c r="D701" s="24" t="s">
        <v>2502</v>
      </c>
      <c r="E701" s="24" t="s">
        <v>2673</v>
      </c>
      <c r="F701" s="24" t="s">
        <v>1349</v>
      </c>
      <c r="G701" s="24" t="s">
        <v>1350</v>
      </c>
      <c r="H701" s="24" t="s">
        <v>2687</v>
      </c>
      <c r="I701" s="24" t="s">
        <v>2688</v>
      </c>
      <c r="J701" s="24" t="s">
        <v>761</v>
      </c>
      <c r="K701" s="24" t="s">
        <v>1352</v>
      </c>
      <c r="L701" s="25">
        <v>1</v>
      </c>
      <c r="M701" s="26">
        <v>10000</v>
      </c>
      <c r="N701" s="27">
        <v>9.0909090909090917</v>
      </c>
      <c r="O701" s="28">
        <v>9.0909090909090917</v>
      </c>
      <c r="P701" s="28">
        <v>8.8495575221238933</v>
      </c>
    </row>
    <row r="702" spans="1:16" x14ac:dyDescent="0.3">
      <c r="A702" t="s">
        <v>3609</v>
      </c>
      <c r="B702" s="24">
        <v>100587</v>
      </c>
      <c r="C702" s="24" t="s">
        <v>1347</v>
      </c>
      <c r="D702" s="24" t="s">
        <v>2502</v>
      </c>
      <c r="E702" s="24" t="s">
        <v>2673</v>
      </c>
      <c r="F702" s="24" t="s">
        <v>1349</v>
      </c>
      <c r="G702" s="24" t="s">
        <v>1350</v>
      </c>
      <c r="H702" s="24" t="s">
        <v>2689</v>
      </c>
      <c r="I702" s="24" t="s">
        <v>2688</v>
      </c>
      <c r="J702" s="24" t="s">
        <v>761</v>
      </c>
      <c r="K702" s="24" t="s">
        <v>1352</v>
      </c>
      <c r="L702" s="25">
        <v>1</v>
      </c>
      <c r="M702" s="26">
        <v>10000</v>
      </c>
      <c r="N702" s="27">
        <v>9.0909090909090917</v>
      </c>
      <c r="O702" s="28">
        <v>9.0909090909090917</v>
      </c>
      <c r="P702" s="28">
        <v>8.8495575221238933</v>
      </c>
    </row>
    <row r="703" spans="1:16" x14ac:dyDescent="0.3">
      <c r="A703" t="s">
        <v>3610</v>
      </c>
      <c r="B703" s="24">
        <v>109408</v>
      </c>
      <c r="C703" s="24" t="s">
        <v>2676</v>
      </c>
      <c r="D703" s="24" t="s">
        <v>2502</v>
      </c>
      <c r="E703" s="24" t="s">
        <v>2673</v>
      </c>
      <c r="F703" s="24" t="s">
        <v>1349</v>
      </c>
      <c r="G703" s="24" t="s">
        <v>1350</v>
      </c>
      <c r="H703" s="24" t="s">
        <v>2689</v>
      </c>
      <c r="I703" s="24" t="s">
        <v>2688</v>
      </c>
      <c r="J703" s="24" t="s">
        <v>761</v>
      </c>
      <c r="K703" s="24" t="s">
        <v>1352</v>
      </c>
      <c r="L703" s="25">
        <v>1</v>
      </c>
      <c r="M703" s="26">
        <v>10000</v>
      </c>
      <c r="N703" s="27">
        <v>9.0909090909090917</v>
      </c>
      <c r="O703" s="28">
        <v>9.0909090909090917</v>
      </c>
      <c r="P703" s="28">
        <v>8.8495575221238933</v>
      </c>
    </row>
    <row r="704" spans="1:16" x14ac:dyDescent="0.3">
      <c r="A704" t="s">
        <v>3610</v>
      </c>
      <c r="B704" s="24">
        <v>109408</v>
      </c>
      <c r="C704" s="24" t="s">
        <v>2676</v>
      </c>
      <c r="D704" s="24" t="s">
        <v>2502</v>
      </c>
      <c r="E704" s="24" t="s">
        <v>2673</v>
      </c>
      <c r="F704" s="24" t="s">
        <v>1237</v>
      </c>
      <c r="G704" s="24" t="s">
        <v>1358</v>
      </c>
      <c r="H704" s="24" t="s">
        <v>2689</v>
      </c>
      <c r="I704" s="24" t="s">
        <v>2688</v>
      </c>
      <c r="J704" s="24" t="s">
        <v>761</v>
      </c>
      <c r="K704" s="24" t="s">
        <v>1352</v>
      </c>
      <c r="L704" s="25">
        <v>1</v>
      </c>
      <c r="M704" s="26">
        <v>10000</v>
      </c>
      <c r="N704" s="27">
        <v>9.0909090909090917</v>
      </c>
      <c r="O704" s="28">
        <v>9.0909090909090917</v>
      </c>
      <c r="P704" s="28">
        <v>8.8495575221238933</v>
      </c>
    </row>
    <row r="705" spans="1:16" x14ac:dyDescent="0.3">
      <c r="A705" t="s">
        <v>3611</v>
      </c>
      <c r="B705" s="24">
        <v>100587</v>
      </c>
      <c r="C705" s="24" t="s">
        <v>1347</v>
      </c>
      <c r="D705" s="24" t="s">
        <v>2502</v>
      </c>
      <c r="E705" s="24" t="s">
        <v>2673</v>
      </c>
      <c r="F705" s="24" t="s">
        <v>1349</v>
      </c>
      <c r="G705" s="24" t="s">
        <v>1350</v>
      </c>
      <c r="H705" s="24" t="s">
        <v>2690</v>
      </c>
      <c r="I705" s="24" t="s">
        <v>2688</v>
      </c>
      <c r="J705" s="24" t="s">
        <v>761</v>
      </c>
      <c r="K705" s="24" t="s">
        <v>1352</v>
      </c>
      <c r="L705" s="25">
        <v>1</v>
      </c>
      <c r="M705" s="26">
        <v>10000</v>
      </c>
      <c r="N705" s="27">
        <v>9.0909090909090917</v>
      </c>
      <c r="O705" s="28">
        <v>9.0909090909090917</v>
      </c>
      <c r="P705" s="28">
        <v>8.8495575221238933</v>
      </c>
    </row>
    <row r="706" spans="1:16" x14ac:dyDescent="0.3">
      <c r="A706" t="s">
        <v>3612</v>
      </c>
      <c r="B706" s="24">
        <v>109408</v>
      </c>
      <c r="C706" s="24" t="s">
        <v>2676</v>
      </c>
      <c r="D706" s="24" t="s">
        <v>2502</v>
      </c>
      <c r="E706" s="24" t="s">
        <v>2673</v>
      </c>
      <c r="F706" s="24" t="s">
        <v>1237</v>
      </c>
      <c r="G706" s="24" t="s">
        <v>1358</v>
      </c>
      <c r="H706" s="24" t="s">
        <v>2690</v>
      </c>
      <c r="I706" s="24" t="s">
        <v>2688</v>
      </c>
      <c r="J706" s="24" t="s">
        <v>761</v>
      </c>
      <c r="K706" s="24" t="s">
        <v>1352</v>
      </c>
      <c r="L706" s="25">
        <v>1</v>
      </c>
      <c r="M706" s="26">
        <v>10000</v>
      </c>
      <c r="N706" s="27">
        <v>9.0909090909090917</v>
      </c>
      <c r="O706" s="28">
        <v>9.0909090909090917</v>
      </c>
      <c r="P706" s="28">
        <v>8.8495575221238933</v>
      </c>
    </row>
    <row r="707" spans="1:16" x14ac:dyDescent="0.3">
      <c r="A707" t="s">
        <v>3613</v>
      </c>
      <c r="B707" s="24">
        <v>100587</v>
      </c>
      <c r="C707" s="24" t="s">
        <v>1347</v>
      </c>
      <c r="D707" s="24" t="s">
        <v>2502</v>
      </c>
      <c r="E707" s="24" t="s">
        <v>2673</v>
      </c>
      <c r="F707" s="24" t="s">
        <v>1349</v>
      </c>
      <c r="G707" s="24" t="s">
        <v>1350</v>
      </c>
      <c r="H707" s="24" t="s">
        <v>2691</v>
      </c>
      <c r="I707" s="24" t="s">
        <v>2688</v>
      </c>
      <c r="J707" s="24" t="s">
        <v>761</v>
      </c>
      <c r="K707" s="24" t="s">
        <v>1352</v>
      </c>
      <c r="L707" s="25">
        <v>1</v>
      </c>
      <c r="M707" s="26">
        <v>10000</v>
      </c>
      <c r="N707" s="27">
        <v>9.0909090909090917</v>
      </c>
      <c r="O707" s="28">
        <v>9.0909090909090917</v>
      </c>
      <c r="P707" s="28">
        <v>8.8495575221238933</v>
      </c>
    </row>
    <row r="708" spans="1:16" x14ac:dyDescent="0.3">
      <c r="A708" t="s">
        <v>3614</v>
      </c>
      <c r="B708" s="24">
        <v>109408</v>
      </c>
      <c r="C708" s="24" t="s">
        <v>2676</v>
      </c>
      <c r="D708" s="24" t="s">
        <v>2502</v>
      </c>
      <c r="E708" s="24" t="s">
        <v>2673</v>
      </c>
      <c r="F708" s="24" t="s">
        <v>1237</v>
      </c>
      <c r="G708" s="24" t="s">
        <v>1358</v>
      </c>
      <c r="H708" s="24" t="s">
        <v>2691</v>
      </c>
      <c r="I708" s="24" t="s">
        <v>2688</v>
      </c>
      <c r="J708" s="24" t="s">
        <v>761</v>
      </c>
      <c r="K708" s="24" t="s">
        <v>1352</v>
      </c>
      <c r="L708" s="25">
        <v>1</v>
      </c>
      <c r="M708" s="26">
        <v>10000</v>
      </c>
      <c r="N708" s="27">
        <v>9.0909090909090917</v>
      </c>
      <c r="O708" s="28">
        <v>9.0909090909090917</v>
      </c>
      <c r="P708" s="28">
        <v>8.8495575221238933</v>
      </c>
    </row>
    <row r="709" spans="1:16" x14ac:dyDescent="0.3">
      <c r="A709" t="s">
        <v>3615</v>
      </c>
      <c r="B709" s="24">
        <v>100587</v>
      </c>
      <c r="C709" s="24" t="s">
        <v>1347</v>
      </c>
      <c r="D709" s="24" t="s">
        <v>2502</v>
      </c>
      <c r="E709" s="24" t="s">
        <v>2673</v>
      </c>
      <c r="F709" s="24" t="s">
        <v>1349</v>
      </c>
      <c r="G709" s="24" t="s">
        <v>1350</v>
      </c>
      <c r="H709" s="24" t="s">
        <v>2692</v>
      </c>
      <c r="I709" s="24" t="s">
        <v>2688</v>
      </c>
      <c r="J709" s="24" t="s">
        <v>761</v>
      </c>
      <c r="K709" s="24" t="s">
        <v>1352</v>
      </c>
      <c r="L709" s="25">
        <v>1</v>
      </c>
      <c r="M709" s="26">
        <v>10000</v>
      </c>
      <c r="N709" s="27">
        <v>9.0909090909090917</v>
      </c>
      <c r="O709" s="28">
        <v>9.0909090909090917</v>
      </c>
      <c r="P709" s="28">
        <v>8.8495575221238933</v>
      </c>
    </row>
    <row r="710" spans="1:16" x14ac:dyDescent="0.3">
      <c r="A710" t="s">
        <v>3616</v>
      </c>
      <c r="B710" s="24">
        <v>109408</v>
      </c>
      <c r="C710" s="24" t="s">
        <v>2676</v>
      </c>
      <c r="D710" s="24" t="s">
        <v>2502</v>
      </c>
      <c r="E710" s="24" t="s">
        <v>2673</v>
      </c>
      <c r="F710" s="24" t="s">
        <v>1237</v>
      </c>
      <c r="G710" s="24" t="s">
        <v>1358</v>
      </c>
      <c r="H710" s="24" t="s">
        <v>2692</v>
      </c>
      <c r="I710" s="24" t="s">
        <v>2688</v>
      </c>
      <c r="J710" s="24" t="s">
        <v>761</v>
      </c>
      <c r="K710" s="24" t="s">
        <v>1352</v>
      </c>
      <c r="L710" s="25">
        <v>1</v>
      </c>
      <c r="M710" s="26">
        <v>10000</v>
      </c>
      <c r="N710" s="27">
        <v>9.0909090909090917</v>
      </c>
      <c r="O710" s="28">
        <v>9.0909090909090917</v>
      </c>
      <c r="P710" s="28">
        <v>8.8495575221238933</v>
      </c>
    </row>
    <row r="711" spans="1:16" x14ac:dyDescent="0.3">
      <c r="A711" t="s">
        <v>3617</v>
      </c>
      <c r="B711" s="24" t="s">
        <v>2693</v>
      </c>
      <c r="C711" s="24" t="s">
        <v>2694</v>
      </c>
      <c r="D711" s="24" t="s">
        <v>2502</v>
      </c>
      <c r="E711" s="24" t="s">
        <v>2673</v>
      </c>
      <c r="F711" s="24" t="s">
        <v>1237</v>
      </c>
      <c r="G711" s="24" t="s">
        <v>1360</v>
      </c>
      <c r="H711" s="24" t="s">
        <v>2695</v>
      </c>
      <c r="I711" s="24" t="s">
        <v>2688</v>
      </c>
      <c r="J711" s="24" t="s">
        <v>761</v>
      </c>
      <c r="K711" s="24" t="s">
        <v>1146</v>
      </c>
      <c r="L711" s="25">
        <v>1070</v>
      </c>
      <c r="M711" s="26">
        <v>8</v>
      </c>
      <c r="N711" s="27">
        <v>8</v>
      </c>
      <c r="O711" s="28">
        <v>7.2727272727272727E-3</v>
      </c>
      <c r="P711" s="28">
        <v>7.5752212389380533</v>
      </c>
    </row>
    <row r="712" spans="1:16" x14ac:dyDescent="0.3">
      <c r="A712" t="s">
        <v>3618</v>
      </c>
      <c r="B712" s="24" t="s">
        <v>2693</v>
      </c>
      <c r="C712" s="24" t="s">
        <v>2694</v>
      </c>
      <c r="D712" s="24" t="s">
        <v>2502</v>
      </c>
      <c r="E712" s="24" t="s">
        <v>2673</v>
      </c>
      <c r="F712" s="24" t="s">
        <v>1237</v>
      </c>
      <c r="G712" s="24" t="s">
        <v>1360</v>
      </c>
      <c r="H712" s="24" t="s">
        <v>2696</v>
      </c>
      <c r="I712" s="24" t="s">
        <v>2688</v>
      </c>
      <c r="J712" s="24" t="s">
        <v>761</v>
      </c>
      <c r="K712" s="24" t="s">
        <v>1146</v>
      </c>
      <c r="L712" s="25">
        <v>1070</v>
      </c>
      <c r="M712" s="26">
        <v>8</v>
      </c>
      <c r="N712" s="27">
        <v>8</v>
      </c>
      <c r="O712" s="28">
        <v>7.2727272727272727E-3</v>
      </c>
      <c r="P712" s="28">
        <v>7.5752212389380533</v>
      </c>
    </row>
    <row r="713" spans="1:16" x14ac:dyDescent="0.3">
      <c r="A713" t="s">
        <v>3619</v>
      </c>
      <c r="B713" s="24">
        <v>400144</v>
      </c>
      <c r="C713" s="24" t="s">
        <v>1250</v>
      </c>
      <c r="D713" s="24" t="s">
        <v>2502</v>
      </c>
      <c r="E713" s="24" t="s">
        <v>2673</v>
      </c>
      <c r="F713" s="24" t="s">
        <v>1237</v>
      </c>
      <c r="G713" s="24" t="s">
        <v>1360</v>
      </c>
      <c r="H713" s="24" t="s">
        <v>2697</v>
      </c>
      <c r="I713" s="24" t="s">
        <v>2688</v>
      </c>
      <c r="J713" s="24" t="s">
        <v>761</v>
      </c>
      <c r="K713" s="24" t="s">
        <v>1146</v>
      </c>
      <c r="L713" s="25">
        <v>1070</v>
      </c>
      <c r="M713" s="26">
        <v>10</v>
      </c>
      <c r="N713" s="27">
        <v>10</v>
      </c>
      <c r="O713" s="28">
        <v>9.0909090909090905E-3</v>
      </c>
      <c r="P713" s="28">
        <v>9.4690265486725664</v>
      </c>
    </row>
    <row r="714" spans="1:16" x14ac:dyDescent="0.3">
      <c r="A714" t="s">
        <v>3620</v>
      </c>
      <c r="B714" s="24" t="s">
        <v>2693</v>
      </c>
      <c r="C714" s="24" t="s">
        <v>2694</v>
      </c>
      <c r="D714" s="24" t="s">
        <v>2502</v>
      </c>
      <c r="E714" s="24" t="s">
        <v>2673</v>
      </c>
      <c r="F714" s="24" t="s">
        <v>1237</v>
      </c>
      <c r="G714" s="24" t="s">
        <v>1360</v>
      </c>
      <c r="H714" s="24" t="s">
        <v>2697</v>
      </c>
      <c r="I714" s="24" t="s">
        <v>2688</v>
      </c>
      <c r="J714" s="24" t="s">
        <v>761</v>
      </c>
      <c r="K714" s="24" t="s">
        <v>1146</v>
      </c>
      <c r="L714" s="25">
        <v>1070</v>
      </c>
      <c r="M714" s="26">
        <v>8</v>
      </c>
      <c r="N714" s="27">
        <v>8</v>
      </c>
      <c r="O714" s="28">
        <v>7.2727272727272727E-3</v>
      </c>
      <c r="P714" s="28">
        <v>7.5752212389380533</v>
      </c>
    </row>
    <row r="715" spans="1:16" x14ac:dyDescent="0.3">
      <c r="A715" t="s">
        <v>3621</v>
      </c>
      <c r="B715" s="24">
        <v>300008</v>
      </c>
      <c r="C715" s="24" t="s">
        <v>2219</v>
      </c>
      <c r="D715" s="24" t="s">
        <v>2502</v>
      </c>
      <c r="E715" s="24" t="s">
        <v>2673</v>
      </c>
      <c r="F715" s="24" t="s">
        <v>1237</v>
      </c>
      <c r="G715" s="24" t="s">
        <v>1360</v>
      </c>
      <c r="H715" s="24" t="s">
        <v>2698</v>
      </c>
      <c r="I715" s="24" t="s">
        <v>2688</v>
      </c>
      <c r="J715" s="24" t="s">
        <v>761</v>
      </c>
      <c r="K715" s="24" t="s">
        <v>1146</v>
      </c>
      <c r="L715" s="25">
        <v>1070</v>
      </c>
      <c r="M715" s="26">
        <v>8.9</v>
      </c>
      <c r="N715" s="27">
        <v>8.9</v>
      </c>
      <c r="O715" s="28">
        <v>8.0909090909090913E-3</v>
      </c>
      <c r="P715" s="28">
        <v>8.4274336283185836</v>
      </c>
    </row>
    <row r="716" spans="1:16" x14ac:dyDescent="0.3">
      <c r="A716" t="s">
        <v>3622</v>
      </c>
      <c r="B716" s="24">
        <v>300008</v>
      </c>
      <c r="C716" s="24" t="s">
        <v>2219</v>
      </c>
      <c r="D716" s="24" t="s">
        <v>2502</v>
      </c>
      <c r="E716" s="24" t="s">
        <v>2673</v>
      </c>
      <c r="F716" s="24" t="s">
        <v>1237</v>
      </c>
      <c r="G716" s="24" t="s">
        <v>1360</v>
      </c>
      <c r="H716" s="24" t="s">
        <v>2699</v>
      </c>
      <c r="I716" s="24" t="s">
        <v>2688</v>
      </c>
      <c r="J716" s="24" t="s">
        <v>761</v>
      </c>
      <c r="K716" s="24" t="s">
        <v>1146</v>
      </c>
      <c r="L716" s="25">
        <v>1070</v>
      </c>
      <c r="M716" s="26">
        <v>8.9</v>
      </c>
      <c r="N716" s="27">
        <v>8.9</v>
      </c>
      <c r="O716" s="28">
        <v>8.0909090909090913E-3</v>
      </c>
      <c r="P716" s="28">
        <v>8.4274336283185836</v>
      </c>
    </row>
    <row r="717" spans="1:16" x14ac:dyDescent="0.3">
      <c r="A717" t="s">
        <v>3623</v>
      </c>
      <c r="B717" s="24">
        <v>142122</v>
      </c>
      <c r="C717" s="24" t="s">
        <v>2700</v>
      </c>
      <c r="D717" s="24" t="s">
        <v>2502</v>
      </c>
      <c r="E717" s="24" t="s">
        <v>2673</v>
      </c>
      <c r="F717" s="24" t="s">
        <v>1237</v>
      </c>
      <c r="G717" s="24" t="s">
        <v>1360</v>
      </c>
      <c r="H717" s="24" t="s">
        <v>2701</v>
      </c>
      <c r="I717" s="24" t="s">
        <v>2688</v>
      </c>
      <c r="J717" s="24" t="s">
        <v>761</v>
      </c>
      <c r="K717" s="24" t="s">
        <v>1146</v>
      </c>
      <c r="L717" s="25">
        <v>1070</v>
      </c>
      <c r="M717" s="26">
        <v>10</v>
      </c>
      <c r="N717" s="27">
        <v>10</v>
      </c>
      <c r="O717" s="28">
        <v>9.0909090909090905E-3</v>
      </c>
      <c r="P717" s="28">
        <v>9.4690265486725664</v>
      </c>
    </row>
    <row r="718" spans="1:16" x14ac:dyDescent="0.3">
      <c r="A718" t="s">
        <v>3624</v>
      </c>
      <c r="B718" s="24">
        <v>100587</v>
      </c>
      <c r="C718" s="24" t="s">
        <v>1347</v>
      </c>
      <c r="D718" s="24" t="s">
        <v>2502</v>
      </c>
      <c r="E718" s="24" t="s">
        <v>2673</v>
      </c>
      <c r="F718" s="24" t="s">
        <v>1349</v>
      </c>
      <c r="G718" s="24" t="s">
        <v>1350</v>
      </c>
      <c r="H718" s="24" t="s">
        <v>2702</v>
      </c>
      <c r="I718" s="24" t="s">
        <v>2703</v>
      </c>
      <c r="J718" s="24" t="s">
        <v>761</v>
      </c>
      <c r="K718" s="24" t="s">
        <v>1352</v>
      </c>
      <c r="L718" s="25">
        <v>1</v>
      </c>
      <c r="M718" s="26">
        <v>15000</v>
      </c>
      <c r="N718" s="27">
        <v>13.636363636363637</v>
      </c>
      <c r="O718" s="28">
        <v>13.636363636363637</v>
      </c>
      <c r="P718" s="28">
        <v>13.274336283185841</v>
      </c>
    </row>
    <row r="719" spans="1:16" x14ac:dyDescent="0.3">
      <c r="A719" t="s">
        <v>3625</v>
      </c>
      <c r="B719" s="24">
        <v>109408</v>
      </c>
      <c r="C719" s="24" t="s">
        <v>2676</v>
      </c>
      <c r="D719" s="24" t="s">
        <v>2502</v>
      </c>
      <c r="E719" s="24" t="s">
        <v>2673</v>
      </c>
      <c r="F719" s="24" t="s">
        <v>1349</v>
      </c>
      <c r="G719" s="24" t="s">
        <v>1350</v>
      </c>
      <c r="H719" s="24" t="s">
        <v>2702</v>
      </c>
      <c r="I719" s="24" t="s">
        <v>2703</v>
      </c>
      <c r="J719" s="24" t="s">
        <v>761</v>
      </c>
      <c r="K719" s="24" t="s">
        <v>1352</v>
      </c>
      <c r="L719" s="25">
        <v>1</v>
      </c>
      <c r="M719" s="26">
        <v>10000</v>
      </c>
      <c r="N719" s="27">
        <v>9.0909090909090917</v>
      </c>
      <c r="O719" s="28">
        <v>9.0909090909090917</v>
      </c>
      <c r="P719" s="28">
        <v>8.8495575221238933</v>
      </c>
    </row>
    <row r="720" spans="1:16" x14ac:dyDescent="0.3">
      <c r="A720" t="s">
        <v>3625</v>
      </c>
      <c r="B720" s="24">
        <v>109408</v>
      </c>
      <c r="C720" s="24" t="s">
        <v>2676</v>
      </c>
      <c r="D720" s="24" t="s">
        <v>2502</v>
      </c>
      <c r="E720" s="24" t="s">
        <v>2673</v>
      </c>
      <c r="F720" s="24" t="s">
        <v>1237</v>
      </c>
      <c r="G720" s="24" t="s">
        <v>1358</v>
      </c>
      <c r="H720" s="24" t="s">
        <v>2702</v>
      </c>
      <c r="I720" s="24" t="s">
        <v>2703</v>
      </c>
      <c r="J720" s="24" t="s">
        <v>761</v>
      </c>
      <c r="K720" s="24" t="s">
        <v>1352</v>
      </c>
      <c r="L720" s="25">
        <v>1</v>
      </c>
      <c r="M720" s="26">
        <v>10000</v>
      </c>
      <c r="N720" s="27">
        <v>9.0909090909090917</v>
      </c>
      <c r="O720" s="28">
        <v>9.0909090909090917</v>
      </c>
      <c r="P720" s="28">
        <v>8.8495575221238933</v>
      </c>
    </row>
    <row r="721" spans="1:16" x14ac:dyDescent="0.3">
      <c r="A721" t="s">
        <v>3626</v>
      </c>
      <c r="B721" s="24">
        <v>100587</v>
      </c>
      <c r="C721" s="24" t="s">
        <v>1347</v>
      </c>
      <c r="D721" s="24" t="s">
        <v>2502</v>
      </c>
      <c r="E721" s="24" t="s">
        <v>2673</v>
      </c>
      <c r="F721" s="24" t="s">
        <v>1349</v>
      </c>
      <c r="G721" s="24" t="s">
        <v>1350</v>
      </c>
      <c r="H721" s="24" t="s">
        <v>2704</v>
      </c>
      <c r="I721" s="24" t="s">
        <v>2703</v>
      </c>
      <c r="J721" s="24" t="s">
        <v>761</v>
      </c>
      <c r="K721" s="24" t="s">
        <v>1352</v>
      </c>
      <c r="L721" s="25">
        <v>1</v>
      </c>
      <c r="M721" s="26">
        <v>15000</v>
      </c>
      <c r="N721" s="27">
        <v>13.636363636363637</v>
      </c>
      <c r="O721" s="28">
        <v>13.636363636363637</v>
      </c>
      <c r="P721" s="28">
        <v>13.274336283185841</v>
      </c>
    </row>
    <row r="722" spans="1:16" x14ac:dyDescent="0.3">
      <c r="A722" t="s">
        <v>3627</v>
      </c>
      <c r="B722" s="24">
        <v>109408</v>
      </c>
      <c r="C722" s="24" t="s">
        <v>2676</v>
      </c>
      <c r="D722" s="24" t="s">
        <v>2502</v>
      </c>
      <c r="E722" s="24" t="s">
        <v>2673</v>
      </c>
      <c r="F722" s="24" t="s">
        <v>1237</v>
      </c>
      <c r="G722" s="24" t="s">
        <v>1358</v>
      </c>
      <c r="H722" s="24" t="s">
        <v>2704</v>
      </c>
      <c r="I722" s="24" t="s">
        <v>2703</v>
      </c>
      <c r="J722" s="24" t="s">
        <v>761</v>
      </c>
      <c r="K722" s="24" t="s">
        <v>1352</v>
      </c>
      <c r="L722" s="25">
        <v>1</v>
      </c>
      <c r="M722" s="26">
        <v>10000</v>
      </c>
      <c r="N722" s="27">
        <v>9.0909090909090917</v>
      </c>
      <c r="O722" s="28">
        <v>9.0909090909090917</v>
      </c>
      <c r="P722" s="28">
        <v>8.8495575221238933</v>
      </c>
    </row>
    <row r="723" spans="1:16" x14ac:dyDescent="0.3">
      <c r="A723" t="s">
        <v>3628</v>
      </c>
      <c r="B723" s="24">
        <v>100587</v>
      </c>
      <c r="C723" s="24" t="s">
        <v>1347</v>
      </c>
      <c r="D723" s="24" t="s">
        <v>2502</v>
      </c>
      <c r="E723" s="24" t="s">
        <v>2673</v>
      </c>
      <c r="F723" s="24" t="s">
        <v>1349</v>
      </c>
      <c r="G723" s="24" t="s">
        <v>1350</v>
      </c>
      <c r="H723" s="24" t="s">
        <v>2705</v>
      </c>
      <c r="I723" s="24" t="s">
        <v>2703</v>
      </c>
      <c r="J723" s="24" t="s">
        <v>761</v>
      </c>
      <c r="K723" s="24" t="s">
        <v>1352</v>
      </c>
      <c r="L723" s="25">
        <v>1</v>
      </c>
      <c r="M723" s="26">
        <v>15000</v>
      </c>
      <c r="N723" s="27">
        <v>13.636363636363637</v>
      </c>
      <c r="O723" s="28">
        <v>13.636363636363637</v>
      </c>
      <c r="P723" s="28">
        <v>13.274336283185841</v>
      </c>
    </row>
    <row r="724" spans="1:16" x14ac:dyDescent="0.3">
      <c r="A724" t="s">
        <v>3629</v>
      </c>
      <c r="B724" s="24">
        <v>109408</v>
      </c>
      <c r="C724" s="24" t="s">
        <v>2676</v>
      </c>
      <c r="D724" s="24" t="s">
        <v>2502</v>
      </c>
      <c r="E724" s="24" t="s">
        <v>2673</v>
      </c>
      <c r="F724" s="24" t="s">
        <v>1237</v>
      </c>
      <c r="G724" s="24" t="s">
        <v>1358</v>
      </c>
      <c r="H724" s="24" t="s">
        <v>2705</v>
      </c>
      <c r="I724" s="24" t="s">
        <v>2703</v>
      </c>
      <c r="J724" s="24" t="s">
        <v>761</v>
      </c>
      <c r="K724" s="24" t="s">
        <v>1352</v>
      </c>
      <c r="L724" s="25">
        <v>1</v>
      </c>
      <c r="M724" s="26">
        <v>10000</v>
      </c>
      <c r="N724" s="27">
        <v>9.0909090909090917</v>
      </c>
      <c r="O724" s="28">
        <v>9.0909090909090917</v>
      </c>
      <c r="P724" s="28">
        <v>8.8495575221238933</v>
      </c>
    </row>
    <row r="725" spans="1:16" x14ac:dyDescent="0.3">
      <c r="A725" t="s">
        <v>3630</v>
      </c>
      <c r="B725" s="24">
        <v>100587</v>
      </c>
      <c r="C725" s="24" t="s">
        <v>1347</v>
      </c>
      <c r="D725" s="24" t="s">
        <v>2502</v>
      </c>
      <c r="E725" s="24" t="s">
        <v>2673</v>
      </c>
      <c r="F725" s="24" t="s">
        <v>1349</v>
      </c>
      <c r="G725" s="24" t="s">
        <v>1350</v>
      </c>
      <c r="H725" s="24" t="s">
        <v>2706</v>
      </c>
      <c r="I725" s="24" t="s">
        <v>2703</v>
      </c>
      <c r="J725" s="24" t="s">
        <v>761</v>
      </c>
      <c r="K725" s="24" t="s">
        <v>1352</v>
      </c>
      <c r="L725" s="25">
        <v>1</v>
      </c>
      <c r="M725" s="26">
        <v>15000</v>
      </c>
      <c r="N725" s="27">
        <v>13.636363636363637</v>
      </c>
      <c r="O725" s="28">
        <v>13.636363636363637</v>
      </c>
      <c r="P725" s="28">
        <v>13.274336283185841</v>
      </c>
    </row>
    <row r="726" spans="1:16" x14ac:dyDescent="0.3">
      <c r="A726" t="s">
        <v>3631</v>
      </c>
      <c r="B726" s="24">
        <v>109408</v>
      </c>
      <c r="C726" s="24" t="s">
        <v>2676</v>
      </c>
      <c r="D726" s="24" t="s">
        <v>2502</v>
      </c>
      <c r="E726" s="24" t="s">
        <v>2673</v>
      </c>
      <c r="F726" s="24" t="s">
        <v>1237</v>
      </c>
      <c r="G726" s="24" t="s">
        <v>1358</v>
      </c>
      <c r="H726" s="24" t="s">
        <v>2706</v>
      </c>
      <c r="I726" s="24" t="s">
        <v>2703</v>
      </c>
      <c r="J726" s="24" t="s">
        <v>761</v>
      </c>
      <c r="K726" s="24" t="s">
        <v>1352</v>
      </c>
      <c r="L726" s="25">
        <v>1</v>
      </c>
      <c r="M726" s="26">
        <v>10000</v>
      </c>
      <c r="N726" s="27">
        <v>9.0909090909090917</v>
      </c>
      <c r="O726" s="28">
        <v>9.0909090909090917</v>
      </c>
      <c r="P726" s="28">
        <v>8.8495575221238933</v>
      </c>
    </row>
    <row r="727" spans="1:16" x14ac:dyDescent="0.3">
      <c r="A727" t="s">
        <v>3632</v>
      </c>
      <c r="B727" s="24">
        <v>100587</v>
      </c>
      <c r="C727" s="24" t="s">
        <v>1347</v>
      </c>
      <c r="D727" s="24" t="s">
        <v>2502</v>
      </c>
      <c r="E727" s="24" t="s">
        <v>2673</v>
      </c>
      <c r="F727" s="24" t="s">
        <v>1349</v>
      </c>
      <c r="G727" s="24" t="s">
        <v>1350</v>
      </c>
      <c r="H727" s="24" t="s">
        <v>2707</v>
      </c>
      <c r="I727" s="24" t="s">
        <v>2703</v>
      </c>
      <c r="J727" s="24" t="s">
        <v>761</v>
      </c>
      <c r="K727" s="24" t="s">
        <v>1352</v>
      </c>
      <c r="L727" s="25">
        <v>1</v>
      </c>
      <c r="M727" s="26">
        <v>15000</v>
      </c>
      <c r="N727" s="27">
        <v>13.636363636363637</v>
      </c>
      <c r="O727" s="28">
        <v>13.636363636363637</v>
      </c>
      <c r="P727" s="28">
        <v>13.274336283185841</v>
      </c>
    </row>
    <row r="728" spans="1:16" x14ac:dyDescent="0.3">
      <c r="A728" t="s">
        <v>3633</v>
      </c>
      <c r="B728" s="24" t="s">
        <v>2693</v>
      </c>
      <c r="C728" s="24" t="s">
        <v>2694</v>
      </c>
      <c r="D728" s="24" t="s">
        <v>2502</v>
      </c>
      <c r="E728" s="24" t="s">
        <v>2673</v>
      </c>
      <c r="F728" s="24" t="s">
        <v>1237</v>
      </c>
      <c r="G728" s="24" t="s">
        <v>1360</v>
      </c>
      <c r="H728" s="24" t="s">
        <v>2708</v>
      </c>
      <c r="I728" s="24" t="s">
        <v>2703</v>
      </c>
      <c r="J728" s="24" t="s">
        <v>761</v>
      </c>
      <c r="K728" s="24" t="s">
        <v>1146</v>
      </c>
      <c r="L728" s="25">
        <v>1070</v>
      </c>
      <c r="M728" s="26">
        <v>12</v>
      </c>
      <c r="N728" s="27">
        <v>12</v>
      </c>
      <c r="O728" s="28">
        <v>1.090909090909091E-2</v>
      </c>
      <c r="P728" s="28">
        <v>11.36283185840708</v>
      </c>
    </row>
    <row r="729" spans="1:16" x14ac:dyDescent="0.3">
      <c r="A729" t="s">
        <v>3634</v>
      </c>
      <c r="B729" s="24" t="s">
        <v>2693</v>
      </c>
      <c r="C729" s="24" t="s">
        <v>2694</v>
      </c>
      <c r="D729" s="24" t="s">
        <v>2502</v>
      </c>
      <c r="E729" s="24" t="s">
        <v>2673</v>
      </c>
      <c r="F729" s="24" t="s">
        <v>1237</v>
      </c>
      <c r="G729" s="24" t="s">
        <v>1360</v>
      </c>
      <c r="H729" s="24" t="s">
        <v>2709</v>
      </c>
      <c r="I729" s="24" t="s">
        <v>2703</v>
      </c>
      <c r="J729" s="24" t="s">
        <v>761</v>
      </c>
      <c r="K729" s="24" t="s">
        <v>1146</v>
      </c>
      <c r="L729" s="25">
        <v>1070</v>
      </c>
      <c r="M729" s="26">
        <v>12</v>
      </c>
      <c r="N729" s="27">
        <v>12</v>
      </c>
      <c r="O729" s="28">
        <v>1.090909090909091E-2</v>
      </c>
      <c r="P729" s="28">
        <v>11.36283185840708</v>
      </c>
    </row>
    <row r="730" spans="1:16" x14ac:dyDescent="0.3">
      <c r="A730" t="s">
        <v>3635</v>
      </c>
      <c r="B730" s="24">
        <v>109408</v>
      </c>
      <c r="C730" s="24" t="s">
        <v>2676</v>
      </c>
      <c r="D730" s="24" t="s">
        <v>2502</v>
      </c>
      <c r="E730" s="24" t="s">
        <v>2673</v>
      </c>
      <c r="F730" s="24" t="s">
        <v>1237</v>
      </c>
      <c r="G730" s="24" t="s">
        <v>1358</v>
      </c>
      <c r="H730" s="24" t="s">
        <v>2710</v>
      </c>
      <c r="I730" s="24" t="s">
        <v>2703</v>
      </c>
      <c r="J730" s="24" t="s">
        <v>761</v>
      </c>
      <c r="K730" s="24" t="s">
        <v>1146</v>
      </c>
      <c r="L730" s="25">
        <v>1070</v>
      </c>
      <c r="M730" s="26">
        <v>15</v>
      </c>
      <c r="N730" s="27">
        <v>15</v>
      </c>
      <c r="O730" s="28">
        <v>1.3636363636363636E-2</v>
      </c>
      <c r="P730" s="28">
        <v>14.20353982300885</v>
      </c>
    </row>
    <row r="731" spans="1:16" x14ac:dyDescent="0.3">
      <c r="A731" t="s">
        <v>3636</v>
      </c>
      <c r="B731" s="24">
        <v>300008</v>
      </c>
      <c r="C731" s="24" t="s">
        <v>2219</v>
      </c>
      <c r="D731" s="24" t="s">
        <v>2502</v>
      </c>
      <c r="E731" s="24" t="s">
        <v>2673</v>
      </c>
      <c r="F731" s="24" t="s">
        <v>1349</v>
      </c>
      <c r="G731" s="24" t="s">
        <v>2711</v>
      </c>
      <c r="H731" s="24" t="s">
        <v>2710</v>
      </c>
      <c r="I731" s="24" t="s">
        <v>2703</v>
      </c>
      <c r="J731" s="24" t="s">
        <v>761</v>
      </c>
      <c r="K731" s="24" t="s">
        <v>2194</v>
      </c>
      <c r="L731" s="25">
        <v>1300</v>
      </c>
      <c r="M731" s="26">
        <v>11.24</v>
      </c>
      <c r="N731" s="27">
        <v>12.930973451327434</v>
      </c>
      <c r="O731" s="28">
        <v>1.0218181818181819E-2</v>
      </c>
      <c r="P731" s="28">
        <v>12.930973451327434</v>
      </c>
    </row>
    <row r="732" spans="1:16" x14ac:dyDescent="0.3">
      <c r="A732" t="s">
        <v>3637</v>
      </c>
      <c r="B732" s="24">
        <v>173744</v>
      </c>
      <c r="C732" s="24" t="s">
        <v>2219</v>
      </c>
      <c r="D732" s="24" t="s">
        <v>2502</v>
      </c>
      <c r="E732" s="24" t="s">
        <v>2673</v>
      </c>
      <c r="F732" s="24" t="s">
        <v>1237</v>
      </c>
      <c r="G732" s="24" t="s">
        <v>1360</v>
      </c>
      <c r="H732" s="24" t="s">
        <v>2712</v>
      </c>
      <c r="I732" s="24" t="s">
        <v>2703</v>
      </c>
      <c r="J732" s="24" t="s">
        <v>761</v>
      </c>
      <c r="K732" s="24" t="s">
        <v>1146</v>
      </c>
      <c r="L732" s="25">
        <v>1070</v>
      </c>
      <c r="M732" s="26">
        <v>13.5</v>
      </c>
      <c r="N732" s="27">
        <v>13.5</v>
      </c>
      <c r="O732" s="28">
        <v>1.2272727272727272E-2</v>
      </c>
      <c r="P732" s="28">
        <v>12.783185840707965</v>
      </c>
    </row>
    <row r="733" spans="1:16" x14ac:dyDescent="0.3">
      <c r="A733" t="s">
        <v>3638</v>
      </c>
      <c r="B733" s="24">
        <v>100587</v>
      </c>
      <c r="C733" s="24" t="s">
        <v>1347</v>
      </c>
      <c r="D733" s="24" t="s">
        <v>2502</v>
      </c>
      <c r="E733" s="24"/>
      <c r="F733" s="24" t="s">
        <v>1349</v>
      </c>
      <c r="G733" s="24" t="s">
        <v>1350</v>
      </c>
      <c r="H733" s="24" t="s">
        <v>2713</v>
      </c>
      <c r="I733" s="24" t="s">
        <v>2703</v>
      </c>
      <c r="J733" s="24" t="s">
        <v>761</v>
      </c>
      <c r="K733" s="24" t="s">
        <v>1352</v>
      </c>
      <c r="L733" s="25">
        <v>1</v>
      </c>
      <c r="M733" s="26">
        <v>15000</v>
      </c>
      <c r="N733" s="27">
        <v>13.636363636363637</v>
      </c>
      <c r="O733" s="28">
        <v>13.636363636363637</v>
      </c>
      <c r="P733" s="28">
        <v>13.274336283185841</v>
      </c>
    </row>
    <row r="734" spans="1:16" x14ac:dyDescent="0.3">
      <c r="A734" t="s">
        <v>3639</v>
      </c>
      <c r="B734" s="24">
        <v>100335</v>
      </c>
      <c r="C734" s="24" t="s">
        <v>1517</v>
      </c>
      <c r="D734" s="24" t="s">
        <v>2502</v>
      </c>
      <c r="E734" s="24" t="s">
        <v>2673</v>
      </c>
      <c r="F734" s="24" t="s">
        <v>1349</v>
      </c>
      <c r="G734" s="24" t="s">
        <v>1350</v>
      </c>
      <c r="H734" s="24" t="s">
        <v>2714</v>
      </c>
      <c r="I734" s="24" t="s">
        <v>2715</v>
      </c>
      <c r="J734" s="24" t="s">
        <v>761</v>
      </c>
      <c r="K734" s="24" t="s">
        <v>1146</v>
      </c>
      <c r="L734" s="25">
        <v>1070</v>
      </c>
      <c r="M734" s="26">
        <v>12.5</v>
      </c>
      <c r="N734" s="27">
        <v>12.5</v>
      </c>
      <c r="O734" s="28">
        <v>1.1363636363636364E-2</v>
      </c>
      <c r="P734" s="28">
        <v>11.836283185840708</v>
      </c>
    </row>
    <row r="735" spans="1:16" x14ac:dyDescent="0.3">
      <c r="A735" t="s">
        <v>3639</v>
      </c>
      <c r="B735" s="24">
        <v>100335</v>
      </c>
      <c r="C735" s="24" t="s">
        <v>1517</v>
      </c>
      <c r="D735" s="24" t="s">
        <v>2502</v>
      </c>
      <c r="E735" s="24" t="s">
        <v>2673</v>
      </c>
      <c r="F735" s="24" t="s">
        <v>1237</v>
      </c>
      <c r="G735" s="24" t="s">
        <v>1358</v>
      </c>
      <c r="H735" s="24" t="s">
        <v>2714</v>
      </c>
      <c r="I735" s="24" t="s">
        <v>2715</v>
      </c>
      <c r="J735" s="24" t="s">
        <v>761</v>
      </c>
      <c r="K735" s="24" t="s">
        <v>1146</v>
      </c>
      <c r="L735" s="25">
        <v>1070</v>
      </c>
      <c r="M735" s="26">
        <v>15</v>
      </c>
      <c r="N735" s="27">
        <v>15</v>
      </c>
      <c r="O735" s="28">
        <v>1.3636363636363636E-2</v>
      </c>
      <c r="P735" s="28">
        <v>14.20353982300885</v>
      </c>
    </row>
    <row r="736" spans="1:16" x14ac:dyDescent="0.3">
      <c r="A736" t="s">
        <v>3640</v>
      </c>
      <c r="B736" s="24">
        <v>100702</v>
      </c>
      <c r="C736" s="24" t="s">
        <v>1357</v>
      </c>
      <c r="D736" s="24" t="s">
        <v>2502</v>
      </c>
      <c r="E736" s="24" t="s">
        <v>2673</v>
      </c>
      <c r="F736" s="24" t="s">
        <v>1349</v>
      </c>
      <c r="G736" s="24" t="s">
        <v>1350</v>
      </c>
      <c r="H736" s="24" t="s">
        <v>2716</v>
      </c>
      <c r="I736" s="24" t="s">
        <v>2717</v>
      </c>
      <c r="J736" s="24" t="s">
        <v>761</v>
      </c>
      <c r="K736" s="24" t="s">
        <v>1352</v>
      </c>
      <c r="L736" s="25">
        <v>1</v>
      </c>
      <c r="M736" s="26">
        <v>18000</v>
      </c>
      <c r="N736" s="27">
        <v>16.363636363636363</v>
      </c>
      <c r="O736" s="28">
        <v>16.363636363636363</v>
      </c>
      <c r="P736" s="28">
        <v>15.929203539823009</v>
      </c>
    </row>
    <row r="737" spans="1:16" x14ac:dyDescent="0.3">
      <c r="A737" t="s">
        <v>3641</v>
      </c>
      <c r="B737" s="24">
        <v>109408</v>
      </c>
      <c r="C737" s="24" t="s">
        <v>2676</v>
      </c>
      <c r="D737" s="24" t="s">
        <v>2502</v>
      </c>
      <c r="E737" s="24" t="s">
        <v>2673</v>
      </c>
      <c r="F737" s="24" t="s">
        <v>1237</v>
      </c>
      <c r="G737" s="24" t="s">
        <v>1358</v>
      </c>
      <c r="H737" s="24" t="s">
        <v>2716</v>
      </c>
      <c r="I737" s="24" t="s">
        <v>2717</v>
      </c>
      <c r="J737" s="24" t="s">
        <v>761</v>
      </c>
      <c r="K737" s="24" t="s">
        <v>1352</v>
      </c>
      <c r="L737" s="25">
        <v>1</v>
      </c>
      <c r="M737" s="26">
        <v>19000</v>
      </c>
      <c r="N737" s="27">
        <v>17.272727272727273</v>
      </c>
      <c r="O737" s="28">
        <v>17.272727272727273</v>
      </c>
      <c r="P737" s="28">
        <v>16.814159292035399</v>
      </c>
    </row>
    <row r="738" spans="1:16" x14ac:dyDescent="0.3">
      <c r="A738" t="s">
        <v>3642</v>
      </c>
      <c r="B738" s="24">
        <v>100702</v>
      </c>
      <c r="C738" s="24" t="s">
        <v>1357</v>
      </c>
      <c r="D738" s="24" t="s">
        <v>2502</v>
      </c>
      <c r="E738" s="24" t="s">
        <v>2673</v>
      </c>
      <c r="F738" s="24" t="s">
        <v>1349</v>
      </c>
      <c r="G738" s="24" t="s">
        <v>1350</v>
      </c>
      <c r="H738" s="24" t="s">
        <v>2718</v>
      </c>
      <c r="I738" s="24" t="s">
        <v>2719</v>
      </c>
      <c r="J738" s="24" t="s">
        <v>761</v>
      </c>
      <c r="K738" s="24" t="s">
        <v>1352</v>
      </c>
      <c r="L738" s="25">
        <v>1</v>
      </c>
      <c r="M738" s="26">
        <v>9000</v>
      </c>
      <c r="N738" s="27">
        <v>8.1818181818181817</v>
      </c>
      <c r="O738" s="28">
        <v>8.1818181818181817</v>
      </c>
      <c r="P738" s="28">
        <v>7.9646017699115044</v>
      </c>
    </row>
    <row r="739" spans="1:16" x14ac:dyDescent="0.3">
      <c r="A739" t="s">
        <v>3642</v>
      </c>
      <c r="B739" s="24">
        <v>100702</v>
      </c>
      <c r="C739" s="24" t="s">
        <v>1357</v>
      </c>
      <c r="D739" s="24" t="s">
        <v>2502</v>
      </c>
      <c r="E739" s="24" t="s">
        <v>2673</v>
      </c>
      <c r="F739" s="24" t="s">
        <v>1237</v>
      </c>
      <c r="G739" s="24" t="s">
        <v>1358</v>
      </c>
      <c r="H739" s="24" t="s">
        <v>2718</v>
      </c>
      <c r="I739" s="24" t="s">
        <v>2719</v>
      </c>
      <c r="J739" s="24" t="s">
        <v>761</v>
      </c>
      <c r="K739" s="24" t="s">
        <v>1352</v>
      </c>
      <c r="L739" s="25">
        <v>1</v>
      </c>
      <c r="M739" s="26">
        <v>10000</v>
      </c>
      <c r="N739" s="27">
        <v>9.0909090909090917</v>
      </c>
      <c r="O739" s="28">
        <v>9.0909090909090917</v>
      </c>
      <c r="P739" s="28">
        <v>8.8495575221238933</v>
      </c>
    </row>
    <row r="740" spans="1:16" x14ac:dyDescent="0.3">
      <c r="A740" t="s">
        <v>3643</v>
      </c>
      <c r="B740" s="24">
        <v>109408</v>
      </c>
      <c r="C740" s="24" t="s">
        <v>2676</v>
      </c>
      <c r="D740" s="24" t="s">
        <v>2502</v>
      </c>
      <c r="E740" s="24" t="s">
        <v>2673</v>
      </c>
      <c r="F740" s="24" t="s">
        <v>1349</v>
      </c>
      <c r="G740" s="24" t="s">
        <v>1350</v>
      </c>
      <c r="H740" s="24" t="s">
        <v>2718</v>
      </c>
      <c r="I740" s="24" t="s">
        <v>2719</v>
      </c>
      <c r="J740" s="24" t="s">
        <v>761</v>
      </c>
      <c r="K740" s="24" t="s">
        <v>1352</v>
      </c>
      <c r="L740" s="25">
        <v>1</v>
      </c>
      <c r="M740" s="26">
        <v>8300</v>
      </c>
      <c r="N740" s="27">
        <v>7.5454545454545459</v>
      </c>
      <c r="O740" s="28">
        <v>7.5454545454545459</v>
      </c>
      <c r="P740" s="28">
        <v>7.3451327433628322</v>
      </c>
    </row>
    <row r="741" spans="1:16" x14ac:dyDescent="0.3">
      <c r="A741" t="s">
        <v>3643</v>
      </c>
      <c r="B741" s="24">
        <v>109408</v>
      </c>
      <c r="C741" s="24" t="s">
        <v>2676</v>
      </c>
      <c r="D741" s="24" t="s">
        <v>2502</v>
      </c>
      <c r="E741" s="24" t="s">
        <v>2673</v>
      </c>
      <c r="F741" s="24" t="s">
        <v>1237</v>
      </c>
      <c r="G741" s="24" t="s">
        <v>1358</v>
      </c>
      <c r="H741" s="24" t="s">
        <v>2718</v>
      </c>
      <c r="I741" s="24" t="s">
        <v>2719</v>
      </c>
      <c r="J741" s="24" t="s">
        <v>761</v>
      </c>
      <c r="K741" s="24" t="s">
        <v>1352</v>
      </c>
      <c r="L741" s="25">
        <v>1</v>
      </c>
      <c r="M741" s="26">
        <v>8300</v>
      </c>
      <c r="N741" s="27">
        <v>7.5454545454545459</v>
      </c>
      <c r="O741" s="28">
        <v>7.5454545454545459</v>
      </c>
      <c r="P741" s="28">
        <v>7.3451327433628322</v>
      </c>
    </row>
    <row r="742" spans="1:16" x14ac:dyDescent="0.3">
      <c r="A742" t="s">
        <v>3644</v>
      </c>
      <c r="B742" s="24">
        <v>300025</v>
      </c>
      <c r="C742" s="24" t="s">
        <v>2720</v>
      </c>
      <c r="D742" s="24" t="s">
        <v>2502</v>
      </c>
      <c r="E742" s="24" t="s">
        <v>2673</v>
      </c>
      <c r="F742" s="24" t="s">
        <v>1349</v>
      </c>
      <c r="G742" s="24" t="s">
        <v>1350</v>
      </c>
      <c r="H742" s="24" t="s">
        <v>2718</v>
      </c>
      <c r="I742" s="24" t="s">
        <v>2719</v>
      </c>
      <c r="J742" s="24" t="s">
        <v>761</v>
      </c>
      <c r="K742" s="24" t="s">
        <v>1352</v>
      </c>
      <c r="L742" s="25">
        <v>1</v>
      </c>
      <c r="M742" s="26">
        <v>8600</v>
      </c>
      <c r="N742" s="27">
        <v>7.8181818181818183</v>
      </c>
      <c r="O742" s="28">
        <v>7.8181818181818183</v>
      </c>
      <c r="P742" s="28">
        <v>7.610619469026549</v>
      </c>
    </row>
    <row r="743" spans="1:16" x14ac:dyDescent="0.3">
      <c r="A743" t="s">
        <v>3644</v>
      </c>
      <c r="B743" s="24">
        <v>300025</v>
      </c>
      <c r="C743" s="24" t="s">
        <v>2720</v>
      </c>
      <c r="D743" s="24" t="s">
        <v>2502</v>
      </c>
      <c r="E743" s="24" t="s">
        <v>2673</v>
      </c>
      <c r="F743" s="24" t="s">
        <v>1237</v>
      </c>
      <c r="G743" s="24" t="s">
        <v>1358</v>
      </c>
      <c r="H743" s="24" t="s">
        <v>2718</v>
      </c>
      <c r="I743" s="24" t="s">
        <v>2719</v>
      </c>
      <c r="J743" s="24" t="s">
        <v>761</v>
      </c>
      <c r="K743" s="24" t="s">
        <v>1352</v>
      </c>
      <c r="L743" s="25">
        <v>1</v>
      </c>
      <c r="M743" s="26">
        <v>8600</v>
      </c>
      <c r="N743" s="27">
        <v>7.8181818181818183</v>
      </c>
      <c r="O743" s="28">
        <v>7.8181818181818183</v>
      </c>
      <c r="P743" s="28">
        <v>7.610619469026549</v>
      </c>
    </row>
    <row r="744" spans="1:16" x14ac:dyDescent="0.3">
      <c r="A744" t="s">
        <v>3645</v>
      </c>
      <c r="B744" s="24">
        <v>104694</v>
      </c>
      <c r="C744" s="24" t="s">
        <v>2721</v>
      </c>
      <c r="D744" s="24" t="s">
        <v>2502</v>
      </c>
      <c r="E744" s="24" t="s">
        <v>2673</v>
      </c>
      <c r="F744" s="24" t="s">
        <v>1349</v>
      </c>
      <c r="G744" s="24" t="s">
        <v>1350</v>
      </c>
      <c r="H744" s="24" t="s">
        <v>2722</v>
      </c>
      <c r="I744" s="24" t="s">
        <v>2723</v>
      </c>
      <c r="J744" s="24" t="s">
        <v>761</v>
      </c>
      <c r="K744" s="24" t="s">
        <v>1146</v>
      </c>
      <c r="L744" s="25">
        <v>1070</v>
      </c>
      <c r="M744" s="26">
        <v>4.45</v>
      </c>
      <c r="N744" s="27">
        <v>4.45</v>
      </c>
      <c r="O744" s="28">
        <v>4.0454545454545457E-3</v>
      </c>
      <c r="P744" s="28">
        <v>4.2137168141592918</v>
      </c>
    </row>
    <row r="745" spans="1:16" x14ac:dyDescent="0.3">
      <c r="A745" t="s">
        <v>3645</v>
      </c>
      <c r="B745" s="24">
        <v>104694</v>
      </c>
      <c r="C745" s="24" t="s">
        <v>2721</v>
      </c>
      <c r="D745" s="24" t="s">
        <v>2502</v>
      </c>
      <c r="E745" s="24" t="s">
        <v>2673</v>
      </c>
      <c r="F745" s="24" t="s">
        <v>1237</v>
      </c>
      <c r="G745" s="24" t="s">
        <v>1358</v>
      </c>
      <c r="H745" s="24" t="s">
        <v>2722</v>
      </c>
      <c r="I745" s="24" t="s">
        <v>2723</v>
      </c>
      <c r="J745" s="24" t="s">
        <v>761</v>
      </c>
      <c r="K745" s="24" t="s">
        <v>1146</v>
      </c>
      <c r="L745" s="25">
        <v>1070</v>
      </c>
      <c r="M745" s="26">
        <v>13</v>
      </c>
      <c r="N745" s="27">
        <v>13</v>
      </c>
      <c r="O745" s="28">
        <v>1.1818181818181818E-2</v>
      </c>
      <c r="P745" s="28">
        <v>12.309734513274336</v>
      </c>
    </row>
    <row r="746" spans="1:16" x14ac:dyDescent="0.3">
      <c r="A746" t="s">
        <v>3646</v>
      </c>
      <c r="B746" s="24">
        <v>104694</v>
      </c>
      <c r="C746" s="24" t="s">
        <v>2721</v>
      </c>
      <c r="D746" s="24" t="s">
        <v>2502</v>
      </c>
      <c r="E746" s="24" t="s">
        <v>2673</v>
      </c>
      <c r="F746" s="24" t="s">
        <v>1349</v>
      </c>
      <c r="G746" s="24" t="s">
        <v>1350</v>
      </c>
      <c r="H746" s="24" t="s">
        <v>2724</v>
      </c>
      <c r="I746" s="24" t="s">
        <v>2723</v>
      </c>
      <c r="J746" s="24" t="s">
        <v>761</v>
      </c>
      <c r="K746" s="24" t="s">
        <v>1352</v>
      </c>
      <c r="L746" s="25">
        <v>1</v>
      </c>
      <c r="M746" s="26">
        <v>5020</v>
      </c>
      <c r="N746" s="27">
        <v>4.5636363636363635</v>
      </c>
      <c r="O746" s="28">
        <v>4.5636363636363635</v>
      </c>
      <c r="P746" s="28">
        <v>4.4424778761061949</v>
      </c>
    </row>
    <row r="747" spans="1:16" x14ac:dyDescent="0.3">
      <c r="A747" t="s">
        <v>3647</v>
      </c>
      <c r="B747" s="24">
        <v>106916</v>
      </c>
      <c r="C747" s="24" t="s">
        <v>1216</v>
      </c>
      <c r="D747" s="24" t="s">
        <v>2502</v>
      </c>
      <c r="E747" s="24" t="s">
        <v>2681</v>
      </c>
      <c r="F747" s="24" t="s">
        <v>1142</v>
      </c>
      <c r="G747" s="24" t="s">
        <v>1399</v>
      </c>
      <c r="H747" s="24" t="s">
        <v>2725</v>
      </c>
      <c r="I747" s="24" t="s">
        <v>2726</v>
      </c>
      <c r="J747" s="24" t="s">
        <v>761</v>
      </c>
      <c r="K747" s="24" t="s">
        <v>1146</v>
      </c>
      <c r="L747" s="25">
        <v>1070</v>
      </c>
      <c r="M747" s="26">
        <v>7.9989999999999997</v>
      </c>
      <c r="N747" s="27">
        <v>7.9989999999999997</v>
      </c>
      <c r="O747" s="28">
        <v>7.2718181818181814E-3</v>
      </c>
      <c r="P747" s="28">
        <v>7.5742743362831861</v>
      </c>
    </row>
    <row r="748" spans="1:16" x14ac:dyDescent="0.3">
      <c r="A748" t="s">
        <v>3648</v>
      </c>
      <c r="B748" s="24">
        <v>106916</v>
      </c>
      <c r="C748" s="24" t="s">
        <v>1216</v>
      </c>
      <c r="D748" s="24" t="s">
        <v>2502</v>
      </c>
      <c r="E748" s="24" t="s">
        <v>2681</v>
      </c>
      <c r="F748" s="24" t="s">
        <v>1142</v>
      </c>
      <c r="G748" s="24" t="s">
        <v>1399</v>
      </c>
      <c r="H748" s="24" t="s">
        <v>2727</v>
      </c>
      <c r="I748" s="24" t="s">
        <v>2728</v>
      </c>
      <c r="J748" s="24" t="s">
        <v>761</v>
      </c>
      <c r="K748" s="24" t="s">
        <v>1146</v>
      </c>
      <c r="L748" s="25">
        <v>1070</v>
      </c>
      <c r="M748" s="26">
        <v>6.8310000000000004</v>
      </c>
      <c r="N748" s="27">
        <v>6.8310000000000004</v>
      </c>
      <c r="O748" s="28">
        <v>6.2100000000000002E-3</v>
      </c>
      <c r="P748" s="28">
        <v>6.4682920353982301</v>
      </c>
    </row>
    <row r="749" spans="1:16" x14ac:dyDescent="0.3">
      <c r="A749" t="s">
        <v>3649</v>
      </c>
      <c r="B749" s="24">
        <v>106916</v>
      </c>
      <c r="C749" s="24" t="s">
        <v>1216</v>
      </c>
      <c r="D749" s="24" t="s">
        <v>2502</v>
      </c>
      <c r="E749" s="24" t="s">
        <v>2681</v>
      </c>
      <c r="F749" s="24" t="s">
        <v>1142</v>
      </c>
      <c r="G749" s="24" t="s">
        <v>1399</v>
      </c>
      <c r="H749" s="24" t="s">
        <v>2729</v>
      </c>
      <c r="I749" s="24" t="s">
        <v>2730</v>
      </c>
      <c r="J749" s="24" t="s">
        <v>761</v>
      </c>
      <c r="K749" s="24" t="s">
        <v>1146</v>
      </c>
      <c r="L749" s="25">
        <v>1070</v>
      </c>
      <c r="M749" s="26">
        <v>6.89</v>
      </c>
      <c r="N749" s="27">
        <v>6.89</v>
      </c>
      <c r="O749" s="28">
        <v>6.2636363636363636E-3</v>
      </c>
      <c r="P749" s="28">
        <v>6.5241592920353977</v>
      </c>
    </row>
    <row r="750" spans="1:16" x14ac:dyDescent="0.3">
      <c r="A750" t="s">
        <v>3650</v>
      </c>
      <c r="B750" s="24">
        <v>106916</v>
      </c>
      <c r="C750" s="24" t="s">
        <v>1216</v>
      </c>
      <c r="D750" s="24" t="s">
        <v>2502</v>
      </c>
      <c r="E750" s="24" t="s">
        <v>2681</v>
      </c>
      <c r="F750" s="24" t="s">
        <v>1142</v>
      </c>
      <c r="G750" s="24" t="s">
        <v>1399</v>
      </c>
      <c r="H750" s="24" t="s">
        <v>2731</v>
      </c>
      <c r="I750" s="24" t="s">
        <v>2730</v>
      </c>
      <c r="J750" s="24" t="s">
        <v>761</v>
      </c>
      <c r="K750" s="24" t="s">
        <v>1146</v>
      </c>
      <c r="L750" s="25">
        <v>1070</v>
      </c>
      <c r="M750" s="26">
        <v>6.89</v>
      </c>
      <c r="N750" s="27">
        <v>6.89</v>
      </c>
      <c r="O750" s="28">
        <v>6.2636363636363636E-3</v>
      </c>
      <c r="P750" s="28">
        <v>6.5241592920353977</v>
      </c>
    </row>
    <row r="751" spans="1:16" x14ac:dyDescent="0.3">
      <c r="A751" t="s">
        <v>3651</v>
      </c>
      <c r="B751" s="24">
        <v>106916</v>
      </c>
      <c r="C751" s="24" t="s">
        <v>1216</v>
      </c>
      <c r="D751" s="24" t="s">
        <v>2502</v>
      </c>
      <c r="E751" s="24" t="s">
        <v>2681</v>
      </c>
      <c r="F751" s="24" t="s">
        <v>1142</v>
      </c>
      <c r="G751" s="24" t="s">
        <v>1399</v>
      </c>
      <c r="H751" s="24" t="s">
        <v>2732</v>
      </c>
      <c r="I751" s="24" t="s">
        <v>2730</v>
      </c>
      <c r="J751" s="24" t="s">
        <v>761</v>
      </c>
      <c r="K751" s="24" t="s">
        <v>1146</v>
      </c>
      <c r="L751" s="25">
        <v>1070</v>
      </c>
      <c r="M751" s="26">
        <v>6.89</v>
      </c>
      <c r="N751" s="27">
        <v>6.89</v>
      </c>
      <c r="O751" s="28">
        <v>6.2636363636363636E-3</v>
      </c>
      <c r="P751" s="28">
        <v>6.5241592920353977</v>
      </c>
    </row>
    <row r="752" spans="1:16" x14ac:dyDescent="0.3">
      <c r="A752" t="s">
        <v>3652</v>
      </c>
      <c r="B752" s="24">
        <v>106916</v>
      </c>
      <c r="C752" s="24" t="s">
        <v>1216</v>
      </c>
      <c r="D752" s="24" t="s">
        <v>2502</v>
      </c>
      <c r="E752" s="24" t="s">
        <v>2681</v>
      </c>
      <c r="F752" s="24" t="s">
        <v>1142</v>
      </c>
      <c r="G752" s="24" t="s">
        <v>1399</v>
      </c>
      <c r="H752" s="24" t="s">
        <v>2733</v>
      </c>
      <c r="I752" s="24" t="s">
        <v>2730</v>
      </c>
      <c r="J752" s="24" t="s">
        <v>761</v>
      </c>
      <c r="K752" s="24" t="s">
        <v>1146</v>
      </c>
      <c r="L752" s="25">
        <v>1070</v>
      </c>
      <c r="M752" s="26">
        <v>6.89</v>
      </c>
      <c r="N752" s="27">
        <v>6.89</v>
      </c>
      <c r="O752" s="28">
        <v>6.2636363636363636E-3</v>
      </c>
      <c r="P752" s="28">
        <v>6.5241592920353977</v>
      </c>
    </row>
    <row r="753" spans="1:16" x14ac:dyDescent="0.3">
      <c r="A753" t="s">
        <v>3653</v>
      </c>
      <c r="B753" s="24">
        <v>106916</v>
      </c>
      <c r="C753" s="24" t="s">
        <v>1216</v>
      </c>
      <c r="D753" s="24" t="s">
        <v>2502</v>
      </c>
      <c r="E753" s="24" t="s">
        <v>2681</v>
      </c>
      <c r="F753" s="24" t="s">
        <v>1142</v>
      </c>
      <c r="G753" s="24" t="s">
        <v>1399</v>
      </c>
      <c r="H753" s="24" t="s">
        <v>2734</v>
      </c>
      <c r="I753" s="24" t="s">
        <v>2728</v>
      </c>
      <c r="J753" s="24" t="s">
        <v>761</v>
      </c>
      <c r="K753" s="24" t="s">
        <v>1146</v>
      </c>
      <c r="L753" s="25">
        <v>1070</v>
      </c>
      <c r="M753" s="26">
        <v>6.8310000000000004</v>
      </c>
      <c r="N753" s="27">
        <v>6.8310000000000004</v>
      </c>
      <c r="O753" s="28">
        <v>6.2100000000000002E-3</v>
      </c>
      <c r="P753" s="28">
        <v>6.4682920353982301</v>
      </c>
    </row>
    <row r="754" spans="1:16" x14ac:dyDescent="0.3">
      <c r="A754" t="s">
        <v>3654</v>
      </c>
      <c r="B754" s="24">
        <v>106916</v>
      </c>
      <c r="C754" s="24" t="s">
        <v>1216</v>
      </c>
      <c r="D754" s="24" t="s">
        <v>2502</v>
      </c>
      <c r="E754" s="24" t="s">
        <v>2681</v>
      </c>
      <c r="F754" s="24" t="s">
        <v>1142</v>
      </c>
      <c r="G754" s="24" t="s">
        <v>1399</v>
      </c>
      <c r="H754" s="24" t="s">
        <v>2735</v>
      </c>
      <c r="I754" s="24" t="s">
        <v>2730</v>
      </c>
      <c r="J754" s="24" t="s">
        <v>761</v>
      </c>
      <c r="K754" s="24" t="s">
        <v>1146</v>
      </c>
      <c r="L754" s="25">
        <v>1070</v>
      </c>
      <c r="M754" s="26">
        <v>6.89</v>
      </c>
      <c r="N754" s="27">
        <v>6.89</v>
      </c>
      <c r="O754" s="28">
        <v>6.2636363636363636E-3</v>
      </c>
      <c r="P754" s="28">
        <v>6.5241592920353977</v>
      </c>
    </row>
    <row r="755" spans="1:16" x14ac:dyDescent="0.3">
      <c r="A755" t="s">
        <v>3655</v>
      </c>
      <c r="B755" s="24">
        <v>106916</v>
      </c>
      <c r="C755" s="24" t="s">
        <v>1216</v>
      </c>
      <c r="D755" s="24" t="s">
        <v>2502</v>
      </c>
      <c r="E755" s="24" t="s">
        <v>2681</v>
      </c>
      <c r="F755" s="24" t="s">
        <v>1142</v>
      </c>
      <c r="G755" s="24" t="s">
        <v>1399</v>
      </c>
      <c r="H755" s="24" t="s">
        <v>2736</v>
      </c>
      <c r="I755" s="24" t="s">
        <v>2728</v>
      </c>
      <c r="J755" s="24" t="s">
        <v>761</v>
      </c>
      <c r="K755" s="24" t="s">
        <v>1146</v>
      </c>
      <c r="L755" s="25">
        <v>1070</v>
      </c>
      <c r="M755" s="26">
        <v>6.8310000000000004</v>
      </c>
      <c r="N755" s="27">
        <v>6.8310000000000004</v>
      </c>
      <c r="O755" s="28">
        <v>6.2100000000000002E-3</v>
      </c>
      <c r="P755" s="28">
        <v>6.4682920353982301</v>
      </c>
    </row>
    <row r="756" spans="1:16" x14ac:dyDescent="0.3">
      <c r="A756" t="s">
        <v>3656</v>
      </c>
      <c r="B756" s="24">
        <v>106916</v>
      </c>
      <c r="C756" s="24" t="s">
        <v>1216</v>
      </c>
      <c r="D756" s="24" t="s">
        <v>2502</v>
      </c>
      <c r="E756" s="24" t="s">
        <v>2681</v>
      </c>
      <c r="F756" s="24" t="s">
        <v>1142</v>
      </c>
      <c r="G756" s="24" t="s">
        <v>1399</v>
      </c>
      <c r="H756" s="24" t="s">
        <v>2737</v>
      </c>
      <c r="I756" s="24" t="s">
        <v>2730</v>
      </c>
      <c r="J756" s="24" t="s">
        <v>761</v>
      </c>
      <c r="K756" s="24" t="s">
        <v>1146</v>
      </c>
      <c r="L756" s="25">
        <v>1070</v>
      </c>
      <c r="M756" s="26">
        <v>6.89</v>
      </c>
      <c r="N756" s="27">
        <v>6.89</v>
      </c>
      <c r="O756" s="28">
        <v>6.2636363636363636E-3</v>
      </c>
      <c r="P756" s="28">
        <v>6.5241592920353977</v>
      </c>
    </row>
    <row r="757" spans="1:16" x14ac:dyDescent="0.3">
      <c r="A757" t="s">
        <v>3657</v>
      </c>
      <c r="B757" s="24">
        <v>106916</v>
      </c>
      <c r="C757" s="24" t="s">
        <v>1216</v>
      </c>
      <c r="D757" s="24" t="s">
        <v>2502</v>
      </c>
      <c r="E757" s="24" t="s">
        <v>2681</v>
      </c>
      <c r="F757" s="24" t="s">
        <v>1142</v>
      </c>
      <c r="G757" s="24" t="s">
        <v>1399</v>
      </c>
      <c r="H757" s="24" t="s">
        <v>2738</v>
      </c>
      <c r="I757" s="24" t="s">
        <v>2730</v>
      </c>
      <c r="J757" s="24" t="s">
        <v>761</v>
      </c>
      <c r="K757" s="24" t="s">
        <v>1146</v>
      </c>
      <c r="L757" s="25">
        <v>1070</v>
      </c>
      <c r="M757" s="26">
        <v>6.89</v>
      </c>
      <c r="N757" s="27">
        <v>6.89</v>
      </c>
      <c r="O757" s="28">
        <v>6.2636363636363636E-3</v>
      </c>
      <c r="P757" s="28">
        <v>6.5241592920353977</v>
      </c>
    </row>
    <row r="758" spans="1:16" x14ac:dyDescent="0.3">
      <c r="A758" t="s">
        <v>3658</v>
      </c>
      <c r="B758" s="24">
        <v>106916</v>
      </c>
      <c r="C758" s="24" t="s">
        <v>1216</v>
      </c>
      <c r="D758" s="24" t="s">
        <v>2502</v>
      </c>
      <c r="E758" s="24" t="s">
        <v>2681</v>
      </c>
      <c r="F758" s="24" t="s">
        <v>1142</v>
      </c>
      <c r="G758" s="24" t="s">
        <v>1399</v>
      </c>
      <c r="H758" s="24" t="s">
        <v>2739</v>
      </c>
      <c r="I758" s="24" t="s">
        <v>2730</v>
      </c>
      <c r="J758" s="24" t="s">
        <v>761</v>
      </c>
      <c r="K758" s="24" t="s">
        <v>1146</v>
      </c>
      <c r="L758" s="25">
        <v>1070</v>
      </c>
      <c r="M758" s="26">
        <v>6.89</v>
      </c>
      <c r="N758" s="27">
        <v>6.89</v>
      </c>
      <c r="O758" s="28">
        <v>6.2636363636363636E-3</v>
      </c>
      <c r="P758" s="28">
        <v>6.5241592920353977</v>
      </c>
    </row>
    <row r="759" spans="1:16" x14ac:dyDescent="0.3">
      <c r="A759" t="s">
        <v>3659</v>
      </c>
      <c r="B759" s="24">
        <v>106916</v>
      </c>
      <c r="C759" s="24" t="s">
        <v>1216</v>
      </c>
      <c r="D759" s="24" t="s">
        <v>2502</v>
      </c>
      <c r="E759" s="24" t="s">
        <v>2681</v>
      </c>
      <c r="F759" s="24" t="s">
        <v>1142</v>
      </c>
      <c r="G759" s="24" t="s">
        <v>1399</v>
      </c>
      <c r="H759" s="24" t="s">
        <v>2740</v>
      </c>
      <c r="I759" s="24" t="s">
        <v>2730</v>
      </c>
      <c r="J759" s="24" t="s">
        <v>761</v>
      </c>
      <c r="K759" s="24" t="s">
        <v>1146</v>
      </c>
      <c r="L759" s="25">
        <v>1070</v>
      </c>
      <c r="M759" s="26">
        <v>6.89</v>
      </c>
      <c r="N759" s="27">
        <v>6.89</v>
      </c>
      <c r="O759" s="28">
        <v>6.2636363636363636E-3</v>
      </c>
      <c r="P759" s="28">
        <v>6.5241592920353977</v>
      </c>
    </row>
    <row r="760" spans="1:16" x14ac:dyDescent="0.3">
      <c r="A760" t="s">
        <v>3660</v>
      </c>
      <c r="B760" s="24">
        <v>106916</v>
      </c>
      <c r="C760" s="24" t="s">
        <v>1216</v>
      </c>
      <c r="D760" s="24" t="s">
        <v>2502</v>
      </c>
      <c r="E760" s="24" t="s">
        <v>2681</v>
      </c>
      <c r="F760" s="24" t="s">
        <v>1142</v>
      </c>
      <c r="G760" s="24" t="s">
        <v>1399</v>
      </c>
      <c r="H760" s="24" t="s">
        <v>2741</v>
      </c>
      <c r="I760" s="24" t="s">
        <v>2730</v>
      </c>
      <c r="J760" s="24" t="s">
        <v>761</v>
      </c>
      <c r="K760" s="24" t="s">
        <v>1146</v>
      </c>
      <c r="L760" s="25">
        <v>1070</v>
      </c>
      <c r="M760" s="26">
        <v>6.89</v>
      </c>
      <c r="N760" s="27">
        <v>6.89</v>
      </c>
      <c r="O760" s="28">
        <v>6.2636363636363636E-3</v>
      </c>
      <c r="P760" s="28">
        <v>6.5241592920353977</v>
      </c>
    </row>
    <row r="761" spans="1:16" x14ac:dyDescent="0.3">
      <c r="A761" t="s">
        <v>3661</v>
      </c>
      <c r="B761" s="24">
        <v>106916</v>
      </c>
      <c r="C761" s="24" t="s">
        <v>1216</v>
      </c>
      <c r="D761" s="24" t="s">
        <v>2502</v>
      </c>
      <c r="E761" s="24" t="s">
        <v>2681</v>
      </c>
      <c r="F761" s="24" t="s">
        <v>1142</v>
      </c>
      <c r="G761" s="24" t="s">
        <v>1399</v>
      </c>
      <c r="H761" s="24" t="s">
        <v>2742</v>
      </c>
      <c r="I761" s="24" t="s">
        <v>2726</v>
      </c>
      <c r="J761" s="24" t="s">
        <v>761</v>
      </c>
      <c r="K761" s="24" t="s">
        <v>1146</v>
      </c>
      <c r="L761" s="25">
        <v>1070</v>
      </c>
      <c r="M761" s="26">
        <v>7.9989999999999997</v>
      </c>
      <c r="N761" s="27">
        <v>7.9989999999999997</v>
      </c>
      <c r="O761" s="28">
        <v>7.2718181818181814E-3</v>
      </c>
      <c r="P761" s="28">
        <v>7.5742743362831861</v>
      </c>
    </row>
    <row r="762" spans="1:16" x14ac:dyDescent="0.3">
      <c r="A762" t="s">
        <v>3662</v>
      </c>
      <c r="B762" s="24">
        <v>106916</v>
      </c>
      <c r="C762" s="24" t="s">
        <v>1216</v>
      </c>
      <c r="D762" s="24" t="s">
        <v>2502</v>
      </c>
      <c r="E762" s="24" t="s">
        <v>2681</v>
      </c>
      <c r="F762" s="24" t="s">
        <v>1142</v>
      </c>
      <c r="G762" s="24" t="s">
        <v>1399</v>
      </c>
      <c r="H762" s="24" t="s">
        <v>2743</v>
      </c>
      <c r="I762" s="24" t="s">
        <v>2730</v>
      </c>
      <c r="J762" s="24" t="s">
        <v>761</v>
      </c>
      <c r="K762" s="24" t="s">
        <v>1146</v>
      </c>
      <c r="L762" s="25">
        <v>1070</v>
      </c>
      <c r="M762" s="26">
        <v>6.89</v>
      </c>
      <c r="N762" s="27">
        <v>6.89</v>
      </c>
      <c r="O762" s="28">
        <v>6.2636363636363636E-3</v>
      </c>
      <c r="P762" s="28">
        <v>6.5241592920353977</v>
      </c>
    </row>
    <row r="763" spans="1:16" x14ac:dyDescent="0.3">
      <c r="A763" t="s">
        <v>3663</v>
      </c>
      <c r="B763" s="24">
        <v>106916</v>
      </c>
      <c r="C763" s="24" t="s">
        <v>1216</v>
      </c>
      <c r="D763" s="24" t="s">
        <v>2502</v>
      </c>
      <c r="E763" s="24" t="s">
        <v>2681</v>
      </c>
      <c r="F763" s="24" t="s">
        <v>1142</v>
      </c>
      <c r="G763" s="24" t="s">
        <v>1399</v>
      </c>
      <c r="H763" s="24" t="s">
        <v>2744</v>
      </c>
      <c r="I763" s="24" t="s">
        <v>2730</v>
      </c>
      <c r="J763" s="24" t="s">
        <v>761</v>
      </c>
      <c r="K763" s="24" t="s">
        <v>1146</v>
      </c>
      <c r="L763" s="25">
        <v>1070</v>
      </c>
      <c r="M763" s="26">
        <v>6.89</v>
      </c>
      <c r="N763" s="27">
        <v>6.89</v>
      </c>
      <c r="O763" s="28">
        <v>6.2636363636363636E-3</v>
      </c>
      <c r="P763" s="28">
        <v>6.5241592920353977</v>
      </c>
    </row>
    <row r="764" spans="1:16" x14ac:dyDescent="0.3">
      <c r="A764" t="s">
        <v>3664</v>
      </c>
      <c r="B764" s="24">
        <v>106916</v>
      </c>
      <c r="C764" s="24" t="s">
        <v>1216</v>
      </c>
      <c r="D764" s="24" t="s">
        <v>2502</v>
      </c>
      <c r="E764" s="24" t="s">
        <v>2681</v>
      </c>
      <c r="F764" s="24" t="s">
        <v>1142</v>
      </c>
      <c r="G764" s="24" t="s">
        <v>1399</v>
      </c>
      <c r="H764" s="24" t="s">
        <v>2745</v>
      </c>
      <c r="I764" s="24" t="s">
        <v>2730</v>
      </c>
      <c r="J764" s="24" t="s">
        <v>761</v>
      </c>
      <c r="K764" s="24" t="s">
        <v>1146</v>
      </c>
      <c r="L764" s="25">
        <v>1070</v>
      </c>
      <c r="M764" s="26">
        <v>6.89</v>
      </c>
      <c r="N764" s="27">
        <v>6.89</v>
      </c>
      <c r="O764" s="28">
        <v>6.2636363636363636E-3</v>
      </c>
      <c r="P764" s="28">
        <v>6.5241592920353977</v>
      </c>
    </row>
    <row r="765" spans="1:16" x14ac:dyDescent="0.3">
      <c r="A765" t="s">
        <v>3665</v>
      </c>
      <c r="B765" s="24">
        <v>106916</v>
      </c>
      <c r="C765" s="24" t="s">
        <v>1216</v>
      </c>
      <c r="D765" s="24" t="s">
        <v>2502</v>
      </c>
      <c r="E765" s="24" t="s">
        <v>2681</v>
      </c>
      <c r="F765" s="24" t="s">
        <v>1142</v>
      </c>
      <c r="G765" s="24" t="s">
        <v>1399</v>
      </c>
      <c r="H765" s="24" t="s">
        <v>2746</v>
      </c>
      <c r="I765" s="24" t="s">
        <v>2730</v>
      </c>
      <c r="J765" s="24" t="s">
        <v>761</v>
      </c>
      <c r="K765" s="24" t="s">
        <v>1146</v>
      </c>
      <c r="L765" s="25">
        <v>1070</v>
      </c>
      <c r="M765" s="26">
        <v>6.89</v>
      </c>
      <c r="N765" s="27">
        <v>6.89</v>
      </c>
      <c r="O765" s="28">
        <v>6.2636363636363636E-3</v>
      </c>
      <c r="P765" s="28">
        <v>6.5241592920353977</v>
      </c>
    </row>
    <row r="766" spans="1:16" x14ac:dyDescent="0.3">
      <c r="A766" t="s">
        <v>3666</v>
      </c>
      <c r="B766" s="24">
        <v>106916</v>
      </c>
      <c r="C766" s="24" t="s">
        <v>1216</v>
      </c>
      <c r="D766" s="24" t="s">
        <v>2502</v>
      </c>
      <c r="E766" s="24" t="s">
        <v>2681</v>
      </c>
      <c r="F766" s="24" t="s">
        <v>1142</v>
      </c>
      <c r="G766" s="24" t="s">
        <v>1399</v>
      </c>
      <c r="H766" s="24" t="s">
        <v>2747</v>
      </c>
      <c r="I766" s="24" t="s">
        <v>2730</v>
      </c>
      <c r="J766" s="24" t="s">
        <v>761</v>
      </c>
      <c r="K766" s="24" t="s">
        <v>1146</v>
      </c>
      <c r="L766" s="25">
        <v>1070</v>
      </c>
      <c r="M766" s="26">
        <v>6.89</v>
      </c>
      <c r="N766" s="27">
        <v>6.89</v>
      </c>
      <c r="O766" s="28">
        <v>6.2636363636363636E-3</v>
      </c>
      <c r="P766" s="28">
        <v>6.5241592920353977</v>
      </c>
    </row>
    <row r="767" spans="1:16" x14ac:dyDescent="0.3">
      <c r="A767" t="s">
        <v>3667</v>
      </c>
      <c r="B767" s="24">
        <v>106916</v>
      </c>
      <c r="C767" s="24" t="s">
        <v>1216</v>
      </c>
      <c r="D767" s="24" t="s">
        <v>2502</v>
      </c>
      <c r="E767" s="24" t="s">
        <v>2681</v>
      </c>
      <c r="F767" s="24" t="s">
        <v>1142</v>
      </c>
      <c r="G767" s="24" t="s">
        <v>1399</v>
      </c>
      <c r="H767" s="24" t="s">
        <v>2748</v>
      </c>
      <c r="I767" s="24" t="s">
        <v>2730</v>
      </c>
      <c r="J767" s="24" t="s">
        <v>761</v>
      </c>
      <c r="K767" s="24" t="s">
        <v>1146</v>
      </c>
      <c r="L767" s="25">
        <v>1070</v>
      </c>
      <c r="M767" s="26">
        <v>6.89</v>
      </c>
      <c r="N767" s="27">
        <v>6.89</v>
      </c>
      <c r="O767" s="28">
        <v>6.2636363636363636E-3</v>
      </c>
      <c r="P767" s="28">
        <v>6.5241592920353977</v>
      </c>
    </row>
    <row r="768" spans="1:16" x14ac:dyDescent="0.3">
      <c r="A768" t="s">
        <v>3668</v>
      </c>
      <c r="B768" s="24">
        <v>100702</v>
      </c>
      <c r="C768" s="24" t="s">
        <v>1357</v>
      </c>
      <c r="D768" s="24" t="s">
        <v>2502</v>
      </c>
      <c r="E768" s="24" t="s">
        <v>2681</v>
      </c>
      <c r="F768" s="24" t="s">
        <v>1142</v>
      </c>
      <c r="G768" s="24" t="s">
        <v>1399</v>
      </c>
      <c r="H768" s="24" t="s">
        <v>2749</v>
      </c>
      <c r="I768" s="24" t="s">
        <v>2730</v>
      </c>
      <c r="J768" s="24" t="s">
        <v>761</v>
      </c>
      <c r="K768" s="24" t="s">
        <v>1146</v>
      </c>
      <c r="L768" s="25">
        <v>1070</v>
      </c>
      <c r="M768" s="26">
        <v>6.89</v>
      </c>
      <c r="N768" s="27">
        <v>6.89</v>
      </c>
      <c r="O768" s="28">
        <v>6.2636363636363636E-3</v>
      </c>
      <c r="P768" s="28">
        <v>6.5241592920353977</v>
      </c>
    </row>
    <row r="769" spans="1:16" x14ac:dyDescent="0.3">
      <c r="A769" t="s">
        <v>3669</v>
      </c>
      <c r="B769" s="24">
        <v>106916</v>
      </c>
      <c r="C769" s="24" t="s">
        <v>1216</v>
      </c>
      <c r="D769" s="24" t="s">
        <v>2502</v>
      </c>
      <c r="E769" s="24" t="s">
        <v>2681</v>
      </c>
      <c r="F769" s="24" t="s">
        <v>1142</v>
      </c>
      <c r="G769" s="24" t="s">
        <v>1399</v>
      </c>
      <c r="H769" s="24" t="s">
        <v>2749</v>
      </c>
      <c r="I769" s="24" t="s">
        <v>2730</v>
      </c>
      <c r="J769" s="24" t="s">
        <v>761</v>
      </c>
      <c r="K769" s="24" t="s">
        <v>1146</v>
      </c>
      <c r="L769" s="25">
        <v>1070</v>
      </c>
      <c r="M769" s="26">
        <v>6.89</v>
      </c>
      <c r="N769" s="27">
        <v>6.89</v>
      </c>
      <c r="O769" s="28">
        <v>6.2636363636363636E-3</v>
      </c>
      <c r="P769" s="28">
        <v>6.5241592920353977</v>
      </c>
    </row>
    <row r="770" spans="1:16" x14ac:dyDescent="0.3">
      <c r="A770" t="s">
        <v>3670</v>
      </c>
      <c r="B770" s="24">
        <v>106916</v>
      </c>
      <c r="C770" s="24" t="s">
        <v>1216</v>
      </c>
      <c r="D770" s="24" t="s">
        <v>2502</v>
      </c>
      <c r="E770" s="24" t="s">
        <v>2681</v>
      </c>
      <c r="F770" s="24" t="s">
        <v>1142</v>
      </c>
      <c r="G770" s="24" t="s">
        <v>1399</v>
      </c>
      <c r="H770" s="24" t="s">
        <v>2750</v>
      </c>
      <c r="I770" s="24" t="s">
        <v>2730</v>
      </c>
      <c r="J770" s="24" t="s">
        <v>761</v>
      </c>
      <c r="K770" s="24" t="s">
        <v>1146</v>
      </c>
      <c r="L770" s="25">
        <v>1070</v>
      </c>
      <c r="M770" s="26">
        <v>6.89</v>
      </c>
      <c r="N770" s="27">
        <v>6.89</v>
      </c>
      <c r="O770" s="28">
        <v>6.2636363636363636E-3</v>
      </c>
      <c r="P770" s="28">
        <v>6.5241592920353977</v>
      </c>
    </row>
    <row r="771" spans="1:16" x14ac:dyDescent="0.3">
      <c r="A771" t="s">
        <v>3671</v>
      </c>
      <c r="B771" s="24">
        <v>106916</v>
      </c>
      <c r="C771" s="24" t="s">
        <v>1216</v>
      </c>
      <c r="D771" s="24" t="s">
        <v>2502</v>
      </c>
      <c r="E771" s="24" t="s">
        <v>2681</v>
      </c>
      <c r="F771" s="24" t="s">
        <v>1142</v>
      </c>
      <c r="G771" s="24" t="s">
        <v>1399</v>
      </c>
      <c r="H771" s="24" t="s">
        <v>2751</v>
      </c>
      <c r="I771" s="24" t="s">
        <v>2730</v>
      </c>
      <c r="J771" s="24" t="s">
        <v>761</v>
      </c>
      <c r="K771" s="24" t="s">
        <v>1146</v>
      </c>
      <c r="L771" s="25">
        <v>1070</v>
      </c>
      <c r="M771" s="26">
        <v>6.89</v>
      </c>
      <c r="N771" s="27">
        <v>6.89</v>
      </c>
      <c r="O771" s="28">
        <v>6.2636363636363636E-3</v>
      </c>
      <c r="P771" s="28">
        <v>6.5241592920353977</v>
      </c>
    </row>
    <row r="772" spans="1:16" x14ac:dyDescent="0.3">
      <c r="A772" t="s">
        <v>3672</v>
      </c>
      <c r="B772" s="24">
        <v>106916</v>
      </c>
      <c r="C772" s="24" t="s">
        <v>1216</v>
      </c>
      <c r="D772" s="24" t="s">
        <v>2502</v>
      </c>
      <c r="E772" s="24" t="s">
        <v>2681</v>
      </c>
      <c r="F772" s="24" t="s">
        <v>1142</v>
      </c>
      <c r="G772" s="24" t="s">
        <v>1399</v>
      </c>
      <c r="H772" s="24" t="s">
        <v>2752</v>
      </c>
      <c r="I772" s="24" t="s">
        <v>2730</v>
      </c>
      <c r="J772" s="24" t="s">
        <v>761</v>
      </c>
      <c r="K772" s="24" t="s">
        <v>1146</v>
      </c>
      <c r="L772" s="25">
        <v>1070</v>
      </c>
      <c r="M772" s="26">
        <v>6.89</v>
      </c>
      <c r="N772" s="27">
        <v>6.89</v>
      </c>
      <c r="O772" s="28">
        <v>6.2636363636363636E-3</v>
      </c>
      <c r="P772" s="28">
        <v>6.5241592920353977</v>
      </c>
    </row>
    <row r="773" spans="1:16" x14ac:dyDescent="0.3">
      <c r="A773" t="s">
        <v>3673</v>
      </c>
      <c r="B773" s="24">
        <v>106916</v>
      </c>
      <c r="C773" s="24" t="s">
        <v>1216</v>
      </c>
      <c r="D773" s="24" t="s">
        <v>2502</v>
      </c>
      <c r="E773" s="24" t="s">
        <v>2681</v>
      </c>
      <c r="F773" s="24" t="s">
        <v>1142</v>
      </c>
      <c r="G773" s="24" t="s">
        <v>1399</v>
      </c>
      <c r="H773" s="24" t="s">
        <v>2753</v>
      </c>
      <c r="I773" s="24" t="s">
        <v>2730</v>
      </c>
      <c r="J773" s="24" t="s">
        <v>761</v>
      </c>
      <c r="K773" s="24" t="s">
        <v>1146</v>
      </c>
      <c r="L773" s="25">
        <v>1070</v>
      </c>
      <c r="M773" s="26">
        <v>6.89</v>
      </c>
      <c r="N773" s="27">
        <v>6.89</v>
      </c>
      <c r="O773" s="28">
        <v>6.2636363636363636E-3</v>
      </c>
      <c r="P773" s="28">
        <v>6.5241592920353977</v>
      </c>
    </row>
    <row r="774" spans="1:16" x14ac:dyDescent="0.3">
      <c r="A774" t="s">
        <v>3674</v>
      </c>
      <c r="B774" s="24">
        <v>300029</v>
      </c>
      <c r="C774" s="24" t="s">
        <v>2754</v>
      </c>
      <c r="D774" s="24" t="s">
        <v>2502</v>
      </c>
      <c r="E774" s="24" t="s">
        <v>2755</v>
      </c>
      <c r="F774" s="24" t="s">
        <v>1142</v>
      </c>
      <c r="G774" s="24" t="s">
        <v>1203</v>
      </c>
      <c r="H774" s="24" t="s">
        <v>2756</v>
      </c>
      <c r="I774" s="24" t="s">
        <v>2757</v>
      </c>
      <c r="J774" s="24" t="s">
        <v>761</v>
      </c>
      <c r="K774" s="24" t="s">
        <v>2758</v>
      </c>
      <c r="L774" s="25">
        <v>165</v>
      </c>
      <c r="M774" s="26">
        <v>94.93</v>
      </c>
      <c r="N774" s="27">
        <v>13.861460176991152</v>
      </c>
      <c r="O774" s="28">
        <v>8.6300000000000002E-2</v>
      </c>
      <c r="P774" s="28">
        <v>13.861460176991152</v>
      </c>
    </row>
    <row r="775" spans="1:16" x14ac:dyDescent="0.3">
      <c r="A775" t="s">
        <v>3675</v>
      </c>
      <c r="B775" s="24">
        <v>300029</v>
      </c>
      <c r="C775" s="24" t="s">
        <v>2754</v>
      </c>
      <c r="D775" s="24" t="s">
        <v>2502</v>
      </c>
      <c r="E775" s="24" t="s">
        <v>2755</v>
      </c>
      <c r="F775" s="24" t="s">
        <v>1142</v>
      </c>
      <c r="G775" s="24" t="s">
        <v>1203</v>
      </c>
      <c r="H775" s="24" t="s">
        <v>2759</v>
      </c>
      <c r="I775" s="24" t="s">
        <v>2757</v>
      </c>
      <c r="J775" s="24" t="s">
        <v>761</v>
      </c>
      <c r="K775" s="24" t="s">
        <v>2758</v>
      </c>
      <c r="L775" s="25">
        <v>165</v>
      </c>
      <c r="M775" s="26">
        <v>94.93</v>
      </c>
      <c r="N775" s="27">
        <v>13.861460176991152</v>
      </c>
      <c r="O775" s="28">
        <v>8.6300000000000002E-2</v>
      </c>
      <c r="P775" s="28">
        <v>13.861460176991152</v>
      </c>
    </row>
    <row r="776" spans="1:16" x14ac:dyDescent="0.3">
      <c r="A776" t="s">
        <v>3676</v>
      </c>
      <c r="B776" s="24">
        <v>300029</v>
      </c>
      <c r="C776" s="24" t="s">
        <v>2754</v>
      </c>
      <c r="D776" s="24" t="s">
        <v>2502</v>
      </c>
      <c r="E776" s="24" t="s">
        <v>2755</v>
      </c>
      <c r="F776" s="24" t="s">
        <v>1142</v>
      </c>
      <c r="G776" s="24" t="s">
        <v>1203</v>
      </c>
      <c r="H776" s="24" t="s">
        <v>2760</v>
      </c>
      <c r="I776" s="24" t="s">
        <v>2757</v>
      </c>
      <c r="J776" s="24" t="s">
        <v>761</v>
      </c>
      <c r="K776" s="24" t="s">
        <v>2758</v>
      </c>
      <c r="L776" s="25">
        <v>165</v>
      </c>
      <c r="M776" s="26">
        <v>94.93</v>
      </c>
      <c r="N776" s="27">
        <v>13.861460176991152</v>
      </c>
      <c r="O776" s="28">
        <v>8.6300000000000002E-2</v>
      </c>
      <c r="P776" s="28">
        <v>13.861460176991152</v>
      </c>
    </row>
    <row r="777" spans="1:16" x14ac:dyDescent="0.3">
      <c r="A777" t="s">
        <v>3677</v>
      </c>
      <c r="B777" s="24">
        <v>300029</v>
      </c>
      <c r="C777" s="24" t="s">
        <v>2754</v>
      </c>
      <c r="D777" s="24" t="s">
        <v>2502</v>
      </c>
      <c r="E777" s="24" t="s">
        <v>2755</v>
      </c>
      <c r="F777" s="24" t="s">
        <v>1142</v>
      </c>
      <c r="G777" s="24" t="s">
        <v>1203</v>
      </c>
      <c r="H777" s="24" t="s">
        <v>2761</v>
      </c>
      <c r="I777" s="24" t="s">
        <v>2757</v>
      </c>
      <c r="J777" s="24" t="s">
        <v>761</v>
      </c>
      <c r="K777" s="24" t="s">
        <v>2758</v>
      </c>
      <c r="L777" s="25">
        <v>165</v>
      </c>
      <c r="M777" s="26">
        <v>94.93</v>
      </c>
      <c r="N777" s="27">
        <v>13.861460176991152</v>
      </c>
      <c r="O777" s="28">
        <v>8.6300000000000002E-2</v>
      </c>
      <c r="P777" s="28">
        <v>13.861460176991152</v>
      </c>
    </row>
    <row r="778" spans="1:16" x14ac:dyDescent="0.3">
      <c r="A778" t="s">
        <v>3678</v>
      </c>
      <c r="B778" s="24">
        <v>300029</v>
      </c>
      <c r="C778" s="24" t="s">
        <v>2754</v>
      </c>
      <c r="D778" s="24" t="s">
        <v>2502</v>
      </c>
      <c r="E778" s="24" t="s">
        <v>2755</v>
      </c>
      <c r="F778" s="24" t="s">
        <v>1142</v>
      </c>
      <c r="G778" s="24" t="s">
        <v>1203</v>
      </c>
      <c r="H778" s="24" t="s">
        <v>2762</v>
      </c>
      <c r="I778" s="24" t="s">
        <v>2757</v>
      </c>
      <c r="J778" s="24" t="s">
        <v>761</v>
      </c>
      <c r="K778" s="24" t="s">
        <v>2758</v>
      </c>
      <c r="L778" s="25">
        <v>165</v>
      </c>
      <c r="M778" s="26">
        <v>94.93</v>
      </c>
      <c r="N778" s="27">
        <v>13.861460176991152</v>
      </c>
      <c r="O778" s="28">
        <v>8.6300000000000002E-2</v>
      </c>
      <c r="P778" s="28">
        <v>13.861460176991152</v>
      </c>
    </row>
    <row r="779" spans="1:16" x14ac:dyDescent="0.3">
      <c r="A779" t="s">
        <v>3679</v>
      </c>
      <c r="B779" s="24">
        <v>300029</v>
      </c>
      <c r="C779" s="24" t="s">
        <v>2754</v>
      </c>
      <c r="D779" s="24" t="s">
        <v>2502</v>
      </c>
      <c r="E779" s="24" t="s">
        <v>2755</v>
      </c>
      <c r="F779" s="24" t="s">
        <v>1142</v>
      </c>
      <c r="G779" s="24" t="s">
        <v>1203</v>
      </c>
      <c r="H779" s="24" t="s">
        <v>2763</v>
      </c>
      <c r="I779" s="24" t="s">
        <v>2757</v>
      </c>
      <c r="J779" s="24" t="s">
        <v>761</v>
      </c>
      <c r="K779" s="24" t="s">
        <v>2758</v>
      </c>
      <c r="L779" s="25">
        <v>165</v>
      </c>
      <c r="M779" s="26">
        <v>94.93</v>
      </c>
      <c r="N779" s="27">
        <v>13.861460176991152</v>
      </c>
      <c r="O779" s="28">
        <v>8.6300000000000002E-2</v>
      </c>
      <c r="P779" s="28">
        <v>13.861460176991152</v>
      </c>
    </row>
    <row r="780" spans="1:16" x14ac:dyDescent="0.3">
      <c r="A780" t="s">
        <v>3680</v>
      </c>
      <c r="B780" s="24">
        <v>300029</v>
      </c>
      <c r="C780" s="24" t="s">
        <v>2754</v>
      </c>
      <c r="D780" s="24" t="s">
        <v>2502</v>
      </c>
      <c r="E780" s="24" t="s">
        <v>2755</v>
      </c>
      <c r="F780" s="24" t="s">
        <v>1142</v>
      </c>
      <c r="G780" s="24" t="s">
        <v>1203</v>
      </c>
      <c r="H780" s="24" t="s">
        <v>2764</v>
      </c>
      <c r="I780" s="24" t="s">
        <v>2765</v>
      </c>
      <c r="J780" s="24" t="s">
        <v>761</v>
      </c>
      <c r="K780" s="24" t="s">
        <v>2758</v>
      </c>
      <c r="L780" s="25">
        <v>165</v>
      </c>
      <c r="M780" s="26">
        <v>224</v>
      </c>
      <c r="N780" s="27">
        <v>32.707964601769909</v>
      </c>
      <c r="O780" s="28">
        <v>0.20363636363636364</v>
      </c>
      <c r="P780" s="28">
        <v>32.707964601769909</v>
      </c>
    </row>
    <row r="781" spans="1:16" x14ac:dyDescent="0.3">
      <c r="A781" t="s">
        <v>3681</v>
      </c>
      <c r="B781" s="24">
        <v>300051</v>
      </c>
      <c r="C781" s="24" t="s">
        <v>2868</v>
      </c>
      <c r="D781" s="24" t="s">
        <v>2502</v>
      </c>
      <c r="E781" s="24" t="s">
        <v>2755</v>
      </c>
      <c r="F781" s="24" t="s">
        <v>1142</v>
      </c>
      <c r="G781" s="24" t="s">
        <v>1203</v>
      </c>
      <c r="H781" s="24" t="s">
        <v>2764</v>
      </c>
      <c r="I781" s="24" t="s">
        <v>2765</v>
      </c>
      <c r="J781" s="24" t="s">
        <v>761</v>
      </c>
      <c r="K781" s="24" t="s">
        <v>2758</v>
      </c>
      <c r="L781" s="25">
        <v>165</v>
      </c>
      <c r="M781" s="26">
        <v>224</v>
      </c>
      <c r="N781" s="27">
        <v>32.707964601769909</v>
      </c>
      <c r="O781" s="28">
        <v>0.20363636363636364</v>
      </c>
      <c r="P781" s="28">
        <v>32.707964601769909</v>
      </c>
    </row>
    <row r="782" spans="1:16" x14ac:dyDescent="0.3">
      <c r="A782" t="s">
        <v>3682</v>
      </c>
      <c r="B782" s="24">
        <v>300029</v>
      </c>
      <c r="C782" s="24" t="s">
        <v>2754</v>
      </c>
      <c r="D782" s="24" t="s">
        <v>2502</v>
      </c>
      <c r="E782" s="24" t="s">
        <v>2755</v>
      </c>
      <c r="F782" s="24" t="s">
        <v>1142</v>
      </c>
      <c r="G782" s="24" t="s">
        <v>1203</v>
      </c>
      <c r="H782" s="24" t="s">
        <v>2766</v>
      </c>
      <c r="I782" s="24" t="s">
        <v>2765</v>
      </c>
      <c r="J782" s="24" t="s">
        <v>761</v>
      </c>
      <c r="K782" s="24" t="s">
        <v>2758</v>
      </c>
      <c r="L782" s="25">
        <v>165</v>
      </c>
      <c r="M782" s="26">
        <v>224</v>
      </c>
      <c r="N782" s="27">
        <v>32.707964601769909</v>
      </c>
      <c r="O782" s="28">
        <v>0.20363636363636364</v>
      </c>
      <c r="P782" s="28">
        <v>32.707964601769909</v>
      </c>
    </row>
    <row r="783" spans="1:16" x14ac:dyDescent="0.3">
      <c r="A783" t="s">
        <v>3683</v>
      </c>
      <c r="B783" s="24">
        <v>300051</v>
      </c>
      <c r="C783" s="24" t="s">
        <v>2868</v>
      </c>
      <c r="D783" s="24" t="s">
        <v>2502</v>
      </c>
      <c r="E783" s="24" t="s">
        <v>2755</v>
      </c>
      <c r="F783" s="24" t="s">
        <v>1142</v>
      </c>
      <c r="G783" s="24" t="s">
        <v>1203</v>
      </c>
      <c r="H783" s="24" t="s">
        <v>2766</v>
      </c>
      <c r="I783" s="24" t="s">
        <v>2765</v>
      </c>
      <c r="J783" s="24" t="s">
        <v>761</v>
      </c>
      <c r="K783" s="24" t="s">
        <v>2758</v>
      </c>
      <c r="L783" s="25">
        <v>165</v>
      </c>
      <c r="M783" s="26">
        <v>224</v>
      </c>
      <c r="N783" s="27">
        <v>32.707964601769909</v>
      </c>
      <c r="O783" s="28">
        <v>0.20363636363636364</v>
      </c>
      <c r="P783" s="28">
        <v>32.707964601769909</v>
      </c>
    </row>
    <row r="784" spans="1:16" x14ac:dyDescent="0.3">
      <c r="A784" t="s">
        <v>3684</v>
      </c>
      <c r="B784" s="24">
        <v>300300</v>
      </c>
      <c r="C784" s="24" t="s">
        <v>2869</v>
      </c>
      <c r="D784" s="24" t="s">
        <v>2502</v>
      </c>
      <c r="E784" s="24"/>
      <c r="F784" s="24" t="s">
        <v>1142</v>
      </c>
      <c r="G784" s="24" t="s">
        <v>1402</v>
      </c>
      <c r="H784" s="24" t="s">
        <v>2870</v>
      </c>
      <c r="I784" s="24" t="s">
        <v>2768</v>
      </c>
      <c r="J784" s="24" t="s">
        <v>761</v>
      </c>
      <c r="K784" s="24" t="s">
        <v>1146</v>
      </c>
      <c r="L784" s="25">
        <v>1070</v>
      </c>
      <c r="M784" s="26">
        <v>10</v>
      </c>
      <c r="N784" s="27">
        <v>10</v>
      </c>
      <c r="O784" s="28">
        <v>9.0909090909090905E-3</v>
      </c>
      <c r="P784" s="28">
        <v>9.4690265486725664</v>
      </c>
    </row>
    <row r="785" spans="1:16" x14ac:dyDescent="0.3">
      <c r="A785" t="s">
        <v>3685</v>
      </c>
      <c r="B785" s="24">
        <v>111550</v>
      </c>
      <c r="C785" s="24" t="s">
        <v>1582</v>
      </c>
      <c r="D785" s="24" t="s">
        <v>2502</v>
      </c>
      <c r="E785" s="24"/>
      <c r="F785" s="24" t="s">
        <v>1142</v>
      </c>
      <c r="G785" s="24" t="s">
        <v>1402</v>
      </c>
      <c r="H785" s="24" t="s">
        <v>2767</v>
      </c>
      <c r="I785" s="24" t="s">
        <v>2768</v>
      </c>
      <c r="J785" s="24" t="s">
        <v>761</v>
      </c>
      <c r="K785" s="24" t="s">
        <v>1146</v>
      </c>
      <c r="L785" s="25">
        <v>1070</v>
      </c>
      <c r="M785" s="26">
        <v>10</v>
      </c>
      <c r="N785" s="27">
        <v>10</v>
      </c>
      <c r="O785" s="28">
        <v>9.0909090909090905E-3</v>
      </c>
      <c r="P785" s="28">
        <v>9.4690265486725664</v>
      </c>
    </row>
    <row r="786" spans="1:16" x14ac:dyDescent="0.3">
      <c r="A786" t="s">
        <v>3686</v>
      </c>
      <c r="B786" s="24">
        <v>300300</v>
      </c>
      <c r="C786" s="24" t="s">
        <v>2869</v>
      </c>
      <c r="D786" s="24" t="s">
        <v>2502</v>
      </c>
      <c r="E786" s="24"/>
      <c r="F786" s="24" t="s">
        <v>1142</v>
      </c>
      <c r="G786" s="24" t="s">
        <v>1402</v>
      </c>
      <c r="H786" s="24" t="s">
        <v>2871</v>
      </c>
      <c r="I786" s="24" t="s">
        <v>2768</v>
      </c>
      <c r="J786" s="24" t="s">
        <v>761</v>
      </c>
      <c r="K786" s="24" t="s">
        <v>1146</v>
      </c>
      <c r="L786" s="25">
        <v>1070</v>
      </c>
      <c r="M786" s="26">
        <v>10</v>
      </c>
      <c r="N786" s="27">
        <v>10</v>
      </c>
      <c r="O786" s="28">
        <v>9.0909090909090905E-3</v>
      </c>
      <c r="P786" s="28">
        <v>9.4690265486725664</v>
      </c>
    </row>
    <row r="787" spans="1:16" x14ac:dyDescent="0.3">
      <c r="A787" t="s">
        <v>3687</v>
      </c>
      <c r="B787" s="24">
        <v>111550</v>
      </c>
      <c r="C787" s="24" t="s">
        <v>1582</v>
      </c>
      <c r="D787" s="24" t="s">
        <v>2502</v>
      </c>
      <c r="E787" s="24"/>
      <c r="F787" s="24" t="s">
        <v>1142</v>
      </c>
      <c r="G787" s="24" t="s">
        <v>1402</v>
      </c>
      <c r="H787" s="24" t="s">
        <v>2769</v>
      </c>
      <c r="I787" s="24" t="s">
        <v>2768</v>
      </c>
      <c r="J787" s="24" t="s">
        <v>761</v>
      </c>
      <c r="K787" s="24" t="s">
        <v>1146</v>
      </c>
      <c r="L787" s="25">
        <v>1070</v>
      </c>
      <c r="M787" s="26">
        <v>10</v>
      </c>
      <c r="N787" s="27">
        <v>10</v>
      </c>
      <c r="O787" s="28">
        <v>9.0909090909090905E-3</v>
      </c>
      <c r="P787" s="28">
        <v>9.4690265486725664</v>
      </c>
    </row>
    <row r="788" spans="1:16" x14ac:dyDescent="0.3">
      <c r="A788" t="s">
        <v>3688</v>
      </c>
      <c r="B788" s="24">
        <v>300300</v>
      </c>
      <c r="C788" s="24" t="s">
        <v>2869</v>
      </c>
      <c r="D788" s="24" t="s">
        <v>2502</v>
      </c>
      <c r="E788" s="24"/>
      <c r="F788" s="24" t="s">
        <v>1142</v>
      </c>
      <c r="G788" s="24" t="s">
        <v>1402</v>
      </c>
      <c r="H788" s="24" t="s">
        <v>2872</v>
      </c>
      <c r="I788" s="24" t="s">
        <v>2768</v>
      </c>
      <c r="J788" s="24" t="s">
        <v>761</v>
      </c>
      <c r="K788" s="24" t="s">
        <v>1146</v>
      </c>
      <c r="L788" s="25">
        <v>1070</v>
      </c>
      <c r="M788" s="26">
        <v>10</v>
      </c>
      <c r="N788" s="27">
        <v>10</v>
      </c>
      <c r="O788" s="28">
        <v>9.0909090909090905E-3</v>
      </c>
      <c r="P788" s="28">
        <v>9.4690265486725664</v>
      </c>
    </row>
    <row r="789" spans="1:16" x14ac:dyDescent="0.3">
      <c r="A789" t="s">
        <v>3689</v>
      </c>
      <c r="B789" s="24">
        <v>111550</v>
      </c>
      <c r="C789" s="24" t="s">
        <v>1582</v>
      </c>
      <c r="D789" s="24" t="s">
        <v>2502</v>
      </c>
      <c r="E789" s="24"/>
      <c r="F789" s="24" t="s">
        <v>1142</v>
      </c>
      <c r="G789" s="24" t="s">
        <v>1402</v>
      </c>
      <c r="H789" s="24" t="s">
        <v>2873</v>
      </c>
      <c r="I789" s="24" t="s">
        <v>2768</v>
      </c>
      <c r="J789" s="24" t="s">
        <v>761</v>
      </c>
      <c r="K789" s="24" t="s">
        <v>1146</v>
      </c>
      <c r="L789" s="25">
        <v>1070</v>
      </c>
      <c r="M789" s="26">
        <v>10</v>
      </c>
      <c r="N789" s="27">
        <v>10</v>
      </c>
      <c r="O789" s="28">
        <v>9.0909090909090905E-3</v>
      </c>
      <c r="P789" s="28">
        <v>9.4690265486725664</v>
      </c>
    </row>
    <row r="790" spans="1:16" x14ac:dyDescent="0.3">
      <c r="A790" t="s">
        <v>3690</v>
      </c>
      <c r="B790" s="24">
        <v>300300</v>
      </c>
      <c r="C790" s="24" t="s">
        <v>2869</v>
      </c>
      <c r="D790" s="24" t="s">
        <v>2502</v>
      </c>
      <c r="E790" s="24"/>
      <c r="F790" s="24" t="s">
        <v>1142</v>
      </c>
      <c r="G790" s="24" t="s">
        <v>1402</v>
      </c>
      <c r="H790" s="24" t="s">
        <v>2874</v>
      </c>
      <c r="I790" s="24" t="s">
        <v>2768</v>
      </c>
      <c r="J790" s="24" t="s">
        <v>761</v>
      </c>
      <c r="K790" s="24" t="s">
        <v>1146</v>
      </c>
      <c r="L790" s="25">
        <v>1070</v>
      </c>
      <c r="M790" s="26">
        <v>10</v>
      </c>
      <c r="N790" s="27">
        <v>10</v>
      </c>
      <c r="O790" s="28">
        <v>9.0909090909090905E-3</v>
      </c>
      <c r="P790" s="28">
        <v>9.4690265486725664</v>
      </c>
    </row>
    <row r="791" spans="1:16" x14ac:dyDescent="0.3">
      <c r="A791" t="s">
        <v>3691</v>
      </c>
      <c r="B791" s="24">
        <v>111550</v>
      </c>
      <c r="C791" s="24" t="s">
        <v>1582</v>
      </c>
      <c r="D791" s="24" t="s">
        <v>2502</v>
      </c>
      <c r="E791" s="24"/>
      <c r="F791" s="24" t="s">
        <v>1142</v>
      </c>
      <c r="G791" s="24" t="s">
        <v>1402</v>
      </c>
      <c r="H791" s="24" t="s">
        <v>2875</v>
      </c>
      <c r="I791" s="24" t="s">
        <v>2768</v>
      </c>
      <c r="J791" s="24" t="s">
        <v>761</v>
      </c>
      <c r="K791" s="24" t="s">
        <v>1146</v>
      </c>
      <c r="L791" s="25">
        <v>1070</v>
      </c>
      <c r="M791" s="26">
        <v>10</v>
      </c>
      <c r="N791" s="27">
        <v>10</v>
      </c>
      <c r="O791" s="28">
        <v>9.0909090909090905E-3</v>
      </c>
      <c r="P791" s="28">
        <v>9.4690265486725664</v>
      </c>
    </row>
    <row r="792" spans="1:16" x14ac:dyDescent="0.3">
      <c r="A792" t="s">
        <v>3692</v>
      </c>
      <c r="B792" s="24">
        <v>300300</v>
      </c>
      <c r="C792" s="24" t="s">
        <v>2869</v>
      </c>
      <c r="D792" s="24" t="s">
        <v>2502</v>
      </c>
      <c r="E792" s="24"/>
      <c r="F792" s="24" t="s">
        <v>1142</v>
      </c>
      <c r="G792" s="24" t="s">
        <v>1402</v>
      </c>
      <c r="H792" s="24" t="s">
        <v>2876</v>
      </c>
      <c r="I792" s="24" t="s">
        <v>2768</v>
      </c>
      <c r="J792" s="24" t="s">
        <v>761</v>
      </c>
      <c r="K792" s="24" t="s">
        <v>1146</v>
      </c>
      <c r="L792" s="25">
        <v>1070</v>
      </c>
      <c r="M792" s="26">
        <v>10</v>
      </c>
      <c r="N792" s="27">
        <v>10</v>
      </c>
      <c r="O792" s="28">
        <v>9.0909090909090905E-3</v>
      </c>
      <c r="P792" s="28">
        <v>9.4690265486725664</v>
      </c>
    </row>
    <row r="793" spans="1:16" x14ac:dyDescent="0.3">
      <c r="A793" t="s">
        <v>3693</v>
      </c>
      <c r="B793" s="24">
        <v>111550</v>
      </c>
      <c r="C793" s="24" t="s">
        <v>1582</v>
      </c>
      <c r="D793" s="24" t="s">
        <v>2502</v>
      </c>
      <c r="E793" s="24"/>
      <c r="F793" s="24" t="s">
        <v>1142</v>
      </c>
      <c r="G793" s="24" t="s">
        <v>1402</v>
      </c>
      <c r="H793" s="24" t="s">
        <v>2877</v>
      </c>
      <c r="I793" s="24" t="s">
        <v>2768</v>
      </c>
      <c r="J793" s="24" t="s">
        <v>761</v>
      </c>
      <c r="K793" s="24" t="s">
        <v>1146</v>
      </c>
      <c r="L793" s="25">
        <v>1070</v>
      </c>
      <c r="M793" s="26">
        <v>10</v>
      </c>
      <c r="N793" s="27">
        <v>10</v>
      </c>
      <c r="O793" s="28">
        <v>9.0909090909090905E-3</v>
      </c>
      <c r="P793" s="28">
        <v>9.4690265486725664</v>
      </c>
    </row>
    <row r="794" spans="1:16" x14ac:dyDescent="0.3">
      <c r="A794" t="s">
        <v>3694</v>
      </c>
      <c r="B794" s="24">
        <v>300029</v>
      </c>
      <c r="C794" s="24" t="s">
        <v>2754</v>
      </c>
      <c r="D794" s="24" t="s">
        <v>2502</v>
      </c>
      <c r="E794" s="24"/>
      <c r="F794" s="24" t="s">
        <v>1142</v>
      </c>
      <c r="G794" s="24" t="s">
        <v>1203</v>
      </c>
      <c r="H794" s="24" t="s">
        <v>2770</v>
      </c>
      <c r="I794" s="24" t="s">
        <v>2771</v>
      </c>
      <c r="J794" s="24" t="s">
        <v>761</v>
      </c>
      <c r="K794" s="24" t="s">
        <v>2758</v>
      </c>
      <c r="L794" s="25">
        <v>165</v>
      </c>
      <c r="M794" s="26">
        <v>220.28</v>
      </c>
      <c r="N794" s="27">
        <v>32.164778761061946</v>
      </c>
      <c r="O794" s="28">
        <v>0.20025454545454546</v>
      </c>
      <c r="P794" s="28">
        <v>32.164778761061946</v>
      </c>
    </row>
    <row r="795" spans="1:16" x14ac:dyDescent="0.3">
      <c r="A795" t="s">
        <v>3695</v>
      </c>
      <c r="B795" s="24">
        <v>142051</v>
      </c>
      <c r="C795" s="24" t="s">
        <v>1491</v>
      </c>
      <c r="D795" s="24" t="s">
        <v>2502</v>
      </c>
      <c r="E795" s="24" t="s">
        <v>2755</v>
      </c>
      <c r="F795" s="24" t="s">
        <v>1142</v>
      </c>
      <c r="G795" s="24" t="s">
        <v>1203</v>
      </c>
      <c r="H795" s="24" t="s">
        <v>2772</v>
      </c>
      <c r="I795" s="24" t="s">
        <v>2771</v>
      </c>
      <c r="J795" s="24" t="s">
        <v>761</v>
      </c>
      <c r="K795" s="24" t="s">
        <v>2758</v>
      </c>
      <c r="L795" s="25">
        <v>165</v>
      </c>
      <c r="M795" s="26">
        <v>220.28</v>
      </c>
      <c r="N795" s="27">
        <v>32.164778761061946</v>
      </c>
      <c r="O795" s="28">
        <v>0.20025454545454546</v>
      </c>
      <c r="P795" s="28">
        <v>32.164778761061946</v>
      </c>
    </row>
    <row r="796" spans="1:16" x14ac:dyDescent="0.3">
      <c r="A796" t="s">
        <v>3696</v>
      </c>
      <c r="B796" s="24">
        <v>300029</v>
      </c>
      <c r="C796" s="24" t="s">
        <v>2754</v>
      </c>
      <c r="D796" s="24" t="s">
        <v>2502</v>
      </c>
      <c r="E796" s="24" t="s">
        <v>2755</v>
      </c>
      <c r="F796" s="24" t="s">
        <v>1142</v>
      </c>
      <c r="G796" s="24" t="s">
        <v>1203</v>
      </c>
      <c r="H796" s="24" t="s">
        <v>2772</v>
      </c>
      <c r="I796" s="24" t="s">
        <v>2771</v>
      </c>
      <c r="J796" s="24" t="s">
        <v>761</v>
      </c>
      <c r="K796" s="24" t="s">
        <v>2758</v>
      </c>
      <c r="L796" s="25">
        <v>165</v>
      </c>
      <c r="M796" s="26">
        <v>220.28</v>
      </c>
      <c r="N796" s="27">
        <v>32.164778761061946</v>
      </c>
      <c r="O796" s="28">
        <v>0.20025454545454546</v>
      </c>
      <c r="P796" s="28">
        <v>32.164778761061946</v>
      </c>
    </row>
    <row r="797" spans="1:16" x14ac:dyDescent="0.3">
      <c r="A797" t="s">
        <v>3697</v>
      </c>
      <c r="B797" s="24">
        <v>300029</v>
      </c>
      <c r="C797" s="24" t="s">
        <v>2754</v>
      </c>
      <c r="D797" s="24" t="s">
        <v>2502</v>
      </c>
      <c r="E797" s="24"/>
      <c r="F797" s="24" t="s">
        <v>1142</v>
      </c>
      <c r="G797" s="24" t="s">
        <v>1203</v>
      </c>
      <c r="H797" s="24" t="s">
        <v>2773</v>
      </c>
      <c r="I797" s="24" t="s">
        <v>2771</v>
      </c>
      <c r="J797" s="24" t="s">
        <v>761</v>
      </c>
      <c r="K797" s="24" t="s">
        <v>2758</v>
      </c>
      <c r="L797" s="25">
        <v>165</v>
      </c>
      <c r="M797" s="26">
        <v>220.28</v>
      </c>
      <c r="N797" s="27">
        <v>32.164778761061946</v>
      </c>
      <c r="O797" s="28">
        <v>0.20025454545454546</v>
      </c>
      <c r="P797" s="28">
        <v>32.164778761061946</v>
      </c>
    </row>
    <row r="798" spans="1:16" x14ac:dyDescent="0.3">
      <c r="A798" t="s">
        <v>3698</v>
      </c>
      <c r="B798" s="24">
        <v>300300</v>
      </c>
      <c r="C798" s="24" t="s">
        <v>2869</v>
      </c>
      <c r="D798" s="24" t="s">
        <v>2502</v>
      </c>
      <c r="E798" s="24"/>
      <c r="F798" s="24" t="s">
        <v>1142</v>
      </c>
      <c r="G798" s="24" t="s">
        <v>1402</v>
      </c>
      <c r="H798" s="24" t="s">
        <v>2878</v>
      </c>
      <c r="I798" s="24" t="s">
        <v>2775</v>
      </c>
      <c r="J798" s="24" t="s">
        <v>761</v>
      </c>
      <c r="K798" s="24" t="s">
        <v>1146</v>
      </c>
      <c r="L798" s="25">
        <v>1070</v>
      </c>
      <c r="M798" s="26">
        <v>18.149999999999999</v>
      </c>
      <c r="N798" s="27">
        <v>18.149999999999999</v>
      </c>
      <c r="O798" s="28">
        <v>1.6499999999999997E-2</v>
      </c>
      <c r="P798" s="28">
        <v>17.186283185840708</v>
      </c>
    </row>
    <row r="799" spans="1:16" x14ac:dyDescent="0.3">
      <c r="A799" t="s">
        <v>3699</v>
      </c>
      <c r="B799" s="24">
        <v>101184</v>
      </c>
      <c r="C799" s="24" t="s">
        <v>1401</v>
      </c>
      <c r="D799" s="24" t="s">
        <v>2502</v>
      </c>
      <c r="E799" s="24"/>
      <c r="F799" s="24" t="s">
        <v>1142</v>
      </c>
      <c r="G799" s="24" t="s">
        <v>1402</v>
      </c>
      <c r="H799" s="24" t="s">
        <v>2774</v>
      </c>
      <c r="I799" s="24" t="s">
        <v>2775</v>
      </c>
      <c r="J799" s="24" t="s">
        <v>761</v>
      </c>
      <c r="K799" s="24" t="s">
        <v>1146</v>
      </c>
      <c r="L799" s="25">
        <v>1070</v>
      </c>
      <c r="M799" s="26">
        <v>18.149999999999999</v>
      </c>
      <c r="N799" s="27">
        <v>18.149999999999999</v>
      </c>
      <c r="O799" s="28">
        <v>1.6499999999999997E-2</v>
      </c>
      <c r="P799" s="28">
        <v>17.186283185840708</v>
      </c>
    </row>
    <row r="800" spans="1:16" x14ac:dyDescent="0.3">
      <c r="A800" t="s">
        <v>3700</v>
      </c>
      <c r="B800" s="24">
        <v>111550</v>
      </c>
      <c r="C800" s="24" t="s">
        <v>1582</v>
      </c>
      <c r="D800" s="24" t="s">
        <v>2502</v>
      </c>
      <c r="E800" s="24"/>
      <c r="F800" s="24" t="s">
        <v>1142</v>
      </c>
      <c r="G800" s="24" t="s">
        <v>1402</v>
      </c>
      <c r="H800" s="24" t="s">
        <v>2774</v>
      </c>
      <c r="I800" s="24" t="s">
        <v>2775</v>
      </c>
      <c r="J800" s="24" t="s">
        <v>761</v>
      </c>
      <c r="K800" s="24" t="s">
        <v>1146</v>
      </c>
      <c r="L800" s="25">
        <v>1070</v>
      </c>
      <c r="M800" s="26">
        <v>18.149999999999999</v>
      </c>
      <c r="N800" s="27">
        <v>18.149999999999999</v>
      </c>
      <c r="O800" s="28">
        <v>1.6499999999999997E-2</v>
      </c>
      <c r="P800" s="28">
        <v>17.186283185840708</v>
      </c>
    </row>
    <row r="801" spans="1:16" x14ac:dyDescent="0.3">
      <c r="A801" t="s">
        <v>3701</v>
      </c>
      <c r="B801" s="24">
        <v>300300</v>
      </c>
      <c r="C801" s="24" t="s">
        <v>2869</v>
      </c>
      <c r="D801" s="24" t="s">
        <v>2502</v>
      </c>
      <c r="E801" s="24"/>
      <c r="F801" s="24" t="s">
        <v>1142</v>
      </c>
      <c r="G801" s="24" t="s">
        <v>1402</v>
      </c>
      <c r="H801" s="24" t="s">
        <v>2879</v>
      </c>
      <c r="I801" s="24" t="s">
        <v>2775</v>
      </c>
      <c r="J801" s="24" t="s">
        <v>761</v>
      </c>
      <c r="K801" s="24" t="s">
        <v>1146</v>
      </c>
      <c r="L801" s="25">
        <v>1070</v>
      </c>
      <c r="M801" s="26">
        <v>19.350000000000001</v>
      </c>
      <c r="N801" s="27">
        <v>19.350000000000001</v>
      </c>
      <c r="O801" s="28">
        <v>1.7590909090909091E-2</v>
      </c>
      <c r="P801" s="28">
        <v>18.322566371681415</v>
      </c>
    </row>
    <row r="802" spans="1:16" x14ac:dyDescent="0.3">
      <c r="A802" t="s">
        <v>3702</v>
      </c>
      <c r="B802" s="24">
        <v>101184</v>
      </c>
      <c r="C802" s="24" t="s">
        <v>1401</v>
      </c>
      <c r="D802" s="24" t="s">
        <v>2502</v>
      </c>
      <c r="E802" s="24"/>
      <c r="F802" s="24" t="s">
        <v>1142</v>
      </c>
      <c r="G802" s="24" t="s">
        <v>1402</v>
      </c>
      <c r="H802" s="24" t="s">
        <v>2776</v>
      </c>
      <c r="I802" s="24" t="s">
        <v>2775</v>
      </c>
      <c r="J802" s="24" t="s">
        <v>761</v>
      </c>
      <c r="K802" s="24" t="s">
        <v>1146</v>
      </c>
      <c r="L802" s="25">
        <v>1070</v>
      </c>
      <c r="M802" s="26">
        <v>19.350000000000001</v>
      </c>
      <c r="N802" s="27">
        <v>19.350000000000001</v>
      </c>
      <c r="O802" s="28">
        <v>1.7590909090909091E-2</v>
      </c>
      <c r="P802" s="28">
        <v>18.322566371681415</v>
      </c>
    </row>
    <row r="803" spans="1:16" x14ac:dyDescent="0.3">
      <c r="A803" t="s">
        <v>3703</v>
      </c>
      <c r="B803" s="24">
        <v>111550</v>
      </c>
      <c r="C803" s="24" t="s">
        <v>1582</v>
      </c>
      <c r="D803" s="24" t="s">
        <v>2502</v>
      </c>
      <c r="E803" s="24"/>
      <c r="F803" s="24" t="s">
        <v>1142</v>
      </c>
      <c r="G803" s="24" t="s">
        <v>1402</v>
      </c>
      <c r="H803" s="24" t="s">
        <v>2776</v>
      </c>
      <c r="I803" s="24" t="s">
        <v>2775</v>
      </c>
      <c r="J803" s="24" t="s">
        <v>761</v>
      </c>
      <c r="K803" s="24" t="s">
        <v>1146</v>
      </c>
      <c r="L803" s="25">
        <v>1070</v>
      </c>
      <c r="M803" s="26">
        <v>19.350000000000001</v>
      </c>
      <c r="N803" s="27">
        <v>19.350000000000001</v>
      </c>
      <c r="O803" s="28">
        <v>1.7590909090909091E-2</v>
      </c>
      <c r="P803" s="28">
        <v>18.322566371681415</v>
      </c>
    </row>
    <row r="804" spans="1:16" x14ac:dyDescent="0.3">
      <c r="A804" t="s">
        <v>3704</v>
      </c>
      <c r="B804" s="24">
        <v>300300</v>
      </c>
      <c r="C804" s="24" t="s">
        <v>2869</v>
      </c>
      <c r="D804" s="24" t="s">
        <v>2502</v>
      </c>
      <c r="E804" s="24"/>
      <c r="F804" s="24" t="s">
        <v>1142</v>
      </c>
      <c r="G804" s="24" t="s">
        <v>1402</v>
      </c>
      <c r="H804" s="24" t="s">
        <v>2880</v>
      </c>
      <c r="I804" s="24" t="s">
        <v>2775</v>
      </c>
      <c r="J804" s="24" t="s">
        <v>761</v>
      </c>
      <c r="K804" s="24" t="s">
        <v>1146</v>
      </c>
      <c r="L804" s="25">
        <v>1070</v>
      </c>
      <c r="M804" s="26">
        <v>18.149999999999999</v>
      </c>
      <c r="N804" s="27">
        <v>18.149999999999999</v>
      </c>
      <c r="O804" s="28">
        <v>1.6499999999999997E-2</v>
      </c>
      <c r="P804" s="28">
        <v>17.186283185840708</v>
      </c>
    </row>
    <row r="805" spans="1:16" x14ac:dyDescent="0.3">
      <c r="A805" t="s">
        <v>3705</v>
      </c>
      <c r="B805" s="24">
        <v>101184</v>
      </c>
      <c r="C805" s="24" t="s">
        <v>1401</v>
      </c>
      <c r="D805" s="24" t="s">
        <v>2502</v>
      </c>
      <c r="E805" s="24"/>
      <c r="F805" s="24" t="s">
        <v>1142</v>
      </c>
      <c r="G805" s="24" t="s">
        <v>1402</v>
      </c>
      <c r="H805" s="24" t="s">
        <v>2881</v>
      </c>
      <c r="I805" s="24" t="s">
        <v>2775</v>
      </c>
      <c r="J805" s="24" t="s">
        <v>761</v>
      </c>
      <c r="K805" s="24" t="s">
        <v>1146</v>
      </c>
      <c r="L805" s="25">
        <v>1070</v>
      </c>
      <c r="M805" s="26">
        <v>18.149999999999999</v>
      </c>
      <c r="N805" s="27">
        <v>18.149999999999999</v>
      </c>
      <c r="O805" s="28">
        <v>1.6499999999999997E-2</v>
      </c>
      <c r="P805" s="28">
        <v>17.186283185840708</v>
      </c>
    </row>
    <row r="806" spans="1:16" x14ac:dyDescent="0.3">
      <c r="A806" t="s">
        <v>3706</v>
      </c>
      <c r="B806" s="24">
        <v>300300</v>
      </c>
      <c r="C806" s="24" t="s">
        <v>2869</v>
      </c>
      <c r="D806" s="24" t="s">
        <v>2502</v>
      </c>
      <c r="E806" s="24"/>
      <c r="F806" s="24" t="s">
        <v>1142</v>
      </c>
      <c r="G806" s="24" t="s">
        <v>1402</v>
      </c>
      <c r="H806" s="24" t="s">
        <v>2882</v>
      </c>
      <c r="I806" s="24" t="s">
        <v>2775</v>
      </c>
      <c r="J806" s="24" t="s">
        <v>761</v>
      </c>
      <c r="K806" s="24" t="s">
        <v>1146</v>
      </c>
      <c r="L806" s="25">
        <v>1070</v>
      </c>
      <c r="M806" s="26">
        <v>18.149999999999999</v>
      </c>
      <c r="N806" s="27">
        <v>18.149999999999999</v>
      </c>
      <c r="O806" s="28">
        <v>1.6499999999999997E-2</v>
      </c>
      <c r="P806" s="28">
        <v>17.186283185840708</v>
      </c>
    </row>
    <row r="807" spans="1:16" x14ac:dyDescent="0.3">
      <c r="A807" t="s">
        <v>3707</v>
      </c>
      <c r="B807" s="24">
        <v>101184</v>
      </c>
      <c r="C807" s="24" t="s">
        <v>1401</v>
      </c>
      <c r="D807" s="24" t="s">
        <v>2502</v>
      </c>
      <c r="E807" s="24"/>
      <c r="F807" s="24" t="s">
        <v>1142</v>
      </c>
      <c r="G807" s="24" t="s">
        <v>1402</v>
      </c>
      <c r="H807" s="24" t="s">
        <v>2883</v>
      </c>
      <c r="I807" s="24" t="s">
        <v>2775</v>
      </c>
      <c r="J807" s="24" t="s">
        <v>761</v>
      </c>
      <c r="K807" s="24" t="s">
        <v>1146</v>
      </c>
      <c r="L807" s="25">
        <v>1070</v>
      </c>
      <c r="M807" s="26">
        <v>18.149999999999999</v>
      </c>
      <c r="N807" s="27">
        <v>18.149999999999999</v>
      </c>
      <c r="O807" s="28">
        <v>1.6499999999999997E-2</v>
      </c>
      <c r="P807" s="28">
        <v>17.186283185840708</v>
      </c>
    </row>
    <row r="808" spans="1:16" x14ac:dyDescent="0.3">
      <c r="A808" t="s">
        <v>3708</v>
      </c>
      <c r="B808" s="24">
        <v>300029</v>
      </c>
      <c r="C808" s="24" t="s">
        <v>2754</v>
      </c>
      <c r="D808" s="24" t="s">
        <v>2502</v>
      </c>
      <c r="E808" s="24"/>
      <c r="F808" s="24" t="s">
        <v>1142</v>
      </c>
      <c r="G808" s="24" t="s">
        <v>1203</v>
      </c>
      <c r="H808" s="24" t="s">
        <v>2777</v>
      </c>
      <c r="I808" s="24" t="s">
        <v>2778</v>
      </c>
      <c r="J808" s="24" t="s">
        <v>761</v>
      </c>
      <c r="K808" s="24" t="s">
        <v>2758</v>
      </c>
      <c r="L808" s="25">
        <v>165</v>
      </c>
      <c r="M808" s="26">
        <v>99.32</v>
      </c>
      <c r="N808" s="27">
        <v>14.502477876106195</v>
      </c>
      <c r="O808" s="28">
        <v>9.0290909090909088E-2</v>
      </c>
      <c r="P808" s="28">
        <v>14.502477876106195</v>
      </c>
    </row>
    <row r="809" spans="1:16" x14ac:dyDescent="0.3">
      <c r="A809" t="s">
        <v>3709</v>
      </c>
      <c r="B809" s="24">
        <v>142051</v>
      </c>
      <c r="C809" s="24" t="s">
        <v>1491</v>
      </c>
      <c r="D809" s="24" t="s">
        <v>2502</v>
      </c>
      <c r="E809" s="24"/>
      <c r="F809" s="24" t="s">
        <v>1142</v>
      </c>
      <c r="G809" s="24" t="s">
        <v>1203</v>
      </c>
      <c r="H809" s="24" t="s">
        <v>2779</v>
      </c>
      <c r="I809" s="24" t="s">
        <v>2778</v>
      </c>
      <c r="J809" s="24" t="s">
        <v>761</v>
      </c>
      <c r="K809" s="24" t="s">
        <v>2758</v>
      </c>
      <c r="L809" s="25">
        <v>165</v>
      </c>
      <c r="M809" s="26">
        <v>99.32</v>
      </c>
      <c r="N809" s="27">
        <v>14.502477876106195</v>
      </c>
      <c r="O809" s="28">
        <v>9.0290909090909088E-2</v>
      </c>
      <c r="P809" s="28">
        <v>14.502477876106195</v>
      </c>
    </row>
    <row r="810" spans="1:16" x14ac:dyDescent="0.3">
      <c r="A810" t="s">
        <v>3710</v>
      </c>
      <c r="B810" s="24">
        <v>300029</v>
      </c>
      <c r="C810" s="24" t="s">
        <v>2754</v>
      </c>
      <c r="D810" s="24" t="s">
        <v>2502</v>
      </c>
      <c r="E810" s="24" t="s">
        <v>2755</v>
      </c>
      <c r="F810" s="24" t="s">
        <v>1142</v>
      </c>
      <c r="G810" s="24" t="s">
        <v>1203</v>
      </c>
      <c r="H810" s="24" t="s">
        <v>2780</v>
      </c>
      <c r="I810" s="24" t="s">
        <v>2778</v>
      </c>
      <c r="J810" s="24" t="s">
        <v>761</v>
      </c>
      <c r="K810" s="24" t="s">
        <v>2758</v>
      </c>
      <c r="L810" s="25">
        <v>165</v>
      </c>
      <c r="M810" s="26">
        <v>99.32</v>
      </c>
      <c r="N810" s="27">
        <v>14.502477876106195</v>
      </c>
      <c r="O810" s="28">
        <v>9.0290909090909088E-2</v>
      </c>
      <c r="P810" s="28">
        <v>14.502477876106195</v>
      </c>
    </row>
    <row r="811" spans="1:16" x14ac:dyDescent="0.3">
      <c r="A811" t="s">
        <v>3711</v>
      </c>
      <c r="B811" s="24">
        <v>300029</v>
      </c>
      <c r="C811" s="24" t="s">
        <v>2754</v>
      </c>
      <c r="D811" s="24" t="s">
        <v>2502</v>
      </c>
      <c r="E811" s="24"/>
      <c r="F811" s="24" t="s">
        <v>1142</v>
      </c>
      <c r="G811" s="24" t="s">
        <v>1203</v>
      </c>
      <c r="H811" s="24" t="s">
        <v>2781</v>
      </c>
      <c r="I811" s="24" t="s">
        <v>2778</v>
      </c>
      <c r="J811" s="24" t="s">
        <v>761</v>
      </c>
      <c r="K811" s="24" t="s">
        <v>2758</v>
      </c>
      <c r="L811" s="25">
        <v>165</v>
      </c>
      <c r="M811" s="26">
        <v>86.53</v>
      </c>
      <c r="N811" s="27">
        <v>12.63491150442478</v>
      </c>
      <c r="O811" s="28">
        <v>7.8663636363636366E-2</v>
      </c>
      <c r="P811" s="28">
        <v>12.63491150442478</v>
      </c>
    </row>
    <row r="812" spans="1:16" x14ac:dyDescent="0.3">
      <c r="A812" t="s">
        <v>3712</v>
      </c>
      <c r="B812" s="24">
        <v>142051</v>
      </c>
      <c r="C812" s="24" t="s">
        <v>1491</v>
      </c>
      <c r="D812" s="24" t="s">
        <v>2502</v>
      </c>
      <c r="E812" s="24"/>
      <c r="F812" s="24" t="s">
        <v>1142</v>
      </c>
      <c r="G812" s="24" t="s">
        <v>1203</v>
      </c>
      <c r="H812" s="24" t="s">
        <v>2782</v>
      </c>
      <c r="I812" s="24" t="s">
        <v>2778</v>
      </c>
      <c r="J812" s="24" t="s">
        <v>761</v>
      </c>
      <c r="K812" s="24" t="s">
        <v>2758</v>
      </c>
      <c r="L812" s="25">
        <v>165</v>
      </c>
      <c r="M812" s="26">
        <v>99.32</v>
      </c>
      <c r="N812" s="27">
        <v>14.502477876106195</v>
      </c>
      <c r="O812" s="28">
        <v>9.0290909090909088E-2</v>
      </c>
      <c r="P812" s="28">
        <v>14.502477876106195</v>
      </c>
    </row>
    <row r="813" spans="1:16" x14ac:dyDescent="0.3">
      <c r="A813" t="s">
        <v>3713</v>
      </c>
      <c r="B813" s="24">
        <v>300029</v>
      </c>
      <c r="C813" s="24" t="s">
        <v>2754</v>
      </c>
      <c r="D813" s="24" t="s">
        <v>2502</v>
      </c>
      <c r="E813" s="24"/>
      <c r="F813" s="24" t="s">
        <v>1142</v>
      </c>
      <c r="G813" s="24" t="s">
        <v>1203</v>
      </c>
      <c r="H813" s="24" t="s">
        <v>2783</v>
      </c>
      <c r="I813" s="24" t="s">
        <v>2778</v>
      </c>
      <c r="J813" s="24" t="s">
        <v>761</v>
      </c>
      <c r="K813" s="24" t="s">
        <v>2758</v>
      </c>
      <c r="L813" s="25">
        <v>165</v>
      </c>
      <c r="M813" s="26">
        <v>86.53</v>
      </c>
      <c r="N813" s="27">
        <v>12.63491150442478</v>
      </c>
      <c r="O813" s="28">
        <v>7.8663636363636366E-2</v>
      </c>
      <c r="P813" s="28">
        <v>12.63491150442478</v>
      </c>
    </row>
    <row r="814" spans="1:16" x14ac:dyDescent="0.3">
      <c r="A814" t="s">
        <v>3714</v>
      </c>
      <c r="B814" s="24">
        <v>300029</v>
      </c>
      <c r="C814" s="24" t="s">
        <v>2754</v>
      </c>
      <c r="D814" s="24" t="s">
        <v>2502</v>
      </c>
      <c r="E814" s="24" t="s">
        <v>2755</v>
      </c>
      <c r="F814" s="24" t="s">
        <v>1142</v>
      </c>
      <c r="G814" s="24" t="s">
        <v>1203</v>
      </c>
      <c r="H814" s="24" t="s">
        <v>2784</v>
      </c>
      <c r="I814" s="24" t="s">
        <v>2778</v>
      </c>
      <c r="J814" s="24" t="s">
        <v>761</v>
      </c>
      <c r="K814" s="24" t="s">
        <v>2758</v>
      </c>
      <c r="L814" s="25">
        <v>165</v>
      </c>
      <c r="M814" s="26">
        <v>99.32</v>
      </c>
      <c r="N814" s="27">
        <v>14.502477876106195</v>
      </c>
      <c r="O814" s="28">
        <v>9.0290909090909088E-2</v>
      </c>
      <c r="P814" s="28">
        <v>14.502477876106195</v>
      </c>
    </row>
    <row r="815" spans="1:16" x14ac:dyDescent="0.3">
      <c r="A815" t="s">
        <v>3715</v>
      </c>
      <c r="B815" s="24">
        <v>142051</v>
      </c>
      <c r="C815" s="24" t="s">
        <v>1491</v>
      </c>
      <c r="D815" s="24" t="s">
        <v>2502</v>
      </c>
      <c r="E815" s="24"/>
      <c r="F815" s="24" t="s">
        <v>1142</v>
      </c>
      <c r="G815" s="24" t="s">
        <v>1203</v>
      </c>
      <c r="H815" s="24" t="s">
        <v>2785</v>
      </c>
      <c r="I815" s="24" t="s">
        <v>2786</v>
      </c>
      <c r="J815" s="24" t="s">
        <v>761</v>
      </c>
      <c r="K815" s="24" t="s">
        <v>2758</v>
      </c>
      <c r="L815" s="25">
        <v>165</v>
      </c>
      <c r="M815" s="26">
        <v>99.32</v>
      </c>
      <c r="N815" s="27">
        <v>14.502477876106195</v>
      </c>
      <c r="O815" s="28">
        <v>9.0290909090909088E-2</v>
      </c>
      <c r="P815" s="28">
        <v>14.502477876106195</v>
      </c>
    </row>
    <row r="816" spans="1:16" x14ac:dyDescent="0.3">
      <c r="A816" t="s">
        <v>3716</v>
      </c>
      <c r="B816" s="24">
        <v>300029</v>
      </c>
      <c r="C816" s="24" t="s">
        <v>2754</v>
      </c>
      <c r="D816" s="24" t="s">
        <v>2502</v>
      </c>
      <c r="E816" s="24"/>
      <c r="F816" s="24" t="s">
        <v>1142</v>
      </c>
      <c r="G816" s="24" t="s">
        <v>1203</v>
      </c>
      <c r="H816" s="24" t="s">
        <v>2787</v>
      </c>
      <c r="I816" s="24" t="s">
        <v>2788</v>
      </c>
      <c r="J816" s="24" t="s">
        <v>761</v>
      </c>
      <c r="K816" s="24" t="s">
        <v>2758</v>
      </c>
      <c r="L816" s="25">
        <v>165</v>
      </c>
      <c r="M816" s="26">
        <v>220.85</v>
      </c>
      <c r="N816" s="27">
        <v>32.248008849557522</v>
      </c>
      <c r="O816" s="28">
        <v>0.20077272727272727</v>
      </c>
      <c r="P816" s="28">
        <v>32.248008849557522</v>
      </c>
    </row>
    <row r="817" spans="1:16" x14ac:dyDescent="0.3">
      <c r="A817" t="s">
        <v>3717</v>
      </c>
      <c r="B817" s="24">
        <v>300029</v>
      </c>
      <c r="C817" s="24" t="s">
        <v>2754</v>
      </c>
      <c r="D817" s="24" t="s">
        <v>2502</v>
      </c>
      <c r="E817" s="24" t="s">
        <v>2755</v>
      </c>
      <c r="F817" s="24" t="s">
        <v>1142</v>
      </c>
      <c r="G817" s="24" t="s">
        <v>1203</v>
      </c>
      <c r="H817" s="24" t="s">
        <v>2789</v>
      </c>
      <c r="I817" s="24" t="s">
        <v>2788</v>
      </c>
      <c r="J817" s="24" t="s">
        <v>761</v>
      </c>
      <c r="K817" s="24" t="s">
        <v>2758</v>
      </c>
      <c r="L817" s="25">
        <v>165</v>
      </c>
      <c r="M817" s="26">
        <v>220.85</v>
      </c>
      <c r="N817" s="27">
        <v>32.248008849557522</v>
      </c>
      <c r="O817" s="28">
        <v>0.20077272727272727</v>
      </c>
      <c r="P817" s="28">
        <v>32.248008849557522</v>
      </c>
    </row>
    <row r="818" spans="1:16" x14ac:dyDescent="0.3">
      <c r="A818" t="s">
        <v>3718</v>
      </c>
      <c r="B818" s="24">
        <v>300029</v>
      </c>
      <c r="C818" s="24" t="s">
        <v>2754</v>
      </c>
      <c r="D818" s="24" t="s">
        <v>2502</v>
      </c>
      <c r="E818" s="24"/>
      <c r="F818" s="24" t="s">
        <v>1142</v>
      </c>
      <c r="G818" s="24" t="s">
        <v>1203</v>
      </c>
      <c r="H818" s="24" t="s">
        <v>2790</v>
      </c>
      <c r="I818" s="24" t="s">
        <v>2788</v>
      </c>
      <c r="J818" s="24" t="s">
        <v>761</v>
      </c>
      <c r="K818" s="24" t="s">
        <v>2758</v>
      </c>
      <c r="L818" s="25">
        <v>165</v>
      </c>
      <c r="M818" s="26">
        <v>220.85</v>
      </c>
      <c r="N818" s="27">
        <v>32.248008849557522</v>
      </c>
      <c r="O818" s="28">
        <v>0.20077272727272727</v>
      </c>
      <c r="P818" s="28">
        <v>32.248008849557522</v>
      </c>
    </row>
    <row r="819" spans="1:16" x14ac:dyDescent="0.3">
      <c r="A819" t="s">
        <v>3719</v>
      </c>
      <c r="B819" s="24">
        <v>300300</v>
      </c>
      <c r="C819" s="24" t="s">
        <v>2869</v>
      </c>
      <c r="D819" s="24" t="s">
        <v>2502</v>
      </c>
      <c r="E819" s="24"/>
      <c r="F819" s="24" t="s">
        <v>1142</v>
      </c>
      <c r="G819" s="24" t="s">
        <v>1402</v>
      </c>
      <c r="H819" s="24" t="s">
        <v>2884</v>
      </c>
      <c r="I819" s="24" t="s">
        <v>2792</v>
      </c>
      <c r="J819" s="24" t="s">
        <v>761</v>
      </c>
      <c r="K819" s="24" t="s">
        <v>1146</v>
      </c>
      <c r="L819" s="25">
        <v>1070</v>
      </c>
      <c r="M819" s="26">
        <v>46.14</v>
      </c>
      <c r="N819" s="27">
        <v>46.14</v>
      </c>
      <c r="O819" s="28">
        <v>4.1945454545454543E-2</v>
      </c>
      <c r="P819" s="28">
        <v>43.690088495575225</v>
      </c>
    </row>
    <row r="820" spans="1:16" x14ac:dyDescent="0.3">
      <c r="A820" t="s">
        <v>3720</v>
      </c>
      <c r="B820" s="24">
        <v>101184</v>
      </c>
      <c r="C820" s="24" t="s">
        <v>1401</v>
      </c>
      <c r="D820" s="24" t="s">
        <v>2502</v>
      </c>
      <c r="E820" s="24"/>
      <c r="F820" s="24" t="s">
        <v>1142</v>
      </c>
      <c r="G820" s="24" t="s">
        <v>1402</v>
      </c>
      <c r="H820" s="24" t="s">
        <v>2791</v>
      </c>
      <c r="I820" s="24" t="s">
        <v>2792</v>
      </c>
      <c r="J820" s="24" t="s">
        <v>761</v>
      </c>
      <c r="K820" s="24" t="s">
        <v>1146</v>
      </c>
      <c r="L820" s="25">
        <v>1070</v>
      </c>
      <c r="M820" s="26">
        <v>46.14</v>
      </c>
      <c r="N820" s="27">
        <v>46.14</v>
      </c>
      <c r="O820" s="28">
        <v>4.1945454545454543E-2</v>
      </c>
      <c r="P820" s="28">
        <v>43.690088495575225</v>
      </c>
    </row>
    <row r="821" spans="1:16" x14ac:dyDescent="0.3">
      <c r="A821" t="s">
        <v>3721</v>
      </c>
      <c r="B821" s="24">
        <v>111550</v>
      </c>
      <c r="C821" s="24" t="s">
        <v>1582</v>
      </c>
      <c r="D821" s="24" t="s">
        <v>2502</v>
      </c>
      <c r="E821" s="24"/>
      <c r="F821" s="24" t="s">
        <v>1142</v>
      </c>
      <c r="G821" s="24" t="s">
        <v>1402</v>
      </c>
      <c r="H821" s="24" t="s">
        <v>2791</v>
      </c>
      <c r="I821" s="24" t="s">
        <v>2792</v>
      </c>
      <c r="J821" s="24" t="s">
        <v>761</v>
      </c>
      <c r="K821" s="24" t="s">
        <v>1146</v>
      </c>
      <c r="L821" s="25">
        <v>1070</v>
      </c>
      <c r="M821" s="26">
        <v>46.14</v>
      </c>
      <c r="N821" s="27">
        <v>46.14</v>
      </c>
      <c r="O821" s="28">
        <v>4.1945454545454543E-2</v>
      </c>
      <c r="P821" s="28">
        <v>43.690088495575225</v>
      </c>
    </row>
    <row r="822" spans="1:16" x14ac:dyDescent="0.3">
      <c r="A822" t="s">
        <v>3722</v>
      </c>
      <c r="B822" s="24">
        <v>300300</v>
      </c>
      <c r="C822" s="24" t="s">
        <v>2869</v>
      </c>
      <c r="D822" s="24" t="s">
        <v>2502</v>
      </c>
      <c r="E822" s="24"/>
      <c r="F822" s="24" t="s">
        <v>1142</v>
      </c>
      <c r="G822" s="24" t="s">
        <v>1402</v>
      </c>
      <c r="H822" s="24" t="s">
        <v>2885</v>
      </c>
      <c r="I822" s="24" t="s">
        <v>2792</v>
      </c>
      <c r="J822" s="24" t="s">
        <v>761</v>
      </c>
      <c r="K822" s="24" t="s">
        <v>1146</v>
      </c>
      <c r="L822" s="25">
        <v>1070</v>
      </c>
      <c r="M822" s="26">
        <v>47.34</v>
      </c>
      <c r="N822" s="27">
        <v>47.34</v>
      </c>
      <c r="O822" s="28">
        <v>4.3036363636363636E-2</v>
      </c>
      <c r="P822" s="28">
        <v>44.826371681415935</v>
      </c>
    </row>
    <row r="823" spans="1:16" x14ac:dyDescent="0.3">
      <c r="A823" t="s">
        <v>3723</v>
      </c>
      <c r="B823" s="24">
        <v>101184</v>
      </c>
      <c r="C823" s="24" t="s">
        <v>1401</v>
      </c>
      <c r="D823" s="24" t="s">
        <v>2502</v>
      </c>
      <c r="E823" s="24"/>
      <c r="F823" s="24" t="s">
        <v>1142</v>
      </c>
      <c r="G823" s="24" t="s">
        <v>1402</v>
      </c>
      <c r="H823" s="24" t="s">
        <v>2793</v>
      </c>
      <c r="I823" s="24" t="s">
        <v>2792</v>
      </c>
      <c r="J823" s="24" t="s">
        <v>761</v>
      </c>
      <c r="K823" s="24" t="s">
        <v>1146</v>
      </c>
      <c r="L823" s="25">
        <v>1070</v>
      </c>
      <c r="M823" s="26">
        <v>47.34</v>
      </c>
      <c r="N823" s="27">
        <v>47.34</v>
      </c>
      <c r="O823" s="28">
        <v>4.3036363636363636E-2</v>
      </c>
      <c r="P823" s="28">
        <v>44.826371681415935</v>
      </c>
    </row>
    <row r="824" spans="1:16" x14ac:dyDescent="0.3">
      <c r="A824" t="s">
        <v>3724</v>
      </c>
      <c r="B824" s="24">
        <v>111550</v>
      </c>
      <c r="C824" s="24" t="s">
        <v>1582</v>
      </c>
      <c r="D824" s="24" t="s">
        <v>2502</v>
      </c>
      <c r="E824" s="24"/>
      <c r="F824" s="24" t="s">
        <v>1142</v>
      </c>
      <c r="G824" s="24" t="s">
        <v>1402</v>
      </c>
      <c r="H824" s="24" t="s">
        <v>2793</v>
      </c>
      <c r="I824" s="24" t="s">
        <v>2792</v>
      </c>
      <c r="J824" s="24" t="s">
        <v>761</v>
      </c>
      <c r="K824" s="24" t="s">
        <v>1146</v>
      </c>
      <c r="L824" s="25">
        <v>1070</v>
      </c>
      <c r="M824" s="26">
        <v>47.34</v>
      </c>
      <c r="N824" s="27">
        <v>47.34</v>
      </c>
      <c r="O824" s="28">
        <v>4.3036363636363636E-2</v>
      </c>
      <c r="P824" s="28">
        <v>44.826371681415935</v>
      </c>
    </row>
    <row r="825" spans="1:16" x14ac:dyDescent="0.3">
      <c r="A825" t="s">
        <v>3725</v>
      </c>
      <c r="B825" s="24">
        <v>300029</v>
      </c>
      <c r="C825" s="24" t="s">
        <v>2754</v>
      </c>
      <c r="D825" s="24" t="s">
        <v>2502</v>
      </c>
      <c r="E825" s="24"/>
      <c r="F825" s="24" t="s">
        <v>1142</v>
      </c>
      <c r="G825" s="24" t="s">
        <v>1203</v>
      </c>
      <c r="H825" s="24" t="s">
        <v>2794</v>
      </c>
      <c r="I825" s="24" t="s">
        <v>2795</v>
      </c>
      <c r="J825" s="24" t="s">
        <v>761</v>
      </c>
      <c r="K825" s="24" t="s">
        <v>2758</v>
      </c>
      <c r="L825" s="25">
        <v>165</v>
      </c>
      <c r="M825" s="26">
        <v>123.62</v>
      </c>
      <c r="N825" s="27">
        <v>18.05070796460177</v>
      </c>
      <c r="O825" s="28">
        <v>0.11238181818181818</v>
      </c>
      <c r="P825" s="28">
        <v>18.05070796460177</v>
      </c>
    </row>
    <row r="826" spans="1:16" x14ac:dyDescent="0.3">
      <c r="A826" t="s">
        <v>3726</v>
      </c>
      <c r="B826" s="24">
        <v>300029</v>
      </c>
      <c r="C826" s="24" t="s">
        <v>2754</v>
      </c>
      <c r="D826" s="24" t="s">
        <v>2502</v>
      </c>
      <c r="E826" s="24"/>
      <c r="F826" s="24" t="s">
        <v>1142</v>
      </c>
      <c r="G826" s="24" t="s">
        <v>1203</v>
      </c>
      <c r="H826" s="24" t="s">
        <v>2796</v>
      </c>
      <c r="I826" s="24" t="s">
        <v>2795</v>
      </c>
      <c r="J826" s="24" t="s">
        <v>761</v>
      </c>
      <c r="K826" s="24" t="s">
        <v>2758</v>
      </c>
      <c r="L826" s="25">
        <v>165</v>
      </c>
      <c r="M826" s="26">
        <v>102.86</v>
      </c>
      <c r="N826" s="27">
        <v>15.019380530973452</v>
      </c>
      <c r="O826" s="28">
        <v>9.3509090909090903E-2</v>
      </c>
      <c r="P826" s="28">
        <v>15.019380530973452</v>
      </c>
    </row>
    <row r="827" spans="1:16" x14ac:dyDescent="0.3">
      <c r="A827" t="s">
        <v>3727</v>
      </c>
      <c r="B827" s="24">
        <v>300029</v>
      </c>
      <c r="C827" s="24" t="s">
        <v>2754</v>
      </c>
      <c r="D827" s="24" t="s">
        <v>2502</v>
      </c>
      <c r="E827" s="24"/>
      <c r="F827" s="24" t="s">
        <v>1142</v>
      </c>
      <c r="G827" s="24" t="s">
        <v>1203</v>
      </c>
      <c r="H827" s="24" t="s">
        <v>2797</v>
      </c>
      <c r="I827" s="24" t="s">
        <v>2795</v>
      </c>
      <c r="J827" s="24" t="s">
        <v>761</v>
      </c>
      <c r="K827" s="24" t="s">
        <v>2758</v>
      </c>
      <c r="L827" s="25">
        <v>165</v>
      </c>
      <c r="M827" s="26">
        <v>102.86</v>
      </c>
      <c r="N827" s="27">
        <v>15.019380530973452</v>
      </c>
      <c r="O827" s="28">
        <v>9.3509090909090903E-2</v>
      </c>
      <c r="P827" s="28">
        <v>15.019380530973452</v>
      </c>
    </row>
    <row r="828" spans="1:16" x14ac:dyDescent="0.3">
      <c r="A828" t="s">
        <v>3728</v>
      </c>
      <c r="B828" s="24">
        <v>300029</v>
      </c>
      <c r="C828" s="24" t="s">
        <v>2754</v>
      </c>
      <c r="D828" s="24" t="s">
        <v>2502</v>
      </c>
      <c r="E828" s="24"/>
      <c r="F828" s="24" t="s">
        <v>1142</v>
      </c>
      <c r="G828" s="24" t="s">
        <v>1203</v>
      </c>
      <c r="H828" s="24" t="s">
        <v>2798</v>
      </c>
      <c r="I828" s="24" t="s">
        <v>2795</v>
      </c>
      <c r="J828" s="24" t="s">
        <v>761</v>
      </c>
      <c r="K828" s="24" t="s">
        <v>2758</v>
      </c>
      <c r="L828" s="25">
        <v>165</v>
      </c>
      <c r="M828" s="26">
        <v>123.62</v>
      </c>
      <c r="N828" s="27">
        <v>18.05070796460177</v>
      </c>
      <c r="O828" s="28">
        <v>0.11238181818181818</v>
      </c>
      <c r="P828" s="28">
        <v>18.05070796460177</v>
      </c>
    </row>
    <row r="829" spans="1:16" x14ac:dyDescent="0.3">
      <c r="A829" t="s">
        <v>3729</v>
      </c>
      <c r="B829" s="24">
        <v>300029</v>
      </c>
      <c r="C829" s="24" t="s">
        <v>2754</v>
      </c>
      <c r="D829" s="24" t="s">
        <v>2502</v>
      </c>
      <c r="E829" s="24" t="s">
        <v>2755</v>
      </c>
      <c r="F829" s="24" t="s">
        <v>1142</v>
      </c>
      <c r="G829" s="24" t="s">
        <v>1203</v>
      </c>
      <c r="H829" s="24" t="s">
        <v>2799</v>
      </c>
      <c r="I829" s="24" t="s">
        <v>2800</v>
      </c>
      <c r="J829" s="24" t="s">
        <v>761</v>
      </c>
      <c r="K829" s="24" t="s">
        <v>2758</v>
      </c>
      <c r="L829" s="25">
        <v>165</v>
      </c>
      <c r="M829" s="26">
        <v>102.86</v>
      </c>
      <c r="N829" s="27">
        <v>15.019380530973452</v>
      </c>
      <c r="O829" s="28">
        <v>9.3509090909090903E-2</v>
      </c>
      <c r="P829" s="28">
        <v>15.019380530973452</v>
      </c>
    </row>
    <row r="830" spans="1:16" x14ac:dyDescent="0.3">
      <c r="A830" t="s">
        <v>3730</v>
      </c>
      <c r="B830" s="24">
        <v>300029</v>
      </c>
      <c r="C830" s="24" t="s">
        <v>2754</v>
      </c>
      <c r="D830" s="24" t="s">
        <v>2502</v>
      </c>
      <c r="E830" s="24"/>
      <c r="F830" s="24" t="s">
        <v>1142</v>
      </c>
      <c r="G830" s="24" t="s">
        <v>1203</v>
      </c>
      <c r="H830" s="24" t="s">
        <v>2801</v>
      </c>
      <c r="I830" s="24" t="s">
        <v>2802</v>
      </c>
      <c r="J830" s="24" t="s">
        <v>761</v>
      </c>
      <c r="K830" s="24" t="s">
        <v>2758</v>
      </c>
      <c r="L830" s="25">
        <v>165</v>
      </c>
      <c r="M830" s="26">
        <v>227.37</v>
      </c>
      <c r="N830" s="27">
        <v>33.200044247787616</v>
      </c>
      <c r="O830" s="28">
        <v>0.20669999999999999</v>
      </c>
      <c r="P830" s="28">
        <v>33.200044247787616</v>
      </c>
    </row>
    <row r="831" spans="1:16" x14ac:dyDescent="0.3">
      <c r="A831" t="s">
        <v>3731</v>
      </c>
      <c r="B831" s="24">
        <v>300029</v>
      </c>
      <c r="C831" s="24" t="s">
        <v>2754</v>
      </c>
      <c r="D831" s="24" t="s">
        <v>2502</v>
      </c>
      <c r="E831" s="24" t="s">
        <v>2755</v>
      </c>
      <c r="F831" s="24" t="s">
        <v>1142</v>
      </c>
      <c r="G831" s="24" t="s">
        <v>1203</v>
      </c>
      <c r="H831" s="24" t="s">
        <v>2803</v>
      </c>
      <c r="I831" s="24" t="s">
        <v>2802</v>
      </c>
      <c r="J831" s="24" t="s">
        <v>761</v>
      </c>
      <c r="K831" s="24" t="s">
        <v>2758</v>
      </c>
      <c r="L831" s="25">
        <v>165</v>
      </c>
      <c r="M831" s="26">
        <v>227.37</v>
      </c>
      <c r="N831" s="27">
        <v>33.200044247787616</v>
      </c>
      <c r="O831" s="28">
        <v>0.20669999999999999</v>
      </c>
      <c r="P831" s="28">
        <v>33.200044247787616</v>
      </c>
    </row>
    <row r="832" spans="1:16" x14ac:dyDescent="0.3">
      <c r="A832" t="s">
        <v>3732</v>
      </c>
      <c r="B832" s="24">
        <v>300029</v>
      </c>
      <c r="C832" s="24" t="s">
        <v>2754</v>
      </c>
      <c r="D832" s="24" t="s">
        <v>2502</v>
      </c>
      <c r="E832" s="24"/>
      <c r="F832" s="24" t="s">
        <v>1142</v>
      </c>
      <c r="G832" s="24" t="s">
        <v>1203</v>
      </c>
      <c r="H832" s="24" t="s">
        <v>2804</v>
      </c>
      <c r="I832" s="24" t="s">
        <v>2802</v>
      </c>
      <c r="J832" s="24" t="s">
        <v>761</v>
      </c>
      <c r="K832" s="24" t="s">
        <v>2758</v>
      </c>
      <c r="L832" s="25">
        <v>165</v>
      </c>
      <c r="M832" s="26">
        <v>227.37</v>
      </c>
      <c r="N832" s="27">
        <v>33.200044247787616</v>
      </c>
      <c r="O832" s="28">
        <v>0.20669999999999999</v>
      </c>
      <c r="P832" s="28">
        <v>33.200044247787616</v>
      </c>
    </row>
    <row r="833" spans="1:16" x14ac:dyDescent="0.3">
      <c r="A833" t="s">
        <v>3733</v>
      </c>
      <c r="B833" s="24">
        <v>101186</v>
      </c>
      <c r="C833" s="24" t="s">
        <v>1273</v>
      </c>
      <c r="D833" s="24" t="s">
        <v>2502</v>
      </c>
      <c r="E833" s="24"/>
      <c r="F833" s="24" t="s">
        <v>1142</v>
      </c>
      <c r="G833" s="24" t="s">
        <v>1203</v>
      </c>
      <c r="H833" s="24" t="s">
        <v>2805</v>
      </c>
      <c r="I833" s="24" t="s">
        <v>2806</v>
      </c>
      <c r="J833" s="24" t="s">
        <v>761</v>
      </c>
      <c r="K833" s="24" t="s">
        <v>1146</v>
      </c>
      <c r="L833" s="25">
        <v>1070</v>
      </c>
      <c r="M833" s="26">
        <v>48.14</v>
      </c>
      <c r="N833" s="27">
        <v>48.14</v>
      </c>
      <c r="O833" s="28">
        <v>4.3763636363636366E-2</v>
      </c>
      <c r="P833" s="28">
        <v>45.583893805309735</v>
      </c>
    </row>
    <row r="834" spans="1:16" x14ac:dyDescent="0.3">
      <c r="A834" t="s">
        <v>3734</v>
      </c>
      <c r="B834" s="24">
        <v>300300</v>
      </c>
      <c r="C834" s="24" t="s">
        <v>2869</v>
      </c>
      <c r="D834" s="24" t="s">
        <v>2502</v>
      </c>
      <c r="E834" s="24"/>
      <c r="F834" s="24" t="s">
        <v>1142</v>
      </c>
      <c r="G834" s="24" t="s">
        <v>1402</v>
      </c>
      <c r="H834" s="24" t="s">
        <v>2886</v>
      </c>
      <c r="I834" s="24" t="s">
        <v>2808</v>
      </c>
      <c r="J834" s="24" t="s">
        <v>761</v>
      </c>
      <c r="K834" s="24" t="s">
        <v>1146</v>
      </c>
      <c r="L834" s="25">
        <v>1070</v>
      </c>
      <c r="M834" s="26">
        <v>44.04</v>
      </c>
      <c r="N834" s="27">
        <v>44.04</v>
      </c>
      <c r="O834" s="28">
        <v>4.0036363636363634E-2</v>
      </c>
      <c r="P834" s="28">
        <v>41.701592920353981</v>
      </c>
    </row>
    <row r="835" spans="1:16" x14ac:dyDescent="0.3">
      <c r="A835" t="s">
        <v>3735</v>
      </c>
      <c r="B835" s="24">
        <v>111550</v>
      </c>
      <c r="C835" s="24" t="s">
        <v>1582</v>
      </c>
      <c r="D835" s="24" t="s">
        <v>2502</v>
      </c>
      <c r="E835" s="24"/>
      <c r="F835" s="24" t="s">
        <v>1142</v>
      </c>
      <c r="G835" s="24" t="s">
        <v>1402</v>
      </c>
      <c r="H835" s="24" t="s">
        <v>2807</v>
      </c>
      <c r="I835" s="24" t="s">
        <v>2808</v>
      </c>
      <c r="J835" s="24" t="s">
        <v>761</v>
      </c>
      <c r="K835" s="24" t="s">
        <v>1146</v>
      </c>
      <c r="L835" s="25">
        <v>1070</v>
      </c>
      <c r="M835" s="26">
        <v>44.04</v>
      </c>
      <c r="N835" s="27">
        <v>44.04</v>
      </c>
      <c r="O835" s="28">
        <v>4.0036363636363634E-2</v>
      </c>
      <c r="P835" s="28">
        <v>41.701592920353981</v>
      </c>
    </row>
    <row r="836" spans="1:16" x14ac:dyDescent="0.3">
      <c r="A836" t="s">
        <v>3736</v>
      </c>
      <c r="B836" s="24">
        <v>300300</v>
      </c>
      <c r="C836" s="24" t="s">
        <v>2869</v>
      </c>
      <c r="D836" s="24" t="s">
        <v>2502</v>
      </c>
      <c r="E836" s="24"/>
      <c r="F836" s="24" t="s">
        <v>1142</v>
      </c>
      <c r="G836" s="24" t="s">
        <v>1402</v>
      </c>
      <c r="H836" s="24" t="s">
        <v>2887</v>
      </c>
      <c r="I836" s="24" t="s">
        <v>2888</v>
      </c>
      <c r="J836" s="24" t="s">
        <v>761</v>
      </c>
      <c r="K836" s="24" t="s">
        <v>1146</v>
      </c>
      <c r="L836" s="25">
        <v>1070</v>
      </c>
      <c r="M836" s="26">
        <v>47.34</v>
      </c>
      <c r="N836" s="27">
        <v>47.34</v>
      </c>
      <c r="O836" s="28">
        <v>4.3036363636363636E-2</v>
      </c>
      <c r="P836" s="28">
        <v>44.826371681415935</v>
      </c>
    </row>
    <row r="837" spans="1:16" x14ac:dyDescent="0.3">
      <c r="A837" t="s">
        <v>3737</v>
      </c>
      <c r="B837" s="24">
        <v>111550</v>
      </c>
      <c r="C837" s="24" t="s">
        <v>1582</v>
      </c>
      <c r="D837" s="24" t="s">
        <v>2502</v>
      </c>
      <c r="E837" s="24"/>
      <c r="F837" s="24" t="s">
        <v>1142</v>
      </c>
      <c r="G837" s="24" t="s">
        <v>1402</v>
      </c>
      <c r="H837" s="24" t="s">
        <v>2809</v>
      </c>
      <c r="I837" s="24" t="s">
        <v>2792</v>
      </c>
      <c r="J837" s="24" t="s">
        <v>761</v>
      </c>
      <c r="K837" s="24" t="s">
        <v>1146</v>
      </c>
      <c r="L837" s="25">
        <v>1070</v>
      </c>
      <c r="M837" s="26">
        <v>47.34</v>
      </c>
      <c r="N837" s="27">
        <v>47.34</v>
      </c>
      <c r="O837" s="28">
        <v>4.3036363636363636E-2</v>
      </c>
      <c r="P837" s="28">
        <v>44.826371681415935</v>
      </c>
    </row>
    <row r="838" spans="1:16" x14ac:dyDescent="0.3">
      <c r="A838" t="s">
        <v>3738</v>
      </c>
      <c r="B838" s="24">
        <v>300300</v>
      </c>
      <c r="C838" s="24" t="s">
        <v>2869</v>
      </c>
      <c r="D838" s="24" t="s">
        <v>2502</v>
      </c>
      <c r="E838" s="24"/>
      <c r="F838" s="24" t="s">
        <v>1142</v>
      </c>
      <c r="G838" s="24" t="s">
        <v>1402</v>
      </c>
      <c r="H838" s="24" t="s">
        <v>2889</v>
      </c>
      <c r="I838" s="24" t="s">
        <v>2811</v>
      </c>
      <c r="J838" s="24" t="s">
        <v>761</v>
      </c>
      <c r="K838" s="24" t="s">
        <v>1146</v>
      </c>
      <c r="L838" s="25">
        <v>1070</v>
      </c>
      <c r="M838" s="26">
        <v>47.34</v>
      </c>
      <c r="N838" s="27">
        <v>47.34</v>
      </c>
      <c r="O838" s="28">
        <v>4.3036363636363636E-2</v>
      </c>
      <c r="P838" s="28">
        <v>44.826371681415935</v>
      </c>
    </row>
    <row r="839" spans="1:16" x14ac:dyDescent="0.3">
      <c r="A839" t="s">
        <v>3739</v>
      </c>
      <c r="B839" s="24">
        <v>111550</v>
      </c>
      <c r="C839" s="24" t="s">
        <v>1582</v>
      </c>
      <c r="D839" s="24" t="s">
        <v>2502</v>
      </c>
      <c r="E839" s="24"/>
      <c r="F839" s="24" t="s">
        <v>1142</v>
      </c>
      <c r="G839" s="24" t="s">
        <v>1402</v>
      </c>
      <c r="H839" s="24" t="s">
        <v>2810</v>
      </c>
      <c r="I839" s="24" t="s">
        <v>2811</v>
      </c>
      <c r="J839" s="24" t="s">
        <v>761</v>
      </c>
      <c r="K839" s="24" t="s">
        <v>1146</v>
      </c>
      <c r="L839" s="25">
        <v>1070</v>
      </c>
      <c r="M839" s="26">
        <v>47.34</v>
      </c>
      <c r="N839" s="27">
        <v>47.34</v>
      </c>
      <c r="O839" s="28">
        <v>4.3036363636363636E-2</v>
      </c>
      <c r="P839" s="28">
        <v>44.826371681415935</v>
      </c>
    </row>
    <row r="840" spans="1:16" x14ac:dyDescent="0.3">
      <c r="A840" t="s">
        <v>3740</v>
      </c>
      <c r="B840" s="24">
        <v>300300</v>
      </c>
      <c r="C840" s="24" t="s">
        <v>2869</v>
      </c>
      <c r="D840" s="24" t="s">
        <v>2502</v>
      </c>
      <c r="E840" s="24"/>
      <c r="F840" s="24" t="s">
        <v>1142</v>
      </c>
      <c r="G840" s="24" t="s">
        <v>1402</v>
      </c>
      <c r="H840" s="24" t="s">
        <v>2890</v>
      </c>
      <c r="I840" s="24" t="s">
        <v>2792</v>
      </c>
      <c r="J840" s="24" t="s">
        <v>761</v>
      </c>
      <c r="K840" s="24" t="s">
        <v>1146</v>
      </c>
      <c r="L840" s="25">
        <v>1070</v>
      </c>
      <c r="M840" s="26">
        <v>42.84</v>
      </c>
      <c r="N840" s="27">
        <v>42.84</v>
      </c>
      <c r="O840" s="28">
        <v>3.8945454545454547E-2</v>
      </c>
      <c r="P840" s="28">
        <v>40.565309734513278</v>
      </c>
    </row>
    <row r="841" spans="1:16" x14ac:dyDescent="0.3">
      <c r="A841" t="s">
        <v>3741</v>
      </c>
      <c r="B841" s="24">
        <v>111550</v>
      </c>
      <c r="C841" s="24" t="s">
        <v>1582</v>
      </c>
      <c r="D841" s="24" t="s">
        <v>2502</v>
      </c>
      <c r="E841" s="24"/>
      <c r="F841" s="24" t="s">
        <v>1142</v>
      </c>
      <c r="G841" s="24" t="s">
        <v>1402</v>
      </c>
      <c r="H841" s="24" t="s">
        <v>2812</v>
      </c>
      <c r="I841" s="24" t="s">
        <v>2792</v>
      </c>
      <c r="J841" s="24" t="s">
        <v>761</v>
      </c>
      <c r="K841" s="24" t="s">
        <v>1146</v>
      </c>
      <c r="L841" s="25">
        <v>1070</v>
      </c>
      <c r="M841" s="26">
        <v>42.84</v>
      </c>
      <c r="N841" s="27">
        <v>42.84</v>
      </c>
      <c r="O841" s="28">
        <v>3.8945454545454547E-2</v>
      </c>
      <c r="P841" s="28">
        <v>40.565309734513278</v>
      </c>
    </row>
    <row r="842" spans="1:16" x14ac:dyDescent="0.3">
      <c r="A842" t="s">
        <v>3742</v>
      </c>
      <c r="B842" s="24">
        <v>300300</v>
      </c>
      <c r="C842" s="24" t="s">
        <v>2869</v>
      </c>
      <c r="D842" s="24" t="s">
        <v>2502</v>
      </c>
      <c r="E842" s="24"/>
      <c r="F842" s="24" t="s">
        <v>1142</v>
      </c>
      <c r="G842" s="24" t="s">
        <v>1402</v>
      </c>
      <c r="H842" s="24" t="s">
        <v>2891</v>
      </c>
      <c r="I842" s="24" t="s">
        <v>2792</v>
      </c>
      <c r="J842" s="24" t="s">
        <v>761</v>
      </c>
      <c r="K842" s="24" t="s">
        <v>1146</v>
      </c>
      <c r="L842" s="25">
        <v>1070</v>
      </c>
      <c r="M842" s="26">
        <v>44.04</v>
      </c>
      <c r="N842" s="27">
        <v>44.04</v>
      </c>
      <c r="O842" s="28">
        <v>4.0036363636363634E-2</v>
      </c>
      <c r="P842" s="28">
        <v>41.701592920353981</v>
      </c>
    </row>
    <row r="843" spans="1:16" x14ac:dyDescent="0.3">
      <c r="A843" t="s">
        <v>3743</v>
      </c>
      <c r="B843" s="24">
        <v>111550</v>
      </c>
      <c r="C843" s="24" t="s">
        <v>1582</v>
      </c>
      <c r="D843" s="24" t="s">
        <v>2502</v>
      </c>
      <c r="E843" s="24"/>
      <c r="F843" s="24" t="s">
        <v>1142</v>
      </c>
      <c r="G843" s="24" t="s">
        <v>1402</v>
      </c>
      <c r="H843" s="24" t="s">
        <v>2813</v>
      </c>
      <c r="I843" s="24" t="s">
        <v>2792</v>
      </c>
      <c r="J843" s="24" t="s">
        <v>761</v>
      </c>
      <c r="K843" s="24" t="s">
        <v>1146</v>
      </c>
      <c r="L843" s="25">
        <v>1070</v>
      </c>
      <c r="M843" s="26">
        <v>44.04</v>
      </c>
      <c r="N843" s="27">
        <v>44.04</v>
      </c>
      <c r="O843" s="28">
        <v>4.0036363636363634E-2</v>
      </c>
      <c r="P843" s="28">
        <v>41.701592920353981</v>
      </c>
    </row>
    <row r="844" spans="1:16" x14ac:dyDescent="0.3">
      <c r="A844" t="s">
        <v>3744</v>
      </c>
      <c r="B844" s="24">
        <v>300300</v>
      </c>
      <c r="C844" s="24" t="s">
        <v>2869</v>
      </c>
      <c r="D844" s="24" t="s">
        <v>2502</v>
      </c>
      <c r="E844" s="24"/>
      <c r="F844" s="24" t="s">
        <v>1142</v>
      </c>
      <c r="G844" s="24" t="s">
        <v>1402</v>
      </c>
      <c r="H844" s="24" t="s">
        <v>2892</v>
      </c>
      <c r="I844" s="24" t="s">
        <v>2815</v>
      </c>
      <c r="J844" s="24" t="s">
        <v>761</v>
      </c>
      <c r="K844" s="24" t="s">
        <v>1146</v>
      </c>
      <c r="L844" s="25">
        <v>1070</v>
      </c>
      <c r="M844" s="26">
        <v>44.04</v>
      </c>
      <c r="N844" s="27">
        <v>44.04</v>
      </c>
      <c r="O844" s="28">
        <v>4.0036363636363634E-2</v>
      </c>
      <c r="P844" s="28">
        <v>41.701592920353981</v>
      </c>
    </row>
    <row r="845" spans="1:16" x14ac:dyDescent="0.3">
      <c r="A845" t="s">
        <v>3745</v>
      </c>
      <c r="B845" s="24">
        <v>111550</v>
      </c>
      <c r="C845" s="24" t="s">
        <v>1582</v>
      </c>
      <c r="D845" s="24" t="s">
        <v>2502</v>
      </c>
      <c r="E845" s="24"/>
      <c r="F845" s="24" t="s">
        <v>1142</v>
      </c>
      <c r="G845" s="24" t="s">
        <v>1402</v>
      </c>
      <c r="H845" s="24" t="s">
        <v>2814</v>
      </c>
      <c r="I845" s="24" t="s">
        <v>2815</v>
      </c>
      <c r="J845" s="24" t="s">
        <v>761</v>
      </c>
      <c r="K845" s="24" t="s">
        <v>1146</v>
      </c>
      <c r="L845" s="25">
        <v>1070</v>
      </c>
      <c r="M845" s="26">
        <v>44.04</v>
      </c>
      <c r="N845" s="27">
        <v>44.04</v>
      </c>
      <c r="O845" s="28">
        <v>4.0036363636363634E-2</v>
      </c>
      <c r="P845" s="28">
        <v>41.701592920353981</v>
      </c>
    </row>
    <row r="846" spans="1:16" x14ac:dyDescent="0.3">
      <c r="A846" t="s">
        <v>3746</v>
      </c>
      <c r="B846" s="24">
        <v>100603</v>
      </c>
      <c r="C846" s="24" t="s">
        <v>1277</v>
      </c>
      <c r="D846" s="24" t="s">
        <v>2502</v>
      </c>
      <c r="E846" s="24"/>
      <c r="F846" s="24" t="s">
        <v>1142</v>
      </c>
      <c r="G846" s="24" t="s">
        <v>1082</v>
      </c>
      <c r="H846" s="24" t="s">
        <v>2816</v>
      </c>
      <c r="I846" s="24" t="s">
        <v>2792</v>
      </c>
      <c r="J846" s="24" t="s">
        <v>761</v>
      </c>
      <c r="K846" s="24" t="s">
        <v>1146</v>
      </c>
      <c r="L846" s="25">
        <v>1070</v>
      </c>
      <c r="M846" s="26">
        <v>48.14</v>
      </c>
      <c r="N846" s="27">
        <v>48.14</v>
      </c>
      <c r="O846" s="28">
        <v>4.3763636363636366E-2</v>
      </c>
      <c r="P846" s="28">
        <v>45.583893805309735</v>
      </c>
    </row>
    <row r="847" spans="1:16" x14ac:dyDescent="0.3">
      <c r="A847" t="s">
        <v>3747</v>
      </c>
      <c r="B847" s="24">
        <v>101206</v>
      </c>
      <c r="C847" s="24" t="s">
        <v>1199</v>
      </c>
      <c r="D847" s="24" t="s">
        <v>2502</v>
      </c>
      <c r="E847" s="24"/>
      <c r="F847" s="24" t="s">
        <v>1142</v>
      </c>
      <c r="G847" s="24" t="s">
        <v>1200</v>
      </c>
      <c r="H847" s="24" t="s">
        <v>2816</v>
      </c>
      <c r="I847" s="24" t="s">
        <v>2792</v>
      </c>
      <c r="J847" s="24" t="s">
        <v>761</v>
      </c>
      <c r="K847" s="24" t="s">
        <v>1146</v>
      </c>
      <c r="L847" s="25">
        <v>1070</v>
      </c>
      <c r="M847" s="26">
        <v>48.14</v>
      </c>
      <c r="N847" s="27">
        <v>48.14</v>
      </c>
      <c r="O847" s="28">
        <v>4.3763636363636366E-2</v>
      </c>
      <c r="P847" s="28">
        <v>45.583893805309735</v>
      </c>
    </row>
    <row r="848" spans="1:16" x14ac:dyDescent="0.3">
      <c r="A848" t="s">
        <v>3748</v>
      </c>
      <c r="B848" s="24">
        <v>111550</v>
      </c>
      <c r="C848" s="24" t="s">
        <v>1582</v>
      </c>
      <c r="D848" s="24" t="s">
        <v>2502</v>
      </c>
      <c r="E848" s="24"/>
      <c r="F848" s="24" t="s">
        <v>1142</v>
      </c>
      <c r="G848" s="24" t="s">
        <v>1402</v>
      </c>
      <c r="H848" s="24" t="s">
        <v>2817</v>
      </c>
      <c r="I848" s="24" t="s">
        <v>2818</v>
      </c>
      <c r="J848" s="24" t="s">
        <v>761</v>
      </c>
      <c r="K848" s="24" t="s">
        <v>1146</v>
      </c>
      <c r="L848" s="25">
        <v>1070</v>
      </c>
      <c r="M848" s="26">
        <v>42.84</v>
      </c>
      <c r="N848" s="27">
        <v>42.84</v>
      </c>
      <c r="O848" s="28">
        <v>3.8945454545454547E-2</v>
      </c>
      <c r="P848" s="28">
        <v>40.565309734513278</v>
      </c>
    </row>
    <row r="849" spans="1:16" x14ac:dyDescent="0.3">
      <c r="A849" t="s">
        <v>3749</v>
      </c>
      <c r="B849" s="24">
        <v>111550</v>
      </c>
      <c r="C849" s="24" t="s">
        <v>1582</v>
      </c>
      <c r="D849" s="24" t="s">
        <v>2502</v>
      </c>
      <c r="E849" s="24"/>
      <c r="F849" s="24" t="s">
        <v>1142</v>
      </c>
      <c r="G849" s="24" t="s">
        <v>1402</v>
      </c>
      <c r="H849" s="24" t="s">
        <v>2819</v>
      </c>
      <c r="I849" s="24" t="s">
        <v>2820</v>
      </c>
      <c r="J849" s="24" t="s">
        <v>761</v>
      </c>
      <c r="K849" s="24" t="s">
        <v>1146</v>
      </c>
      <c r="L849" s="25">
        <v>1070</v>
      </c>
      <c r="M849" s="26">
        <v>44.04</v>
      </c>
      <c r="N849" s="27">
        <v>44.04</v>
      </c>
      <c r="O849" s="28">
        <v>4.0036363636363634E-2</v>
      </c>
      <c r="P849" s="28">
        <v>41.701592920353981</v>
      </c>
    </row>
    <row r="850" spans="1:16" x14ac:dyDescent="0.3">
      <c r="A850" t="s">
        <v>3750</v>
      </c>
      <c r="B850" s="24">
        <v>300029</v>
      </c>
      <c r="C850" s="24" t="s">
        <v>2754</v>
      </c>
      <c r="D850" s="24" t="s">
        <v>2502</v>
      </c>
      <c r="E850" s="24"/>
      <c r="F850" s="24" t="s">
        <v>1142</v>
      </c>
      <c r="G850" s="24" t="s">
        <v>1203</v>
      </c>
      <c r="H850" s="24" t="s">
        <v>2893</v>
      </c>
      <c r="I850" s="24" t="s">
        <v>2823</v>
      </c>
      <c r="J850" s="24" t="s">
        <v>761</v>
      </c>
      <c r="K850" s="24" t="s">
        <v>2758</v>
      </c>
      <c r="L850" s="25">
        <v>165</v>
      </c>
      <c r="M850" s="26">
        <v>291.37</v>
      </c>
      <c r="N850" s="27">
        <v>42.545176991150448</v>
      </c>
      <c r="O850" s="28">
        <v>0.26488181818181816</v>
      </c>
      <c r="P850" s="28">
        <v>42.545176991150448</v>
      </c>
    </row>
    <row r="851" spans="1:16" x14ac:dyDescent="0.3">
      <c r="A851" t="s">
        <v>3751</v>
      </c>
      <c r="B851" s="24">
        <v>300029</v>
      </c>
      <c r="C851" s="24" t="s">
        <v>2754</v>
      </c>
      <c r="D851" s="24" t="s">
        <v>2502</v>
      </c>
      <c r="E851" s="24"/>
      <c r="F851" s="24" t="s">
        <v>1142</v>
      </c>
      <c r="G851" s="24" t="s">
        <v>1203</v>
      </c>
      <c r="H851" s="24" t="s">
        <v>2821</v>
      </c>
      <c r="I851" s="24" t="s">
        <v>2894</v>
      </c>
      <c r="J851" s="24" t="s">
        <v>761</v>
      </c>
      <c r="K851" s="24" t="s">
        <v>2758</v>
      </c>
      <c r="L851" s="25">
        <v>165</v>
      </c>
      <c r="M851" s="26">
        <v>206.99</v>
      </c>
      <c r="N851" s="27">
        <v>30.224203539823009</v>
      </c>
      <c r="O851" s="28">
        <v>0.18817272727272727</v>
      </c>
      <c r="P851" s="28">
        <v>30.224203539823009</v>
      </c>
    </row>
    <row r="852" spans="1:16" x14ac:dyDescent="0.3">
      <c r="A852" t="s">
        <v>3752</v>
      </c>
      <c r="B852" s="24">
        <v>300051</v>
      </c>
      <c r="C852" s="24" t="s">
        <v>2868</v>
      </c>
      <c r="D852" s="24" t="s">
        <v>2502</v>
      </c>
      <c r="E852" s="24"/>
      <c r="F852" s="24" t="s">
        <v>1142</v>
      </c>
      <c r="G852" s="24" t="s">
        <v>1203</v>
      </c>
      <c r="H852" s="24" t="s">
        <v>2821</v>
      </c>
      <c r="I852" s="24" t="s">
        <v>2894</v>
      </c>
      <c r="J852" s="24" t="s">
        <v>761</v>
      </c>
      <c r="K852" s="24" t="s">
        <v>2758</v>
      </c>
      <c r="L852" s="25">
        <v>165</v>
      </c>
      <c r="M852" s="26">
        <v>206.99</v>
      </c>
      <c r="N852" s="27">
        <v>30.224203539823009</v>
      </c>
      <c r="O852" s="28">
        <v>0.18817272727272727</v>
      </c>
      <c r="P852" s="28">
        <v>30.224203539823009</v>
      </c>
    </row>
    <row r="853" spans="1:16" x14ac:dyDescent="0.3">
      <c r="A853" t="s">
        <v>3753</v>
      </c>
      <c r="B853" s="24">
        <v>300029</v>
      </c>
      <c r="C853" s="24" t="s">
        <v>2754</v>
      </c>
      <c r="D853" s="24" t="s">
        <v>2502</v>
      </c>
      <c r="E853" s="24"/>
      <c r="F853" s="24" t="s">
        <v>1142</v>
      </c>
      <c r="G853" s="24" t="s">
        <v>1203</v>
      </c>
      <c r="H853" s="24" t="s">
        <v>2822</v>
      </c>
      <c r="I853" s="24" t="s">
        <v>2823</v>
      </c>
      <c r="J853" s="24" t="s">
        <v>761</v>
      </c>
      <c r="K853" s="24" t="s">
        <v>2758</v>
      </c>
      <c r="L853" s="25">
        <v>165</v>
      </c>
      <c r="M853" s="26">
        <v>291.37</v>
      </c>
      <c r="N853" s="27">
        <v>42.545176991150448</v>
      </c>
      <c r="O853" s="28">
        <v>0.26488181818181816</v>
      </c>
      <c r="P853" s="28">
        <v>42.545176991150448</v>
      </c>
    </row>
    <row r="854" spans="1:16" x14ac:dyDescent="0.3">
      <c r="A854" t="s">
        <v>3754</v>
      </c>
      <c r="B854" s="24">
        <v>111550</v>
      </c>
      <c r="C854" s="24" t="s">
        <v>1582</v>
      </c>
      <c r="D854" s="24" t="s">
        <v>2502</v>
      </c>
      <c r="E854" s="24"/>
      <c r="F854" s="24" t="s">
        <v>1142</v>
      </c>
      <c r="G854" s="24" t="s">
        <v>1402</v>
      </c>
      <c r="H854" s="24" t="s">
        <v>2824</v>
      </c>
      <c r="I854" s="24" t="s">
        <v>2825</v>
      </c>
      <c r="J854" s="24" t="s">
        <v>761</v>
      </c>
      <c r="K854" s="24" t="s">
        <v>1146</v>
      </c>
      <c r="L854" s="25">
        <v>1070</v>
      </c>
      <c r="M854" s="26">
        <v>36.28</v>
      </c>
      <c r="N854" s="27">
        <v>36.28</v>
      </c>
      <c r="O854" s="28">
        <v>3.2981818181818182E-2</v>
      </c>
      <c r="P854" s="28">
        <v>34.353628318584072</v>
      </c>
    </row>
    <row r="855" spans="1:16" x14ac:dyDescent="0.3">
      <c r="A855" t="s">
        <v>3755</v>
      </c>
      <c r="B855" s="24">
        <v>111550</v>
      </c>
      <c r="C855" s="24" t="s">
        <v>1582</v>
      </c>
      <c r="D855" s="24" t="s">
        <v>2502</v>
      </c>
      <c r="E855" s="24"/>
      <c r="F855" s="24" t="s">
        <v>1142</v>
      </c>
      <c r="G855" s="24" t="s">
        <v>1402</v>
      </c>
      <c r="H855" s="24" t="s">
        <v>2826</v>
      </c>
      <c r="I855" s="24" t="s">
        <v>2825</v>
      </c>
      <c r="J855" s="24" t="s">
        <v>761</v>
      </c>
      <c r="K855" s="24" t="s">
        <v>1146</v>
      </c>
      <c r="L855" s="25">
        <v>1070</v>
      </c>
      <c r="M855" s="26">
        <v>37.479999999999997</v>
      </c>
      <c r="N855" s="27">
        <v>37.479999999999997</v>
      </c>
      <c r="O855" s="28">
        <v>3.4072727272727268E-2</v>
      </c>
      <c r="P855" s="28">
        <v>35.489911504424775</v>
      </c>
    </row>
    <row r="856" spans="1:16" x14ac:dyDescent="0.3">
      <c r="A856" t="s">
        <v>3756</v>
      </c>
      <c r="B856" s="24">
        <v>111550</v>
      </c>
      <c r="C856" s="24" t="s">
        <v>1582</v>
      </c>
      <c r="D856" s="24" t="s">
        <v>2502</v>
      </c>
      <c r="E856" s="24"/>
      <c r="F856" s="24" t="s">
        <v>1142</v>
      </c>
      <c r="G856" s="24" t="s">
        <v>1402</v>
      </c>
      <c r="H856" s="24" t="s">
        <v>2827</v>
      </c>
      <c r="I856" s="24" t="s">
        <v>2828</v>
      </c>
      <c r="J856" s="24" t="s">
        <v>761</v>
      </c>
      <c r="K856" s="24" t="s">
        <v>1146</v>
      </c>
      <c r="L856" s="25">
        <v>1070</v>
      </c>
      <c r="M856" s="26">
        <v>21.57</v>
      </c>
      <c r="N856" s="27">
        <v>21.57</v>
      </c>
      <c r="O856" s="28">
        <v>1.9609090909090909E-2</v>
      </c>
      <c r="P856" s="28">
        <v>20.424690265486728</v>
      </c>
    </row>
    <row r="857" spans="1:16" x14ac:dyDescent="0.3">
      <c r="A857" t="s">
        <v>3757</v>
      </c>
      <c r="B857" s="24">
        <v>111550</v>
      </c>
      <c r="C857" s="24" t="s">
        <v>1582</v>
      </c>
      <c r="D857" s="24" t="s">
        <v>2502</v>
      </c>
      <c r="E857" s="24"/>
      <c r="F857" s="24" t="s">
        <v>1142</v>
      </c>
      <c r="G857" s="24" t="s">
        <v>1402</v>
      </c>
      <c r="H857" s="24" t="s">
        <v>2829</v>
      </c>
      <c r="I857" s="24" t="s">
        <v>2828</v>
      </c>
      <c r="J857" s="24" t="s">
        <v>761</v>
      </c>
      <c r="K857" s="24" t="s">
        <v>1146</v>
      </c>
      <c r="L857" s="25">
        <v>1070</v>
      </c>
      <c r="M857" s="26">
        <v>22.77</v>
      </c>
      <c r="N857" s="27">
        <v>22.77</v>
      </c>
      <c r="O857" s="28">
        <v>2.07E-2</v>
      </c>
      <c r="P857" s="28">
        <v>21.560973451327431</v>
      </c>
    </row>
    <row r="858" spans="1:16" x14ac:dyDescent="0.3">
      <c r="A858" t="s">
        <v>3758</v>
      </c>
      <c r="B858" s="24">
        <v>300029</v>
      </c>
      <c r="C858" s="24" t="s">
        <v>2754</v>
      </c>
      <c r="D858" s="24" t="s">
        <v>2502</v>
      </c>
      <c r="E858" s="24"/>
      <c r="F858" s="24" t="s">
        <v>1142</v>
      </c>
      <c r="G858" s="24" t="s">
        <v>1203</v>
      </c>
      <c r="H858" s="24" t="s">
        <v>2830</v>
      </c>
      <c r="I858" s="24" t="s">
        <v>2895</v>
      </c>
      <c r="J858" s="24" t="s">
        <v>761</v>
      </c>
      <c r="K858" s="24" t="s">
        <v>2758</v>
      </c>
      <c r="L858" s="25">
        <v>165</v>
      </c>
      <c r="M858" s="26">
        <v>206.99</v>
      </c>
      <c r="N858" s="27">
        <v>30.224203539823009</v>
      </c>
      <c r="O858" s="28">
        <v>0.18817272727272727</v>
      </c>
      <c r="P858" s="28">
        <v>30.224203539823009</v>
      </c>
    </row>
    <row r="859" spans="1:16" x14ac:dyDescent="0.3">
      <c r="A859" t="s">
        <v>3759</v>
      </c>
      <c r="B859" s="24">
        <v>300051</v>
      </c>
      <c r="C859" s="24" t="s">
        <v>2868</v>
      </c>
      <c r="D859" s="24" t="s">
        <v>2502</v>
      </c>
      <c r="E859" s="24"/>
      <c r="F859" s="24" t="s">
        <v>1142</v>
      </c>
      <c r="G859" s="24" t="s">
        <v>1203</v>
      </c>
      <c r="H859" s="24" t="s">
        <v>2830</v>
      </c>
      <c r="I859" s="24" t="s">
        <v>2895</v>
      </c>
      <c r="J859" s="24" t="s">
        <v>761</v>
      </c>
      <c r="K859" s="24" t="s">
        <v>2758</v>
      </c>
      <c r="L859" s="25">
        <v>165</v>
      </c>
      <c r="M859" s="26">
        <v>206.99</v>
      </c>
      <c r="N859" s="27">
        <v>30.224203539823009</v>
      </c>
      <c r="O859" s="28">
        <v>0.18817272727272727</v>
      </c>
      <c r="P859" s="28">
        <v>30.224203539823009</v>
      </c>
    </row>
    <row r="860" spans="1:16" x14ac:dyDescent="0.3">
      <c r="A860" t="s">
        <v>3760</v>
      </c>
      <c r="B860" s="24">
        <v>101186</v>
      </c>
      <c r="C860" s="24" t="s">
        <v>1273</v>
      </c>
      <c r="D860" s="24" t="s">
        <v>2502</v>
      </c>
      <c r="E860" s="24"/>
      <c r="F860" s="24" t="s">
        <v>1142</v>
      </c>
      <c r="G860" s="24" t="s">
        <v>1203</v>
      </c>
      <c r="H860" s="24" t="s">
        <v>2831</v>
      </c>
      <c r="I860" s="24" t="s">
        <v>2832</v>
      </c>
      <c r="J860" s="24" t="s">
        <v>761</v>
      </c>
      <c r="K860" s="24" t="s">
        <v>1146</v>
      </c>
      <c r="L860" s="25">
        <v>1070</v>
      </c>
      <c r="M860" s="26">
        <v>50.6</v>
      </c>
      <c r="N860" s="27">
        <v>50.6</v>
      </c>
      <c r="O860" s="28">
        <v>4.5999999999999999E-2</v>
      </c>
      <c r="P860" s="28">
        <v>47.913274336283187</v>
      </c>
    </row>
    <row r="861" spans="1:16" x14ac:dyDescent="0.3">
      <c r="A861" t="s">
        <v>3761</v>
      </c>
      <c r="B861" s="24">
        <v>111550</v>
      </c>
      <c r="C861" s="24" t="s">
        <v>1582</v>
      </c>
      <c r="D861" s="24" t="s">
        <v>2502</v>
      </c>
      <c r="E861" s="24"/>
      <c r="F861" s="24" t="s">
        <v>1142</v>
      </c>
      <c r="G861" s="24" t="s">
        <v>1402</v>
      </c>
      <c r="H861" s="24" t="s">
        <v>2833</v>
      </c>
      <c r="I861" s="24" t="s">
        <v>2820</v>
      </c>
      <c r="J861" s="24" t="s">
        <v>761</v>
      </c>
      <c r="K861" s="24" t="s">
        <v>1146</v>
      </c>
      <c r="L861" s="25">
        <v>1070</v>
      </c>
      <c r="M861" s="26">
        <v>10</v>
      </c>
      <c r="N861" s="27">
        <v>10</v>
      </c>
      <c r="O861" s="28">
        <v>9.0909090909090905E-3</v>
      </c>
      <c r="P861" s="28">
        <v>9.4690265486725664</v>
      </c>
    </row>
    <row r="862" spans="1:16" x14ac:dyDescent="0.3">
      <c r="A862" t="s">
        <v>3762</v>
      </c>
      <c r="B862" s="24">
        <v>100603</v>
      </c>
      <c r="C862" s="24" t="s">
        <v>1277</v>
      </c>
      <c r="D862" s="24" t="s">
        <v>2502</v>
      </c>
      <c r="E862" s="24"/>
      <c r="F862" s="24" t="s">
        <v>1142</v>
      </c>
      <c r="G862" s="24" t="s">
        <v>1082</v>
      </c>
      <c r="H862" s="24" t="s">
        <v>2834</v>
      </c>
      <c r="I862" s="24" t="s">
        <v>2818</v>
      </c>
      <c r="J862" s="24" t="s">
        <v>761</v>
      </c>
      <c r="K862" s="24" t="s">
        <v>1146</v>
      </c>
      <c r="L862" s="25">
        <v>1070</v>
      </c>
      <c r="M862" s="26">
        <v>50.6</v>
      </c>
      <c r="N862" s="27">
        <v>50.6</v>
      </c>
      <c r="O862" s="28">
        <v>4.5999999999999999E-2</v>
      </c>
      <c r="P862" s="28">
        <v>47.913274336283187</v>
      </c>
    </row>
    <row r="863" spans="1:16" x14ac:dyDescent="0.3">
      <c r="A863" t="s">
        <v>3763</v>
      </c>
      <c r="B863" s="24">
        <v>101206</v>
      </c>
      <c r="C863" s="24" t="s">
        <v>1199</v>
      </c>
      <c r="D863" s="24" t="s">
        <v>2502</v>
      </c>
      <c r="E863" s="24"/>
      <c r="F863" s="24" t="s">
        <v>1142</v>
      </c>
      <c r="G863" s="24" t="s">
        <v>1200</v>
      </c>
      <c r="H863" s="24" t="s">
        <v>2834</v>
      </c>
      <c r="I863" s="24" t="s">
        <v>2818</v>
      </c>
      <c r="J863" s="24" t="s">
        <v>761</v>
      </c>
      <c r="K863" s="24" t="s">
        <v>1146</v>
      </c>
      <c r="L863" s="25">
        <v>1070</v>
      </c>
      <c r="M863" s="26">
        <v>50.6</v>
      </c>
      <c r="N863" s="27">
        <v>50.6</v>
      </c>
      <c r="O863" s="28">
        <v>4.5999999999999999E-2</v>
      </c>
      <c r="P863" s="28">
        <v>47.913274336283187</v>
      </c>
    </row>
    <row r="864" spans="1:16" x14ac:dyDescent="0.3">
      <c r="A864" t="s">
        <v>3764</v>
      </c>
      <c r="B864" s="24">
        <v>100603</v>
      </c>
      <c r="C864" s="24" t="s">
        <v>1277</v>
      </c>
      <c r="D864" s="24" t="s">
        <v>2502</v>
      </c>
      <c r="E864" s="24"/>
      <c r="F864" s="24" t="s">
        <v>1142</v>
      </c>
      <c r="G864" s="24" t="s">
        <v>1082</v>
      </c>
      <c r="H864" s="24" t="s">
        <v>2835</v>
      </c>
      <c r="I864" s="24" t="s">
        <v>2818</v>
      </c>
      <c r="J864" s="24" t="s">
        <v>761</v>
      </c>
      <c r="K864" s="24" t="s">
        <v>1146</v>
      </c>
      <c r="L864" s="25">
        <v>1070</v>
      </c>
      <c r="M864" s="26">
        <v>45.47</v>
      </c>
      <c r="N864" s="27">
        <v>45.47</v>
      </c>
      <c r="O864" s="28">
        <v>4.1336363636363636E-2</v>
      </c>
      <c r="P864" s="28">
        <v>43.055663716814159</v>
      </c>
    </row>
    <row r="865" spans="1:16" x14ac:dyDescent="0.3">
      <c r="A865" t="s">
        <v>3765</v>
      </c>
      <c r="B865" s="24">
        <v>111550</v>
      </c>
      <c r="C865" s="24" t="s">
        <v>1582</v>
      </c>
      <c r="D865" s="24" t="s">
        <v>2502</v>
      </c>
      <c r="E865" s="24"/>
      <c r="F865" s="24" t="s">
        <v>1142</v>
      </c>
      <c r="G865" s="24" t="s">
        <v>1402</v>
      </c>
      <c r="H865" s="24" t="s">
        <v>2835</v>
      </c>
      <c r="I865" s="24" t="s">
        <v>2818</v>
      </c>
      <c r="J865" s="24" t="s">
        <v>761</v>
      </c>
      <c r="K865" s="24" t="s">
        <v>1146</v>
      </c>
      <c r="L865" s="25">
        <v>1070</v>
      </c>
      <c r="M865" s="26">
        <v>45.47</v>
      </c>
      <c r="N865" s="27">
        <v>45.47</v>
      </c>
      <c r="O865" s="28">
        <v>4.1336363636363636E-2</v>
      </c>
      <c r="P865" s="28">
        <v>43.055663716814159</v>
      </c>
    </row>
    <row r="866" spans="1:16" x14ac:dyDescent="0.3">
      <c r="A866" t="s">
        <v>3766</v>
      </c>
      <c r="B866" s="24">
        <v>101186</v>
      </c>
      <c r="C866" s="24" t="s">
        <v>1273</v>
      </c>
      <c r="D866" s="24" t="s">
        <v>2502</v>
      </c>
      <c r="E866" s="24"/>
      <c r="F866" s="24" t="s">
        <v>1142</v>
      </c>
      <c r="G866" s="24" t="s">
        <v>1203</v>
      </c>
      <c r="H866" s="24" t="s">
        <v>2836</v>
      </c>
      <c r="I866" s="24" t="s">
        <v>2832</v>
      </c>
      <c r="J866" s="24" t="s">
        <v>761</v>
      </c>
      <c r="K866" s="24" t="s">
        <v>1146</v>
      </c>
      <c r="L866" s="25">
        <v>1070</v>
      </c>
      <c r="M866" s="26">
        <v>50.6</v>
      </c>
      <c r="N866" s="27">
        <v>50.6</v>
      </c>
      <c r="O866" s="28">
        <v>4.5999999999999999E-2</v>
      </c>
      <c r="P866" s="28">
        <v>47.913274336283187</v>
      </c>
    </row>
    <row r="867" spans="1:16" x14ac:dyDescent="0.3">
      <c r="A867" t="s">
        <v>3767</v>
      </c>
      <c r="B867" s="24">
        <v>111550</v>
      </c>
      <c r="C867" s="24" t="s">
        <v>1582</v>
      </c>
      <c r="D867" s="24" t="s">
        <v>2502</v>
      </c>
      <c r="E867" s="24"/>
      <c r="F867" s="24" t="s">
        <v>1142</v>
      </c>
      <c r="G867" s="24" t="s">
        <v>1402</v>
      </c>
      <c r="H867" s="24" t="s">
        <v>2837</v>
      </c>
      <c r="I867" s="24" t="s">
        <v>2820</v>
      </c>
      <c r="J867" s="24" t="s">
        <v>761</v>
      </c>
      <c r="K867" s="24" t="s">
        <v>1146</v>
      </c>
      <c r="L867" s="25">
        <v>1070</v>
      </c>
      <c r="M867" s="26">
        <v>10</v>
      </c>
      <c r="N867" s="27">
        <v>10</v>
      </c>
      <c r="O867" s="28">
        <v>9.0909090909090905E-3</v>
      </c>
      <c r="P867" s="28">
        <v>9.4690265486725664</v>
      </c>
    </row>
    <row r="868" spans="1:16" x14ac:dyDescent="0.3">
      <c r="A868" t="s">
        <v>3768</v>
      </c>
      <c r="B868" s="24">
        <v>100603</v>
      </c>
      <c r="C868" s="24" t="s">
        <v>1277</v>
      </c>
      <c r="D868" s="24" t="s">
        <v>2502</v>
      </c>
      <c r="E868" s="24"/>
      <c r="F868" s="24" t="s">
        <v>1142</v>
      </c>
      <c r="G868" s="24" t="s">
        <v>1082</v>
      </c>
      <c r="H868" s="24" t="s">
        <v>2838</v>
      </c>
      <c r="I868" s="24" t="s">
        <v>2818</v>
      </c>
      <c r="J868" s="24" t="s">
        <v>761</v>
      </c>
      <c r="K868" s="24" t="s">
        <v>1146</v>
      </c>
      <c r="L868" s="25">
        <v>1070</v>
      </c>
      <c r="M868" s="26">
        <v>50.6</v>
      </c>
      <c r="N868" s="27">
        <v>50.6</v>
      </c>
      <c r="O868" s="28">
        <v>4.5999999999999999E-2</v>
      </c>
      <c r="P868" s="28">
        <v>47.913274336283187</v>
      </c>
    </row>
    <row r="869" spans="1:16" x14ac:dyDescent="0.3">
      <c r="A869" t="s">
        <v>3769</v>
      </c>
      <c r="B869" s="24">
        <v>101206</v>
      </c>
      <c r="C869" s="24" t="s">
        <v>1199</v>
      </c>
      <c r="D869" s="24" t="s">
        <v>2502</v>
      </c>
      <c r="E869" s="24"/>
      <c r="F869" s="24" t="s">
        <v>1142</v>
      </c>
      <c r="G869" s="24" t="s">
        <v>1200</v>
      </c>
      <c r="H869" s="24" t="s">
        <v>2838</v>
      </c>
      <c r="I869" s="24" t="s">
        <v>2818</v>
      </c>
      <c r="J869" s="24" t="s">
        <v>761</v>
      </c>
      <c r="K869" s="24" t="s">
        <v>1146</v>
      </c>
      <c r="L869" s="25">
        <v>1070</v>
      </c>
      <c r="M869" s="26">
        <v>50.6</v>
      </c>
      <c r="N869" s="27">
        <v>50.6</v>
      </c>
      <c r="O869" s="28">
        <v>4.5999999999999999E-2</v>
      </c>
      <c r="P869" s="28">
        <v>47.913274336283187</v>
      </c>
    </row>
    <row r="870" spans="1:16" x14ac:dyDescent="0.3">
      <c r="A870" t="s">
        <v>3770</v>
      </c>
      <c r="B870" s="24">
        <v>100603</v>
      </c>
      <c r="C870" s="24" t="s">
        <v>1277</v>
      </c>
      <c r="D870" s="24" t="s">
        <v>2502</v>
      </c>
      <c r="E870" s="24"/>
      <c r="F870" s="24" t="s">
        <v>1142</v>
      </c>
      <c r="G870" s="24" t="s">
        <v>1082</v>
      </c>
      <c r="H870" s="24" t="s">
        <v>2839</v>
      </c>
      <c r="I870" s="24" t="s">
        <v>2840</v>
      </c>
      <c r="J870" s="24" t="s">
        <v>761</v>
      </c>
      <c r="K870" s="24" t="s">
        <v>1146</v>
      </c>
      <c r="L870" s="25">
        <v>1070</v>
      </c>
      <c r="M870" s="26">
        <v>45.47</v>
      </c>
      <c r="N870" s="27">
        <v>45.47</v>
      </c>
      <c r="O870" s="28">
        <v>4.1336363636363636E-2</v>
      </c>
      <c r="P870" s="28">
        <v>43.055663716814159</v>
      </c>
    </row>
    <row r="871" spans="1:16" x14ac:dyDescent="0.3">
      <c r="A871" t="s">
        <v>3771</v>
      </c>
      <c r="B871" s="24">
        <v>111550</v>
      </c>
      <c r="C871" s="24" t="s">
        <v>1582</v>
      </c>
      <c r="D871" s="24" t="s">
        <v>2502</v>
      </c>
      <c r="E871" s="24"/>
      <c r="F871" s="24" t="s">
        <v>1142</v>
      </c>
      <c r="G871" s="24" t="s">
        <v>1402</v>
      </c>
      <c r="H871" s="24" t="s">
        <v>2839</v>
      </c>
      <c r="I871" s="24" t="s">
        <v>2840</v>
      </c>
      <c r="J871" s="24" t="s">
        <v>761</v>
      </c>
      <c r="K871" s="24" t="s">
        <v>1146</v>
      </c>
      <c r="L871" s="25">
        <v>1070</v>
      </c>
      <c r="M871" s="26">
        <v>45.47</v>
      </c>
      <c r="N871" s="27">
        <v>45.47</v>
      </c>
      <c r="O871" s="28">
        <v>4.1336363636363636E-2</v>
      </c>
      <c r="P871" s="28">
        <v>43.055663716814159</v>
      </c>
    </row>
    <row r="872" spans="1:16" x14ac:dyDescent="0.3">
      <c r="A872" t="s">
        <v>3772</v>
      </c>
      <c r="B872" s="24">
        <v>100603</v>
      </c>
      <c r="C872" s="24" t="s">
        <v>1277</v>
      </c>
      <c r="D872" s="24" t="s">
        <v>2502</v>
      </c>
      <c r="E872" s="24"/>
      <c r="F872" s="24" t="s">
        <v>1142</v>
      </c>
      <c r="G872" s="24" t="s">
        <v>1082</v>
      </c>
      <c r="H872" s="24" t="s">
        <v>2841</v>
      </c>
      <c r="I872" s="24" t="s">
        <v>2818</v>
      </c>
      <c r="J872" s="24" t="s">
        <v>761</v>
      </c>
      <c r="K872" s="24" t="s">
        <v>1146</v>
      </c>
      <c r="L872" s="25">
        <v>1070</v>
      </c>
      <c r="M872" s="26">
        <v>45.47</v>
      </c>
      <c r="N872" s="27">
        <v>45.47</v>
      </c>
      <c r="O872" s="28">
        <v>4.1336363636363636E-2</v>
      </c>
      <c r="P872" s="28">
        <v>43.055663716814159</v>
      </c>
    </row>
    <row r="873" spans="1:16" x14ac:dyDescent="0.3">
      <c r="A873" t="s">
        <v>3773</v>
      </c>
      <c r="B873" s="24">
        <v>300029</v>
      </c>
      <c r="C873" s="24" t="s">
        <v>2754</v>
      </c>
      <c r="D873" s="24" t="s">
        <v>2502</v>
      </c>
      <c r="E873" s="24"/>
      <c r="F873" s="24" t="s">
        <v>1142</v>
      </c>
      <c r="G873" s="24" t="s">
        <v>1203</v>
      </c>
      <c r="H873" s="24" t="s">
        <v>2842</v>
      </c>
      <c r="I873" s="24" t="s">
        <v>2896</v>
      </c>
      <c r="J873" s="24" t="s">
        <v>761</v>
      </c>
      <c r="K873" s="24" t="s">
        <v>2758</v>
      </c>
      <c r="L873" s="25">
        <v>165</v>
      </c>
      <c r="M873" s="26">
        <v>252.88</v>
      </c>
      <c r="N873" s="27">
        <v>36.924955752212384</v>
      </c>
      <c r="O873" s="28">
        <v>0.22989090909090909</v>
      </c>
      <c r="P873" s="28">
        <v>36.924955752212384</v>
      </c>
    </row>
    <row r="874" spans="1:16" x14ac:dyDescent="0.3">
      <c r="A874" t="s">
        <v>3774</v>
      </c>
      <c r="B874" s="24">
        <v>300051</v>
      </c>
      <c r="C874" s="24" t="s">
        <v>2868</v>
      </c>
      <c r="D874" s="24" t="s">
        <v>2502</v>
      </c>
      <c r="E874" s="24"/>
      <c r="F874" s="24" t="s">
        <v>1142</v>
      </c>
      <c r="G874" s="24" t="s">
        <v>1203</v>
      </c>
      <c r="H874" s="24" t="s">
        <v>2842</v>
      </c>
      <c r="I874" s="24" t="s">
        <v>2896</v>
      </c>
      <c r="J874" s="24" t="s">
        <v>761</v>
      </c>
      <c r="K874" s="24" t="s">
        <v>2758</v>
      </c>
      <c r="L874" s="25">
        <v>165</v>
      </c>
      <c r="M874" s="26">
        <v>252.88</v>
      </c>
      <c r="N874" s="27">
        <v>36.924955752212384</v>
      </c>
      <c r="O874" s="28">
        <v>0.22989090909090909</v>
      </c>
      <c r="P874" s="28">
        <v>36.924955752212384</v>
      </c>
    </row>
    <row r="875" spans="1:16" x14ac:dyDescent="0.3">
      <c r="A875" t="s">
        <v>3775</v>
      </c>
      <c r="B875" s="30" t="s">
        <v>2897</v>
      </c>
      <c r="C875" s="30" t="s">
        <v>2898</v>
      </c>
      <c r="D875" s="31" t="s">
        <v>2899</v>
      </c>
      <c r="E875" s="31"/>
      <c r="F875" s="31"/>
      <c r="G875" s="31"/>
      <c r="H875" s="30" t="s">
        <v>2900</v>
      </c>
      <c r="I875" s="31"/>
      <c r="J875" s="31"/>
      <c r="K875" s="31"/>
      <c r="L875" s="31"/>
      <c r="M875" s="31"/>
      <c r="N875" s="27">
        <v>0</v>
      </c>
      <c r="O875" s="28">
        <v>0</v>
      </c>
      <c r="P875" s="28">
        <v>0</v>
      </c>
    </row>
    <row r="876" spans="1:16" x14ac:dyDescent="0.3">
      <c r="A876" t="s">
        <v>3776</v>
      </c>
      <c r="B876" s="30" t="s">
        <v>2897</v>
      </c>
      <c r="C876" s="30" t="s">
        <v>2898</v>
      </c>
      <c r="D876" s="31" t="s">
        <v>2899</v>
      </c>
      <c r="E876" s="31"/>
      <c r="F876" s="31"/>
      <c r="G876" s="31"/>
      <c r="H876" s="30" t="s">
        <v>2901</v>
      </c>
      <c r="I876" s="31"/>
      <c r="J876" s="31"/>
      <c r="K876" s="31"/>
      <c r="L876" s="31"/>
      <c r="M876" s="31"/>
      <c r="N876" s="27">
        <v>0</v>
      </c>
      <c r="O876" s="28">
        <v>0</v>
      </c>
      <c r="P876" s="28">
        <v>0</v>
      </c>
    </row>
    <row r="877" spans="1:16" x14ac:dyDescent="0.3">
      <c r="A877" t="s">
        <v>3777</v>
      </c>
      <c r="B877" s="30" t="s">
        <v>2902</v>
      </c>
      <c r="C877" s="30" t="s">
        <v>2207</v>
      </c>
      <c r="D877" s="31" t="s">
        <v>2899</v>
      </c>
      <c r="E877" s="31"/>
      <c r="F877" s="31"/>
      <c r="G877" s="31"/>
      <c r="H877" s="30" t="s">
        <v>2903</v>
      </c>
      <c r="I877" s="31"/>
      <c r="J877" s="31"/>
      <c r="K877" s="31"/>
      <c r="L877" s="31"/>
      <c r="M877" s="31"/>
      <c r="N877" s="27">
        <v>0</v>
      </c>
      <c r="O877" s="28">
        <v>0</v>
      </c>
      <c r="P877" s="28">
        <v>0</v>
      </c>
    </row>
    <row r="878" spans="1:16" x14ac:dyDescent="0.3">
      <c r="A878" t="s">
        <v>3778</v>
      </c>
      <c r="B878" s="24">
        <v>142311</v>
      </c>
      <c r="C878" s="24" t="s">
        <v>1141</v>
      </c>
      <c r="D878" s="24" t="s">
        <v>1102</v>
      </c>
      <c r="E878" s="24" t="s">
        <v>7</v>
      </c>
      <c r="F878" s="24" t="s">
        <v>1142</v>
      </c>
      <c r="G878" s="24" t="s">
        <v>1143</v>
      </c>
      <c r="H878" s="24" t="s">
        <v>1144</v>
      </c>
      <c r="I878" s="24" t="s">
        <v>1145</v>
      </c>
      <c r="J878" s="24" t="s">
        <v>761</v>
      </c>
      <c r="K878" s="24" t="s">
        <v>1146</v>
      </c>
      <c r="L878" s="25">
        <v>1070</v>
      </c>
      <c r="M878" s="26">
        <v>4.28</v>
      </c>
      <c r="N878" s="27">
        <v>4.28</v>
      </c>
      <c r="O878" s="28">
        <v>3.8909090909090911E-3</v>
      </c>
      <c r="P878" s="28">
        <v>4.0527433628318583</v>
      </c>
    </row>
    <row r="879" spans="1:16" x14ac:dyDescent="0.3">
      <c r="A879" t="s">
        <v>3779</v>
      </c>
      <c r="B879" s="24">
        <v>111969</v>
      </c>
      <c r="C879" s="24" t="s">
        <v>1147</v>
      </c>
      <c r="D879" s="24" t="s">
        <v>1102</v>
      </c>
      <c r="E879" s="24" t="s">
        <v>7</v>
      </c>
      <c r="F879" s="24" t="s">
        <v>1142</v>
      </c>
      <c r="G879" s="24" t="s">
        <v>1143</v>
      </c>
      <c r="H879" s="24" t="s">
        <v>6</v>
      </c>
      <c r="I879" s="24" t="s">
        <v>1148</v>
      </c>
      <c r="J879" s="24" t="s">
        <v>761</v>
      </c>
      <c r="K879" s="24" t="s">
        <v>1146</v>
      </c>
      <c r="L879" s="25">
        <v>1070</v>
      </c>
      <c r="M879" s="26">
        <v>5.64</v>
      </c>
      <c r="N879" s="27">
        <v>5.64</v>
      </c>
      <c r="O879" s="28">
        <v>5.1272727272727268E-3</v>
      </c>
      <c r="P879" s="28">
        <v>5.3405309734513269</v>
      </c>
    </row>
    <row r="880" spans="1:16" x14ac:dyDescent="0.3">
      <c r="A880" t="s">
        <v>3780</v>
      </c>
      <c r="B880" s="24">
        <v>142462</v>
      </c>
      <c r="C880" s="24" t="s">
        <v>1149</v>
      </c>
      <c r="D880" s="24" t="s">
        <v>1102</v>
      </c>
      <c r="E880" s="24" t="s">
        <v>7</v>
      </c>
      <c r="F880" s="24" t="s">
        <v>1142</v>
      </c>
      <c r="G880" s="24" t="s">
        <v>1143</v>
      </c>
      <c r="H880" s="24" t="s">
        <v>6</v>
      </c>
      <c r="I880" s="24" t="s">
        <v>1148</v>
      </c>
      <c r="J880" s="24" t="s">
        <v>761</v>
      </c>
      <c r="K880" s="24" t="s">
        <v>1146</v>
      </c>
      <c r="L880" s="25">
        <v>1070</v>
      </c>
      <c r="M880" s="26">
        <v>5.64</v>
      </c>
      <c r="N880" s="27">
        <v>5.64</v>
      </c>
      <c r="O880" s="28">
        <v>5.1272727272727268E-3</v>
      </c>
      <c r="P880" s="28">
        <v>5.3405309734513269</v>
      </c>
    </row>
    <row r="881" spans="1:16" x14ac:dyDescent="0.3">
      <c r="A881" t="s">
        <v>3781</v>
      </c>
      <c r="B881" s="24">
        <v>142462</v>
      </c>
      <c r="C881" s="24" t="s">
        <v>1149</v>
      </c>
      <c r="D881" s="24" t="s">
        <v>1102</v>
      </c>
      <c r="E881" s="24" t="s">
        <v>7</v>
      </c>
      <c r="F881" s="24" t="s">
        <v>1142</v>
      </c>
      <c r="G881" s="24" t="s">
        <v>1143</v>
      </c>
      <c r="H881" s="24" t="s">
        <v>12</v>
      </c>
      <c r="I881" s="24" t="s">
        <v>1150</v>
      </c>
      <c r="J881" s="24" t="s">
        <v>761</v>
      </c>
      <c r="K881" s="24" t="s">
        <v>1146</v>
      </c>
      <c r="L881" s="25">
        <v>1070</v>
      </c>
      <c r="M881" s="26">
        <v>2.66</v>
      </c>
      <c r="N881" s="27">
        <v>2.66</v>
      </c>
      <c r="O881" s="28">
        <v>2.4181818181818185E-3</v>
      </c>
      <c r="P881" s="28">
        <v>2.5187610619469027</v>
      </c>
    </row>
    <row r="882" spans="1:16" x14ac:dyDescent="0.3">
      <c r="A882" t="s">
        <v>3782</v>
      </c>
      <c r="B882" s="24">
        <v>142462</v>
      </c>
      <c r="C882" s="24" t="s">
        <v>1149</v>
      </c>
      <c r="D882" s="24" t="s">
        <v>1102</v>
      </c>
      <c r="E882" s="24" t="s">
        <v>7</v>
      </c>
      <c r="F882" s="24" t="s">
        <v>1142</v>
      </c>
      <c r="G882" s="24" t="s">
        <v>1143</v>
      </c>
      <c r="H882" s="24" t="s">
        <v>13</v>
      </c>
      <c r="I882" s="24" t="s">
        <v>1151</v>
      </c>
      <c r="J882" s="24" t="s">
        <v>761</v>
      </c>
      <c r="K882" s="24" t="s">
        <v>1146</v>
      </c>
      <c r="L882" s="25">
        <v>1070</v>
      </c>
      <c r="M882" s="26">
        <v>0.39</v>
      </c>
      <c r="N882" s="27">
        <v>0.39</v>
      </c>
      <c r="O882" s="28">
        <v>3.5454545454545455E-4</v>
      </c>
      <c r="P882" s="28">
        <v>0.36929203539823008</v>
      </c>
    </row>
    <row r="883" spans="1:16" x14ac:dyDescent="0.3">
      <c r="A883" t="s">
        <v>3783</v>
      </c>
      <c r="B883" s="24">
        <v>111969</v>
      </c>
      <c r="C883" s="24" t="s">
        <v>1147</v>
      </c>
      <c r="D883" s="24" t="s">
        <v>1102</v>
      </c>
      <c r="E883" s="24" t="s">
        <v>7</v>
      </c>
      <c r="F883" s="24" t="s">
        <v>1142</v>
      </c>
      <c r="G883" s="24" t="s">
        <v>1143</v>
      </c>
      <c r="H883" s="24" t="s">
        <v>14</v>
      </c>
      <c r="I883" s="24" t="s">
        <v>1152</v>
      </c>
      <c r="J883" s="24" t="s">
        <v>761</v>
      </c>
      <c r="K883" s="24" t="s">
        <v>1146</v>
      </c>
      <c r="L883" s="25">
        <v>1070</v>
      </c>
      <c r="M883" s="26">
        <v>6.11</v>
      </c>
      <c r="N883" s="27">
        <v>6.11</v>
      </c>
      <c r="O883" s="28">
        <v>5.5545454545454552E-3</v>
      </c>
      <c r="P883" s="28">
        <v>5.7855752212389389</v>
      </c>
    </row>
    <row r="884" spans="1:16" x14ac:dyDescent="0.3">
      <c r="A884" t="s">
        <v>3784</v>
      </c>
      <c r="B884" s="24">
        <v>142462</v>
      </c>
      <c r="C884" s="24" t="s">
        <v>1149</v>
      </c>
      <c r="D884" s="24" t="s">
        <v>1102</v>
      </c>
      <c r="E884" s="24" t="s">
        <v>7</v>
      </c>
      <c r="F884" s="24" t="s">
        <v>1142</v>
      </c>
      <c r="G884" s="24" t="s">
        <v>1143</v>
      </c>
      <c r="H884" s="24" t="s">
        <v>14</v>
      </c>
      <c r="I884" s="24" t="s">
        <v>1152</v>
      </c>
      <c r="J884" s="24" t="s">
        <v>761</v>
      </c>
      <c r="K884" s="24" t="s">
        <v>1146</v>
      </c>
      <c r="L884" s="25">
        <v>1070</v>
      </c>
      <c r="M884" s="26">
        <v>6.11</v>
      </c>
      <c r="N884" s="27">
        <v>6.11</v>
      </c>
      <c r="O884" s="28">
        <v>5.5545454545454552E-3</v>
      </c>
      <c r="P884" s="28">
        <v>5.7855752212389389</v>
      </c>
    </row>
    <row r="885" spans="1:16" x14ac:dyDescent="0.3">
      <c r="A885" t="s">
        <v>3785</v>
      </c>
      <c r="B885" s="24">
        <v>142462</v>
      </c>
      <c r="C885" s="24" t="s">
        <v>1149</v>
      </c>
      <c r="D885" s="24" t="s">
        <v>1102</v>
      </c>
      <c r="E885" s="24" t="s">
        <v>7</v>
      </c>
      <c r="F885" s="24" t="s">
        <v>1142</v>
      </c>
      <c r="G885" s="24" t="s">
        <v>1143</v>
      </c>
      <c r="H885" s="24" t="s">
        <v>1153</v>
      </c>
      <c r="I885" s="24" t="s">
        <v>1154</v>
      </c>
      <c r="J885" s="24" t="s">
        <v>761</v>
      </c>
      <c r="K885" s="24" t="s">
        <v>1146</v>
      </c>
      <c r="L885" s="25">
        <v>1070</v>
      </c>
      <c r="M885" s="26">
        <v>1.06</v>
      </c>
      <c r="N885" s="27">
        <v>1.06</v>
      </c>
      <c r="O885" s="28">
        <v>9.6363636363636367E-4</v>
      </c>
      <c r="P885" s="28">
        <v>1.003716814159292</v>
      </c>
    </row>
    <row r="886" spans="1:16" x14ac:dyDescent="0.3">
      <c r="A886" t="s">
        <v>3786</v>
      </c>
      <c r="B886" s="24">
        <v>142462</v>
      </c>
      <c r="C886" s="24" t="s">
        <v>1149</v>
      </c>
      <c r="D886" s="24" t="s">
        <v>1102</v>
      </c>
      <c r="E886" s="24" t="s">
        <v>7</v>
      </c>
      <c r="F886" s="24" t="s">
        <v>1142</v>
      </c>
      <c r="G886" s="24" t="s">
        <v>1143</v>
      </c>
      <c r="H886" s="24" t="s">
        <v>1155</v>
      </c>
      <c r="I886" s="24" t="s">
        <v>1156</v>
      </c>
      <c r="J886" s="24" t="s">
        <v>761</v>
      </c>
      <c r="K886" s="24" t="s">
        <v>1146</v>
      </c>
      <c r="L886" s="25">
        <v>1070</v>
      </c>
      <c r="M886" s="26">
        <v>0.66</v>
      </c>
      <c r="N886" s="27">
        <v>0.66</v>
      </c>
      <c r="O886" s="28">
        <v>6.0000000000000006E-4</v>
      </c>
      <c r="P886" s="28">
        <v>0.62495575221238941</v>
      </c>
    </row>
    <row r="887" spans="1:16" x14ac:dyDescent="0.3">
      <c r="A887" t="s">
        <v>3787</v>
      </c>
      <c r="B887" s="24">
        <v>142462</v>
      </c>
      <c r="C887" s="24" t="s">
        <v>1149</v>
      </c>
      <c r="D887" s="24" t="s">
        <v>1102</v>
      </c>
      <c r="E887" s="24" t="s">
        <v>7</v>
      </c>
      <c r="F887" s="24" t="s">
        <v>1142</v>
      </c>
      <c r="G887" s="24" t="s">
        <v>1143</v>
      </c>
      <c r="H887" s="24" t="s">
        <v>15</v>
      </c>
      <c r="I887" s="24" t="s">
        <v>1157</v>
      </c>
      <c r="J887" s="24" t="s">
        <v>761</v>
      </c>
      <c r="K887" s="24" t="s">
        <v>1146</v>
      </c>
      <c r="L887" s="25">
        <v>1070</v>
      </c>
      <c r="M887" s="26">
        <v>13.64</v>
      </c>
      <c r="N887" s="27">
        <v>13.64</v>
      </c>
      <c r="O887" s="28">
        <v>1.2400000000000001E-2</v>
      </c>
      <c r="P887" s="28">
        <v>12.915752212389382</v>
      </c>
    </row>
    <row r="888" spans="1:16" x14ac:dyDescent="0.3">
      <c r="A888" t="s">
        <v>3788</v>
      </c>
      <c r="B888" s="24">
        <v>142462</v>
      </c>
      <c r="C888" s="24" t="s">
        <v>1149</v>
      </c>
      <c r="D888" s="24" t="s">
        <v>1102</v>
      </c>
      <c r="E888" s="24" t="s">
        <v>7</v>
      </c>
      <c r="F888" s="24" t="s">
        <v>1142</v>
      </c>
      <c r="G888" s="24" t="s">
        <v>1143</v>
      </c>
      <c r="H888" s="24" t="s">
        <v>16</v>
      </c>
      <c r="I888" s="24" t="s">
        <v>1157</v>
      </c>
      <c r="J888" s="24" t="s">
        <v>761</v>
      </c>
      <c r="K888" s="24" t="s">
        <v>1146</v>
      </c>
      <c r="L888" s="25">
        <v>1070</v>
      </c>
      <c r="M888" s="26">
        <v>1.63</v>
      </c>
      <c r="N888" s="27">
        <v>1.63</v>
      </c>
      <c r="O888" s="28">
        <v>1.4818181818181818E-3</v>
      </c>
      <c r="P888" s="28">
        <v>1.5434513274336283</v>
      </c>
    </row>
    <row r="889" spans="1:16" x14ac:dyDescent="0.3">
      <c r="A889" t="s">
        <v>3789</v>
      </c>
      <c r="B889" s="24">
        <v>142462</v>
      </c>
      <c r="C889" s="24" t="s">
        <v>1149</v>
      </c>
      <c r="D889" s="24" t="s">
        <v>1102</v>
      </c>
      <c r="E889" s="24" t="s">
        <v>7</v>
      </c>
      <c r="F889" s="24" t="s">
        <v>1142</v>
      </c>
      <c r="G889" s="24" t="s">
        <v>1143</v>
      </c>
      <c r="H889" s="24" t="s">
        <v>17</v>
      </c>
      <c r="I889" s="24" t="s">
        <v>1157</v>
      </c>
      <c r="J889" s="24" t="s">
        <v>761</v>
      </c>
      <c r="K889" s="24" t="s">
        <v>1146</v>
      </c>
      <c r="L889" s="25">
        <v>1070</v>
      </c>
      <c r="M889" s="26">
        <v>1.44</v>
      </c>
      <c r="N889" s="27">
        <v>1.44</v>
      </c>
      <c r="O889" s="28">
        <v>1.3090909090909091E-3</v>
      </c>
      <c r="P889" s="28">
        <v>1.3635398230088496</v>
      </c>
    </row>
    <row r="890" spans="1:16" x14ac:dyDescent="0.3">
      <c r="A890" t="s">
        <v>3790</v>
      </c>
      <c r="B890" s="24">
        <v>111969</v>
      </c>
      <c r="C890" s="24" t="s">
        <v>1147</v>
      </c>
      <c r="D890" s="24" t="s">
        <v>1102</v>
      </c>
      <c r="E890" s="24" t="s">
        <v>7</v>
      </c>
      <c r="F890" s="24" t="s">
        <v>1142</v>
      </c>
      <c r="G890" s="24" t="s">
        <v>1143</v>
      </c>
      <c r="H890" s="24" t="s">
        <v>25</v>
      </c>
      <c r="I890" s="24" t="s">
        <v>1158</v>
      </c>
      <c r="J890" s="24" t="s">
        <v>761</v>
      </c>
      <c r="K890" s="24" t="s">
        <v>1146</v>
      </c>
      <c r="L890" s="25">
        <v>1070</v>
      </c>
      <c r="M890" s="26">
        <v>6.28</v>
      </c>
      <c r="N890" s="27">
        <v>6.28</v>
      </c>
      <c r="O890" s="28">
        <v>5.7090909090909093E-3</v>
      </c>
      <c r="P890" s="28">
        <v>5.9465486725663723</v>
      </c>
    </row>
    <row r="891" spans="1:16" x14ac:dyDescent="0.3">
      <c r="A891" t="s">
        <v>3791</v>
      </c>
      <c r="B891" s="24">
        <v>111969</v>
      </c>
      <c r="C891" s="24" t="s">
        <v>1147</v>
      </c>
      <c r="D891" s="24" t="s">
        <v>1102</v>
      </c>
      <c r="E891" s="24" t="s">
        <v>7</v>
      </c>
      <c r="F891" s="24" t="s">
        <v>1142</v>
      </c>
      <c r="G891" s="24" t="s">
        <v>1143</v>
      </c>
      <c r="H891" s="24" t="s">
        <v>18</v>
      </c>
      <c r="I891" s="24" t="s">
        <v>1158</v>
      </c>
      <c r="J891" s="24" t="s">
        <v>761</v>
      </c>
      <c r="K891" s="24" t="s">
        <v>1146</v>
      </c>
      <c r="L891" s="25">
        <v>1070</v>
      </c>
      <c r="M891" s="26">
        <v>1.18</v>
      </c>
      <c r="N891" s="27">
        <v>1.18</v>
      </c>
      <c r="O891" s="28">
        <v>1.0727272727272727E-3</v>
      </c>
      <c r="P891" s="28">
        <v>1.1173451327433628</v>
      </c>
    </row>
    <row r="892" spans="1:16" x14ac:dyDescent="0.3">
      <c r="A892" t="s">
        <v>3792</v>
      </c>
      <c r="B892" s="24">
        <v>111969</v>
      </c>
      <c r="C892" s="24" t="s">
        <v>1147</v>
      </c>
      <c r="D892" s="24" t="s">
        <v>1102</v>
      </c>
      <c r="E892" s="24" t="s">
        <v>7</v>
      </c>
      <c r="F892" s="24" t="s">
        <v>1142</v>
      </c>
      <c r="G892" s="24" t="s">
        <v>1143</v>
      </c>
      <c r="H892" s="24" t="s">
        <v>19</v>
      </c>
      <c r="I892" s="24" t="s">
        <v>1158</v>
      </c>
      <c r="J892" s="24" t="s">
        <v>761</v>
      </c>
      <c r="K892" s="24" t="s">
        <v>1146</v>
      </c>
      <c r="L892" s="25">
        <v>1070</v>
      </c>
      <c r="M892" s="26">
        <v>0.61</v>
      </c>
      <c r="N892" s="27">
        <v>0.61</v>
      </c>
      <c r="O892" s="28">
        <v>5.5454545454545448E-4</v>
      </c>
      <c r="P892" s="28">
        <v>0.57761061946902648</v>
      </c>
    </row>
    <row r="893" spans="1:16" x14ac:dyDescent="0.3">
      <c r="A893" t="s">
        <v>3793</v>
      </c>
      <c r="B893" s="24">
        <v>111969</v>
      </c>
      <c r="C893" s="24" t="s">
        <v>1147</v>
      </c>
      <c r="D893" s="24" t="s">
        <v>1102</v>
      </c>
      <c r="E893" s="24" t="s">
        <v>7</v>
      </c>
      <c r="F893" s="24" t="s">
        <v>1142</v>
      </c>
      <c r="G893" s="24" t="s">
        <v>1143</v>
      </c>
      <c r="H893" s="24" t="s">
        <v>1159</v>
      </c>
      <c r="I893" s="24" t="s">
        <v>1158</v>
      </c>
      <c r="J893" s="24" t="s">
        <v>761</v>
      </c>
      <c r="K893" s="24" t="s">
        <v>1146</v>
      </c>
      <c r="L893" s="25">
        <v>1070</v>
      </c>
      <c r="M893" s="26">
        <v>6.12</v>
      </c>
      <c r="N893" s="27">
        <v>6.12</v>
      </c>
      <c r="O893" s="28">
        <v>5.5636363636363635E-3</v>
      </c>
      <c r="P893" s="28">
        <v>5.7950442477876107</v>
      </c>
    </row>
    <row r="894" spans="1:16" x14ac:dyDescent="0.3">
      <c r="A894" t="s">
        <v>3794</v>
      </c>
      <c r="B894" s="24">
        <v>111969</v>
      </c>
      <c r="C894" s="24" t="s">
        <v>1147</v>
      </c>
      <c r="D894" s="24" t="s">
        <v>1102</v>
      </c>
      <c r="E894" s="24" t="s">
        <v>7</v>
      </c>
      <c r="F894" s="24" t="s">
        <v>1142</v>
      </c>
      <c r="G894" s="24" t="s">
        <v>1143</v>
      </c>
      <c r="H894" s="24" t="s">
        <v>20</v>
      </c>
      <c r="I894" s="24" t="s">
        <v>1160</v>
      </c>
      <c r="J894" s="24" t="s">
        <v>761</v>
      </c>
      <c r="K894" s="24" t="s">
        <v>1146</v>
      </c>
      <c r="L894" s="25">
        <v>1070</v>
      </c>
      <c r="M894" s="26">
        <v>8.82</v>
      </c>
      <c r="N894" s="27">
        <v>8.82</v>
      </c>
      <c r="O894" s="28">
        <v>8.0181818181818184E-3</v>
      </c>
      <c r="P894" s="28">
        <v>8.3516814159292032</v>
      </c>
    </row>
    <row r="895" spans="1:16" x14ac:dyDescent="0.3">
      <c r="A895" t="s">
        <v>3795</v>
      </c>
      <c r="B895" s="24">
        <v>142462</v>
      </c>
      <c r="C895" s="24" t="s">
        <v>1149</v>
      </c>
      <c r="D895" s="24" t="s">
        <v>1102</v>
      </c>
      <c r="E895" s="24" t="s">
        <v>7</v>
      </c>
      <c r="F895" s="24" t="s">
        <v>1142</v>
      </c>
      <c r="G895" s="24" t="s">
        <v>1143</v>
      </c>
      <c r="H895" s="24" t="s">
        <v>20</v>
      </c>
      <c r="I895" s="24" t="s">
        <v>1160</v>
      </c>
      <c r="J895" s="24" t="s">
        <v>761</v>
      </c>
      <c r="K895" s="24" t="s">
        <v>1146</v>
      </c>
      <c r="L895" s="25">
        <v>1070</v>
      </c>
      <c r="M895" s="26">
        <v>8.82</v>
      </c>
      <c r="N895" s="27">
        <v>8.82</v>
      </c>
      <c r="O895" s="28">
        <v>8.0181818181818184E-3</v>
      </c>
      <c r="P895" s="28">
        <v>8.3516814159292032</v>
      </c>
    </row>
    <row r="896" spans="1:16" x14ac:dyDescent="0.3">
      <c r="A896" t="s">
        <v>3796</v>
      </c>
      <c r="B896" s="24">
        <v>111969</v>
      </c>
      <c r="C896" s="24" t="s">
        <v>1147</v>
      </c>
      <c r="D896" s="24" t="s">
        <v>1102</v>
      </c>
      <c r="E896" s="24" t="s">
        <v>7</v>
      </c>
      <c r="F896" s="24" t="s">
        <v>1142</v>
      </c>
      <c r="G896" s="24" t="s">
        <v>1143</v>
      </c>
      <c r="H896" s="24" t="s">
        <v>21</v>
      </c>
      <c r="I896" s="24" t="s">
        <v>1161</v>
      </c>
      <c r="J896" s="24" t="s">
        <v>761</v>
      </c>
      <c r="K896" s="24" t="s">
        <v>1146</v>
      </c>
      <c r="L896" s="25">
        <v>1070</v>
      </c>
      <c r="M896" s="26">
        <v>1.61</v>
      </c>
      <c r="N896" s="27">
        <v>1.61</v>
      </c>
      <c r="O896" s="28">
        <v>1.4636363636363638E-3</v>
      </c>
      <c r="P896" s="28">
        <v>1.5245132743362833</v>
      </c>
    </row>
    <row r="897" spans="1:16" x14ac:dyDescent="0.3">
      <c r="A897" t="s">
        <v>3797</v>
      </c>
      <c r="B897" s="24">
        <v>142462</v>
      </c>
      <c r="C897" s="24" t="s">
        <v>1149</v>
      </c>
      <c r="D897" s="24" t="s">
        <v>1102</v>
      </c>
      <c r="E897" s="24" t="s">
        <v>7</v>
      </c>
      <c r="F897" s="24" t="s">
        <v>1142</v>
      </c>
      <c r="G897" s="24" t="s">
        <v>1143</v>
      </c>
      <c r="H897" s="24" t="s">
        <v>21</v>
      </c>
      <c r="I897" s="24" t="s">
        <v>1161</v>
      </c>
      <c r="J897" s="24" t="s">
        <v>761</v>
      </c>
      <c r="K897" s="24" t="s">
        <v>1146</v>
      </c>
      <c r="L897" s="25">
        <v>1070</v>
      </c>
      <c r="M897" s="26">
        <v>1.61</v>
      </c>
      <c r="N897" s="27">
        <v>1.61</v>
      </c>
      <c r="O897" s="28">
        <v>1.4636363636363638E-3</v>
      </c>
      <c r="P897" s="28">
        <v>1.5245132743362833</v>
      </c>
    </row>
    <row r="898" spans="1:16" x14ac:dyDescent="0.3">
      <c r="A898" t="s">
        <v>3798</v>
      </c>
      <c r="B898" s="24">
        <v>111969</v>
      </c>
      <c r="C898" s="24" t="s">
        <v>1147</v>
      </c>
      <c r="D898" s="24" t="s">
        <v>1102</v>
      </c>
      <c r="E898" s="24" t="s">
        <v>7</v>
      </c>
      <c r="F898" s="24" t="s">
        <v>1142</v>
      </c>
      <c r="G898" s="24" t="s">
        <v>1143</v>
      </c>
      <c r="H898" s="24" t="s">
        <v>22</v>
      </c>
      <c r="I898" s="24" t="s">
        <v>1162</v>
      </c>
      <c r="J898" s="24" t="s">
        <v>761</v>
      </c>
      <c r="K898" s="24" t="s">
        <v>1146</v>
      </c>
      <c r="L898" s="25">
        <v>1070</v>
      </c>
      <c r="M898" s="26">
        <v>1.1299999999999999</v>
      </c>
      <c r="N898" s="27">
        <v>1.1299999999999999</v>
      </c>
      <c r="O898" s="28">
        <v>1.0272727272727271E-3</v>
      </c>
      <c r="P898" s="28">
        <v>1.0699999999999998</v>
      </c>
    </row>
    <row r="899" spans="1:16" x14ac:dyDescent="0.3">
      <c r="A899" t="s">
        <v>3799</v>
      </c>
      <c r="B899" s="24">
        <v>142462</v>
      </c>
      <c r="C899" s="24" t="s">
        <v>1149</v>
      </c>
      <c r="D899" s="24" t="s">
        <v>1102</v>
      </c>
      <c r="E899" s="24" t="s">
        <v>7</v>
      </c>
      <c r="F899" s="24" t="s">
        <v>1142</v>
      </c>
      <c r="G899" s="24" t="s">
        <v>1143</v>
      </c>
      <c r="H899" s="24" t="s">
        <v>22</v>
      </c>
      <c r="I899" s="24" t="s">
        <v>1162</v>
      </c>
      <c r="J899" s="24" t="s">
        <v>761</v>
      </c>
      <c r="K899" s="24" t="s">
        <v>1146</v>
      </c>
      <c r="L899" s="25">
        <v>1070</v>
      </c>
      <c r="M899" s="26">
        <v>1.1299999999999999</v>
      </c>
      <c r="N899" s="27">
        <v>1.1299999999999999</v>
      </c>
      <c r="O899" s="28">
        <v>1.0272727272727271E-3</v>
      </c>
      <c r="P899" s="28">
        <v>1.0699999999999998</v>
      </c>
    </row>
    <row r="900" spans="1:16" x14ac:dyDescent="0.3">
      <c r="A900" t="s">
        <v>3800</v>
      </c>
      <c r="B900" s="24">
        <v>111969</v>
      </c>
      <c r="C900" s="24" t="s">
        <v>1147</v>
      </c>
      <c r="D900" s="24" t="s">
        <v>1102</v>
      </c>
      <c r="E900" s="24" t="s">
        <v>7</v>
      </c>
      <c r="F900" s="24" t="s">
        <v>1142</v>
      </c>
      <c r="G900" s="24" t="s">
        <v>1143</v>
      </c>
      <c r="H900" s="24" t="s">
        <v>8</v>
      </c>
      <c r="I900" s="24" t="s">
        <v>1163</v>
      </c>
      <c r="J900" s="24" t="s">
        <v>761</v>
      </c>
      <c r="K900" s="24" t="s">
        <v>1146</v>
      </c>
      <c r="L900" s="25">
        <v>1070</v>
      </c>
      <c r="M900" s="26">
        <v>8.82</v>
      </c>
      <c r="N900" s="27">
        <v>8.82</v>
      </c>
      <c r="O900" s="28">
        <v>8.0181818181818184E-3</v>
      </c>
      <c r="P900" s="28">
        <v>8.3516814159292032</v>
      </c>
    </row>
    <row r="901" spans="1:16" x14ac:dyDescent="0.3">
      <c r="A901" t="s">
        <v>3801</v>
      </c>
      <c r="B901" s="24">
        <v>142462</v>
      </c>
      <c r="C901" s="24" t="s">
        <v>1149</v>
      </c>
      <c r="D901" s="24" t="s">
        <v>1102</v>
      </c>
      <c r="E901" s="24" t="s">
        <v>7</v>
      </c>
      <c r="F901" s="24" t="s">
        <v>1142</v>
      </c>
      <c r="G901" s="24" t="s">
        <v>1143</v>
      </c>
      <c r="H901" s="24" t="s">
        <v>8</v>
      </c>
      <c r="I901" s="24" t="s">
        <v>1163</v>
      </c>
      <c r="J901" s="24" t="s">
        <v>761</v>
      </c>
      <c r="K901" s="24" t="s">
        <v>1146</v>
      </c>
      <c r="L901" s="25">
        <v>1070</v>
      </c>
      <c r="M901" s="26">
        <v>8.82</v>
      </c>
      <c r="N901" s="27">
        <v>8.82</v>
      </c>
      <c r="O901" s="28">
        <v>8.0181818181818184E-3</v>
      </c>
      <c r="P901" s="28">
        <v>8.3516814159292032</v>
      </c>
    </row>
    <row r="902" spans="1:16" x14ac:dyDescent="0.3">
      <c r="A902" t="s">
        <v>3802</v>
      </c>
      <c r="B902" s="24">
        <v>111969</v>
      </c>
      <c r="C902" s="24" t="s">
        <v>1147</v>
      </c>
      <c r="D902" s="24" t="s">
        <v>1102</v>
      </c>
      <c r="E902" s="24" t="s">
        <v>7</v>
      </c>
      <c r="F902" s="24" t="s">
        <v>1142</v>
      </c>
      <c r="G902" s="24" t="s">
        <v>1143</v>
      </c>
      <c r="H902" s="24" t="s">
        <v>9</v>
      </c>
      <c r="I902" s="24" t="s">
        <v>1164</v>
      </c>
      <c r="J902" s="24" t="s">
        <v>761</v>
      </c>
      <c r="K902" s="24" t="s">
        <v>1146</v>
      </c>
      <c r="L902" s="25">
        <v>1070</v>
      </c>
      <c r="M902" s="26">
        <v>9.1999999999999993</v>
      </c>
      <c r="N902" s="27">
        <v>9.1999999999999993</v>
      </c>
      <c r="O902" s="28">
        <v>8.363636363636363E-3</v>
      </c>
      <c r="P902" s="28">
        <v>8.7115044247787612</v>
      </c>
    </row>
    <row r="903" spans="1:16" x14ac:dyDescent="0.3">
      <c r="A903" t="s">
        <v>3803</v>
      </c>
      <c r="B903" s="24">
        <v>111969</v>
      </c>
      <c r="C903" s="24" t="s">
        <v>1147</v>
      </c>
      <c r="D903" s="24" t="s">
        <v>1102</v>
      </c>
      <c r="E903" s="24" t="s">
        <v>7</v>
      </c>
      <c r="F903" s="24" t="s">
        <v>1142</v>
      </c>
      <c r="G903" s="24" t="s">
        <v>1143</v>
      </c>
      <c r="H903" s="24" t="s">
        <v>1059</v>
      </c>
      <c r="I903" s="24" t="s">
        <v>1165</v>
      </c>
      <c r="J903" s="24" t="s">
        <v>761</v>
      </c>
      <c r="K903" s="24" t="s">
        <v>1146</v>
      </c>
      <c r="L903" s="25">
        <v>1070</v>
      </c>
      <c r="M903" s="26">
        <v>9.25</v>
      </c>
      <c r="N903" s="27">
        <v>9.25</v>
      </c>
      <c r="O903" s="28">
        <v>8.4090909090909095E-3</v>
      </c>
      <c r="P903" s="28">
        <v>8.7588495575221241</v>
      </c>
    </row>
    <row r="904" spans="1:16" x14ac:dyDescent="0.3">
      <c r="A904" t="s">
        <v>3804</v>
      </c>
      <c r="B904" s="24">
        <v>111969</v>
      </c>
      <c r="C904" s="24" t="s">
        <v>1147</v>
      </c>
      <c r="D904" s="24" t="s">
        <v>1102</v>
      </c>
      <c r="E904" s="24" t="s">
        <v>7</v>
      </c>
      <c r="F904" s="24" t="s">
        <v>1142</v>
      </c>
      <c r="G904" s="24" t="s">
        <v>1143</v>
      </c>
      <c r="H904" s="24" t="s">
        <v>10</v>
      </c>
      <c r="I904" s="24" t="s">
        <v>1166</v>
      </c>
      <c r="J904" s="24" t="s">
        <v>761</v>
      </c>
      <c r="K904" s="24" t="s">
        <v>1146</v>
      </c>
      <c r="L904" s="25">
        <v>1070</v>
      </c>
      <c r="M904" s="26">
        <v>7.03</v>
      </c>
      <c r="N904" s="27">
        <v>7.03</v>
      </c>
      <c r="O904" s="28">
        <v>6.3909090909090912E-3</v>
      </c>
      <c r="P904" s="28">
        <v>6.6567256637168146</v>
      </c>
    </row>
    <row r="905" spans="1:16" x14ac:dyDescent="0.3">
      <c r="A905" t="s">
        <v>3805</v>
      </c>
      <c r="B905" s="24">
        <v>142462</v>
      </c>
      <c r="C905" s="24" t="s">
        <v>1149</v>
      </c>
      <c r="D905" s="24" t="s">
        <v>1102</v>
      </c>
      <c r="E905" s="24" t="s">
        <v>7</v>
      </c>
      <c r="F905" s="24" t="s">
        <v>1142</v>
      </c>
      <c r="G905" s="24" t="s">
        <v>1143</v>
      </c>
      <c r="H905" s="24" t="s">
        <v>10</v>
      </c>
      <c r="I905" s="24" t="s">
        <v>1166</v>
      </c>
      <c r="J905" s="24" t="s">
        <v>761</v>
      </c>
      <c r="K905" s="24" t="s">
        <v>1146</v>
      </c>
      <c r="L905" s="25">
        <v>1070</v>
      </c>
      <c r="M905" s="26">
        <v>7.03</v>
      </c>
      <c r="N905" s="27">
        <v>7.03</v>
      </c>
      <c r="O905" s="28">
        <v>6.3909090909090912E-3</v>
      </c>
      <c r="P905" s="28">
        <v>6.6567256637168146</v>
      </c>
    </row>
    <row r="906" spans="1:16" x14ac:dyDescent="0.3">
      <c r="A906" t="s">
        <v>3806</v>
      </c>
      <c r="B906" s="24">
        <v>111969</v>
      </c>
      <c r="C906" s="24" t="s">
        <v>1147</v>
      </c>
      <c r="D906" s="24" t="s">
        <v>1102</v>
      </c>
      <c r="E906" s="24" t="s">
        <v>7</v>
      </c>
      <c r="F906" s="24" t="s">
        <v>1142</v>
      </c>
      <c r="G906" s="24" t="s">
        <v>1143</v>
      </c>
      <c r="H906" s="24" t="s">
        <v>11</v>
      </c>
      <c r="I906" s="24" t="s">
        <v>1167</v>
      </c>
      <c r="J906" s="24" t="s">
        <v>761</v>
      </c>
      <c r="K906" s="24" t="s">
        <v>1146</v>
      </c>
      <c r="L906" s="25">
        <v>1070</v>
      </c>
      <c r="M906" s="26">
        <v>1.01</v>
      </c>
      <c r="N906" s="27">
        <v>1.01</v>
      </c>
      <c r="O906" s="28">
        <v>9.181818181818182E-4</v>
      </c>
      <c r="P906" s="28">
        <v>0.95637168141592921</v>
      </c>
    </row>
    <row r="907" spans="1:16" x14ac:dyDescent="0.3">
      <c r="A907" t="s">
        <v>3807</v>
      </c>
      <c r="B907" s="24">
        <v>142462</v>
      </c>
      <c r="C907" s="24" t="s">
        <v>1149</v>
      </c>
      <c r="D907" s="24" t="s">
        <v>1102</v>
      </c>
      <c r="E907" s="24" t="s">
        <v>7</v>
      </c>
      <c r="F907" s="24" t="s">
        <v>1142</v>
      </c>
      <c r="G907" s="24" t="s">
        <v>1143</v>
      </c>
      <c r="H907" s="24" t="s">
        <v>11</v>
      </c>
      <c r="I907" s="24" t="s">
        <v>1167</v>
      </c>
      <c r="J907" s="24" t="s">
        <v>761</v>
      </c>
      <c r="K907" s="24" t="s">
        <v>1146</v>
      </c>
      <c r="L907" s="25">
        <v>1070</v>
      </c>
      <c r="M907" s="26">
        <v>1.01</v>
      </c>
      <c r="N907" s="27">
        <v>1.01</v>
      </c>
      <c r="O907" s="28">
        <v>9.181818181818182E-4</v>
      </c>
      <c r="P907" s="28">
        <v>0.95637168141592921</v>
      </c>
    </row>
    <row r="908" spans="1:16" x14ac:dyDescent="0.3">
      <c r="A908" t="s">
        <v>3808</v>
      </c>
      <c r="B908" s="24">
        <v>141785</v>
      </c>
      <c r="C908" s="24" t="s">
        <v>1168</v>
      </c>
      <c r="D908" s="24" t="s">
        <v>1102</v>
      </c>
      <c r="E908" s="24" t="s">
        <v>7</v>
      </c>
      <c r="F908" s="24" t="s">
        <v>1142</v>
      </c>
      <c r="G908" s="24" t="s">
        <v>1143</v>
      </c>
      <c r="H908" s="24" t="s">
        <v>1169</v>
      </c>
      <c r="I908" s="24" t="s">
        <v>1170</v>
      </c>
      <c r="J908" s="24" t="s">
        <v>761</v>
      </c>
      <c r="K908" s="24" t="s">
        <v>1146</v>
      </c>
      <c r="L908" s="25">
        <v>1070</v>
      </c>
      <c r="M908" s="26">
        <v>19.18</v>
      </c>
      <c r="N908" s="27">
        <v>19.18</v>
      </c>
      <c r="O908" s="28">
        <v>1.7436363636363635E-2</v>
      </c>
      <c r="P908" s="28">
        <v>18.161592920353982</v>
      </c>
    </row>
    <row r="909" spans="1:16" x14ac:dyDescent="0.3">
      <c r="A909" t="s">
        <v>3809</v>
      </c>
      <c r="B909" s="24">
        <v>142462</v>
      </c>
      <c r="C909" s="24" t="s">
        <v>1149</v>
      </c>
      <c r="D909" s="24" t="s">
        <v>1102</v>
      </c>
      <c r="E909" s="24" t="s">
        <v>7</v>
      </c>
      <c r="F909" s="24" t="s">
        <v>1142</v>
      </c>
      <c r="G909" s="24" t="s">
        <v>1143</v>
      </c>
      <c r="H909" s="24" t="s">
        <v>1169</v>
      </c>
      <c r="I909" s="24" t="s">
        <v>1170</v>
      </c>
      <c r="J909" s="24" t="s">
        <v>761</v>
      </c>
      <c r="K909" s="24" t="s">
        <v>1146</v>
      </c>
      <c r="L909" s="25">
        <v>1070</v>
      </c>
      <c r="M909" s="26">
        <v>19.18</v>
      </c>
      <c r="N909" s="27">
        <v>19.18</v>
      </c>
      <c r="O909" s="28">
        <v>1.7436363636363635E-2</v>
      </c>
      <c r="P909" s="28">
        <v>18.161592920353982</v>
      </c>
    </row>
    <row r="910" spans="1:16" x14ac:dyDescent="0.3">
      <c r="A910" t="s">
        <v>3810</v>
      </c>
      <c r="B910" s="24">
        <v>141785</v>
      </c>
      <c r="C910" s="24" t="s">
        <v>1168</v>
      </c>
      <c r="D910" s="24" t="s">
        <v>1102</v>
      </c>
      <c r="E910" s="24" t="s">
        <v>7</v>
      </c>
      <c r="F910" s="24" t="s">
        <v>1142</v>
      </c>
      <c r="G910" s="24" t="s">
        <v>1143</v>
      </c>
      <c r="H910" s="24" t="s">
        <v>26</v>
      </c>
      <c r="I910" s="24" t="s">
        <v>1170</v>
      </c>
      <c r="J910" s="24" t="s">
        <v>761</v>
      </c>
      <c r="K910" s="24" t="s">
        <v>1146</v>
      </c>
      <c r="L910" s="25">
        <v>1070</v>
      </c>
      <c r="M910" s="26">
        <v>19.18</v>
      </c>
      <c r="N910" s="27">
        <v>19.18</v>
      </c>
      <c r="O910" s="28">
        <v>1.7436363636363635E-2</v>
      </c>
      <c r="P910" s="28">
        <v>18.161592920353982</v>
      </c>
    </row>
    <row r="911" spans="1:16" x14ac:dyDescent="0.3">
      <c r="A911" t="s">
        <v>3811</v>
      </c>
      <c r="B911" s="24">
        <v>142462</v>
      </c>
      <c r="C911" s="24" t="s">
        <v>1149</v>
      </c>
      <c r="D911" s="24" t="s">
        <v>1102</v>
      </c>
      <c r="E911" s="24" t="s">
        <v>7</v>
      </c>
      <c r="F911" s="24" t="s">
        <v>1142</v>
      </c>
      <c r="G911" s="24" t="s">
        <v>1143</v>
      </c>
      <c r="H911" s="24" t="s">
        <v>26</v>
      </c>
      <c r="I911" s="24" t="s">
        <v>1170</v>
      </c>
      <c r="J911" s="24" t="s">
        <v>761</v>
      </c>
      <c r="K911" s="24" t="s">
        <v>1146</v>
      </c>
      <c r="L911" s="25">
        <v>1070</v>
      </c>
      <c r="M911" s="26">
        <v>19.18</v>
      </c>
      <c r="N911" s="27">
        <v>19.18</v>
      </c>
      <c r="O911" s="28">
        <v>1.7436363636363635E-2</v>
      </c>
      <c r="P911" s="28">
        <v>18.161592920353982</v>
      </c>
    </row>
    <row r="912" spans="1:16" x14ac:dyDescent="0.3">
      <c r="A912" t="s">
        <v>3812</v>
      </c>
      <c r="B912" s="24">
        <v>111969</v>
      </c>
      <c r="C912" s="24" t="s">
        <v>1147</v>
      </c>
      <c r="D912" s="24" t="s">
        <v>1102</v>
      </c>
      <c r="E912" s="24" t="s">
        <v>7</v>
      </c>
      <c r="F912" s="24" t="s">
        <v>1142</v>
      </c>
      <c r="G912" s="24" t="s">
        <v>1143</v>
      </c>
      <c r="H912" s="24" t="s">
        <v>27</v>
      </c>
      <c r="I912" s="24" t="s">
        <v>1171</v>
      </c>
      <c r="J912" s="24" t="s">
        <v>761</v>
      </c>
      <c r="K912" s="24" t="s">
        <v>1146</v>
      </c>
      <c r="L912" s="25">
        <v>1070</v>
      </c>
      <c r="M912" s="26">
        <v>22.4</v>
      </c>
      <c r="N912" s="27">
        <v>22.4</v>
      </c>
      <c r="O912" s="28">
        <v>2.0363636363636362E-2</v>
      </c>
      <c r="P912" s="28">
        <v>21.21061946902655</v>
      </c>
    </row>
    <row r="913" spans="1:16" x14ac:dyDescent="0.3">
      <c r="A913" t="s">
        <v>3813</v>
      </c>
      <c r="B913" s="24">
        <v>142462</v>
      </c>
      <c r="C913" s="24" t="s">
        <v>1149</v>
      </c>
      <c r="D913" s="24" t="s">
        <v>1102</v>
      </c>
      <c r="E913" s="24" t="s">
        <v>7</v>
      </c>
      <c r="F913" s="24" t="s">
        <v>1142</v>
      </c>
      <c r="G913" s="24" t="s">
        <v>1143</v>
      </c>
      <c r="H913" s="24" t="s">
        <v>27</v>
      </c>
      <c r="I913" s="24" t="s">
        <v>1171</v>
      </c>
      <c r="J913" s="24" t="s">
        <v>761</v>
      </c>
      <c r="K913" s="24" t="s">
        <v>1146</v>
      </c>
      <c r="L913" s="25">
        <v>1070</v>
      </c>
      <c r="M913" s="26">
        <v>22.4</v>
      </c>
      <c r="N913" s="27">
        <v>22.4</v>
      </c>
      <c r="O913" s="28">
        <v>2.0363636363636362E-2</v>
      </c>
      <c r="P913" s="28">
        <v>21.21061946902655</v>
      </c>
    </row>
    <row r="914" spans="1:16" x14ac:dyDescent="0.3">
      <c r="A914" t="s">
        <v>3814</v>
      </c>
      <c r="B914" s="24">
        <v>142462</v>
      </c>
      <c r="C914" s="24" t="s">
        <v>1149</v>
      </c>
      <c r="D914" s="24" t="s">
        <v>1102</v>
      </c>
      <c r="E914" s="24" t="s">
        <v>7</v>
      </c>
      <c r="F914" s="24" t="s">
        <v>1142</v>
      </c>
      <c r="G914" s="24" t="s">
        <v>1143</v>
      </c>
      <c r="H914" s="24" t="s">
        <v>28</v>
      </c>
      <c r="I914" s="24" t="s">
        <v>1172</v>
      </c>
      <c r="J914" s="24" t="s">
        <v>761</v>
      </c>
      <c r="K914" s="24" t="s">
        <v>1146</v>
      </c>
      <c r="L914" s="25">
        <v>1070</v>
      </c>
      <c r="M914" s="26">
        <v>22.4</v>
      </c>
      <c r="N914" s="27">
        <v>22.4</v>
      </c>
      <c r="O914" s="28">
        <v>2.0363636363636362E-2</v>
      </c>
      <c r="P914" s="28">
        <v>21.21061946902655</v>
      </c>
    </row>
    <row r="915" spans="1:16" x14ac:dyDescent="0.3">
      <c r="A915" t="s">
        <v>3815</v>
      </c>
      <c r="B915" s="24">
        <v>142462</v>
      </c>
      <c r="C915" s="24" t="s">
        <v>1149</v>
      </c>
      <c r="D915" s="24" t="s">
        <v>1102</v>
      </c>
      <c r="E915" s="24" t="s">
        <v>7</v>
      </c>
      <c r="F915" s="24" t="s">
        <v>1142</v>
      </c>
      <c r="G915" s="24" t="s">
        <v>1143</v>
      </c>
      <c r="H915" s="24" t="s">
        <v>1173</v>
      </c>
      <c r="I915" s="24" t="s">
        <v>1174</v>
      </c>
      <c r="J915" s="24" t="s">
        <v>761</v>
      </c>
      <c r="K915" s="24" t="s">
        <v>1146</v>
      </c>
      <c r="L915" s="25">
        <v>1070</v>
      </c>
      <c r="M915" s="26">
        <v>0.72</v>
      </c>
      <c r="N915" s="27">
        <v>0.72</v>
      </c>
      <c r="O915" s="28">
        <v>6.5454545454545453E-4</v>
      </c>
      <c r="P915" s="28">
        <v>0.68176991150442479</v>
      </c>
    </row>
    <row r="916" spans="1:16" x14ac:dyDescent="0.3">
      <c r="A916" t="s">
        <v>3816</v>
      </c>
      <c r="B916" s="24">
        <v>142462</v>
      </c>
      <c r="C916" s="24" t="s">
        <v>1149</v>
      </c>
      <c r="D916" s="24" t="s">
        <v>1102</v>
      </c>
      <c r="E916" s="24" t="s">
        <v>7</v>
      </c>
      <c r="F916" s="24" t="s">
        <v>1142</v>
      </c>
      <c r="G916" s="24" t="s">
        <v>1143</v>
      </c>
      <c r="H916" s="24" t="s">
        <v>1175</v>
      </c>
      <c r="I916" s="24" t="s">
        <v>1176</v>
      </c>
      <c r="J916" s="24" t="s">
        <v>761</v>
      </c>
      <c r="K916" s="24" t="s">
        <v>1146</v>
      </c>
      <c r="L916" s="25">
        <v>1070</v>
      </c>
      <c r="M916" s="26">
        <v>1.1499999999999999</v>
      </c>
      <c r="N916" s="27">
        <v>1.1499999999999999</v>
      </c>
      <c r="O916" s="28">
        <v>1.0454545454545454E-3</v>
      </c>
      <c r="P916" s="28">
        <v>1.0889380530973451</v>
      </c>
    </row>
    <row r="917" spans="1:16" x14ac:dyDescent="0.3">
      <c r="A917" t="s">
        <v>3817</v>
      </c>
      <c r="B917" s="24">
        <v>111969</v>
      </c>
      <c r="C917" s="24" t="s">
        <v>1147</v>
      </c>
      <c r="D917" s="24" t="s">
        <v>1102</v>
      </c>
      <c r="E917" s="24" t="s">
        <v>7</v>
      </c>
      <c r="F917" s="24" t="s">
        <v>1142</v>
      </c>
      <c r="G917" s="24" t="s">
        <v>1143</v>
      </c>
      <c r="H917" s="24" t="s">
        <v>23</v>
      </c>
      <c r="I917" s="24" t="s">
        <v>1177</v>
      </c>
      <c r="J917" s="24" t="s">
        <v>761</v>
      </c>
      <c r="K917" s="24" t="s">
        <v>1146</v>
      </c>
      <c r="L917" s="25">
        <v>1070</v>
      </c>
      <c r="M917" s="26">
        <v>17.649999999999999</v>
      </c>
      <c r="N917" s="27">
        <v>17.649999999999999</v>
      </c>
      <c r="O917" s="28">
        <v>1.6045454545454543E-2</v>
      </c>
      <c r="P917" s="28">
        <v>16.712831858407078</v>
      </c>
    </row>
    <row r="918" spans="1:16" x14ac:dyDescent="0.3">
      <c r="A918" t="s">
        <v>3818</v>
      </c>
      <c r="B918" s="24">
        <v>142462</v>
      </c>
      <c r="C918" s="24" t="s">
        <v>1149</v>
      </c>
      <c r="D918" s="24" t="s">
        <v>1102</v>
      </c>
      <c r="E918" s="24" t="s">
        <v>7</v>
      </c>
      <c r="F918" s="24" t="s">
        <v>1142</v>
      </c>
      <c r="G918" s="24" t="s">
        <v>1143</v>
      </c>
      <c r="H918" s="24" t="s">
        <v>23</v>
      </c>
      <c r="I918" s="24" t="s">
        <v>1177</v>
      </c>
      <c r="J918" s="24" t="s">
        <v>761</v>
      </c>
      <c r="K918" s="24" t="s">
        <v>1146</v>
      </c>
      <c r="L918" s="25">
        <v>1070</v>
      </c>
      <c r="M918" s="26">
        <v>17.649999999999999</v>
      </c>
      <c r="N918" s="27">
        <v>17.649999999999999</v>
      </c>
      <c r="O918" s="28">
        <v>1.6045454545454543E-2</v>
      </c>
      <c r="P918" s="28">
        <v>16.712831858407078</v>
      </c>
    </row>
    <row r="919" spans="1:16" x14ac:dyDescent="0.3">
      <c r="A919" t="s">
        <v>3819</v>
      </c>
      <c r="B919" s="24">
        <v>111969</v>
      </c>
      <c r="C919" s="24" t="s">
        <v>1147</v>
      </c>
      <c r="D919" s="24" t="s">
        <v>1102</v>
      </c>
      <c r="E919" s="24" t="s">
        <v>7</v>
      </c>
      <c r="F919" s="24" t="s">
        <v>1142</v>
      </c>
      <c r="G919" s="24" t="s">
        <v>1143</v>
      </c>
      <c r="H919" s="24" t="s">
        <v>24</v>
      </c>
      <c r="I919" s="24" t="s">
        <v>1178</v>
      </c>
      <c r="J919" s="24" t="s">
        <v>761</v>
      </c>
      <c r="K919" s="24" t="s">
        <v>1146</v>
      </c>
      <c r="L919" s="25">
        <v>1070</v>
      </c>
      <c r="M919" s="26">
        <v>16.649999999999999</v>
      </c>
      <c r="N919" s="27">
        <v>16.649999999999999</v>
      </c>
      <c r="O919" s="28">
        <v>1.5136363636363635E-2</v>
      </c>
      <c r="P919" s="28">
        <v>15.765929203539823</v>
      </c>
    </row>
    <row r="920" spans="1:16" x14ac:dyDescent="0.3">
      <c r="A920" t="s">
        <v>3820</v>
      </c>
      <c r="B920" s="24">
        <v>142462</v>
      </c>
      <c r="C920" s="24" t="s">
        <v>1149</v>
      </c>
      <c r="D920" s="24" t="s">
        <v>1102</v>
      </c>
      <c r="E920" s="24" t="s">
        <v>7</v>
      </c>
      <c r="F920" s="24" t="s">
        <v>1142</v>
      </c>
      <c r="G920" s="24" t="s">
        <v>1143</v>
      </c>
      <c r="H920" s="24" t="s">
        <v>24</v>
      </c>
      <c r="I920" s="24" t="s">
        <v>1178</v>
      </c>
      <c r="J920" s="24" t="s">
        <v>761</v>
      </c>
      <c r="K920" s="24" t="s">
        <v>1146</v>
      </c>
      <c r="L920" s="25">
        <v>1070</v>
      </c>
      <c r="M920" s="26">
        <v>16.649999999999999</v>
      </c>
      <c r="N920" s="27">
        <v>16.649999999999999</v>
      </c>
      <c r="O920" s="28">
        <v>1.5136363636363635E-2</v>
      </c>
      <c r="P920" s="28">
        <v>15.765929203539823</v>
      </c>
    </row>
    <row r="921" spans="1:16" x14ac:dyDescent="0.3">
      <c r="A921" t="s">
        <v>3821</v>
      </c>
      <c r="B921" s="24">
        <v>141679</v>
      </c>
      <c r="C921" s="24" t="s">
        <v>1179</v>
      </c>
      <c r="D921" s="24" t="s">
        <v>1102</v>
      </c>
      <c r="E921" s="24" t="s">
        <v>7</v>
      </c>
      <c r="F921" s="24" t="s">
        <v>1142</v>
      </c>
      <c r="G921" s="24" t="s">
        <v>1143</v>
      </c>
      <c r="H921" s="24" t="s">
        <v>36</v>
      </c>
      <c r="I921" s="24" t="s">
        <v>1180</v>
      </c>
      <c r="J921" s="24" t="s">
        <v>761</v>
      </c>
      <c r="K921" s="24" t="s">
        <v>1146</v>
      </c>
      <c r="L921" s="25">
        <v>1070</v>
      </c>
      <c r="M921" s="26">
        <v>2.5299999999999998</v>
      </c>
      <c r="N921" s="27">
        <v>2.5299999999999998</v>
      </c>
      <c r="O921" s="28">
        <v>2.3E-3</v>
      </c>
      <c r="P921" s="28">
        <v>2.395663716814159</v>
      </c>
    </row>
    <row r="922" spans="1:16" x14ac:dyDescent="0.3">
      <c r="A922" t="s">
        <v>3822</v>
      </c>
      <c r="B922" s="24">
        <v>111969</v>
      </c>
      <c r="C922" s="24" t="s">
        <v>1147</v>
      </c>
      <c r="D922" s="24" t="s">
        <v>1102</v>
      </c>
      <c r="E922" s="24" t="s">
        <v>7</v>
      </c>
      <c r="F922" s="24" t="s">
        <v>1142</v>
      </c>
      <c r="G922" s="24" t="s">
        <v>1143</v>
      </c>
      <c r="H922" s="24" t="s">
        <v>37</v>
      </c>
      <c r="I922" s="24" t="s">
        <v>1181</v>
      </c>
      <c r="J922" s="24" t="s">
        <v>761</v>
      </c>
      <c r="K922" s="24" t="s">
        <v>1146</v>
      </c>
      <c r="L922" s="25">
        <v>1070</v>
      </c>
      <c r="M922" s="26">
        <v>11.71</v>
      </c>
      <c r="N922" s="27">
        <v>11.71</v>
      </c>
      <c r="O922" s="28">
        <v>1.0645454545454546E-2</v>
      </c>
      <c r="P922" s="28">
        <v>11.088230088495576</v>
      </c>
    </row>
    <row r="923" spans="1:16" x14ac:dyDescent="0.3">
      <c r="A923" t="s">
        <v>3823</v>
      </c>
      <c r="B923" s="24">
        <v>142462</v>
      </c>
      <c r="C923" s="24" t="s">
        <v>1149</v>
      </c>
      <c r="D923" s="24" t="s">
        <v>1102</v>
      </c>
      <c r="E923" s="24" t="s">
        <v>7</v>
      </c>
      <c r="F923" s="24" t="s">
        <v>1142</v>
      </c>
      <c r="G923" s="24" t="s">
        <v>1143</v>
      </c>
      <c r="H923" s="24" t="s">
        <v>37</v>
      </c>
      <c r="I923" s="24" t="s">
        <v>1181</v>
      </c>
      <c r="J923" s="24" t="s">
        <v>761</v>
      </c>
      <c r="K923" s="24" t="s">
        <v>1146</v>
      </c>
      <c r="L923" s="25">
        <v>1070</v>
      </c>
      <c r="M923" s="26">
        <v>11.71</v>
      </c>
      <c r="N923" s="27">
        <v>11.71</v>
      </c>
      <c r="O923" s="28">
        <v>1.0645454545454546E-2</v>
      </c>
      <c r="P923" s="28">
        <v>11.088230088495576</v>
      </c>
    </row>
    <row r="924" spans="1:16" x14ac:dyDescent="0.3">
      <c r="A924" t="s">
        <v>3824</v>
      </c>
      <c r="B924" s="24">
        <v>111969</v>
      </c>
      <c r="C924" s="24" t="s">
        <v>1147</v>
      </c>
      <c r="D924" s="24" t="s">
        <v>1102</v>
      </c>
      <c r="E924" s="24" t="s">
        <v>7</v>
      </c>
      <c r="F924" s="24" t="s">
        <v>1142</v>
      </c>
      <c r="G924" s="24" t="s">
        <v>1143</v>
      </c>
      <c r="H924" s="24" t="s">
        <v>38</v>
      </c>
      <c r="I924" s="24" t="s">
        <v>1182</v>
      </c>
      <c r="J924" s="24" t="s">
        <v>761</v>
      </c>
      <c r="K924" s="24" t="s">
        <v>1146</v>
      </c>
      <c r="L924" s="25">
        <v>1070</v>
      </c>
      <c r="M924" s="26">
        <v>1.56</v>
      </c>
      <c r="N924" s="27">
        <v>1.56</v>
      </c>
      <c r="O924" s="28">
        <v>1.4181818181818182E-3</v>
      </c>
      <c r="P924" s="28">
        <v>1.4771681415929203</v>
      </c>
    </row>
    <row r="925" spans="1:16" x14ac:dyDescent="0.3">
      <c r="A925" t="s">
        <v>3825</v>
      </c>
      <c r="B925" s="24">
        <v>142462</v>
      </c>
      <c r="C925" s="24" t="s">
        <v>1149</v>
      </c>
      <c r="D925" s="24" t="s">
        <v>1102</v>
      </c>
      <c r="E925" s="24" t="s">
        <v>7</v>
      </c>
      <c r="F925" s="24" t="s">
        <v>1142</v>
      </c>
      <c r="G925" s="24" t="s">
        <v>1143</v>
      </c>
      <c r="H925" s="24" t="s">
        <v>38</v>
      </c>
      <c r="I925" s="24" t="s">
        <v>1182</v>
      </c>
      <c r="J925" s="24" t="s">
        <v>761</v>
      </c>
      <c r="K925" s="24" t="s">
        <v>1146</v>
      </c>
      <c r="L925" s="25">
        <v>1070</v>
      </c>
      <c r="M925" s="26">
        <v>1.56</v>
      </c>
      <c r="N925" s="27">
        <v>1.56</v>
      </c>
      <c r="O925" s="28">
        <v>1.4181818181818182E-3</v>
      </c>
      <c r="P925" s="28">
        <v>1.4771681415929203</v>
      </c>
    </row>
    <row r="926" spans="1:16" x14ac:dyDescent="0.3">
      <c r="A926" t="s">
        <v>3826</v>
      </c>
      <c r="B926" s="24">
        <v>111969</v>
      </c>
      <c r="C926" s="24" t="s">
        <v>1147</v>
      </c>
      <c r="D926" s="24" t="s">
        <v>1102</v>
      </c>
      <c r="E926" s="24" t="s">
        <v>7</v>
      </c>
      <c r="F926" s="24" t="s">
        <v>1142</v>
      </c>
      <c r="G926" s="24" t="s">
        <v>1143</v>
      </c>
      <c r="H926" s="24" t="s">
        <v>39</v>
      </c>
      <c r="I926" s="24" t="s">
        <v>1183</v>
      </c>
      <c r="J926" s="24" t="s">
        <v>761</v>
      </c>
      <c r="K926" s="24" t="s">
        <v>1146</v>
      </c>
      <c r="L926" s="25">
        <v>1070</v>
      </c>
      <c r="M926" s="26">
        <v>1.35</v>
      </c>
      <c r="N926" s="27">
        <v>1.35</v>
      </c>
      <c r="O926" s="28">
        <v>1.2272727272727275E-3</v>
      </c>
      <c r="P926" s="28">
        <v>1.2783185840707965</v>
      </c>
    </row>
    <row r="927" spans="1:16" x14ac:dyDescent="0.3">
      <c r="A927" t="s">
        <v>3827</v>
      </c>
      <c r="B927" s="24">
        <v>142462</v>
      </c>
      <c r="C927" s="24" t="s">
        <v>1149</v>
      </c>
      <c r="D927" s="24" t="s">
        <v>1102</v>
      </c>
      <c r="E927" s="24" t="s">
        <v>7</v>
      </c>
      <c r="F927" s="24" t="s">
        <v>1142</v>
      </c>
      <c r="G927" s="24" t="s">
        <v>1143</v>
      </c>
      <c r="H927" s="24" t="s">
        <v>39</v>
      </c>
      <c r="I927" s="24" t="s">
        <v>1183</v>
      </c>
      <c r="J927" s="24" t="s">
        <v>761</v>
      </c>
      <c r="K927" s="24" t="s">
        <v>1146</v>
      </c>
      <c r="L927" s="25">
        <v>1070</v>
      </c>
      <c r="M927" s="26">
        <v>1.35</v>
      </c>
      <c r="N927" s="27">
        <v>1.35</v>
      </c>
      <c r="O927" s="28">
        <v>1.2272727272727275E-3</v>
      </c>
      <c r="P927" s="28">
        <v>1.2783185840707965</v>
      </c>
    </row>
    <row r="928" spans="1:16" x14ac:dyDescent="0.3">
      <c r="A928" t="s">
        <v>3828</v>
      </c>
      <c r="B928" s="24">
        <v>111969</v>
      </c>
      <c r="C928" s="24" t="s">
        <v>1147</v>
      </c>
      <c r="D928" s="24" t="s">
        <v>1102</v>
      </c>
      <c r="E928" s="24" t="s">
        <v>7</v>
      </c>
      <c r="F928" s="24" t="s">
        <v>1142</v>
      </c>
      <c r="G928" s="24" t="s">
        <v>1143</v>
      </c>
      <c r="H928" s="24" t="s">
        <v>40</v>
      </c>
      <c r="I928" s="24" t="s">
        <v>1180</v>
      </c>
      <c r="J928" s="24" t="s">
        <v>761</v>
      </c>
      <c r="K928" s="24" t="s">
        <v>1146</v>
      </c>
      <c r="L928" s="25">
        <v>1070</v>
      </c>
      <c r="M928" s="26">
        <v>13.39</v>
      </c>
      <c r="N928" s="27">
        <v>13.39</v>
      </c>
      <c r="O928" s="28">
        <v>1.2172727272727273E-2</v>
      </c>
      <c r="P928" s="28">
        <v>12.679026548672567</v>
      </c>
    </row>
    <row r="929" spans="1:16" x14ac:dyDescent="0.3">
      <c r="A929" t="s">
        <v>3829</v>
      </c>
      <c r="B929" s="24">
        <v>142462</v>
      </c>
      <c r="C929" s="24" t="s">
        <v>1149</v>
      </c>
      <c r="D929" s="24" t="s">
        <v>1102</v>
      </c>
      <c r="E929" s="24" t="s">
        <v>7</v>
      </c>
      <c r="F929" s="24" t="s">
        <v>1142</v>
      </c>
      <c r="G929" s="24" t="s">
        <v>1143</v>
      </c>
      <c r="H929" s="24" t="s">
        <v>40</v>
      </c>
      <c r="I929" s="24" t="s">
        <v>1180</v>
      </c>
      <c r="J929" s="24" t="s">
        <v>761</v>
      </c>
      <c r="K929" s="24" t="s">
        <v>1146</v>
      </c>
      <c r="L929" s="25">
        <v>1070</v>
      </c>
      <c r="M929" s="26">
        <v>13.39</v>
      </c>
      <c r="N929" s="27">
        <v>13.39</v>
      </c>
      <c r="O929" s="28">
        <v>1.2172727272727273E-2</v>
      </c>
      <c r="P929" s="28">
        <v>12.679026548672567</v>
      </c>
    </row>
    <row r="930" spans="1:16" x14ac:dyDescent="0.3">
      <c r="A930" t="s">
        <v>3830</v>
      </c>
      <c r="B930" s="24">
        <v>111969</v>
      </c>
      <c r="C930" s="24" t="s">
        <v>1147</v>
      </c>
      <c r="D930" s="24" t="s">
        <v>1102</v>
      </c>
      <c r="E930" s="24" t="s">
        <v>7</v>
      </c>
      <c r="F930" s="24" t="s">
        <v>1142</v>
      </c>
      <c r="G930" s="24" t="s">
        <v>1143</v>
      </c>
      <c r="H930" s="24" t="s">
        <v>33</v>
      </c>
      <c r="I930" s="24" t="s">
        <v>1184</v>
      </c>
      <c r="J930" s="24" t="s">
        <v>761</v>
      </c>
      <c r="K930" s="24" t="s">
        <v>1146</v>
      </c>
      <c r="L930" s="25">
        <v>1070</v>
      </c>
      <c r="M930" s="26">
        <v>13.03</v>
      </c>
      <c r="N930" s="27">
        <v>13.03</v>
      </c>
      <c r="O930" s="28">
        <v>1.1845454545454544E-2</v>
      </c>
      <c r="P930" s="28">
        <v>12.338141592920353</v>
      </c>
    </row>
    <row r="931" spans="1:16" x14ac:dyDescent="0.3">
      <c r="A931" t="s">
        <v>3831</v>
      </c>
      <c r="B931" s="24">
        <v>142462</v>
      </c>
      <c r="C931" s="24" t="s">
        <v>1149</v>
      </c>
      <c r="D931" s="24" t="s">
        <v>1102</v>
      </c>
      <c r="E931" s="24" t="s">
        <v>7</v>
      </c>
      <c r="F931" s="24" t="s">
        <v>1142</v>
      </c>
      <c r="G931" s="24" t="s">
        <v>1143</v>
      </c>
      <c r="H931" s="24" t="s">
        <v>33</v>
      </c>
      <c r="I931" s="24" t="s">
        <v>1184</v>
      </c>
      <c r="J931" s="24" t="s">
        <v>761</v>
      </c>
      <c r="K931" s="24" t="s">
        <v>1146</v>
      </c>
      <c r="L931" s="25">
        <v>1070</v>
      </c>
      <c r="M931" s="26">
        <v>13.03</v>
      </c>
      <c r="N931" s="27">
        <v>13.03</v>
      </c>
      <c r="O931" s="28">
        <v>1.1845454545454544E-2</v>
      </c>
      <c r="P931" s="28">
        <v>12.338141592920353</v>
      </c>
    </row>
    <row r="932" spans="1:16" x14ac:dyDescent="0.3">
      <c r="A932" t="s">
        <v>3832</v>
      </c>
      <c r="B932" s="24">
        <v>111969</v>
      </c>
      <c r="C932" s="24" t="s">
        <v>1147</v>
      </c>
      <c r="D932" s="24" t="s">
        <v>1102</v>
      </c>
      <c r="E932" s="24" t="s">
        <v>7</v>
      </c>
      <c r="F932" s="24" t="s">
        <v>1142</v>
      </c>
      <c r="G932" s="24" t="s">
        <v>1143</v>
      </c>
      <c r="H932" s="24" t="s">
        <v>34</v>
      </c>
      <c r="I932" s="24" t="s">
        <v>1185</v>
      </c>
      <c r="J932" s="24" t="s">
        <v>761</v>
      </c>
      <c r="K932" s="24" t="s">
        <v>1146</v>
      </c>
      <c r="L932" s="25">
        <v>1070</v>
      </c>
      <c r="M932" s="26">
        <v>2.3199999999999998</v>
      </c>
      <c r="N932" s="27">
        <v>2.3199999999999998</v>
      </c>
      <c r="O932" s="28">
        <v>2.109090909090909E-3</v>
      </c>
      <c r="P932" s="28">
        <v>2.1968141592920349</v>
      </c>
    </row>
    <row r="933" spans="1:16" x14ac:dyDescent="0.3">
      <c r="A933" t="s">
        <v>3833</v>
      </c>
      <c r="B933" s="24">
        <v>142462</v>
      </c>
      <c r="C933" s="24" t="s">
        <v>1149</v>
      </c>
      <c r="D933" s="24" t="s">
        <v>1102</v>
      </c>
      <c r="E933" s="24" t="s">
        <v>7</v>
      </c>
      <c r="F933" s="24" t="s">
        <v>1142</v>
      </c>
      <c r="G933" s="24" t="s">
        <v>1143</v>
      </c>
      <c r="H933" s="24" t="s">
        <v>34</v>
      </c>
      <c r="I933" s="24" t="s">
        <v>1185</v>
      </c>
      <c r="J933" s="24" t="s">
        <v>761</v>
      </c>
      <c r="K933" s="24" t="s">
        <v>1146</v>
      </c>
      <c r="L933" s="25">
        <v>1070</v>
      </c>
      <c r="M933" s="26">
        <v>2.3199999999999998</v>
      </c>
      <c r="N933" s="27">
        <v>2.3199999999999998</v>
      </c>
      <c r="O933" s="28">
        <v>2.109090909090909E-3</v>
      </c>
      <c r="P933" s="28">
        <v>2.1968141592920349</v>
      </c>
    </row>
    <row r="934" spans="1:16" x14ac:dyDescent="0.3">
      <c r="A934" t="s">
        <v>3834</v>
      </c>
      <c r="B934" s="24">
        <v>111969</v>
      </c>
      <c r="C934" s="24" t="s">
        <v>1147</v>
      </c>
      <c r="D934" s="24" t="s">
        <v>1102</v>
      </c>
      <c r="E934" s="24" t="s">
        <v>7</v>
      </c>
      <c r="F934" s="24" t="s">
        <v>1142</v>
      </c>
      <c r="G934" s="24" t="s">
        <v>1143</v>
      </c>
      <c r="H934" s="24" t="s">
        <v>35</v>
      </c>
      <c r="I934" s="24" t="s">
        <v>1186</v>
      </c>
      <c r="J934" s="24" t="s">
        <v>761</v>
      </c>
      <c r="K934" s="24" t="s">
        <v>1146</v>
      </c>
      <c r="L934" s="25">
        <v>1070</v>
      </c>
      <c r="M934" s="26">
        <v>2.3199999999999998</v>
      </c>
      <c r="N934" s="27">
        <v>2.3199999999999998</v>
      </c>
      <c r="O934" s="28">
        <v>2.109090909090909E-3</v>
      </c>
      <c r="P934" s="28">
        <v>2.1968141592920349</v>
      </c>
    </row>
    <row r="935" spans="1:16" x14ac:dyDescent="0.3">
      <c r="A935" t="s">
        <v>3835</v>
      </c>
      <c r="B935" s="24">
        <v>142462</v>
      </c>
      <c r="C935" s="24" t="s">
        <v>1149</v>
      </c>
      <c r="D935" s="24" t="s">
        <v>1102</v>
      </c>
      <c r="E935" s="24" t="s">
        <v>7</v>
      </c>
      <c r="F935" s="24" t="s">
        <v>1142</v>
      </c>
      <c r="G935" s="24" t="s">
        <v>1143</v>
      </c>
      <c r="H935" s="24" t="s">
        <v>35</v>
      </c>
      <c r="I935" s="24" t="s">
        <v>1186</v>
      </c>
      <c r="J935" s="24" t="s">
        <v>761</v>
      </c>
      <c r="K935" s="24" t="s">
        <v>1146</v>
      </c>
      <c r="L935" s="25">
        <v>1070</v>
      </c>
      <c r="M935" s="26">
        <v>2.3199999999999998</v>
      </c>
      <c r="N935" s="27">
        <v>2.3199999999999998</v>
      </c>
      <c r="O935" s="28">
        <v>2.109090909090909E-3</v>
      </c>
      <c r="P935" s="28">
        <v>2.1968141592920349</v>
      </c>
    </row>
    <row r="936" spans="1:16" x14ac:dyDescent="0.3">
      <c r="A936" t="s">
        <v>3836</v>
      </c>
      <c r="B936" s="24">
        <v>111969</v>
      </c>
      <c r="C936" s="24" t="s">
        <v>1147</v>
      </c>
      <c r="D936" s="24" t="s">
        <v>1102</v>
      </c>
      <c r="E936" s="24" t="s">
        <v>7</v>
      </c>
      <c r="F936" s="24" t="s">
        <v>1142</v>
      </c>
      <c r="G936" s="24" t="s">
        <v>1143</v>
      </c>
      <c r="H936" s="24" t="s">
        <v>41</v>
      </c>
      <c r="I936" s="24" t="s">
        <v>1187</v>
      </c>
      <c r="J936" s="24" t="s">
        <v>761</v>
      </c>
      <c r="K936" s="24" t="s">
        <v>1146</v>
      </c>
      <c r="L936" s="25">
        <v>1070</v>
      </c>
      <c r="M936" s="26">
        <v>13.03</v>
      </c>
      <c r="N936" s="27">
        <v>13.03</v>
      </c>
      <c r="O936" s="28">
        <v>1.1845454545454544E-2</v>
      </c>
      <c r="P936" s="28">
        <v>12.338141592920353</v>
      </c>
    </row>
    <row r="937" spans="1:16" x14ac:dyDescent="0.3">
      <c r="A937" t="s">
        <v>3837</v>
      </c>
      <c r="B937" s="24">
        <v>141785</v>
      </c>
      <c r="C937" s="24" t="s">
        <v>1168</v>
      </c>
      <c r="D937" s="24" t="s">
        <v>1102</v>
      </c>
      <c r="E937" s="24" t="s">
        <v>7</v>
      </c>
      <c r="F937" s="24" t="s">
        <v>1142</v>
      </c>
      <c r="G937" s="24" t="s">
        <v>1143</v>
      </c>
      <c r="H937" s="24" t="s">
        <v>41</v>
      </c>
      <c r="I937" s="24" t="s">
        <v>1187</v>
      </c>
      <c r="J937" s="24" t="s">
        <v>761</v>
      </c>
      <c r="K937" s="24" t="s">
        <v>1146</v>
      </c>
      <c r="L937" s="25">
        <v>1070</v>
      </c>
      <c r="M937" s="26">
        <v>13.03</v>
      </c>
      <c r="N937" s="27">
        <v>13.03</v>
      </c>
      <c r="O937" s="28">
        <v>1.1845454545454544E-2</v>
      </c>
      <c r="P937" s="28">
        <v>12.338141592920353</v>
      </c>
    </row>
    <row r="938" spans="1:16" x14ac:dyDescent="0.3">
      <c r="A938" t="s">
        <v>3838</v>
      </c>
      <c r="B938" s="24">
        <v>111969</v>
      </c>
      <c r="C938" s="24" t="s">
        <v>1147</v>
      </c>
      <c r="D938" s="24" t="s">
        <v>1102</v>
      </c>
      <c r="E938" s="24" t="s">
        <v>7</v>
      </c>
      <c r="F938" s="24" t="s">
        <v>1142</v>
      </c>
      <c r="G938" s="24" t="s">
        <v>1143</v>
      </c>
      <c r="H938" s="24" t="s">
        <v>42</v>
      </c>
      <c r="I938" s="24" t="s">
        <v>1188</v>
      </c>
      <c r="J938" s="24" t="s">
        <v>761</v>
      </c>
      <c r="K938" s="24" t="s">
        <v>1146</v>
      </c>
      <c r="L938" s="25">
        <v>1070</v>
      </c>
      <c r="M938" s="26">
        <v>8.1999999999999993</v>
      </c>
      <c r="N938" s="27">
        <v>8.1999999999999993</v>
      </c>
      <c r="O938" s="28">
        <v>7.4545454545454541E-3</v>
      </c>
      <c r="P938" s="28">
        <v>7.7646017699115042</v>
      </c>
    </row>
    <row r="939" spans="1:16" x14ac:dyDescent="0.3">
      <c r="A939" t="s">
        <v>3839</v>
      </c>
      <c r="B939" s="24">
        <v>142462</v>
      </c>
      <c r="C939" s="24" t="s">
        <v>1149</v>
      </c>
      <c r="D939" s="24" t="s">
        <v>1102</v>
      </c>
      <c r="E939" s="24" t="s">
        <v>7</v>
      </c>
      <c r="F939" s="24" t="s">
        <v>1142</v>
      </c>
      <c r="G939" s="24" t="s">
        <v>1143</v>
      </c>
      <c r="H939" s="24" t="s">
        <v>42</v>
      </c>
      <c r="I939" s="24" t="s">
        <v>1188</v>
      </c>
      <c r="J939" s="24" t="s">
        <v>761</v>
      </c>
      <c r="K939" s="24" t="s">
        <v>1146</v>
      </c>
      <c r="L939" s="25">
        <v>1070</v>
      </c>
      <c r="M939" s="26">
        <v>8.1999999999999993</v>
      </c>
      <c r="N939" s="27">
        <v>8.1999999999999993</v>
      </c>
      <c r="O939" s="28">
        <v>7.4545454545454541E-3</v>
      </c>
      <c r="P939" s="28">
        <v>7.7646017699115042</v>
      </c>
    </row>
    <row r="940" spans="1:16" x14ac:dyDescent="0.3">
      <c r="A940" t="s">
        <v>3840</v>
      </c>
      <c r="B940" s="24">
        <v>111969</v>
      </c>
      <c r="C940" s="24" t="s">
        <v>1147</v>
      </c>
      <c r="D940" s="24" t="s">
        <v>1102</v>
      </c>
      <c r="E940" s="24" t="s">
        <v>7</v>
      </c>
      <c r="F940" s="24" t="s">
        <v>1142</v>
      </c>
      <c r="G940" s="24" t="s">
        <v>1143</v>
      </c>
      <c r="H940" s="24" t="s">
        <v>32</v>
      </c>
      <c r="I940" s="24" t="s">
        <v>1189</v>
      </c>
      <c r="J940" s="24" t="s">
        <v>761</v>
      </c>
      <c r="K940" s="24" t="s">
        <v>1146</v>
      </c>
      <c r="L940" s="25">
        <v>1070</v>
      </c>
      <c r="M940" s="26">
        <v>19.489999999999998</v>
      </c>
      <c r="N940" s="27">
        <v>19.489999999999998</v>
      </c>
      <c r="O940" s="28">
        <v>1.7718181818181817E-2</v>
      </c>
      <c r="P940" s="28">
        <v>18.455132743362832</v>
      </c>
    </row>
    <row r="941" spans="1:16" x14ac:dyDescent="0.3">
      <c r="A941" t="s">
        <v>3841</v>
      </c>
      <c r="B941" s="24">
        <v>142462</v>
      </c>
      <c r="C941" s="24" t="s">
        <v>1149</v>
      </c>
      <c r="D941" s="24" t="s">
        <v>1102</v>
      </c>
      <c r="E941" s="24" t="s">
        <v>7</v>
      </c>
      <c r="F941" s="24" t="s">
        <v>1142</v>
      </c>
      <c r="G941" s="24" t="s">
        <v>1143</v>
      </c>
      <c r="H941" s="24" t="s">
        <v>32</v>
      </c>
      <c r="I941" s="24" t="s">
        <v>1189</v>
      </c>
      <c r="J941" s="24" t="s">
        <v>761</v>
      </c>
      <c r="K941" s="24" t="s">
        <v>1146</v>
      </c>
      <c r="L941" s="25">
        <v>1070</v>
      </c>
      <c r="M941" s="26">
        <v>19.489999999999998</v>
      </c>
      <c r="N941" s="27">
        <v>19.489999999999998</v>
      </c>
      <c r="O941" s="28">
        <v>1.7718181818181817E-2</v>
      </c>
      <c r="P941" s="28">
        <v>18.455132743362832</v>
      </c>
    </row>
    <row r="942" spans="1:16" x14ac:dyDescent="0.3">
      <c r="A942" t="s">
        <v>3842</v>
      </c>
      <c r="B942" s="24">
        <v>141785</v>
      </c>
      <c r="C942" s="24" t="s">
        <v>1168</v>
      </c>
      <c r="D942" s="24" t="s">
        <v>1102</v>
      </c>
      <c r="E942" s="24" t="s">
        <v>7</v>
      </c>
      <c r="F942" s="24" t="s">
        <v>1142</v>
      </c>
      <c r="G942" s="24" t="s">
        <v>1143</v>
      </c>
      <c r="H942" s="24" t="s">
        <v>31</v>
      </c>
      <c r="I942" s="24" t="s">
        <v>1190</v>
      </c>
      <c r="J942" s="24" t="s">
        <v>761</v>
      </c>
      <c r="K942" s="24" t="s">
        <v>1146</v>
      </c>
      <c r="L942" s="25">
        <v>1070</v>
      </c>
      <c r="M942" s="26">
        <v>26.78</v>
      </c>
      <c r="N942" s="27">
        <v>26.78</v>
      </c>
      <c r="O942" s="28">
        <v>2.4345454545454545E-2</v>
      </c>
      <c r="P942" s="28">
        <v>25.358053097345135</v>
      </c>
    </row>
    <row r="943" spans="1:16" x14ac:dyDescent="0.3">
      <c r="A943" t="s">
        <v>3843</v>
      </c>
      <c r="B943" s="24">
        <v>142462</v>
      </c>
      <c r="C943" s="24" t="s">
        <v>1149</v>
      </c>
      <c r="D943" s="24" t="s">
        <v>1102</v>
      </c>
      <c r="E943" s="24" t="s">
        <v>7</v>
      </c>
      <c r="F943" s="24" t="s">
        <v>1142</v>
      </c>
      <c r="G943" s="24" t="s">
        <v>1143</v>
      </c>
      <c r="H943" s="24" t="s">
        <v>31</v>
      </c>
      <c r="I943" s="24" t="s">
        <v>1190</v>
      </c>
      <c r="J943" s="24" t="s">
        <v>761</v>
      </c>
      <c r="K943" s="24" t="s">
        <v>1146</v>
      </c>
      <c r="L943" s="25">
        <v>1070</v>
      </c>
      <c r="M943" s="26">
        <v>26.78</v>
      </c>
      <c r="N943" s="27">
        <v>26.78</v>
      </c>
      <c r="O943" s="28">
        <v>2.4345454545454545E-2</v>
      </c>
      <c r="P943" s="28">
        <v>25.358053097345135</v>
      </c>
    </row>
    <row r="944" spans="1:16" x14ac:dyDescent="0.3">
      <c r="A944" t="s">
        <v>3844</v>
      </c>
      <c r="B944" s="24">
        <v>142462</v>
      </c>
      <c r="C944" s="24" t="s">
        <v>1149</v>
      </c>
      <c r="D944" s="24" t="s">
        <v>1102</v>
      </c>
      <c r="E944" s="24" t="s">
        <v>7</v>
      </c>
      <c r="F944" s="24" t="s">
        <v>1142</v>
      </c>
      <c r="G944" s="24" t="s">
        <v>1143</v>
      </c>
      <c r="H944" s="24" t="s">
        <v>43</v>
      </c>
      <c r="I944" s="24" t="s">
        <v>1191</v>
      </c>
      <c r="J944" s="24" t="s">
        <v>761</v>
      </c>
      <c r="K944" s="24" t="s">
        <v>1146</v>
      </c>
      <c r="L944" s="25">
        <v>1070</v>
      </c>
      <c r="M944" s="26">
        <v>0.66</v>
      </c>
      <c r="N944" s="27">
        <v>0.66</v>
      </c>
      <c r="O944" s="28">
        <v>6.0000000000000006E-4</v>
      </c>
      <c r="P944" s="28">
        <v>0.62495575221238941</v>
      </c>
    </row>
    <row r="945" spans="1:16" x14ac:dyDescent="0.3">
      <c r="A945" t="s">
        <v>3845</v>
      </c>
      <c r="B945" s="24">
        <v>142462</v>
      </c>
      <c r="C945" s="24" t="s">
        <v>1149</v>
      </c>
      <c r="D945" s="24" t="s">
        <v>1102</v>
      </c>
      <c r="E945" s="24" t="s">
        <v>7</v>
      </c>
      <c r="F945" s="24" t="s">
        <v>1142</v>
      </c>
      <c r="G945" s="24" t="s">
        <v>1143</v>
      </c>
      <c r="H945" s="24" t="s">
        <v>44</v>
      </c>
      <c r="I945" s="24" t="s">
        <v>1191</v>
      </c>
      <c r="J945" s="24" t="s">
        <v>761</v>
      </c>
      <c r="K945" s="24" t="s">
        <v>1146</v>
      </c>
      <c r="L945" s="25">
        <v>1070</v>
      </c>
      <c r="M945" s="26">
        <v>0.71</v>
      </c>
      <c r="N945" s="27">
        <v>0.71</v>
      </c>
      <c r="O945" s="28">
        <v>6.4545454545454541E-4</v>
      </c>
      <c r="P945" s="28">
        <v>0.67230088495575213</v>
      </c>
    </row>
    <row r="946" spans="1:16" x14ac:dyDescent="0.3">
      <c r="A946" t="s">
        <v>3846</v>
      </c>
      <c r="B946" s="24">
        <v>142462</v>
      </c>
      <c r="C946" s="24" t="s">
        <v>1149</v>
      </c>
      <c r="D946" s="24" t="s">
        <v>1102</v>
      </c>
      <c r="E946" s="24" t="s">
        <v>7</v>
      </c>
      <c r="F946" s="24" t="s">
        <v>1142</v>
      </c>
      <c r="G946" s="24" t="s">
        <v>1143</v>
      </c>
      <c r="H946" s="24" t="s">
        <v>45</v>
      </c>
      <c r="I946" s="24" t="s">
        <v>1191</v>
      </c>
      <c r="J946" s="24" t="s">
        <v>761</v>
      </c>
      <c r="K946" s="24" t="s">
        <v>1146</v>
      </c>
      <c r="L946" s="25">
        <v>1070</v>
      </c>
      <c r="M946" s="26">
        <v>0.93</v>
      </c>
      <c r="N946" s="27">
        <v>0.93</v>
      </c>
      <c r="O946" s="28">
        <v>8.454545454545455E-4</v>
      </c>
      <c r="P946" s="28">
        <v>0.88061946902654864</v>
      </c>
    </row>
    <row r="947" spans="1:16" x14ac:dyDescent="0.3">
      <c r="A947" t="s">
        <v>3847</v>
      </c>
      <c r="B947" s="24">
        <v>142462</v>
      </c>
      <c r="C947" s="24" t="s">
        <v>1149</v>
      </c>
      <c r="D947" s="24" t="s">
        <v>1102</v>
      </c>
      <c r="E947" s="24" t="s">
        <v>7</v>
      </c>
      <c r="F947" s="24" t="s">
        <v>1142</v>
      </c>
      <c r="G947" s="24" t="s">
        <v>1143</v>
      </c>
      <c r="H947" s="24" t="s">
        <v>46</v>
      </c>
      <c r="I947" s="24" t="s">
        <v>1191</v>
      </c>
      <c r="J947" s="24" t="s">
        <v>761</v>
      </c>
      <c r="K947" s="24" t="s">
        <v>1146</v>
      </c>
      <c r="L947" s="25">
        <v>1070</v>
      </c>
      <c r="M947" s="26">
        <v>1.71</v>
      </c>
      <c r="N947" s="27">
        <v>1.71</v>
      </c>
      <c r="O947" s="28">
        <v>1.5545454545454545E-3</v>
      </c>
      <c r="P947" s="28">
        <v>1.6192035398230089</v>
      </c>
    </row>
    <row r="948" spans="1:16" x14ac:dyDescent="0.3">
      <c r="A948" t="s">
        <v>3848</v>
      </c>
      <c r="B948" s="24">
        <v>111969</v>
      </c>
      <c r="C948" s="24" t="s">
        <v>1147</v>
      </c>
      <c r="D948" s="24" t="s">
        <v>1102</v>
      </c>
      <c r="E948" s="24" t="s">
        <v>7</v>
      </c>
      <c r="F948" s="24" t="s">
        <v>1142</v>
      </c>
      <c r="G948" s="24" t="s">
        <v>1143</v>
      </c>
      <c r="H948" s="24" t="s">
        <v>1192</v>
      </c>
      <c r="I948" s="24" t="s">
        <v>1193</v>
      </c>
      <c r="J948" s="24" t="s">
        <v>761</v>
      </c>
      <c r="K948" s="24" t="s">
        <v>1146</v>
      </c>
      <c r="L948" s="25">
        <v>1070</v>
      </c>
      <c r="M948" s="26">
        <v>27</v>
      </c>
      <c r="N948" s="27">
        <v>27</v>
      </c>
      <c r="O948" s="28">
        <v>2.4545454545454544E-2</v>
      </c>
      <c r="P948" s="28">
        <v>25.56637168141593</v>
      </c>
    </row>
    <row r="949" spans="1:16" x14ac:dyDescent="0.3">
      <c r="A949" t="s">
        <v>3849</v>
      </c>
      <c r="B949" s="24">
        <v>111969</v>
      </c>
      <c r="C949" s="24" t="s">
        <v>1147</v>
      </c>
      <c r="D949" s="24" t="s">
        <v>1102</v>
      </c>
      <c r="E949" s="24" t="s">
        <v>7</v>
      </c>
      <c r="F949" s="24" t="s">
        <v>1142</v>
      </c>
      <c r="G949" s="24" t="s">
        <v>1143</v>
      </c>
      <c r="H949" s="24" t="s">
        <v>1194</v>
      </c>
      <c r="I949" s="24" t="s">
        <v>1193</v>
      </c>
      <c r="J949" s="24" t="s">
        <v>761</v>
      </c>
      <c r="K949" s="24" t="s">
        <v>1146</v>
      </c>
      <c r="L949" s="25">
        <v>1070</v>
      </c>
      <c r="M949" s="26">
        <v>1</v>
      </c>
      <c r="N949" s="27">
        <v>1</v>
      </c>
      <c r="O949" s="28">
        <v>9.0909090909090909E-4</v>
      </c>
      <c r="P949" s="28">
        <v>0.94690265486725667</v>
      </c>
    </row>
    <row r="950" spans="1:16" x14ac:dyDescent="0.3">
      <c r="A950" t="s">
        <v>3850</v>
      </c>
      <c r="B950" s="24">
        <v>111969</v>
      </c>
      <c r="C950" s="24" t="s">
        <v>1147</v>
      </c>
      <c r="D950" s="24" t="s">
        <v>1102</v>
      </c>
      <c r="E950" s="24" t="s">
        <v>7</v>
      </c>
      <c r="F950" s="24" t="s">
        <v>1142</v>
      </c>
      <c r="G950" s="24" t="s">
        <v>1143</v>
      </c>
      <c r="H950" s="24" t="s">
        <v>1195</v>
      </c>
      <c r="I950" s="24" t="s">
        <v>1193</v>
      </c>
      <c r="J950" s="24" t="s">
        <v>761</v>
      </c>
      <c r="K950" s="24" t="s">
        <v>1146</v>
      </c>
      <c r="L950" s="25">
        <v>1070</v>
      </c>
      <c r="M950" s="26">
        <v>1</v>
      </c>
      <c r="N950" s="27">
        <v>1</v>
      </c>
      <c r="O950" s="28">
        <v>9.0909090909090909E-4</v>
      </c>
      <c r="P950" s="28">
        <v>0.94690265486725667</v>
      </c>
    </row>
    <row r="951" spans="1:16" x14ac:dyDescent="0.3">
      <c r="A951" t="s">
        <v>3851</v>
      </c>
      <c r="B951" s="24">
        <v>141785</v>
      </c>
      <c r="C951" s="24" t="s">
        <v>1168</v>
      </c>
      <c r="D951" s="24" t="s">
        <v>1102</v>
      </c>
      <c r="E951" s="24" t="s">
        <v>7</v>
      </c>
      <c r="F951" s="24" t="s">
        <v>1142</v>
      </c>
      <c r="G951" s="24" t="s">
        <v>1143</v>
      </c>
      <c r="H951" s="24" t="s">
        <v>47</v>
      </c>
      <c r="I951" s="24" t="s">
        <v>1196</v>
      </c>
      <c r="J951" s="24" t="s">
        <v>761</v>
      </c>
      <c r="K951" s="24" t="s">
        <v>1146</v>
      </c>
      <c r="L951" s="25">
        <v>1070</v>
      </c>
      <c r="M951" s="26">
        <v>26.86</v>
      </c>
      <c r="N951" s="27">
        <v>26.86</v>
      </c>
      <c r="O951" s="28">
        <v>2.4418181818181818E-2</v>
      </c>
      <c r="P951" s="28">
        <v>25.433805309734513</v>
      </c>
    </row>
    <row r="952" spans="1:16" x14ac:dyDescent="0.3">
      <c r="A952" t="s">
        <v>3852</v>
      </c>
      <c r="B952" s="24">
        <v>142462</v>
      </c>
      <c r="C952" s="24" t="s">
        <v>1149</v>
      </c>
      <c r="D952" s="24" t="s">
        <v>1102</v>
      </c>
      <c r="E952" s="24" t="s">
        <v>7</v>
      </c>
      <c r="F952" s="24" t="s">
        <v>1142</v>
      </c>
      <c r="G952" s="24" t="s">
        <v>1143</v>
      </c>
      <c r="H952" s="24" t="s">
        <v>47</v>
      </c>
      <c r="I952" s="24" t="s">
        <v>1196</v>
      </c>
      <c r="J952" s="24" t="s">
        <v>761</v>
      </c>
      <c r="K952" s="24" t="s">
        <v>1146</v>
      </c>
      <c r="L952" s="25">
        <v>1070</v>
      </c>
      <c r="M952" s="26">
        <v>26.86</v>
      </c>
      <c r="N952" s="27">
        <v>26.86</v>
      </c>
      <c r="O952" s="28">
        <v>2.4418181818181818E-2</v>
      </c>
      <c r="P952" s="28">
        <v>25.433805309734513</v>
      </c>
    </row>
    <row r="953" spans="1:16" x14ac:dyDescent="0.3">
      <c r="A953" t="s">
        <v>3853</v>
      </c>
      <c r="B953" s="24">
        <v>142462</v>
      </c>
      <c r="C953" s="24" t="s">
        <v>1149</v>
      </c>
      <c r="D953" s="24" t="s">
        <v>1102</v>
      </c>
      <c r="E953" s="24" t="s">
        <v>7</v>
      </c>
      <c r="F953" s="24" t="s">
        <v>1142</v>
      </c>
      <c r="G953" s="24" t="s">
        <v>1143</v>
      </c>
      <c r="H953" s="24" t="s">
        <v>48</v>
      </c>
      <c r="I953" s="24" t="s">
        <v>1190</v>
      </c>
      <c r="J953" s="24" t="s">
        <v>761</v>
      </c>
      <c r="K953" s="24" t="s">
        <v>1146</v>
      </c>
      <c r="L953" s="25">
        <v>1070</v>
      </c>
      <c r="M953" s="26">
        <v>77.53</v>
      </c>
      <c r="N953" s="27">
        <v>77.53</v>
      </c>
      <c r="O953" s="28">
        <v>7.0481818181818187E-2</v>
      </c>
      <c r="P953" s="28">
        <v>73.413362831858407</v>
      </c>
    </row>
    <row r="954" spans="1:16" x14ac:dyDescent="0.3">
      <c r="A954" t="s">
        <v>3854</v>
      </c>
      <c r="B954" s="24">
        <v>141785</v>
      </c>
      <c r="C954" s="24" t="s">
        <v>1168</v>
      </c>
      <c r="D954" s="24" t="s">
        <v>1102</v>
      </c>
      <c r="E954" s="24" t="s">
        <v>7</v>
      </c>
      <c r="F954" s="24" t="s">
        <v>1142</v>
      </c>
      <c r="G954" s="24" t="s">
        <v>1143</v>
      </c>
      <c r="H954" s="24" t="s">
        <v>29</v>
      </c>
      <c r="I954" s="24" t="s">
        <v>1197</v>
      </c>
      <c r="J954" s="24" t="s">
        <v>761</v>
      </c>
      <c r="K954" s="24" t="s">
        <v>1146</v>
      </c>
      <c r="L954" s="25">
        <v>1070</v>
      </c>
      <c r="M954" s="26">
        <v>96.35</v>
      </c>
      <c r="N954" s="27">
        <v>96.35</v>
      </c>
      <c r="O954" s="28">
        <v>8.759090909090908E-2</v>
      </c>
      <c r="P954" s="28">
        <v>91.234070796460173</v>
      </c>
    </row>
    <row r="955" spans="1:16" x14ac:dyDescent="0.3">
      <c r="A955" t="s">
        <v>3855</v>
      </c>
      <c r="B955" s="24">
        <v>142462</v>
      </c>
      <c r="C955" s="24" t="s">
        <v>1149</v>
      </c>
      <c r="D955" s="24" t="s">
        <v>1102</v>
      </c>
      <c r="E955" s="24" t="s">
        <v>7</v>
      </c>
      <c r="F955" s="24" t="s">
        <v>1142</v>
      </c>
      <c r="G955" s="24" t="s">
        <v>1143</v>
      </c>
      <c r="H955" s="24" t="s">
        <v>29</v>
      </c>
      <c r="I955" s="24" t="s">
        <v>1197</v>
      </c>
      <c r="J955" s="24" t="s">
        <v>761</v>
      </c>
      <c r="K955" s="24" t="s">
        <v>1146</v>
      </c>
      <c r="L955" s="25">
        <v>1070</v>
      </c>
      <c r="M955" s="26">
        <v>96.35</v>
      </c>
      <c r="N955" s="27">
        <v>96.35</v>
      </c>
      <c r="O955" s="28">
        <v>8.759090909090908E-2</v>
      </c>
      <c r="P955" s="28">
        <v>91.234070796460173</v>
      </c>
    </row>
    <row r="956" spans="1:16" x14ac:dyDescent="0.3">
      <c r="A956" t="s">
        <v>3856</v>
      </c>
      <c r="B956" s="24">
        <v>142462</v>
      </c>
      <c r="C956" s="24" t="s">
        <v>1149</v>
      </c>
      <c r="D956" s="24" t="s">
        <v>1102</v>
      </c>
      <c r="E956" s="24" t="s">
        <v>7</v>
      </c>
      <c r="F956" s="24" t="s">
        <v>1142</v>
      </c>
      <c r="G956" s="24" t="s">
        <v>1143</v>
      </c>
      <c r="H956" s="24" t="s">
        <v>30</v>
      </c>
      <c r="I956" s="24" t="s">
        <v>1198</v>
      </c>
      <c r="J956" s="24" t="s">
        <v>761</v>
      </c>
      <c r="K956" s="24" t="s">
        <v>1146</v>
      </c>
      <c r="L956" s="25">
        <v>1070</v>
      </c>
      <c r="M956" s="26">
        <v>21.57</v>
      </c>
      <c r="N956" s="27">
        <v>21.57</v>
      </c>
      <c r="O956" s="28">
        <v>1.9609090909090909E-2</v>
      </c>
      <c r="P956" s="28">
        <v>20.424690265486728</v>
      </c>
    </row>
    <row r="957" spans="1:16" x14ac:dyDescent="0.3">
      <c r="A957" t="s">
        <v>3857</v>
      </c>
      <c r="B957" s="24">
        <v>101206</v>
      </c>
      <c r="C957" s="24" t="s">
        <v>1199</v>
      </c>
      <c r="D957" s="24" t="s">
        <v>1102</v>
      </c>
      <c r="E957" s="24" t="s">
        <v>51</v>
      </c>
      <c r="F957" s="24" t="s">
        <v>1142</v>
      </c>
      <c r="G957" s="24" t="s">
        <v>1200</v>
      </c>
      <c r="H957" s="24" t="s">
        <v>384</v>
      </c>
      <c r="I957" s="24" t="s">
        <v>1201</v>
      </c>
      <c r="J957" s="24" t="s">
        <v>761</v>
      </c>
      <c r="K957" s="24" t="s">
        <v>1146</v>
      </c>
      <c r="L957" s="25">
        <v>1070</v>
      </c>
      <c r="M957" s="26">
        <v>28.4</v>
      </c>
      <c r="N957" s="27">
        <v>28.4</v>
      </c>
      <c r="O957" s="28">
        <v>2.5818181818181817E-2</v>
      </c>
      <c r="P957" s="28">
        <v>26.892035398230089</v>
      </c>
    </row>
    <row r="958" spans="1:16" x14ac:dyDescent="0.3">
      <c r="A958" t="s">
        <v>3858</v>
      </c>
      <c r="B958" s="24">
        <v>101554</v>
      </c>
      <c r="C958" s="24" t="s">
        <v>1202</v>
      </c>
      <c r="D958" s="24" t="s">
        <v>1102</v>
      </c>
      <c r="E958" s="24" t="s">
        <v>51</v>
      </c>
      <c r="F958" s="24" t="s">
        <v>1142</v>
      </c>
      <c r="G958" s="24" t="s">
        <v>1203</v>
      </c>
      <c r="H958" s="24" t="s">
        <v>386</v>
      </c>
      <c r="I958" s="24" t="s">
        <v>1204</v>
      </c>
      <c r="J958" s="24" t="s">
        <v>761</v>
      </c>
      <c r="K958" s="24" t="s">
        <v>1146</v>
      </c>
      <c r="L958" s="25">
        <v>1070</v>
      </c>
      <c r="M958" s="26">
        <v>0</v>
      </c>
      <c r="N958" s="27">
        <v>0</v>
      </c>
      <c r="O958" s="28">
        <v>0</v>
      </c>
      <c r="P958" s="28">
        <v>0</v>
      </c>
    </row>
    <row r="959" spans="1:16" x14ac:dyDescent="0.3">
      <c r="A959" t="s">
        <v>3859</v>
      </c>
      <c r="B959" s="24">
        <v>101554</v>
      </c>
      <c r="C959" s="24" t="s">
        <v>1202</v>
      </c>
      <c r="D959" s="24" t="s">
        <v>1102</v>
      </c>
      <c r="E959" s="24" t="s">
        <v>51</v>
      </c>
      <c r="F959" s="24" t="s">
        <v>1142</v>
      </c>
      <c r="G959" s="24" t="s">
        <v>1203</v>
      </c>
      <c r="H959" s="24" t="s">
        <v>387</v>
      </c>
      <c r="I959" s="24" t="s">
        <v>1205</v>
      </c>
      <c r="J959" s="24" t="s">
        <v>761</v>
      </c>
      <c r="K959" s="24" t="s">
        <v>1146</v>
      </c>
      <c r="L959" s="25">
        <v>1070</v>
      </c>
      <c r="M959" s="26">
        <v>16.440000000000001</v>
      </c>
      <c r="N959" s="27">
        <v>16.440000000000001</v>
      </c>
      <c r="O959" s="28">
        <v>1.4945454545454546E-2</v>
      </c>
      <c r="P959" s="28">
        <v>15.567079646017701</v>
      </c>
    </row>
    <row r="960" spans="1:16" x14ac:dyDescent="0.3">
      <c r="A960" t="s">
        <v>3860</v>
      </c>
      <c r="B960" s="24">
        <v>142141</v>
      </c>
      <c r="C960" s="24" t="s">
        <v>1206</v>
      </c>
      <c r="D960" s="24" t="s">
        <v>1102</v>
      </c>
      <c r="E960" s="24" t="s">
        <v>51</v>
      </c>
      <c r="F960" s="24" t="s">
        <v>1142</v>
      </c>
      <c r="G960" s="24" t="s">
        <v>1203</v>
      </c>
      <c r="H960" s="24" t="s">
        <v>387</v>
      </c>
      <c r="I960" s="24" t="s">
        <v>1205</v>
      </c>
      <c r="J960" s="24" t="s">
        <v>761</v>
      </c>
      <c r="K960" s="24" t="s">
        <v>1146</v>
      </c>
      <c r="L960" s="25">
        <v>1070</v>
      </c>
      <c r="M960" s="26">
        <v>16.440000000000001</v>
      </c>
      <c r="N960" s="27">
        <v>16.440000000000001</v>
      </c>
      <c r="O960" s="28">
        <v>1.4945454545454546E-2</v>
      </c>
      <c r="P960" s="28">
        <v>15.567079646017701</v>
      </c>
    </row>
    <row r="961" spans="1:16" x14ac:dyDescent="0.3">
      <c r="A961" t="s">
        <v>3860</v>
      </c>
      <c r="B961" s="24">
        <v>142141</v>
      </c>
      <c r="C961" s="24" t="s">
        <v>1206</v>
      </c>
      <c r="D961" s="24" t="s">
        <v>1102</v>
      </c>
      <c r="E961" s="24" t="s">
        <v>51</v>
      </c>
      <c r="F961" s="24" t="s">
        <v>1142</v>
      </c>
      <c r="G961" s="24" t="s">
        <v>1203</v>
      </c>
      <c r="H961" s="24" t="s">
        <v>387</v>
      </c>
      <c r="I961" s="24" t="s">
        <v>1205</v>
      </c>
      <c r="J961" s="24" t="s">
        <v>761</v>
      </c>
      <c r="K961" s="24" t="s">
        <v>1146</v>
      </c>
      <c r="L961" s="25">
        <v>1070</v>
      </c>
      <c r="M961" s="26">
        <v>14.65</v>
      </c>
      <c r="N961" s="27">
        <v>14.65</v>
      </c>
      <c r="O961" s="28">
        <v>1.3318181818181819E-2</v>
      </c>
      <c r="P961" s="28">
        <v>13.872123893805309</v>
      </c>
    </row>
    <row r="962" spans="1:16" x14ac:dyDescent="0.3">
      <c r="A962" t="s">
        <v>3861</v>
      </c>
      <c r="B962" s="24">
        <v>142141</v>
      </c>
      <c r="C962" s="24" t="s">
        <v>1206</v>
      </c>
      <c r="D962" s="24" t="s">
        <v>1102</v>
      </c>
      <c r="E962" s="24" t="s">
        <v>51</v>
      </c>
      <c r="F962" s="24" t="s">
        <v>1142</v>
      </c>
      <c r="G962" s="24" t="s">
        <v>1203</v>
      </c>
      <c r="H962" s="24" t="s">
        <v>388</v>
      </c>
      <c r="I962" s="24" t="s">
        <v>1205</v>
      </c>
      <c r="J962" s="24" t="s">
        <v>761</v>
      </c>
      <c r="K962" s="24" t="s">
        <v>1146</v>
      </c>
      <c r="L962" s="25">
        <v>1070</v>
      </c>
      <c r="M962" s="26">
        <v>18.71</v>
      </c>
      <c r="N962" s="27">
        <v>18.71</v>
      </c>
      <c r="O962" s="28">
        <v>1.7009090909090911E-2</v>
      </c>
      <c r="P962" s="28">
        <v>17.716548672566372</v>
      </c>
    </row>
    <row r="963" spans="1:16" x14ac:dyDescent="0.3">
      <c r="A963" t="s">
        <v>3861</v>
      </c>
      <c r="B963" s="24">
        <v>142141</v>
      </c>
      <c r="C963" s="24" t="s">
        <v>1206</v>
      </c>
      <c r="D963" s="24" t="s">
        <v>1102</v>
      </c>
      <c r="E963" s="24" t="s">
        <v>51</v>
      </c>
      <c r="F963" s="24" t="s">
        <v>1142</v>
      </c>
      <c r="G963" s="24" t="s">
        <v>1203</v>
      </c>
      <c r="H963" s="24" t="s">
        <v>388</v>
      </c>
      <c r="I963" s="24" t="s">
        <v>1205</v>
      </c>
      <c r="J963" s="24" t="s">
        <v>761</v>
      </c>
      <c r="K963" s="24" t="s">
        <v>1146</v>
      </c>
      <c r="L963" s="25">
        <v>1070</v>
      </c>
      <c r="M963" s="26">
        <v>18.899999999999999</v>
      </c>
      <c r="N963" s="27">
        <v>18.899999999999999</v>
      </c>
      <c r="O963" s="28">
        <v>1.718181818181818E-2</v>
      </c>
      <c r="P963" s="28">
        <v>17.896460176991152</v>
      </c>
    </row>
    <row r="964" spans="1:16" x14ac:dyDescent="0.3">
      <c r="A964" t="s">
        <v>3862</v>
      </c>
      <c r="B964" s="24">
        <v>101554</v>
      </c>
      <c r="C964" s="24" t="s">
        <v>1202</v>
      </c>
      <c r="D964" s="24" t="s">
        <v>1102</v>
      </c>
      <c r="E964" s="24" t="s">
        <v>51</v>
      </c>
      <c r="F964" s="24" t="s">
        <v>1142</v>
      </c>
      <c r="G964" s="24" t="s">
        <v>1203</v>
      </c>
      <c r="H964" s="24" t="s">
        <v>1207</v>
      </c>
      <c r="I964" s="24" t="s">
        <v>1208</v>
      </c>
      <c r="J964" s="24" t="s">
        <v>761</v>
      </c>
      <c r="K964" s="24" t="s">
        <v>1146</v>
      </c>
      <c r="L964" s="25">
        <v>1070</v>
      </c>
      <c r="M964" s="26">
        <v>40.99</v>
      </c>
      <c r="N964" s="27">
        <v>40.99</v>
      </c>
      <c r="O964" s="28">
        <v>3.7263636363636367E-2</v>
      </c>
      <c r="P964" s="28">
        <v>38.813539823008853</v>
      </c>
    </row>
    <row r="965" spans="1:16" x14ac:dyDescent="0.3">
      <c r="A965" t="s">
        <v>3863</v>
      </c>
      <c r="B965" s="24">
        <v>142141</v>
      </c>
      <c r="C965" s="24" t="s">
        <v>1206</v>
      </c>
      <c r="D965" s="24" t="s">
        <v>1102</v>
      </c>
      <c r="E965" s="24" t="s">
        <v>51</v>
      </c>
      <c r="F965" s="24" t="s">
        <v>1142</v>
      </c>
      <c r="G965" s="24" t="s">
        <v>1203</v>
      </c>
      <c r="H965" s="24" t="s">
        <v>1207</v>
      </c>
      <c r="I965" s="24" t="s">
        <v>1208</v>
      </c>
      <c r="J965" s="24" t="s">
        <v>761</v>
      </c>
      <c r="K965" s="24" t="s">
        <v>1146</v>
      </c>
      <c r="L965" s="25">
        <v>1070</v>
      </c>
      <c r="M965" s="26">
        <v>40.99</v>
      </c>
      <c r="N965" s="27">
        <v>40.99</v>
      </c>
      <c r="O965" s="28">
        <v>3.7263636363636367E-2</v>
      </c>
      <c r="P965" s="28">
        <v>38.813539823008853</v>
      </c>
    </row>
    <row r="966" spans="1:16" x14ac:dyDescent="0.3">
      <c r="A966" t="s">
        <v>3864</v>
      </c>
      <c r="B966" s="24">
        <v>101554</v>
      </c>
      <c r="C966" s="24" t="s">
        <v>1202</v>
      </c>
      <c r="D966" s="24" t="s">
        <v>1102</v>
      </c>
      <c r="E966" s="24" t="s">
        <v>51</v>
      </c>
      <c r="F966" s="24" t="s">
        <v>1142</v>
      </c>
      <c r="G966" s="24" t="s">
        <v>1203</v>
      </c>
      <c r="H966" s="24" t="s">
        <v>389</v>
      </c>
      <c r="I966" s="24" t="s">
        <v>1209</v>
      </c>
      <c r="J966" s="24" t="s">
        <v>761</v>
      </c>
      <c r="K966" s="24" t="s">
        <v>1146</v>
      </c>
      <c r="L966" s="25">
        <v>1070</v>
      </c>
      <c r="M966" s="26">
        <v>41.85</v>
      </c>
      <c r="N966" s="27">
        <v>41.85</v>
      </c>
      <c r="O966" s="28">
        <v>3.8045454545454549E-2</v>
      </c>
      <c r="P966" s="28">
        <v>39.627876106194691</v>
      </c>
    </row>
    <row r="967" spans="1:16" x14ac:dyDescent="0.3">
      <c r="A967" t="s">
        <v>3865</v>
      </c>
      <c r="B967" s="24">
        <v>142141</v>
      </c>
      <c r="C967" s="24" t="s">
        <v>1206</v>
      </c>
      <c r="D967" s="24" t="s">
        <v>1102</v>
      </c>
      <c r="E967" s="24" t="s">
        <v>51</v>
      </c>
      <c r="F967" s="24" t="s">
        <v>1142</v>
      </c>
      <c r="G967" s="24" t="s">
        <v>1203</v>
      </c>
      <c r="H967" s="24" t="s">
        <v>389</v>
      </c>
      <c r="I967" s="24" t="s">
        <v>1209</v>
      </c>
      <c r="J967" s="24" t="s">
        <v>761</v>
      </c>
      <c r="K967" s="24" t="s">
        <v>1146</v>
      </c>
      <c r="L967" s="25">
        <v>1070</v>
      </c>
      <c r="M967" s="26">
        <v>41.85</v>
      </c>
      <c r="N967" s="27">
        <v>41.85</v>
      </c>
      <c r="O967" s="28">
        <v>3.8045454545454549E-2</v>
      </c>
      <c r="P967" s="28">
        <v>39.627876106194691</v>
      </c>
    </row>
    <row r="968" spans="1:16" x14ac:dyDescent="0.3">
      <c r="A968" t="s">
        <v>3866</v>
      </c>
      <c r="B968" s="24">
        <v>101554</v>
      </c>
      <c r="C968" s="24" t="s">
        <v>1202</v>
      </c>
      <c r="D968" s="24" t="s">
        <v>1102</v>
      </c>
      <c r="E968" s="24" t="s">
        <v>51</v>
      </c>
      <c r="F968" s="24" t="s">
        <v>1142</v>
      </c>
      <c r="G968" s="24" t="s">
        <v>1203</v>
      </c>
      <c r="H968" s="24" t="s">
        <v>390</v>
      </c>
      <c r="I968" s="24" t="s">
        <v>1210</v>
      </c>
      <c r="J968" s="24" t="s">
        <v>761</v>
      </c>
      <c r="K968" s="24" t="s">
        <v>1146</v>
      </c>
      <c r="L968" s="25">
        <v>1070</v>
      </c>
      <c r="M968" s="26">
        <v>44.53</v>
      </c>
      <c r="N968" s="27">
        <v>44.53</v>
      </c>
      <c r="O968" s="28">
        <v>4.0481818181818181E-2</v>
      </c>
      <c r="P968" s="28">
        <v>42.165575221238939</v>
      </c>
    </row>
    <row r="969" spans="1:16" x14ac:dyDescent="0.3">
      <c r="A969" t="s">
        <v>3867</v>
      </c>
      <c r="B969" s="24">
        <v>142141</v>
      </c>
      <c r="C969" s="24" t="s">
        <v>1206</v>
      </c>
      <c r="D969" s="24" t="s">
        <v>1102</v>
      </c>
      <c r="E969" s="24" t="s">
        <v>51</v>
      </c>
      <c r="F969" s="24" t="s">
        <v>1142</v>
      </c>
      <c r="G969" s="24" t="s">
        <v>1203</v>
      </c>
      <c r="H969" s="24" t="s">
        <v>390</v>
      </c>
      <c r="I969" s="24" t="s">
        <v>1210</v>
      </c>
      <c r="J969" s="24" t="s">
        <v>761</v>
      </c>
      <c r="K969" s="24" t="s">
        <v>1146</v>
      </c>
      <c r="L969" s="25">
        <v>1070</v>
      </c>
      <c r="M969" s="26">
        <v>44.53</v>
      </c>
      <c r="N969" s="27">
        <v>44.53</v>
      </c>
      <c r="O969" s="28">
        <v>4.0481818181818181E-2</v>
      </c>
      <c r="P969" s="28">
        <v>42.165575221238939</v>
      </c>
    </row>
    <row r="970" spans="1:16" x14ac:dyDescent="0.3">
      <c r="A970" t="s">
        <v>3868</v>
      </c>
      <c r="B970" s="24">
        <v>142141</v>
      </c>
      <c r="C970" s="24" t="s">
        <v>1206</v>
      </c>
      <c r="D970" s="24" t="s">
        <v>1102</v>
      </c>
      <c r="E970" s="24" t="s">
        <v>51</v>
      </c>
      <c r="F970" s="24" t="s">
        <v>1142</v>
      </c>
      <c r="G970" s="24" t="s">
        <v>1203</v>
      </c>
      <c r="H970" s="24" t="s">
        <v>393</v>
      </c>
      <c r="I970" s="24" t="s">
        <v>1211</v>
      </c>
      <c r="J970" s="24" t="s">
        <v>761</v>
      </c>
      <c r="K970" s="24" t="s">
        <v>1146</v>
      </c>
      <c r="L970" s="25">
        <v>1070</v>
      </c>
      <c r="M970" s="26">
        <v>47.52</v>
      </c>
      <c r="N970" s="27">
        <v>47.52</v>
      </c>
      <c r="O970" s="28">
        <v>4.3200000000000002E-2</v>
      </c>
      <c r="P970" s="28">
        <v>44.996814159292036</v>
      </c>
    </row>
    <row r="971" spans="1:16" x14ac:dyDescent="0.3">
      <c r="A971" t="s">
        <v>3869</v>
      </c>
      <c r="B971" s="24">
        <v>101554</v>
      </c>
      <c r="C971" s="24" t="s">
        <v>1202</v>
      </c>
      <c r="D971" s="24" t="s">
        <v>1102</v>
      </c>
      <c r="E971" s="24" t="s">
        <v>51</v>
      </c>
      <c r="F971" s="24" t="s">
        <v>1142</v>
      </c>
      <c r="G971" s="24" t="s">
        <v>1203</v>
      </c>
      <c r="H971" s="24" t="s">
        <v>391</v>
      </c>
      <c r="I971" s="24" t="s">
        <v>1212</v>
      </c>
      <c r="J971" s="24" t="s">
        <v>761</v>
      </c>
      <c r="K971" s="24" t="s">
        <v>1146</v>
      </c>
      <c r="L971" s="25">
        <v>1070</v>
      </c>
      <c r="M971" s="26">
        <v>39.380000000000003</v>
      </c>
      <c r="N971" s="27">
        <v>39.380000000000003</v>
      </c>
      <c r="O971" s="28">
        <v>3.5800000000000005E-2</v>
      </c>
      <c r="P971" s="28">
        <v>37.289026548672574</v>
      </c>
    </row>
    <row r="972" spans="1:16" x14ac:dyDescent="0.3">
      <c r="A972" t="s">
        <v>3870</v>
      </c>
      <c r="B972" s="24">
        <v>142141</v>
      </c>
      <c r="C972" s="24" t="s">
        <v>1206</v>
      </c>
      <c r="D972" s="24" t="s">
        <v>1102</v>
      </c>
      <c r="E972" s="24" t="s">
        <v>51</v>
      </c>
      <c r="F972" s="24" t="s">
        <v>1142</v>
      </c>
      <c r="G972" s="24" t="s">
        <v>1203</v>
      </c>
      <c r="H972" s="24" t="s">
        <v>391</v>
      </c>
      <c r="I972" s="24" t="s">
        <v>1212</v>
      </c>
      <c r="J972" s="24" t="s">
        <v>761</v>
      </c>
      <c r="K972" s="24" t="s">
        <v>1146</v>
      </c>
      <c r="L972" s="25">
        <v>1070</v>
      </c>
      <c r="M972" s="26">
        <v>39.380000000000003</v>
      </c>
      <c r="N972" s="27">
        <v>39.380000000000003</v>
      </c>
      <c r="O972" s="28">
        <v>3.5800000000000005E-2</v>
      </c>
      <c r="P972" s="28">
        <v>37.289026548672574</v>
      </c>
    </row>
    <row r="973" spans="1:16" x14ac:dyDescent="0.3">
      <c r="A973" t="s">
        <v>3871</v>
      </c>
      <c r="B973" s="24">
        <v>101554</v>
      </c>
      <c r="C973" s="24" t="s">
        <v>1202</v>
      </c>
      <c r="D973" s="24" t="s">
        <v>1102</v>
      </c>
      <c r="E973" s="24" t="s">
        <v>51</v>
      </c>
      <c r="F973" s="24" t="s">
        <v>1142</v>
      </c>
      <c r="G973" s="24" t="s">
        <v>1203</v>
      </c>
      <c r="H973" s="24" t="s">
        <v>392</v>
      </c>
      <c r="I973" s="24" t="s">
        <v>1213</v>
      </c>
      <c r="J973" s="24" t="s">
        <v>761</v>
      </c>
      <c r="K973" s="24" t="s">
        <v>1146</v>
      </c>
      <c r="L973" s="25">
        <v>1070</v>
      </c>
      <c r="M973" s="26">
        <v>43.07</v>
      </c>
      <c r="N973" s="27">
        <v>43.07</v>
      </c>
      <c r="O973" s="28">
        <v>3.9154545454545456E-2</v>
      </c>
      <c r="P973" s="28">
        <v>40.783097345132745</v>
      </c>
    </row>
    <row r="974" spans="1:16" x14ac:dyDescent="0.3">
      <c r="A974" t="s">
        <v>3872</v>
      </c>
      <c r="B974" s="24">
        <v>142141</v>
      </c>
      <c r="C974" s="24" t="s">
        <v>1206</v>
      </c>
      <c r="D974" s="24" t="s">
        <v>1102</v>
      </c>
      <c r="E974" s="24" t="s">
        <v>51</v>
      </c>
      <c r="F974" s="24" t="s">
        <v>1142</v>
      </c>
      <c r="G974" s="24" t="s">
        <v>1203</v>
      </c>
      <c r="H974" s="24" t="s">
        <v>392</v>
      </c>
      <c r="I974" s="24" t="s">
        <v>1213</v>
      </c>
      <c r="J974" s="24" t="s">
        <v>761</v>
      </c>
      <c r="K974" s="24" t="s">
        <v>1146</v>
      </c>
      <c r="L974" s="25">
        <v>1070</v>
      </c>
      <c r="M974" s="26">
        <v>43.07</v>
      </c>
      <c r="N974" s="27">
        <v>43.07</v>
      </c>
      <c r="O974" s="28">
        <v>3.9154545454545456E-2</v>
      </c>
      <c r="P974" s="28">
        <v>40.783097345132745</v>
      </c>
    </row>
    <row r="975" spans="1:16" x14ac:dyDescent="0.3">
      <c r="A975" t="s">
        <v>3873</v>
      </c>
      <c r="B975" s="24">
        <v>101116</v>
      </c>
      <c r="C975" s="24" t="s">
        <v>1214</v>
      </c>
      <c r="D975" s="24" t="s">
        <v>1102</v>
      </c>
      <c r="E975" s="24" t="s">
        <v>51</v>
      </c>
      <c r="F975" s="24" t="s">
        <v>1142</v>
      </c>
      <c r="G975" s="24" t="s">
        <v>1203</v>
      </c>
      <c r="H975" s="24" t="s">
        <v>394</v>
      </c>
      <c r="I975" s="24" t="s">
        <v>1215</v>
      </c>
      <c r="J975" s="24" t="s">
        <v>761</v>
      </c>
      <c r="K975" s="24" t="s">
        <v>1146</v>
      </c>
      <c r="L975" s="25">
        <v>1070</v>
      </c>
      <c r="M975" s="26">
        <v>5.58</v>
      </c>
      <c r="N975" s="27">
        <v>5.58</v>
      </c>
      <c r="O975" s="28">
        <v>5.072727272727273E-3</v>
      </c>
      <c r="P975" s="28">
        <v>5.2837168141592921</v>
      </c>
    </row>
    <row r="976" spans="1:16" x14ac:dyDescent="0.3">
      <c r="A976" t="s">
        <v>3874</v>
      </c>
      <c r="B976" s="24">
        <v>101554</v>
      </c>
      <c r="C976" s="24" t="s">
        <v>1202</v>
      </c>
      <c r="D976" s="24" t="s">
        <v>1102</v>
      </c>
      <c r="E976" s="24" t="s">
        <v>51</v>
      </c>
      <c r="F976" s="24" t="s">
        <v>1142</v>
      </c>
      <c r="G976" s="24" t="s">
        <v>1203</v>
      </c>
      <c r="H976" s="24" t="s">
        <v>394</v>
      </c>
      <c r="I976" s="24" t="s">
        <v>1215</v>
      </c>
      <c r="J976" s="24" t="s">
        <v>761</v>
      </c>
      <c r="K976" s="24" t="s">
        <v>1146</v>
      </c>
      <c r="L976" s="25">
        <v>1070</v>
      </c>
      <c r="M976" s="26">
        <v>5.58</v>
      </c>
      <c r="N976" s="27">
        <v>5.58</v>
      </c>
      <c r="O976" s="28">
        <v>5.072727272727273E-3</v>
      </c>
      <c r="P976" s="28">
        <v>5.2837168141592921</v>
      </c>
    </row>
    <row r="977" spans="1:16" x14ac:dyDescent="0.3">
      <c r="A977" t="s">
        <v>3875</v>
      </c>
      <c r="B977" s="24">
        <v>106916</v>
      </c>
      <c r="C977" s="24" t="s">
        <v>1216</v>
      </c>
      <c r="D977" s="24" t="s">
        <v>1102</v>
      </c>
      <c r="E977" s="24" t="s">
        <v>51</v>
      </c>
      <c r="F977" s="24" t="s">
        <v>1142</v>
      </c>
      <c r="G977" s="24" t="s">
        <v>1203</v>
      </c>
      <c r="H977" s="24" t="s">
        <v>394</v>
      </c>
      <c r="I977" s="24" t="s">
        <v>1215</v>
      </c>
      <c r="J977" s="24" t="s">
        <v>761</v>
      </c>
      <c r="K977" s="24" t="s">
        <v>1146</v>
      </c>
      <c r="L977" s="25">
        <v>1070</v>
      </c>
      <c r="M977" s="26">
        <v>5.58</v>
      </c>
      <c r="N977" s="27">
        <v>5.58</v>
      </c>
      <c r="O977" s="28">
        <v>5.072727272727273E-3</v>
      </c>
      <c r="P977" s="28">
        <v>5.2837168141592921</v>
      </c>
    </row>
    <row r="978" spans="1:16" x14ac:dyDescent="0.3">
      <c r="A978" t="s">
        <v>3876</v>
      </c>
      <c r="B978" s="24">
        <v>106916</v>
      </c>
      <c r="C978" s="24" t="s">
        <v>1216</v>
      </c>
      <c r="D978" s="24" t="s">
        <v>1102</v>
      </c>
      <c r="E978" s="24" t="s">
        <v>51</v>
      </c>
      <c r="F978" s="24" t="s">
        <v>1142</v>
      </c>
      <c r="G978" s="24" t="s">
        <v>1203</v>
      </c>
      <c r="H978" s="24" t="s">
        <v>394</v>
      </c>
      <c r="I978" s="24" t="s">
        <v>1217</v>
      </c>
      <c r="J978" s="24" t="s">
        <v>761</v>
      </c>
      <c r="K978" s="24" t="s">
        <v>1146</v>
      </c>
      <c r="L978" s="25">
        <v>1070</v>
      </c>
      <c r="M978" s="26">
        <v>5.58</v>
      </c>
      <c r="N978" s="27">
        <v>5.58</v>
      </c>
      <c r="O978" s="28">
        <v>5.072727272727273E-3</v>
      </c>
      <c r="P978" s="28">
        <v>5.2837168141592921</v>
      </c>
    </row>
    <row r="979" spans="1:16" x14ac:dyDescent="0.3">
      <c r="A979" t="s">
        <v>3877</v>
      </c>
      <c r="B979" s="24">
        <v>101116</v>
      </c>
      <c r="C979" s="24" t="s">
        <v>1214</v>
      </c>
      <c r="D979" s="24" t="s">
        <v>1102</v>
      </c>
      <c r="E979" s="24" t="s">
        <v>51</v>
      </c>
      <c r="F979" s="24" t="s">
        <v>1142</v>
      </c>
      <c r="G979" s="24" t="s">
        <v>1203</v>
      </c>
      <c r="H979" s="24" t="s">
        <v>395</v>
      </c>
      <c r="I979" s="24" t="s">
        <v>1218</v>
      </c>
      <c r="J979" s="24" t="s">
        <v>761</v>
      </c>
      <c r="K979" s="24" t="s">
        <v>1146</v>
      </c>
      <c r="L979" s="25">
        <v>1070</v>
      </c>
      <c r="M979" s="26">
        <v>6.28</v>
      </c>
      <c r="N979" s="27">
        <v>6.28</v>
      </c>
      <c r="O979" s="28">
        <v>5.7090909090909093E-3</v>
      </c>
      <c r="P979" s="28">
        <v>5.9465486725663723</v>
      </c>
    </row>
    <row r="980" spans="1:16" x14ac:dyDescent="0.3">
      <c r="A980" t="s">
        <v>3878</v>
      </c>
      <c r="B980" s="24">
        <v>106916</v>
      </c>
      <c r="C980" s="24" t="s">
        <v>1216</v>
      </c>
      <c r="D980" s="24" t="s">
        <v>1102</v>
      </c>
      <c r="E980" s="24" t="s">
        <v>51</v>
      </c>
      <c r="F980" s="24" t="s">
        <v>1142</v>
      </c>
      <c r="G980" s="24" t="s">
        <v>1203</v>
      </c>
      <c r="H980" s="24" t="s">
        <v>395</v>
      </c>
      <c r="I980" s="24" t="s">
        <v>1218</v>
      </c>
      <c r="J980" s="24" t="s">
        <v>761</v>
      </c>
      <c r="K980" s="24" t="s">
        <v>1146</v>
      </c>
      <c r="L980" s="25">
        <v>1070</v>
      </c>
      <c r="M980" s="26">
        <v>6.28</v>
      </c>
      <c r="N980" s="27">
        <v>6.28</v>
      </c>
      <c r="O980" s="28">
        <v>5.7090909090909093E-3</v>
      </c>
      <c r="P980" s="28">
        <v>5.9465486725663723</v>
      </c>
    </row>
    <row r="981" spans="1:16" x14ac:dyDescent="0.3">
      <c r="A981" t="s">
        <v>3879</v>
      </c>
      <c r="B981" s="24">
        <v>101554</v>
      </c>
      <c r="C981" s="24" t="s">
        <v>1202</v>
      </c>
      <c r="D981" s="24" t="s">
        <v>1102</v>
      </c>
      <c r="E981" s="24" t="s">
        <v>51</v>
      </c>
      <c r="F981" s="24" t="s">
        <v>1142</v>
      </c>
      <c r="G981" s="24" t="s">
        <v>1203</v>
      </c>
      <c r="H981" s="24" t="s">
        <v>396</v>
      </c>
      <c r="I981" s="24" t="s">
        <v>1219</v>
      </c>
      <c r="J981" s="24" t="s">
        <v>761</v>
      </c>
      <c r="K981" s="24" t="s">
        <v>1146</v>
      </c>
      <c r="L981" s="25">
        <v>1070</v>
      </c>
      <c r="M981" s="26">
        <v>10.14</v>
      </c>
      <c r="N981" s="27">
        <v>10.14</v>
      </c>
      <c r="O981" s="28">
        <v>9.2181818181818181E-3</v>
      </c>
      <c r="P981" s="28">
        <v>9.6015929203539834</v>
      </c>
    </row>
    <row r="982" spans="1:16" x14ac:dyDescent="0.3">
      <c r="A982" t="s">
        <v>3880</v>
      </c>
      <c r="B982" s="24">
        <v>142141</v>
      </c>
      <c r="C982" s="24" t="s">
        <v>1206</v>
      </c>
      <c r="D982" s="24" t="s">
        <v>1102</v>
      </c>
      <c r="E982" s="24" t="s">
        <v>51</v>
      </c>
      <c r="F982" s="24" t="s">
        <v>1142</v>
      </c>
      <c r="G982" s="24" t="s">
        <v>1203</v>
      </c>
      <c r="H982" s="24" t="s">
        <v>396</v>
      </c>
      <c r="I982" s="24" t="s">
        <v>1219</v>
      </c>
      <c r="J982" s="24" t="s">
        <v>761</v>
      </c>
      <c r="K982" s="24" t="s">
        <v>1146</v>
      </c>
      <c r="L982" s="25">
        <v>1070</v>
      </c>
      <c r="M982" s="26">
        <v>10.14</v>
      </c>
      <c r="N982" s="27">
        <v>10.14</v>
      </c>
      <c r="O982" s="28">
        <v>9.2181818181818181E-3</v>
      </c>
      <c r="P982" s="28">
        <v>9.6015929203539834</v>
      </c>
    </row>
    <row r="983" spans="1:16" x14ac:dyDescent="0.3">
      <c r="A983" t="s">
        <v>3881</v>
      </c>
      <c r="B983" s="24">
        <v>101554</v>
      </c>
      <c r="C983" s="24" t="s">
        <v>1202</v>
      </c>
      <c r="D983" s="24" t="s">
        <v>1102</v>
      </c>
      <c r="E983" s="24" t="s">
        <v>51</v>
      </c>
      <c r="F983" s="24" t="s">
        <v>1142</v>
      </c>
      <c r="G983" s="24" t="s">
        <v>1203</v>
      </c>
      <c r="H983" s="24" t="s">
        <v>1220</v>
      </c>
      <c r="I983" s="24" t="s">
        <v>1221</v>
      </c>
      <c r="J983" s="24" t="s">
        <v>761</v>
      </c>
      <c r="K983" s="24" t="s">
        <v>1146</v>
      </c>
      <c r="L983" s="25">
        <v>1070</v>
      </c>
      <c r="M983" s="26">
        <v>10.84</v>
      </c>
      <c r="N983" s="27">
        <v>10.84</v>
      </c>
      <c r="O983" s="28">
        <v>9.8545454545454544E-3</v>
      </c>
      <c r="P983" s="28">
        <v>10.264424778761061</v>
      </c>
    </row>
    <row r="984" spans="1:16" x14ac:dyDescent="0.3">
      <c r="A984" t="s">
        <v>3882</v>
      </c>
      <c r="B984" s="24">
        <v>142141</v>
      </c>
      <c r="C984" s="24" t="s">
        <v>1206</v>
      </c>
      <c r="D984" s="24" t="s">
        <v>1102</v>
      </c>
      <c r="E984" s="24" t="s">
        <v>51</v>
      </c>
      <c r="F984" s="24" t="s">
        <v>1142</v>
      </c>
      <c r="G984" s="24" t="s">
        <v>1203</v>
      </c>
      <c r="H984" s="24" t="s">
        <v>1220</v>
      </c>
      <c r="I984" s="24" t="s">
        <v>1221</v>
      </c>
      <c r="J984" s="24" t="s">
        <v>761</v>
      </c>
      <c r="K984" s="24" t="s">
        <v>1146</v>
      </c>
      <c r="L984" s="25">
        <v>1070</v>
      </c>
      <c r="M984" s="26">
        <v>10.84</v>
      </c>
      <c r="N984" s="27">
        <v>10.84</v>
      </c>
      <c r="O984" s="28">
        <v>9.8545454545454544E-3</v>
      </c>
      <c r="P984" s="28">
        <v>10.264424778761061</v>
      </c>
    </row>
    <row r="985" spans="1:16" x14ac:dyDescent="0.3">
      <c r="A985" t="s">
        <v>3883</v>
      </c>
      <c r="B985" s="24">
        <v>101554</v>
      </c>
      <c r="C985" s="24" t="s">
        <v>1202</v>
      </c>
      <c r="D985" s="24" t="s">
        <v>1102</v>
      </c>
      <c r="E985" s="24" t="s">
        <v>51</v>
      </c>
      <c r="F985" s="24" t="s">
        <v>1142</v>
      </c>
      <c r="G985" s="24" t="s">
        <v>1203</v>
      </c>
      <c r="H985" s="24" t="s">
        <v>385</v>
      </c>
      <c r="I985" s="24" t="s">
        <v>1222</v>
      </c>
      <c r="J985" s="24" t="s">
        <v>761</v>
      </c>
      <c r="K985" s="24" t="s">
        <v>1146</v>
      </c>
      <c r="L985" s="25">
        <v>1070</v>
      </c>
      <c r="M985" s="26">
        <v>28.96</v>
      </c>
      <c r="N985" s="27">
        <v>28.96</v>
      </c>
      <c r="O985" s="28">
        <v>2.6327272727272727E-2</v>
      </c>
      <c r="P985" s="28">
        <v>27.422300884955753</v>
      </c>
    </row>
    <row r="986" spans="1:16" x14ac:dyDescent="0.3">
      <c r="A986" t="s">
        <v>3884</v>
      </c>
      <c r="B986" s="24">
        <v>142141</v>
      </c>
      <c r="C986" s="24" t="s">
        <v>1206</v>
      </c>
      <c r="D986" s="24" t="s">
        <v>1102</v>
      </c>
      <c r="E986" s="24" t="s">
        <v>51</v>
      </c>
      <c r="F986" s="24" t="s">
        <v>1142</v>
      </c>
      <c r="G986" s="24" t="s">
        <v>1203</v>
      </c>
      <c r="H986" s="24" t="s">
        <v>385</v>
      </c>
      <c r="I986" s="24" t="s">
        <v>1222</v>
      </c>
      <c r="J986" s="24" t="s">
        <v>761</v>
      </c>
      <c r="K986" s="24" t="s">
        <v>1146</v>
      </c>
      <c r="L986" s="25">
        <v>1070</v>
      </c>
      <c r="M986" s="26">
        <v>28.96</v>
      </c>
      <c r="N986" s="27">
        <v>28.96</v>
      </c>
      <c r="O986" s="28">
        <v>2.6327272727272727E-2</v>
      </c>
      <c r="P986" s="28">
        <v>27.422300884955753</v>
      </c>
    </row>
    <row r="987" spans="1:16" x14ac:dyDescent="0.3">
      <c r="A987" t="s">
        <v>3884</v>
      </c>
      <c r="B987" s="24">
        <v>142141</v>
      </c>
      <c r="C987" s="24" t="s">
        <v>1206</v>
      </c>
      <c r="D987" s="24" t="s">
        <v>1102</v>
      </c>
      <c r="E987" s="24" t="s">
        <v>51</v>
      </c>
      <c r="F987" s="24" t="s">
        <v>1142</v>
      </c>
      <c r="G987" s="24" t="s">
        <v>1203</v>
      </c>
      <c r="H987" s="24" t="s">
        <v>385</v>
      </c>
      <c r="I987" s="24" t="s">
        <v>1223</v>
      </c>
      <c r="J987" s="24" t="s">
        <v>761</v>
      </c>
      <c r="K987" s="24" t="s">
        <v>1146</v>
      </c>
      <c r="L987" s="25">
        <v>1070</v>
      </c>
      <c r="M987" s="26">
        <v>28.96</v>
      </c>
      <c r="N987" s="27">
        <v>28.96</v>
      </c>
      <c r="O987" s="28">
        <v>2.6327272727272727E-2</v>
      </c>
      <c r="P987" s="28">
        <v>27.422300884955753</v>
      </c>
    </row>
    <row r="988" spans="1:16" x14ac:dyDescent="0.3">
      <c r="A988" t="s">
        <v>3885</v>
      </c>
      <c r="B988" s="24">
        <v>101554</v>
      </c>
      <c r="C988" s="24" t="s">
        <v>1202</v>
      </c>
      <c r="D988" s="24" t="s">
        <v>1102</v>
      </c>
      <c r="E988" s="24" t="s">
        <v>51</v>
      </c>
      <c r="F988" s="24" t="s">
        <v>1142</v>
      </c>
      <c r="G988" s="24" t="s">
        <v>1203</v>
      </c>
      <c r="H988" s="24" t="s">
        <v>397</v>
      </c>
      <c r="I988" s="24" t="s">
        <v>1224</v>
      </c>
      <c r="J988" s="24" t="s">
        <v>761</v>
      </c>
      <c r="K988" s="24" t="s">
        <v>1146</v>
      </c>
      <c r="L988" s="25">
        <v>1070</v>
      </c>
      <c r="M988" s="26">
        <v>10.01</v>
      </c>
      <c r="N988" s="27">
        <v>10.01</v>
      </c>
      <c r="O988" s="28">
        <v>9.1000000000000004E-3</v>
      </c>
      <c r="P988" s="28">
        <v>9.4784955752212383</v>
      </c>
    </row>
    <row r="989" spans="1:16" x14ac:dyDescent="0.3">
      <c r="A989" t="s">
        <v>3886</v>
      </c>
      <c r="B989" s="24">
        <v>142141</v>
      </c>
      <c r="C989" s="24" t="s">
        <v>1206</v>
      </c>
      <c r="D989" s="24" t="s">
        <v>1102</v>
      </c>
      <c r="E989" s="24" t="s">
        <v>51</v>
      </c>
      <c r="F989" s="24" t="s">
        <v>1142</v>
      </c>
      <c r="G989" s="24" t="s">
        <v>1203</v>
      </c>
      <c r="H989" s="24" t="s">
        <v>397</v>
      </c>
      <c r="I989" s="24" t="s">
        <v>1224</v>
      </c>
      <c r="J989" s="24" t="s">
        <v>761</v>
      </c>
      <c r="K989" s="24" t="s">
        <v>1146</v>
      </c>
      <c r="L989" s="25">
        <v>1070</v>
      </c>
      <c r="M989" s="26">
        <v>10.01</v>
      </c>
      <c r="N989" s="27">
        <v>10.01</v>
      </c>
      <c r="O989" s="28">
        <v>9.1000000000000004E-3</v>
      </c>
      <c r="P989" s="28">
        <v>9.4784955752212383</v>
      </c>
    </row>
    <row r="990" spans="1:16" x14ac:dyDescent="0.3">
      <c r="A990" t="s">
        <v>3887</v>
      </c>
      <c r="B990" s="24">
        <v>101554</v>
      </c>
      <c r="C990" s="24" t="s">
        <v>1202</v>
      </c>
      <c r="D990" s="24" t="s">
        <v>1102</v>
      </c>
      <c r="E990" s="24" t="s">
        <v>51</v>
      </c>
      <c r="F990" s="24" t="s">
        <v>1142</v>
      </c>
      <c r="G990" s="24" t="s">
        <v>1203</v>
      </c>
      <c r="H990" s="24" t="s">
        <v>1225</v>
      </c>
      <c r="I990" s="24" t="s">
        <v>1226</v>
      </c>
      <c r="J990" s="24" t="s">
        <v>761</v>
      </c>
      <c r="K990" s="24" t="s">
        <v>1146</v>
      </c>
      <c r="L990" s="25">
        <v>1070</v>
      </c>
      <c r="M990" s="26">
        <v>0</v>
      </c>
      <c r="N990" s="27">
        <v>0</v>
      </c>
      <c r="O990" s="28">
        <v>0</v>
      </c>
      <c r="P990" s="28">
        <v>0</v>
      </c>
    </row>
    <row r="991" spans="1:16" x14ac:dyDescent="0.3">
      <c r="A991" t="s">
        <v>3888</v>
      </c>
      <c r="B991" s="24">
        <v>142141</v>
      </c>
      <c r="C991" s="24" t="s">
        <v>1206</v>
      </c>
      <c r="D991" s="24" t="s">
        <v>1102</v>
      </c>
      <c r="E991" s="24" t="s">
        <v>51</v>
      </c>
      <c r="F991" s="24" t="s">
        <v>1142</v>
      </c>
      <c r="G991" s="24" t="s">
        <v>1203</v>
      </c>
      <c r="H991" s="24" t="s">
        <v>1225</v>
      </c>
      <c r="I991" s="24" t="s">
        <v>1226</v>
      </c>
      <c r="J991" s="24" t="s">
        <v>761</v>
      </c>
      <c r="K991" s="24" t="s">
        <v>1146</v>
      </c>
      <c r="L991" s="25">
        <v>1070</v>
      </c>
      <c r="M991" s="26">
        <v>10.33</v>
      </c>
      <c r="N991" s="27">
        <v>10.33</v>
      </c>
      <c r="O991" s="28">
        <v>9.3909090909090904E-3</v>
      </c>
      <c r="P991" s="28">
        <v>9.7815044247787615</v>
      </c>
    </row>
    <row r="992" spans="1:16" x14ac:dyDescent="0.3">
      <c r="A992" t="s">
        <v>3889</v>
      </c>
      <c r="B992" s="24">
        <v>101554</v>
      </c>
      <c r="C992" s="24" t="s">
        <v>1202</v>
      </c>
      <c r="D992" s="24" t="s">
        <v>1102</v>
      </c>
      <c r="E992" s="24" t="s">
        <v>51</v>
      </c>
      <c r="F992" s="24" t="s">
        <v>1142</v>
      </c>
      <c r="G992" s="24" t="s">
        <v>1203</v>
      </c>
      <c r="H992" s="24" t="s">
        <v>398</v>
      </c>
      <c r="I992" s="24" t="s">
        <v>1227</v>
      </c>
      <c r="J992" s="24" t="s">
        <v>761</v>
      </c>
      <c r="K992" s="24" t="s">
        <v>1146</v>
      </c>
      <c r="L992" s="25">
        <v>1070</v>
      </c>
      <c r="M992" s="26">
        <v>10.62</v>
      </c>
      <c r="N992" s="27">
        <v>10.62</v>
      </c>
      <c r="O992" s="28">
        <v>9.6545454545454538E-3</v>
      </c>
      <c r="P992" s="28">
        <v>10.056106194690265</v>
      </c>
    </row>
    <row r="993" spans="1:16" x14ac:dyDescent="0.3">
      <c r="A993" t="s">
        <v>3890</v>
      </c>
      <c r="B993" s="24">
        <v>142141</v>
      </c>
      <c r="C993" s="24" t="s">
        <v>1206</v>
      </c>
      <c r="D993" s="24" t="s">
        <v>1102</v>
      </c>
      <c r="E993" s="24" t="s">
        <v>51</v>
      </c>
      <c r="F993" s="24" t="s">
        <v>1142</v>
      </c>
      <c r="G993" s="24" t="s">
        <v>1203</v>
      </c>
      <c r="H993" s="24" t="s">
        <v>398</v>
      </c>
      <c r="I993" s="24" t="s">
        <v>1227</v>
      </c>
      <c r="J993" s="24" t="s">
        <v>761</v>
      </c>
      <c r="K993" s="24" t="s">
        <v>1146</v>
      </c>
      <c r="L993" s="25">
        <v>1070</v>
      </c>
      <c r="M993" s="26">
        <v>10.62</v>
      </c>
      <c r="N993" s="27">
        <v>10.62</v>
      </c>
      <c r="O993" s="28">
        <v>9.6545454545454538E-3</v>
      </c>
      <c r="P993" s="28">
        <v>10.056106194690265</v>
      </c>
    </row>
    <row r="994" spans="1:16" x14ac:dyDescent="0.3">
      <c r="A994" t="s">
        <v>3890</v>
      </c>
      <c r="B994" s="24">
        <v>142141</v>
      </c>
      <c r="C994" s="24" t="s">
        <v>1206</v>
      </c>
      <c r="D994" s="24" t="s">
        <v>1102</v>
      </c>
      <c r="E994" s="24" t="s">
        <v>51</v>
      </c>
      <c r="F994" s="24" t="s">
        <v>1142</v>
      </c>
      <c r="G994" s="24" t="s">
        <v>1203</v>
      </c>
      <c r="H994" s="24" t="s">
        <v>398</v>
      </c>
      <c r="I994" s="24" t="s">
        <v>1228</v>
      </c>
      <c r="J994" s="24" t="s">
        <v>761</v>
      </c>
      <c r="K994" s="24" t="s">
        <v>1146</v>
      </c>
      <c r="L994" s="25">
        <v>1070</v>
      </c>
      <c r="M994" s="26">
        <v>10.62</v>
      </c>
      <c r="N994" s="27">
        <v>10.62</v>
      </c>
      <c r="O994" s="28">
        <v>9.6545454545454538E-3</v>
      </c>
      <c r="P994" s="28">
        <v>10.056106194690265</v>
      </c>
    </row>
    <row r="995" spans="1:16" x14ac:dyDescent="0.3">
      <c r="A995" t="s">
        <v>3891</v>
      </c>
      <c r="B995" s="24">
        <v>101554</v>
      </c>
      <c r="C995" s="24" t="s">
        <v>1202</v>
      </c>
      <c r="D995" s="24" t="s">
        <v>1102</v>
      </c>
      <c r="E995" s="24" t="s">
        <v>51</v>
      </c>
      <c r="F995" s="24" t="s">
        <v>1142</v>
      </c>
      <c r="G995" s="24" t="s">
        <v>1203</v>
      </c>
      <c r="H995" s="24" t="s">
        <v>399</v>
      </c>
      <c r="I995" s="24" t="s">
        <v>1229</v>
      </c>
      <c r="J995" s="24" t="s">
        <v>761</v>
      </c>
      <c r="K995" s="24" t="s">
        <v>1146</v>
      </c>
      <c r="L995" s="25">
        <v>1070</v>
      </c>
      <c r="M995" s="26">
        <v>10.07</v>
      </c>
      <c r="N995" s="27">
        <v>10.07</v>
      </c>
      <c r="O995" s="28">
        <v>9.1545454545454551E-3</v>
      </c>
      <c r="P995" s="28">
        <v>9.5353097345132731</v>
      </c>
    </row>
    <row r="996" spans="1:16" x14ac:dyDescent="0.3">
      <c r="A996" t="s">
        <v>3892</v>
      </c>
      <c r="B996" s="24">
        <v>142141</v>
      </c>
      <c r="C996" s="24" t="s">
        <v>1206</v>
      </c>
      <c r="D996" s="24" t="s">
        <v>1102</v>
      </c>
      <c r="E996" s="24" t="s">
        <v>51</v>
      </c>
      <c r="F996" s="24" t="s">
        <v>1142</v>
      </c>
      <c r="G996" s="24" t="s">
        <v>1203</v>
      </c>
      <c r="H996" s="24" t="s">
        <v>399</v>
      </c>
      <c r="I996" s="24" t="s">
        <v>1229</v>
      </c>
      <c r="J996" s="24" t="s">
        <v>761</v>
      </c>
      <c r="K996" s="24" t="s">
        <v>1146</v>
      </c>
      <c r="L996" s="25">
        <v>1070</v>
      </c>
      <c r="M996" s="26">
        <v>10.07</v>
      </c>
      <c r="N996" s="27">
        <v>10.07</v>
      </c>
      <c r="O996" s="28">
        <v>9.1545454545454551E-3</v>
      </c>
      <c r="P996" s="28">
        <v>9.5353097345132731</v>
      </c>
    </row>
    <row r="997" spans="1:16" x14ac:dyDescent="0.3">
      <c r="A997" t="s">
        <v>3893</v>
      </c>
      <c r="B997" s="24">
        <v>101554</v>
      </c>
      <c r="C997" s="24" t="s">
        <v>1202</v>
      </c>
      <c r="D997" s="24" t="s">
        <v>1102</v>
      </c>
      <c r="E997" s="24" t="s">
        <v>51</v>
      </c>
      <c r="F997" s="24" t="s">
        <v>1142</v>
      </c>
      <c r="G997" s="24" t="s">
        <v>1203</v>
      </c>
      <c r="H997" s="24" t="s">
        <v>400</v>
      </c>
      <c r="I997" s="24" t="s">
        <v>1230</v>
      </c>
      <c r="J997" s="24" t="s">
        <v>761</v>
      </c>
      <c r="K997" s="24" t="s">
        <v>1146</v>
      </c>
      <c r="L997" s="25">
        <v>1070</v>
      </c>
      <c r="M997" s="26">
        <v>10.83</v>
      </c>
      <c r="N997" s="27">
        <v>10.83</v>
      </c>
      <c r="O997" s="28">
        <v>9.8454545454545461E-3</v>
      </c>
      <c r="P997" s="28">
        <v>10.254955752212389</v>
      </c>
    </row>
    <row r="998" spans="1:16" x14ac:dyDescent="0.3">
      <c r="A998" t="s">
        <v>3894</v>
      </c>
      <c r="B998" s="24">
        <v>142141</v>
      </c>
      <c r="C998" s="24" t="s">
        <v>1206</v>
      </c>
      <c r="D998" s="24" t="s">
        <v>1102</v>
      </c>
      <c r="E998" s="24" t="s">
        <v>51</v>
      </c>
      <c r="F998" s="24" t="s">
        <v>1142</v>
      </c>
      <c r="G998" s="24" t="s">
        <v>1203</v>
      </c>
      <c r="H998" s="24" t="s">
        <v>400</v>
      </c>
      <c r="I998" s="24" t="s">
        <v>1230</v>
      </c>
      <c r="J998" s="24" t="s">
        <v>761</v>
      </c>
      <c r="K998" s="24" t="s">
        <v>1146</v>
      </c>
      <c r="L998" s="25">
        <v>1070</v>
      </c>
      <c r="M998" s="26">
        <v>10.83</v>
      </c>
      <c r="N998" s="27">
        <v>10.83</v>
      </c>
      <c r="O998" s="28">
        <v>9.8454545454545461E-3</v>
      </c>
      <c r="P998" s="28">
        <v>10.254955752212389</v>
      </c>
    </row>
    <row r="999" spans="1:16" x14ac:dyDescent="0.3">
      <c r="A999" t="s">
        <v>3895</v>
      </c>
      <c r="B999" s="24">
        <v>142141</v>
      </c>
      <c r="C999" s="24" t="s">
        <v>1206</v>
      </c>
      <c r="D999" s="24" t="s">
        <v>1102</v>
      </c>
      <c r="E999" s="24" t="s">
        <v>51</v>
      </c>
      <c r="F999" s="24" t="s">
        <v>1142</v>
      </c>
      <c r="G999" s="24" t="s">
        <v>1203</v>
      </c>
      <c r="H999" s="24" t="s">
        <v>572</v>
      </c>
      <c r="I999" s="24" t="s">
        <v>1231</v>
      </c>
      <c r="J999" s="24" t="s">
        <v>761</v>
      </c>
      <c r="K999" s="24" t="s">
        <v>1146</v>
      </c>
      <c r="L999" s="25">
        <v>1070</v>
      </c>
      <c r="M999" s="26">
        <v>7.87</v>
      </c>
      <c r="N999" s="27">
        <v>7.87</v>
      </c>
      <c r="O999" s="28">
        <v>7.1545454545454542E-3</v>
      </c>
      <c r="P999" s="28">
        <v>7.4521238938053092</v>
      </c>
    </row>
    <row r="1000" spans="1:16" x14ac:dyDescent="0.3">
      <c r="A1000" t="s">
        <v>3896</v>
      </c>
      <c r="B1000" s="24">
        <v>101206</v>
      </c>
      <c r="C1000" s="24" t="s">
        <v>1199</v>
      </c>
      <c r="D1000" s="24" t="s">
        <v>1102</v>
      </c>
      <c r="E1000" s="24" t="s">
        <v>402</v>
      </c>
      <c r="F1000" s="24" t="s">
        <v>1142</v>
      </c>
      <c r="G1000" s="24" t="s">
        <v>1200</v>
      </c>
      <c r="H1000" s="24" t="s">
        <v>573</v>
      </c>
      <c r="I1000" s="24" t="s">
        <v>1231</v>
      </c>
      <c r="J1000" s="24" t="s">
        <v>761</v>
      </c>
      <c r="K1000" s="24" t="s">
        <v>1146</v>
      </c>
      <c r="L1000" s="25">
        <v>1070</v>
      </c>
      <c r="M1000" s="26">
        <v>6.56</v>
      </c>
      <c r="N1000" s="27">
        <v>6.56</v>
      </c>
      <c r="O1000" s="28">
        <v>5.9636363636363637E-3</v>
      </c>
      <c r="P1000" s="28">
        <v>6.2116814159292035</v>
      </c>
    </row>
    <row r="1001" spans="1:16" x14ac:dyDescent="0.3">
      <c r="A1001" t="s">
        <v>3897</v>
      </c>
      <c r="B1001" s="24">
        <v>142141</v>
      </c>
      <c r="C1001" s="24" t="s">
        <v>1206</v>
      </c>
      <c r="D1001" s="24" t="s">
        <v>1102</v>
      </c>
      <c r="E1001" s="24" t="s">
        <v>402</v>
      </c>
      <c r="F1001" s="24" t="s">
        <v>1142</v>
      </c>
      <c r="G1001" s="24" t="s">
        <v>1203</v>
      </c>
      <c r="H1001" s="24" t="s">
        <v>573</v>
      </c>
      <c r="I1001" s="24" t="s">
        <v>1231</v>
      </c>
      <c r="J1001" s="24" t="s">
        <v>761</v>
      </c>
      <c r="K1001" s="24" t="s">
        <v>1146</v>
      </c>
      <c r="L1001" s="25">
        <v>1070</v>
      </c>
      <c r="M1001" s="26">
        <v>6.56</v>
      </c>
      <c r="N1001" s="27">
        <v>6.56</v>
      </c>
      <c r="O1001" s="28">
        <v>5.9636363636363637E-3</v>
      </c>
      <c r="P1001" s="28">
        <v>6.2116814159292035</v>
      </c>
    </row>
    <row r="1002" spans="1:16" x14ac:dyDescent="0.3">
      <c r="A1002" t="s">
        <v>3898</v>
      </c>
      <c r="B1002" s="24">
        <v>100581</v>
      </c>
      <c r="C1002" s="24" t="s">
        <v>1232</v>
      </c>
      <c r="D1002" s="24" t="s">
        <v>1102</v>
      </c>
      <c r="E1002" s="24" t="s">
        <v>51</v>
      </c>
      <c r="F1002" s="24" t="s">
        <v>1142</v>
      </c>
      <c r="G1002" s="24" t="s">
        <v>1233</v>
      </c>
      <c r="H1002" s="24" t="s">
        <v>574</v>
      </c>
      <c r="I1002" s="24" t="s">
        <v>1234</v>
      </c>
      <c r="J1002" s="24" t="s">
        <v>761</v>
      </c>
      <c r="K1002" s="24" t="s">
        <v>1146</v>
      </c>
      <c r="L1002" s="25">
        <v>1070</v>
      </c>
      <c r="M1002" s="26">
        <v>10.84</v>
      </c>
      <c r="N1002" s="27">
        <v>10.84</v>
      </c>
      <c r="O1002" s="28">
        <v>9.8545454545454544E-3</v>
      </c>
      <c r="P1002" s="28">
        <v>10.264424778761061</v>
      </c>
    </row>
    <row r="1003" spans="1:16" x14ac:dyDescent="0.3">
      <c r="A1003" t="s">
        <v>3899</v>
      </c>
      <c r="B1003" s="24">
        <v>142141</v>
      </c>
      <c r="C1003" s="24" t="s">
        <v>1206</v>
      </c>
      <c r="D1003" s="24" t="s">
        <v>1102</v>
      </c>
      <c r="E1003" s="24" t="s">
        <v>51</v>
      </c>
      <c r="F1003" s="24" t="s">
        <v>1142</v>
      </c>
      <c r="G1003" s="24" t="s">
        <v>1203</v>
      </c>
      <c r="H1003" s="24" t="s">
        <v>574</v>
      </c>
      <c r="I1003" s="24" t="s">
        <v>1234</v>
      </c>
      <c r="J1003" s="24" t="s">
        <v>761</v>
      </c>
      <c r="K1003" s="24" t="s">
        <v>1146</v>
      </c>
      <c r="L1003" s="25">
        <v>1070</v>
      </c>
      <c r="M1003" s="26">
        <v>10.84</v>
      </c>
      <c r="N1003" s="27">
        <v>10.84</v>
      </c>
      <c r="O1003" s="28">
        <v>9.8545454545454544E-3</v>
      </c>
      <c r="P1003" s="28">
        <v>10.264424778761061</v>
      </c>
    </row>
    <row r="1004" spans="1:16" x14ac:dyDescent="0.3">
      <c r="A1004" t="s">
        <v>3900</v>
      </c>
      <c r="B1004" s="24">
        <v>142141</v>
      </c>
      <c r="C1004" s="24" t="s">
        <v>1206</v>
      </c>
      <c r="D1004" s="24" t="s">
        <v>1102</v>
      </c>
      <c r="E1004" s="24" t="s">
        <v>51</v>
      </c>
      <c r="F1004" s="24" t="s">
        <v>1142</v>
      </c>
      <c r="G1004" s="24" t="s">
        <v>1203</v>
      </c>
      <c r="H1004" s="24" t="s">
        <v>575</v>
      </c>
      <c r="I1004" s="24" t="s">
        <v>1235</v>
      </c>
      <c r="J1004" s="24" t="s">
        <v>761</v>
      </c>
      <c r="K1004" s="24" t="s">
        <v>1146</v>
      </c>
      <c r="L1004" s="25">
        <v>1070</v>
      </c>
      <c r="M1004" s="26">
        <v>11.58</v>
      </c>
      <c r="N1004" s="27">
        <v>11.58</v>
      </c>
      <c r="O1004" s="28">
        <v>1.0527272727272727E-2</v>
      </c>
      <c r="P1004" s="28">
        <v>10.965132743362831</v>
      </c>
    </row>
    <row r="1005" spans="1:16" x14ac:dyDescent="0.3">
      <c r="A1005" t="s">
        <v>3901</v>
      </c>
      <c r="B1005" s="24">
        <v>142141</v>
      </c>
      <c r="C1005" s="24" t="s">
        <v>1206</v>
      </c>
      <c r="D1005" s="24" t="s">
        <v>1102</v>
      </c>
      <c r="E1005" s="24" t="s">
        <v>51</v>
      </c>
      <c r="F1005" s="24" t="s">
        <v>1142</v>
      </c>
      <c r="G1005" s="24" t="s">
        <v>1203</v>
      </c>
      <c r="H1005" s="24" t="s">
        <v>576</v>
      </c>
      <c r="I1005" s="24" t="s">
        <v>1234</v>
      </c>
      <c r="J1005" s="24" t="s">
        <v>761</v>
      </c>
      <c r="K1005" s="24" t="s">
        <v>1146</v>
      </c>
      <c r="L1005" s="25">
        <v>1070</v>
      </c>
      <c r="M1005" s="26">
        <v>9.07</v>
      </c>
      <c r="N1005" s="27">
        <v>9.07</v>
      </c>
      <c r="O1005" s="28">
        <v>8.2454545454545454E-3</v>
      </c>
      <c r="P1005" s="28">
        <v>8.5884070796460179</v>
      </c>
    </row>
    <row r="1006" spans="1:16" x14ac:dyDescent="0.3">
      <c r="A1006" t="s">
        <v>3902</v>
      </c>
      <c r="B1006" s="24">
        <v>300015</v>
      </c>
      <c r="C1006" s="24" t="s">
        <v>1236</v>
      </c>
      <c r="D1006" s="24" t="s">
        <v>1102</v>
      </c>
      <c r="E1006" s="24" t="s">
        <v>51</v>
      </c>
      <c r="F1006" s="24" t="s">
        <v>1237</v>
      </c>
      <c r="G1006" s="24" t="s">
        <v>1238</v>
      </c>
      <c r="H1006" s="24" t="s">
        <v>1239</v>
      </c>
      <c r="I1006" s="24" t="s">
        <v>1240</v>
      </c>
      <c r="J1006" s="24" t="s">
        <v>761</v>
      </c>
      <c r="K1006" s="24" t="s">
        <v>1146</v>
      </c>
      <c r="L1006" s="25">
        <v>1070</v>
      </c>
      <c r="M1006" s="26">
        <v>10.96</v>
      </c>
      <c r="N1006" s="27">
        <v>10.96</v>
      </c>
      <c r="O1006" s="28">
        <v>9.9636363636363637E-3</v>
      </c>
      <c r="P1006" s="28">
        <v>10.378053097345134</v>
      </c>
    </row>
    <row r="1007" spans="1:16" x14ac:dyDescent="0.3">
      <c r="A1007" t="s">
        <v>3903</v>
      </c>
      <c r="B1007" s="24">
        <v>107603</v>
      </c>
      <c r="C1007" s="24" t="s">
        <v>1241</v>
      </c>
      <c r="D1007" s="24" t="s">
        <v>1102</v>
      </c>
      <c r="E1007" s="24" t="s">
        <v>51</v>
      </c>
      <c r="F1007" s="24" t="s">
        <v>1142</v>
      </c>
      <c r="G1007" s="24" t="s">
        <v>1200</v>
      </c>
      <c r="H1007" s="24" t="s">
        <v>625</v>
      </c>
      <c r="I1007" s="24" t="s">
        <v>1242</v>
      </c>
      <c r="J1007" s="24" t="s">
        <v>761</v>
      </c>
      <c r="K1007" s="24" t="s">
        <v>1146</v>
      </c>
      <c r="L1007" s="25">
        <v>1070</v>
      </c>
      <c r="M1007" s="26">
        <v>3.02</v>
      </c>
      <c r="N1007" s="27">
        <v>3.02</v>
      </c>
      <c r="O1007" s="28">
        <v>2.7454545454545453E-3</v>
      </c>
      <c r="P1007" s="28">
        <v>2.8596460176991152</v>
      </c>
    </row>
    <row r="1008" spans="1:16" x14ac:dyDescent="0.3">
      <c r="A1008" t="s">
        <v>3904</v>
      </c>
      <c r="B1008" s="24">
        <v>114635</v>
      </c>
      <c r="C1008" s="24" t="s">
        <v>1243</v>
      </c>
      <c r="D1008" s="24" t="s">
        <v>1102</v>
      </c>
      <c r="E1008" s="24" t="s">
        <v>402</v>
      </c>
      <c r="F1008" s="24" t="s">
        <v>1142</v>
      </c>
      <c r="G1008" s="24" t="s">
        <v>1244</v>
      </c>
      <c r="H1008" s="24" t="s">
        <v>405</v>
      </c>
      <c r="I1008" s="24" t="s">
        <v>1245</v>
      </c>
      <c r="J1008" s="24" t="s">
        <v>761</v>
      </c>
      <c r="K1008" s="24" t="s">
        <v>1146</v>
      </c>
      <c r="L1008" s="25">
        <v>1070</v>
      </c>
      <c r="M1008" s="26">
        <v>1.794</v>
      </c>
      <c r="N1008" s="27">
        <v>1.794</v>
      </c>
      <c r="O1008" s="28">
        <v>1.6309090909090908E-3</v>
      </c>
      <c r="P1008" s="28">
        <v>1.6987433628318584</v>
      </c>
    </row>
    <row r="1009" spans="1:16" x14ac:dyDescent="0.3">
      <c r="A1009" t="s">
        <v>3905</v>
      </c>
      <c r="B1009" s="24">
        <v>142363</v>
      </c>
      <c r="C1009" s="24" t="s">
        <v>1246</v>
      </c>
      <c r="D1009" s="24" t="s">
        <v>1102</v>
      </c>
      <c r="E1009" s="24" t="s">
        <v>402</v>
      </c>
      <c r="F1009" s="24" t="s">
        <v>1142</v>
      </c>
      <c r="G1009" s="24" t="s">
        <v>1244</v>
      </c>
      <c r="H1009" s="24" t="s">
        <v>405</v>
      </c>
      <c r="I1009" s="24" t="s">
        <v>1245</v>
      </c>
      <c r="J1009" s="24" t="s">
        <v>761</v>
      </c>
      <c r="K1009" s="24" t="s">
        <v>1146</v>
      </c>
      <c r="L1009" s="25">
        <v>1070</v>
      </c>
      <c r="M1009" s="26">
        <v>1.794</v>
      </c>
      <c r="N1009" s="27">
        <v>1.794</v>
      </c>
      <c r="O1009" s="28">
        <v>1.6309090909090908E-3</v>
      </c>
      <c r="P1009" s="28">
        <v>1.6987433628318584</v>
      </c>
    </row>
    <row r="1010" spans="1:16" x14ac:dyDescent="0.3">
      <c r="A1010" t="s">
        <v>3906</v>
      </c>
      <c r="B1010" s="24">
        <v>102470</v>
      </c>
      <c r="C1010" s="24" t="s">
        <v>1247</v>
      </c>
      <c r="D1010" s="24" t="s">
        <v>1102</v>
      </c>
      <c r="E1010" s="24" t="s">
        <v>402</v>
      </c>
      <c r="F1010" s="24" t="s">
        <v>1142</v>
      </c>
      <c r="G1010" s="24" t="s">
        <v>1244</v>
      </c>
      <c r="H1010" s="24" t="s">
        <v>403</v>
      </c>
      <c r="I1010" s="24" t="s">
        <v>1248</v>
      </c>
      <c r="J1010" s="24" t="s">
        <v>761</v>
      </c>
      <c r="K1010" s="24" t="s">
        <v>1146</v>
      </c>
      <c r="L1010" s="25">
        <v>1070</v>
      </c>
      <c r="M1010" s="26">
        <v>1.794</v>
      </c>
      <c r="N1010" s="27">
        <v>1.794</v>
      </c>
      <c r="O1010" s="28">
        <v>1.6309090909090908E-3</v>
      </c>
      <c r="P1010" s="28">
        <v>1.6987433628318584</v>
      </c>
    </row>
    <row r="1011" spans="1:16" x14ac:dyDescent="0.3">
      <c r="A1011" t="s">
        <v>3907</v>
      </c>
      <c r="B1011" s="24">
        <v>114635</v>
      </c>
      <c r="C1011" s="24" t="s">
        <v>1243</v>
      </c>
      <c r="D1011" s="24" t="s">
        <v>1102</v>
      </c>
      <c r="E1011" s="24" t="s">
        <v>402</v>
      </c>
      <c r="F1011" s="24" t="s">
        <v>1142</v>
      </c>
      <c r="G1011" s="24" t="s">
        <v>1244</v>
      </c>
      <c r="H1011" s="24" t="s">
        <v>403</v>
      </c>
      <c r="I1011" s="24" t="s">
        <v>1248</v>
      </c>
      <c r="J1011" s="24" t="s">
        <v>761</v>
      </c>
      <c r="K1011" s="24" t="s">
        <v>1146</v>
      </c>
      <c r="L1011" s="25">
        <v>1070</v>
      </c>
      <c r="M1011" s="26">
        <v>1.794</v>
      </c>
      <c r="N1011" s="27">
        <v>1.794</v>
      </c>
      <c r="O1011" s="28">
        <v>1.6309090909090908E-3</v>
      </c>
      <c r="P1011" s="28">
        <v>1.6987433628318584</v>
      </c>
    </row>
    <row r="1012" spans="1:16" x14ac:dyDescent="0.3">
      <c r="A1012" t="s">
        <v>3908</v>
      </c>
      <c r="B1012" s="24">
        <v>142363</v>
      </c>
      <c r="C1012" s="24" t="s">
        <v>1246</v>
      </c>
      <c r="D1012" s="24" t="s">
        <v>1102</v>
      </c>
      <c r="E1012" s="24" t="s">
        <v>402</v>
      </c>
      <c r="F1012" s="24" t="s">
        <v>1142</v>
      </c>
      <c r="G1012" s="24" t="s">
        <v>1244</v>
      </c>
      <c r="H1012" s="24" t="s">
        <v>403</v>
      </c>
      <c r="I1012" s="24" t="s">
        <v>1248</v>
      </c>
      <c r="J1012" s="24" t="s">
        <v>761</v>
      </c>
      <c r="K1012" s="24" t="s">
        <v>1146</v>
      </c>
      <c r="L1012" s="25">
        <v>1070</v>
      </c>
      <c r="M1012" s="26">
        <v>1.794</v>
      </c>
      <c r="N1012" s="27">
        <v>1.794</v>
      </c>
      <c r="O1012" s="28">
        <v>1.6309090909090908E-3</v>
      </c>
      <c r="P1012" s="28">
        <v>1.6987433628318584</v>
      </c>
    </row>
    <row r="1013" spans="1:16" x14ac:dyDescent="0.3">
      <c r="A1013" t="s">
        <v>3909</v>
      </c>
      <c r="B1013" s="24">
        <v>142805</v>
      </c>
      <c r="C1013" s="24" t="s">
        <v>1249</v>
      </c>
      <c r="D1013" s="24" t="s">
        <v>1102</v>
      </c>
      <c r="E1013" s="24" t="s">
        <v>402</v>
      </c>
      <c r="F1013" s="24" t="s">
        <v>1142</v>
      </c>
      <c r="G1013" s="24" t="s">
        <v>1244</v>
      </c>
      <c r="H1013" s="24" t="s">
        <v>403</v>
      </c>
      <c r="I1013" s="24" t="s">
        <v>1248</v>
      </c>
      <c r="J1013" s="24" t="s">
        <v>761</v>
      </c>
      <c r="K1013" s="24" t="s">
        <v>1146</v>
      </c>
      <c r="L1013" s="25">
        <v>1070</v>
      </c>
      <c r="M1013" s="26">
        <v>1.8902000000000001</v>
      </c>
      <c r="N1013" s="27">
        <v>1.8902000000000001</v>
      </c>
      <c r="O1013" s="28">
        <v>1.7183636363636364E-3</v>
      </c>
      <c r="P1013" s="28">
        <v>1.7898353982300885</v>
      </c>
    </row>
    <row r="1014" spans="1:16" x14ac:dyDescent="0.3">
      <c r="A1014" t="s">
        <v>3910</v>
      </c>
      <c r="B1014" s="24">
        <v>400144</v>
      </c>
      <c r="C1014" s="24" t="s">
        <v>1250</v>
      </c>
      <c r="D1014" s="24" t="s">
        <v>1102</v>
      </c>
      <c r="E1014" s="24" t="s">
        <v>402</v>
      </c>
      <c r="F1014" s="24" t="s">
        <v>1142</v>
      </c>
      <c r="G1014" s="24" t="s">
        <v>1244</v>
      </c>
      <c r="H1014" s="24" t="s">
        <v>403</v>
      </c>
      <c r="I1014" s="24" t="s">
        <v>1248</v>
      </c>
      <c r="J1014" s="24" t="s">
        <v>761</v>
      </c>
      <c r="K1014" s="24" t="s">
        <v>1146</v>
      </c>
      <c r="L1014" s="25">
        <v>1070</v>
      </c>
      <c r="M1014" s="26">
        <v>1.794</v>
      </c>
      <c r="N1014" s="27">
        <v>1.794</v>
      </c>
      <c r="O1014" s="28">
        <v>1.6309090909090908E-3</v>
      </c>
      <c r="P1014" s="28">
        <v>1.6987433628318584</v>
      </c>
    </row>
    <row r="1015" spans="1:16" x14ac:dyDescent="0.3">
      <c r="A1015" t="s">
        <v>3911</v>
      </c>
      <c r="B1015" s="24">
        <v>101554</v>
      </c>
      <c r="C1015" s="24" t="s">
        <v>1202</v>
      </c>
      <c r="D1015" s="24" t="s">
        <v>1102</v>
      </c>
      <c r="E1015" s="24" t="s">
        <v>402</v>
      </c>
      <c r="F1015" s="24" t="s">
        <v>1142</v>
      </c>
      <c r="G1015" s="24" t="s">
        <v>1244</v>
      </c>
      <c r="H1015" s="24" t="s">
        <v>403</v>
      </c>
      <c r="I1015" s="24" t="s">
        <v>1251</v>
      </c>
      <c r="J1015" s="24" t="s">
        <v>761</v>
      </c>
      <c r="K1015" s="24" t="s">
        <v>1146</v>
      </c>
      <c r="L1015" s="25">
        <v>1070</v>
      </c>
      <c r="M1015" s="26">
        <v>1.794</v>
      </c>
      <c r="N1015" s="27">
        <v>1.794</v>
      </c>
      <c r="O1015" s="28">
        <v>1.6309090909090908E-3</v>
      </c>
      <c r="P1015" s="28">
        <v>1.6987433628318584</v>
      </c>
    </row>
    <row r="1016" spans="1:16" x14ac:dyDescent="0.3">
      <c r="A1016" t="s">
        <v>3912</v>
      </c>
      <c r="B1016" s="24">
        <v>142805</v>
      </c>
      <c r="C1016" s="24" t="s">
        <v>1249</v>
      </c>
      <c r="D1016" s="24" t="s">
        <v>1102</v>
      </c>
      <c r="E1016" s="24" t="s">
        <v>402</v>
      </c>
      <c r="F1016" s="24" t="s">
        <v>1142</v>
      </c>
      <c r="G1016" s="24" t="s">
        <v>1244</v>
      </c>
      <c r="H1016" s="24" t="s">
        <v>404</v>
      </c>
      <c r="I1016" s="24" t="s">
        <v>1252</v>
      </c>
      <c r="J1016" s="24" t="s">
        <v>761</v>
      </c>
      <c r="K1016" s="24" t="s">
        <v>1146</v>
      </c>
      <c r="L1016" s="25">
        <v>1070</v>
      </c>
      <c r="M1016" s="26">
        <v>1.8902000000000001</v>
      </c>
      <c r="N1016" s="27">
        <v>1.8902000000000001</v>
      </c>
      <c r="O1016" s="28">
        <v>1.7183636363636364E-3</v>
      </c>
      <c r="P1016" s="28">
        <v>1.7898353982300885</v>
      </c>
    </row>
    <row r="1017" spans="1:16" x14ac:dyDescent="0.3">
      <c r="A1017" t="s">
        <v>3913</v>
      </c>
      <c r="B1017" s="24">
        <v>114635</v>
      </c>
      <c r="C1017" s="24" t="s">
        <v>1243</v>
      </c>
      <c r="D1017" s="24" t="s">
        <v>1102</v>
      </c>
      <c r="E1017" s="24" t="s">
        <v>402</v>
      </c>
      <c r="F1017" s="24" t="s">
        <v>1142</v>
      </c>
      <c r="G1017" s="24" t="s">
        <v>1244</v>
      </c>
      <c r="H1017" s="24" t="s">
        <v>407</v>
      </c>
      <c r="I1017" s="24" t="s">
        <v>1253</v>
      </c>
      <c r="J1017" s="24" t="s">
        <v>761</v>
      </c>
      <c r="K1017" s="24" t="s">
        <v>1146</v>
      </c>
      <c r="L1017" s="25">
        <v>1070</v>
      </c>
      <c r="M1017" s="26">
        <v>1.8706</v>
      </c>
      <c r="N1017" s="27">
        <v>1.8706</v>
      </c>
      <c r="O1017" s="28">
        <v>1.7005454545454546E-3</v>
      </c>
      <c r="P1017" s="28">
        <v>1.7712761061946904</v>
      </c>
    </row>
    <row r="1018" spans="1:16" x14ac:dyDescent="0.3">
      <c r="A1018" t="s">
        <v>3914</v>
      </c>
      <c r="B1018" s="24">
        <v>142363</v>
      </c>
      <c r="C1018" s="24" t="s">
        <v>1246</v>
      </c>
      <c r="D1018" s="24" t="s">
        <v>1102</v>
      </c>
      <c r="E1018" s="24" t="s">
        <v>402</v>
      </c>
      <c r="F1018" s="24" t="s">
        <v>1142</v>
      </c>
      <c r="G1018" s="24" t="s">
        <v>1244</v>
      </c>
      <c r="H1018" s="24" t="s">
        <v>407</v>
      </c>
      <c r="I1018" s="24" t="s">
        <v>1253</v>
      </c>
      <c r="J1018" s="24" t="s">
        <v>761</v>
      </c>
      <c r="K1018" s="24" t="s">
        <v>1146</v>
      </c>
      <c r="L1018" s="25">
        <v>1070</v>
      </c>
      <c r="M1018" s="26">
        <v>1.8706</v>
      </c>
      <c r="N1018" s="27">
        <v>1.8706</v>
      </c>
      <c r="O1018" s="28">
        <v>1.7005454545454546E-3</v>
      </c>
      <c r="P1018" s="28">
        <v>1.7712761061946904</v>
      </c>
    </row>
    <row r="1019" spans="1:16" x14ac:dyDescent="0.3">
      <c r="A1019" t="s">
        <v>3915</v>
      </c>
      <c r="B1019" s="24">
        <v>114635</v>
      </c>
      <c r="C1019" s="24" t="s">
        <v>1243</v>
      </c>
      <c r="D1019" s="24" t="s">
        <v>1102</v>
      </c>
      <c r="E1019" s="24" t="s">
        <v>402</v>
      </c>
      <c r="F1019" s="24" t="s">
        <v>1142</v>
      </c>
      <c r="G1019" s="24" t="s">
        <v>1244</v>
      </c>
      <c r="H1019" s="24" t="s">
        <v>406</v>
      </c>
      <c r="I1019" s="24" t="s">
        <v>1254</v>
      </c>
      <c r="J1019" s="24" t="s">
        <v>761</v>
      </c>
      <c r="K1019" s="24" t="s">
        <v>1146</v>
      </c>
      <c r="L1019" s="25">
        <v>1070</v>
      </c>
      <c r="M1019" s="26">
        <v>1.8706</v>
      </c>
      <c r="N1019" s="27">
        <v>1.8706</v>
      </c>
      <c r="O1019" s="28">
        <v>1.7005454545454546E-3</v>
      </c>
      <c r="P1019" s="28">
        <v>1.7712761061946904</v>
      </c>
    </row>
    <row r="1020" spans="1:16" x14ac:dyDescent="0.3">
      <c r="A1020" t="s">
        <v>3916</v>
      </c>
      <c r="B1020" s="24">
        <v>142363</v>
      </c>
      <c r="C1020" s="24" t="s">
        <v>1246</v>
      </c>
      <c r="D1020" s="24" t="s">
        <v>1102</v>
      </c>
      <c r="E1020" s="24" t="s">
        <v>402</v>
      </c>
      <c r="F1020" s="24" t="s">
        <v>1142</v>
      </c>
      <c r="G1020" s="24" t="s">
        <v>1244</v>
      </c>
      <c r="H1020" s="24" t="s">
        <v>406</v>
      </c>
      <c r="I1020" s="24" t="s">
        <v>1254</v>
      </c>
      <c r="J1020" s="24" t="s">
        <v>761</v>
      </c>
      <c r="K1020" s="24" t="s">
        <v>1146</v>
      </c>
      <c r="L1020" s="25">
        <v>1070</v>
      </c>
      <c r="M1020" s="26">
        <v>1.8706</v>
      </c>
      <c r="N1020" s="27">
        <v>1.8706</v>
      </c>
      <c r="O1020" s="28">
        <v>1.7005454545454546E-3</v>
      </c>
      <c r="P1020" s="28">
        <v>1.7712761061946904</v>
      </c>
    </row>
    <row r="1021" spans="1:16" x14ac:dyDescent="0.3">
      <c r="A1021" t="s">
        <v>3917</v>
      </c>
      <c r="B1021" s="24">
        <v>300024</v>
      </c>
      <c r="C1021" s="24" t="s">
        <v>1255</v>
      </c>
      <c r="D1021" s="24" t="s">
        <v>1102</v>
      </c>
      <c r="E1021" s="24" t="s">
        <v>402</v>
      </c>
      <c r="F1021" s="24" t="s">
        <v>1142</v>
      </c>
      <c r="G1021" s="24" t="s">
        <v>1244</v>
      </c>
      <c r="H1021" s="24" t="s">
        <v>406</v>
      </c>
      <c r="I1021" s="24" t="s">
        <v>1254</v>
      </c>
      <c r="J1021" s="24" t="s">
        <v>761</v>
      </c>
      <c r="K1021" s="24" t="s">
        <v>1146</v>
      </c>
      <c r="L1021" s="25">
        <v>1070</v>
      </c>
      <c r="M1021" s="26">
        <v>1.8818999999999999</v>
      </c>
      <c r="N1021" s="27">
        <v>1.8818999999999999</v>
      </c>
      <c r="O1021" s="28">
        <v>1.7108181818181818E-3</v>
      </c>
      <c r="P1021" s="28">
        <v>1.7819761061946902</v>
      </c>
    </row>
    <row r="1022" spans="1:16" x14ac:dyDescent="0.3">
      <c r="A1022" t="s">
        <v>3918</v>
      </c>
      <c r="B1022" s="24">
        <v>101554</v>
      </c>
      <c r="C1022" s="24" t="s">
        <v>1202</v>
      </c>
      <c r="D1022" s="24" t="s">
        <v>1102</v>
      </c>
      <c r="E1022" s="24" t="s">
        <v>402</v>
      </c>
      <c r="F1022" s="24" t="s">
        <v>1142</v>
      </c>
      <c r="G1022" s="24" t="s">
        <v>1244</v>
      </c>
      <c r="H1022" s="24" t="s">
        <v>406</v>
      </c>
      <c r="I1022" s="24" t="s">
        <v>1256</v>
      </c>
      <c r="J1022" s="24" t="s">
        <v>761</v>
      </c>
      <c r="K1022" s="24" t="s">
        <v>1146</v>
      </c>
      <c r="L1022" s="25">
        <v>1070</v>
      </c>
      <c r="M1022" s="26">
        <v>1.8706</v>
      </c>
      <c r="N1022" s="27">
        <v>1.8706</v>
      </c>
      <c r="O1022" s="28">
        <v>1.7005454545454546E-3</v>
      </c>
      <c r="P1022" s="28">
        <v>1.7712761061946904</v>
      </c>
    </row>
    <row r="1023" spans="1:16" x14ac:dyDescent="0.3">
      <c r="A1023" t="s">
        <v>3919</v>
      </c>
      <c r="B1023" s="24">
        <v>114635</v>
      </c>
      <c r="C1023" s="24" t="s">
        <v>1243</v>
      </c>
      <c r="D1023" s="24" t="s">
        <v>1102</v>
      </c>
      <c r="E1023" s="24" t="s">
        <v>402</v>
      </c>
      <c r="F1023" s="24" t="s">
        <v>1142</v>
      </c>
      <c r="G1023" s="24" t="s">
        <v>1244</v>
      </c>
      <c r="H1023" s="24" t="s">
        <v>410</v>
      </c>
      <c r="I1023" s="24" t="s">
        <v>1257</v>
      </c>
      <c r="J1023" s="24" t="s">
        <v>761</v>
      </c>
      <c r="K1023" s="24" t="s">
        <v>1146</v>
      </c>
      <c r="L1023" s="25">
        <v>1070</v>
      </c>
      <c r="M1023" s="26">
        <v>1.7859</v>
      </c>
      <c r="N1023" s="27">
        <v>1.7859</v>
      </c>
      <c r="O1023" s="28">
        <v>1.6235454545454546E-3</v>
      </c>
      <c r="P1023" s="28">
        <v>1.6910734513274337</v>
      </c>
    </row>
    <row r="1024" spans="1:16" x14ac:dyDescent="0.3">
      <c r="A1024" t="s">
        <v>3920</v>
      </c>
      <c r="B1024" s="24">
        <v>142363</v>
      </c>
      <c r="C1024" s="24" t="s">
        <v>1246</v>
      </c>
      <c r="D1024" s="24" t="s">
        <v>1102</v>
      </c>
      <c r="E1024" s="24" t="s">
        <v>402</v>
      </c>
      <c r="F1024" s="24" t="s">
        <v>1142</v>
      </c>
      <c r="G1024" s="24" t="s">
        <v>1244</v>
      </c>
      <c r="H1024" s="24" t="s">
        <v>410</v>
      </c>
      <c r="I1024" s="24" t="s">
        <v>1257</v>
      </c>
      <c r="J1024" s="24" t="s">
        <v>761</v>
      </c>
      <c r="K1024" s="24" t="s">
        <v>1146</v>
      </c>
      <c r="L1024" s="25">
        <v>1070</v>
      </c>
      <c r="M1024" s="26">
        <v>1.7859</v>
      </c>
      <c r="N1024" s="27">
        <v>1.7859</v>
      </c>
      <c r="O1024" s="28">
        <v>1.6235454545454546E-3</v>
      </c>
      <c r="P1024" s="28">
        <v>1.6910734513274337</v>
      </c>
    </row>
    <row r="1025" spans="1:16" x14ac:dyDescent="0.3">
      <c r="A1025" t="s">
        <v>3921</v>
      </c>
      <c r="B1025" s="24">
        <v>300024</v>
      </c>
      <c r="C1025" s="24" t="s">
        <v>1255</v>
      </c>
      <c r="D1025" s="24" t="s">
        <v>1102</v>
      </c>
      <c r="E1025" s="24" t="s">
        <v>402</v>
      </c>
      <c r="F1025" s="24" t="s">
        <v>1142</v>
      </c>
      <c r="G1025" s="24" t="s">
        <v>1244</v>
      </c>
      <c r="H1025" s="24" t="s">
        <v>408</v>
      </c>
      <c r="I1025" s="24" t="s">
        <v>1258</v>
      </c>
      <c r="J1025" s="24" t="s">
        <v>761</v>
      </c>
      <c r="K1025" s="24" t="s">
        <v>1146</v>
      </c>
      <c r="L1025" s="25">
        <v>1070</v>
      </c>
      <c r="M1025" s="26">
        <v>1.8003</v>
      </c>
      <c r="N1025" s="27">
        <v>1.8003</v>
      </c>
      <c r="O1025" s="28">
        <v>1.6366363636363635E-3</v>
      </c>
      <c r="P1025" s="28">
        <v>1.704708849557522</v>
      </c>
    </row>
    <row r="1026" spans="1:16" x14ac:dyDescent="0.3">
      <c r="A1026" t="s">
        <v>3922</v>
      </c>
      <c r="B1026" s="24">
        <v>102470</v>
      </c>
      <c r="C1026" s="24" t="s">
        <v>1247</v>
      </c>
      <c r="D1026" s="24" t="s">
        <v>1102</v>
      </c>
      <c r="E1026" s="24" t="s">
        <v>402</v>
      </c>
      <c r="F1026" s="24" t="s">
        <v>1142</v>
      </c>
      <c r="G1026" s="24" t="s">
        <v>1244</v>
      </c>
      <c r="H1026" s="24" t="s">
        <v>409</v>
      </c>
      <c r="I1026" s="24" t="s">
        <v>1257</v>
      </c>
      <c r="J1026" s="24" t="s">
        <v>761</v>
      </c>
      <c r="K1026" s="24" t="s">
        <v>1146</v>
      </c>
      <c r="L1026" s="25">
        <v>1070</v>
      </c>
      <c r="M1026" s="26">
        <v>1.7859</v>
      </c>
      <c r="N1026" s="27">
        <v>1.7859</v>
      </c>
      <c r="O1026" s="28">
        <v>1.6235454545454546E-3</v>
      </c>
      <c r="P1026" s="28">
        <v>1.6910734513274337</v>
      </c>
    </row>
    <row r="1027" spans="1:16" x14ac:dyDescent="0.3">
      <c r="A1027" t="s">
        <v>3923</v>
      </c>
      <c r="B1027" s="24">
        <v>114635</v>
      </c>
      <c r="C1027" s="24" t="s">
        <v>1243</v>
      </c>
      <c r="D1027" s="24" t="s">
        <v>1102</v>
      </c>
      <c r="E1027" s="24" t="s">
        <v>402</v>
      </c>
      <c r="F1027" s="24" t="s">
        <v>1142</v>
      </c>
      <c r="G1027" s="24" t="s">
        <v>1244</v>
      </c>
      <c r="H1027" s="24" t="s">
        <v>409</v>
      </c>
      <c r="I1027" s="24" t="s">
        <v>1257</v>
      </c>
      <c r="J1027" s="24" t="s">
        <v>761</v>
      </c>
      <c r="K1027" s="24" t="s">
        <v>1146</v>
      </c>
      <c r="L1027" s="25">
        <v>1070</v>
      </c>
      <c r="M1027" s="26">
        <v>1.7859</v>
      </c>
      <c r="N1027" s="27">
        <v>1.7859</v>
      </c>
      <c r="O1027" s="28">
        <v>1.6235454545454546E-3</v>
      </c>
      <c r="P1027" s="28">
        <v>1.6910734513274337</v>
      </c>
    </row>
    <row r="1028" spans="1:16" x14ac:dyDescent="0.3">
      <c r="A1028" t="s">
        <v>3924</v>
      </c>
      <c r="B1028" s="24">
        <v>142363</v>
      </c>
      <c r="C1028" s="24" t="s">
        <v>1246</v>
      </c>
      <c r="D1028" s="24" t="s">
        <v>1102</v>
      </c>
      <c r="E1028" s="24" t="s">
        <v>402</v>
      </c>
      <c r="F1028" s="24" t="s">
        <v>1142</v>
      </c>
      <c r="G1028" s="24" t="s">
        <v>1244</v>
      </c>
      <c r="H1028" s="24" t="s">
        <v>409</v>
      </c>
      <c r="I1028" s="24" t="s">
        <v>1257</v>
      </c>
      <c r="J1028" s="24" t="s">
        <v>761</v>
      </c>
      <c r="K1028" s="24" t="s">
        <v>1146</v>
      </c>
      <c r="L1028" s="25">
        <v>1070</v>
      </c>
      <c r="M1028" s="26">
        <v>1.7859</v>
      </c>
      <c r="N1028" s="27">
        <v>1.7859</v>
      </c>
      <c r="O1028" s="28">
        <v>1.6235454545454546E-3</v>
      </c>
      <c r="P1028" s="28">
        <v>1.6910734513274337</v>
      </c>
    </row>
    <row r="1029" spans="1:16" x14ac:dyDescent="0.3">
      <c r="A1029" t="s">
        <v>3925</v>
      </c>
      <c r="B1029" s="24">
        <v>300024</v>
      </c>
      <c r="C1029" s="24" t="s">
        <v>1255</v>
      </c>
      <c r="D1029" s="24" t="s">
        <v>1102</v>
      </c>
      <c r="E1029" s="24" t="s">
        <v>402</v>
      </c>
      <c r="F1029" s="24" t="s">
        <v>1142</v>
      </c>
      <c r="G1029" s="24" t="s">
        <v>1244</v>
      </c>
      <c r="H1029" s="24" t="s">
        <v>409</v>
      </c>
      <c r="I1029" s="24" t="s">
        <v>1257</v>
      </c>
      <c r="J1029" s="24" t="s">
        <v>761</v>
      </c>
      <c r="K1029" s="24" t="s">
        <v>1146</v>
      </c>
      <c r="L1029" s="25">
        <v>1070</v>
      </c>
      <c r="M1029" s="26">
        <v>1.8003</v>
      </c>
      <c r="N1029" s="27">
        <v>1.8003</v>
      </c>
      <c r="O1029" s="28">
        <v>1.6366363636363635E-3</v>
      </c>
      <c r="P1029" s="28">
        <v>1.704708849557522</v>
      </c>
    </row>
    <row r="1030" spans="1:16" x14ac:dyDescent="0.3">
      <c r="A1030" t="s">
        <v>3926</v>
      </c>
      <c r="B1030" s="24">
        <v>101554</v>
      </c>
      <c r="C1030" s="24" t="s">
        <v>1202</v>
      </c>
      <c r="D1030" s="24" t="s">
        <v>1102</v>
      </c>
      <c r="E1030" s="24" t="s">
        <v>402</v>
      </c>
      <c r="F1030" s="24" t="s">
        <v>1142</v>
      </c>
      <c r="G1030" s="24" t="s">
        <v>1244</v>
      </c>
      <c r="H1030" s="24" t="s">
        <v>409</v>
      </c>
      <c r="I1030" s="24" t="s">
        <v>1257</v>
      </c>
      <c r="J1030" s="24" t="s">
        <v>761</v>
      </c>
      <c r="K1030" s="24" t="s">
        <v>1146</v>
      </c>
      <c r="L1030" s="25">
        <v>1070</v>
      </c>
      <c r="M1030" s="26">
        <v>1.7859</v>
      </c>
      <c r="N1030" s="27">
        <v>1.7859</v>
      </c>
      <c r="O1030" s="28">
        <v>1.6235454545454546E-3</v>
      </c>
      <c r="P1030" s="28">
        <v>1.6910734513274337</v>
      </c>
    </row>
    <row r="1031" spans="1:16" x14ac:dyDescent="0.3">
      <c r="A1031" t="s">
        <v>3927</v>
      </c>
      <c r="B1031" s="24">
        <v>102470</v>
      </c>
      <c r="C1031" s="24" t="s">
        <v>1247</v>
      </c>
      <c r="D1031" s="24" t="s">
        <v>1102</v>
      </c>
      <c r="E1031" s="24" t="s">
        <v>402</v>
      </c>
      <c r="F1031" s="24" t="s">
        <v>1142</v>
      </c>
      <c r="G1031" s="24" t="s">
        <v>1244</v>
      </c>
      <c r="H1031" s="24" t="s">
        <v>411</v>
      </c>
      <c r="I1031" s="24" t="s">
        <v>1259</v>
      </c>
      <c r="J1031" s="24" t="s">
        <v>761</v>
      </c>
      <c r="K1031" s="24" t="s">
        <v>1146</v>
      </c>
      <c r="L1031" s="25">
        <v>1070</v>
      </c>
      <c r="M1031" s="26">
        <v>2.5636000000000001</v>
      </c>
      <c r="N1031" s="27">
        <v>2.5636000000000001</v>
      </c>
      <c r="O1031" s="28">
        <v>2.3305454545454545E-3</v>
      </c>
      <c r="P1031" s="28">
        <v>2.4274796460176993</v>
      </c>
    </row>
    <row r="1032" spans="1:16" x14ac:dyDescent="0.3">
      <c r="A1032" t="s">
        <v>3928</v>
      </c>
      <c r="B1032" s="24">
        <v>114635</v>
      </c>
      <c r="C1032" s="24" t="s">
        <v>1243</v>
      </c>
      <c r="D1032" s="24" t="s">
        <v>1102</v>
      </c>
      <c r="E1032" s="24" t="s">
        <v>402</v>
      </c>
      <c r="F1032" s="24" t="s">
        <v>1142</v>
      </c>
      <c r="G1032" s="24" t="s">
        <v>1244</v>
      </c>
      <c r="H1032" s="24" t="s">
        <v>411</v>
      </c>
      <c r="I1032" s="24" t="s">
        <v>1259</v>
      </c>
      <c r="J1032" s="24" t="s">
        <v>761</v>
      </c>
      <c r="K1032" s="24" t="s">
        <v>1146</v>
      </c>
      <c r="L1032" s="25">
        <v>1070</v>
      </c>
      <c r="M1032" s="26">
        <v>2.5636000000000001</v>
      </c>
      <c r="N1032" s="27">
        <v>2.5636000000000001</v>
      </c>
      <c r="O1032" s="28">
        <v>2.3305454545454545E-3</v>
      </c>
      <c r="P1032" s="28">
        <v>2.4274796460176993</v>
      </c>
    </row>
    <row r="1033" spans="1:16" x14ac:dyDescent="0.3">
      <c r="A1033" t="s">
        <v>3929</v>
      </c>
      <c r="B1033" s="24">
        <v>142363</v>
      </c>
      <c r="C1033" s="24" t="s">
        <v>1246</v>
      </c>
      <c r="D1033" s="24" t="s">
        <v>1102</v>
      </c>
      <c r="E1033" s="24" t="s">
        <v>402</v>
      </c>
      <c r="F1033" s="24" t="s">
        <v>1142</v>
      </c>
      <c r="G1033" s="24" t="s">
        <v>1244</v>
      </c>
      <c r="H1033" s="24" t="s">
        <v>411</v>
      </c>
      <c r="I1033" s="24" t="s">
        <v>1259</v>
      </c>
      <c r="J1033" s="24" t="s">
        <v>761</v>
      </c>
      <c r="K1033" s="24" t="s">
        <v>1146</v>
      </c>
      <c r="L1033" s="25">
        <v>1070</v>
      </c>
      <c r="M1033" s="26">
        <v>2.5636000000000001</v>
      </c>
      <c r="N1033" s="27">
        <v>2.5636000000000001</v>
      </c>
      <c r="O1033" s="28">
        <v>2.3305454545454545E-3</v>
      </c>
      <c r="P1033" s="28">
        <v>2.4274796460176993</v>
      </c>
    </row>
    <row r="1034" spans="1:16" x14ac:dyDescent="0.3">
      <c r="A1034" t="s">
        <v>3930</v>
      </c>
      <c r="B1034" s="24">
        <v>102470</v>
      </c>
      <c r="C1034" s="24" t="s">
        <v>1247</v>
      </c>
      <c r="D1034" s="24" t="s">
        <v>1102</v>
      </c>
      <c r="E1034" s="24" t="s">
        <v>402</v>
      </c>
      <c r="F1034" s="24" t="s">
        <v>1142</v>
      </c>
      <c r="G1034" s="24" t="s">
        <v>1244</v>
      </c>
      <c r="H1034" s="24" t="s">
        <v>414</v>
      </c>
      <c r="I1034" s="24" t="s">
        <v>1260</v>
      </c>
      <c r="J1034" s="24" t="s">
        <v>761</v>
      </c>
      <c r="K1034" s="24" t="s">
        <v>1146</v>
      </c>
      <c r="L1034" s="25">
        <v>1070</v>
      </c>
      <c r="M1034" s="26">
        <v>1.9293</v>
      </c>
      <c r="N1034" s="27">
        <v>1.9293</v>
      </c>
      <c r="O1034" s="28">
        <v>1.7539090909090909E-3</v>
      </c>
      <c r="P1034" s="28">
        <v>1.8268592920353983</v>
      </c>
    </row>
    <row r="1035" spans="1:16" x14ac:dyDescent="0.3">
      <c r="A1035" t="s">
        <v>3931</v>
      </c>
      <c r="B1035" s="24">
        <v>114635</v>
      </c>
      <c r="C1035" s="24" t="s">
        <v>1243</v>
      </c>
      <c r="D1035" s="24" t="s">
        <v>1102</v>
      </c>
      <c r="E1035" s="24" t="s">
        <v>402</v>
      </c>
      <c r="F1035" s="24" t="s">
        <v>1142</v>
      </c>
      <c r="G1035" s="24" t="s">
        <v>1244</v>
      </c>
      <c r="H1035" s="24" t="s">
        <v>414</v>
      </c>
      <c r="I1035" s="24" t="s">
        <v>1260</v>
      </c>
      <c r="J1035" s="24" t="s">
        <v>761</v>
      </c>
      <c r="K1035" s="24" t="s">
        <v>1146</v>
      </c>
      <c r="L1035" s="25">
        <v>1070</v>
      </c>
      <c r="M1035" s="26">
        <v>1.9293</v>
      </c>
      <c r="N1035" s="27">
        <v>1.9293</v>
      </c>
      <c r="O1035" s="28">
        <v>1.7539090909090909E-3</v>
      </c>
      <c r="P1035" s="28">
        <v>1.8268592920353983</v>
      </c>
    </row>
    <row r="1036" spans="1:16" x14ac:dyDescent="0.3">
      <c r="A1036" t="s">
        <v>3932</v>
      </c>
      <c r="B1036" s="24">
        <v>142363</v>
      </c>
      <c r="C1036" s="24" t="s">
        <v>1246</v>
      </c>
      <c r="D1036" s="24" t="s">
        <v>1102</v>
      </c>
      <c r="E1036" s="24" t="s">
        <v>402</v>
      </c>
      <c r="F1036" s="24" t="s">
        <v>1142</v>
      </c>
      <c r="G1036" s="24" t="s">
        <v>1244</v>
      </c>
      <c r="H1036" s="24" t="s">
        <v>414</v>
      </c>
      <c r="I1036" s="24" t="s">
        <v>1260</v>
      </c>
      <c r="J1036" s="24" t="s">
        <v>761</v>
      </c>
      <c r="K1036" s="24" t="s">
        <v>1146</v>
      </c>
      <c r="L1036" s="25">
        <v>1070</v>
      </c>
      <c r="M1036" s="26">
        <v>1.9293</v>
      </c>
      <c r="N1036" s="27">
        <v>1.9293</v>
      </c>
      <c r="O1036" s="28">
        <v>1.7539090909090909E-3</v>
      </c>
      <c r="P1036" s="28">
        <v>1.8268592920353983</v>
      </c>
    </row>
    <row r="1037" spans="1:16" x14ac:dyDescent="0.3">
      <c r="A1037" t="s">
        <v>3933</v>
      </c>
      <c r="B1037" s="24">
        <v>102470</v>
      </c>
      <c r="C1037" s="24" t="s">
        <v>1247</v>
      </c>
      <c r="D1037" s="24" t="s">
        <v>1102</v>
      </c>
      <c r="E1037" s="24" t="s">
        <v>402</v>
      </c>
      <c r="F1037" s="24" t="s">
        <v>1142</v>
      </c>
      <c r="G1037" s="24" t="s">
        <v>1244</v>
      </c>
      <c r="H1037" s="24" t="s">
        <v>412</v>
      </c>
      <c r="I1037" s="24" t="s">
        <v>1261</v>
      </c>
      <c r="J1037" s="24" t="s">
        <v>761</v>
      </c>
      <c r="K1037" s="24" t="s">
        <v>1146</v>
      </c>
      <c r="L1037" s="25">
        <v>1070</v>
      </c>
      <c r="M1037" s="26">
        <v>1.9293</v>
      </c>
      <c r="N1037" s="27">
        <v>1.9293</v>
      </c>
      <c r="O1037" s="28">
        <v>1.7539090909090909E-3</v>
      </c>
      <c r="P1037" s="28">
        <v>1.8268592920353983</v>
      </c>
    </row>
    <row r="1038" spans="1:16" x14ac:dyDescent="0.3">
      <c r="A1038" t="s">
        <v>3934</v>
      </c>
      <c r="B1038" s="24">
        <v>141365</v>
      </c>
      <c r="C1038" s="24" t="s">
        <v>1262</v>
      </c>
      <c r="D1038" s="24" t="s">
        <v>1102</v>
      </c>
      <c r="E1038" s="24" t="s">
        <v>402</v>
      </c>
      <c r="F1038" s="24" t="s">
        <v>1142</v>
      </c>
      <c r="G1038" s="24" t="s">
        <v>1244</v>
      </c>
      <c r="H1038" s="24" t="s">
        <v>412</v>
      </c>
      <c r="I1038" s="24" t="s">
        <v>1261</v>
      </c>
      <c r="J1038" s="24" t="s">
        <v>761</v>
      </c>
      <c r="K1038" s="24" t="s">
        <v>1146</v>
      </c>
      <c r="L1038" s="25">
        <v>1070</v>
      </c>
      <c r="M1038" s="26">
        <v>1.9946999999999999</v>
      </c>
      <c r="N1038" s="27">
        <v>1.9946999999999999</v>
      </c>
      <c r="O1038" s="28">
        <v>1.8133636363636364E-3</v>
      </c>
      <c r="P1038" s="28">
        <v>1.8887867256637165</v>
      </c>
    </row>
    <row r="1039" spans="1:16" x14ac:dyDescent="0.3">
      <c r="A1039" t="s">
        <v>3935</v>
      </c>
      <c r="B1039" s="24">
        <v>300024</v>
      </c>
      <c r="C1039" s="24" t="s">
        <v>1255</v>
      </c>
      <c r="D1039" s="24" t="s">
        <v>1102</v>
      </c>
      <c r="E1039" s="24" t="s">
        <v>402</v>
      </c>
      <c r="F1039" s="24" t="s">
        <v>1142</v>
      </c>
      <c r="G1039" s="24" t="s">
        <v>1244</v>
      </c>
      <c r="H1039" s="24" t="s">
        <v>412</v>
      </c>
      <c r="I1039" s="24" t="s">
        <v>1261</v>
      </c>
      <c r="J1039" s="24" t="s">
        <v>761</v>
      </c>
      <c r="K1039" s="24" t="s">
        <v>1146</v>
      </c>
      <c r="L1039" s="25">
        <v>1070</v>
      </c>
      <c r="M1039" s="26">
        <v>1.9448000000000001</v>
      </c>
      <c r="N1039" s="27">
        <v>1.9448000000000001</v>
      </c>
      <c r="O1039" s="28">
        <v>1.768E-3</v>
      </c>
      <c r="P1039" s="28">
        <v>1.8415362831858408</v>
      </c>
    </row>
    <row r="1040" spans="1:16" x14ac:dyDescent="0.3">
      <c r="A1040" t="s">
        <v>3936</v>
      </c>
      <c r="B1040" s="24">
        <v>102470</v>
      </c>
      <c r="C1040" s="24" t="s">
        <v>1247</v>
      </c>
      <c r="D1040" s="24" t="s">
        <v>1102</v>
      </c>
      <c r="E1040" s="24" t="s">
        <v>402</v>
      </c>
      <c r="F1040" s="24" t="s">
        <v>1142</v>
      </c>
      <c r="G1040" s="24" t="s">
        <v>1244</v>
      </c>
      <c r="H1040" s="24" t="s">
        <v>413</v>
      </c>
      <c r="I1040" s="24" t="s">
        <v>1260</v>
      </c>
      <c r="J1040" s="24" t="s">
        <v>761</v>
      </c>
      <c r="K1040" s="24" t="s">
        <v>1146</v>
      </c>
      <c r="L1040" s="25">
        <v>1070</v>
      </c>
      <c r="M1040" s="26">
        <v>1.9293</v>
      </c>
      <c r="N1040" s="27">
        <v>1.9293</v>
      </c>
      <c r="O1040" s="28">
        <v>1.7539090909090909E-3</v>
      </c>
      <c r="P1040" s="28">
        <v>1.8268592920353983</v>
      </c>
    </row>
    <row r="1041" spans="1:16" x14ac:dyDescent="0.3">
      <c r="A1041" t="s">
        <v>3937</v>
      </c>
      <c r="B1041" s="24">
        <v>300024</v>
      </c>
      <c r="C1041" s="24" t="s">
        <v>1255</v>
      </c>
      <c r="D1041" s="24" t="s">
        <v>1102</v>
      </c>
      <c r="E1041" s="24" t="s">
        <v>402</v>
      </c>
      <c r="F1041" s="24" t="s">
        <v>1142</v>
      </c>
      <c r="G1041" s="24" t="s">
        <v>1244</v>
      </c>
      <c r="H1041" s="24" t="s">
        <v>413</v>
      </c>
      <c r="I1041" s="24" t="s">
        <v>1260</v>
      </c>
      <c r="J1041" s="24" t="s">
        <v>761</v>
      </c>
      <c r="K1041" s="24" t="s">
        <v>1146</v>
      </c>
      <c r="L1041" s="25">
        <v>1070</v>
      </c>
      <c r="M1041" s="26">
        <v>1.9448000000000001</v>
      </c>
      <c r="N1041" s="27">
        <v>1.9448000000000001</v>
      </c>
      <c r="O1041" s="28">
        <v>1.768E-3</v>
      </c>
      <c r="P1041" s="28">
        <v>1.8415362831858408</v>
      </c>
    </row>
    <row r="1042" spans="1:16" x14ac:dyDescent="0.3">
      <c r="A1042" t="s">
        <v>3938</v>
      </c>
      <c r="B1042" s="24">
        <v>114635</v>
      </c>
      <c r="C1042" s="24" t="s">
        <v>1243</v>
      </c>
      <c r="D1042" s="24" t="s">
        <v>1102</v>
      </c>
      <c r="E1042" s="24" t="s">
        <v>402</v>
      </c>
      <c r="F1042" s="24" t="s">
        <v>1142</v>
      </c>
      <c r="G1042" s="24" t="s">
        <v>1244</v>
      </c>
      <c r="H1042" s="24" t="s">
        <v>1263</v>
      </c>
      <c r="I1042" s="24" t="s">
        <v>1264</v>
      </c>
      <c r="J1042" s="24" t="s">
        <v>761</v>
      </c>
      <c r="K1042" s="24" t="s">
        <v>1146</v>
      </c>
      <c r="L1042" s="25">
        <v>1070</v>
      </c>
      <c r="M1042" s="26">
        <v>2.7162000000000002</v>
      </c>
      <c r="N1042" s="27">
        <v>2.7162000000000002</v>
      </c>
      <c r="O1042" s="28">
        <v>2.4692727272727275E-3</v>
      </c>
      <c r="P1042" s="28">
        <v>2.5719769911504429</v>
      </c>
    </row>
    <row r="1043" spans="1:16" x14ac:dyDescent="0.3">
      <c r="A1043" t="s">
        <v>3939</v>
      </c>
      <c r="B1043" s="24">
        <v>142363</v>
      </c>
      <c r="C1043" s="24" t="s">
        <v>1246</v>
      </c>
      <c r="D1043" s="24" t="s">
        <v>1102</v>
      </c>
      <c r="E1043" s="24" t="s">
        <v>402</v>
      </c>
      <c r="F1043" s="24" t="s">
        <v>1142</v>
      </c>
      <c r="G1043" s="24" t="s">
        <v>1244</v>
      </c>
      <c r="H1043" s="24" t="s">
        <v>1263</v>
      </c>
      <c r="I1043" s="24" t="s">
        <v>1264</v>
      </c>
      <c r="J1043" s="24" t="s">
        <v>761</v>
      </c>
      <c r="K1043" s="24" t="s">
        <v>1146</v>
      </c>
      <c r="L1043" s="25">
        <v>1070</v>
      </c>
      <c r="M1043" s="26">
        <v>2.7162000000000002</v>
      </c>
      <c r="N1043" s="27">
        <v>2.7162000000000002</v>
      </c>
      <c r="O1043" s="28">
        <v>2.4692727272727275E-3</v>
      </c>
      <c r="P1043" s="28">
        <v>2.5719769911504429</v>
      </c>
    </row>
    <row r="1044" spans="1:16" x14ac:dyDescent="0.3">
      <c r="A1044" t="s">
        <v>3940</v>
      </c>
      <c r="B1044" s="24">
        <v>102470</v>
      </c>
      <c r="C1044" s="24" t="s">
        <v>1247</v>
      </c>
      <c r="D1044" s="24" t="s">
        <v>1102</v>
      </c>
      <c r="E1044" s="24" t="s">
        <v>402</v>
      </c>
      <c r="F1044" s="24" t="s">
        <v>1142</v>
      </c>
      <c r="G1044" s="24" t="s">
        <v>1244</v>
      </c>
      <c r="H1044" s="24" t="s">
        <v>415</v>
      </c>
      <c r="I1044" s="24" t="s">
        <v>1264</v>
      </c>
      <c r="J1044" s="24" t="s">
        <v>761</v>
      </c>
      <c r="K1044" s="24" t="s">
        <v>1146</v>
      </c>
      <c r="L1044" s="25">
        <v>1070</v>
      </c>
      <c r="M1044" s="26">
        <v>2.7162000000000002</v>
      </c>
      <c r="N1044" s="27">
        <v>2.7162000000000002</v>
      </c>
      <c r="O1044" s="28">
        <v>2.4692727272727275E-3</v>
      </c>
      <c r="P1044" s="28">
        <v>2.5719769911504429</v>
      </c>
    </row>
    <row r="1045" spans="1:16" x14ac:dyDescent="0.3">
      <c r="A1045" t="s">
        <v>3941</v>
      </c>
      <c r="B1045" s="24">
        <v>114635</v>
      </c>
      <c r="C1045" s="24" t="s">
        <v>1243</v>
      </c>
      <c r="D1045" s="24" t="s">
        <v>1102</v>
      </c>
      <c r="E1045" s="24" t="s">
        <v>402</v>
      </c>
      <c r="F1045" s="24" t="s">
        <v>1142</v>
      </c>
      <c r="G1045" s="24" t="s">
        <v>1244</v>
      </c>
      <c r="H1045" s="24" t="s">
        <v>415</v>
      </c>
      <c r="I1045" s="24" t="s">
        <v>1264</v>
      </c>
      <c r="J1045" s="24" t="s">
        <v>761</v>
      </c>
      <c r="K1045" s="24" t="s">
        <v>1146</v>
      </c>
      <c r="L1045" s="25">
        <v>1070</v>
      </c>
      <c r="M1045" s="26">
        <v>2.7162000000000002</v>
      </c>
      <c r="N1045" s="27">
        <v>2.7162000000000002</v>
      </c>
      <c r="O1045" s="28">
        <v>2.4692727272727275E-3</v>
      </c>
      <c r="P1045" s="28">
        <v>2.5719769911504429</v>
      </c>
    </row>
    <row r="1046" spans="1:16" x14ac:dyDescent="0.3">
      <c r="A1046" t="s">
        <v>3942</v>
      </c>
      <c r="B1046" s="24">
        <v>142363</v>
      </c>
      <c r="C1046" s="24" t="s">
        <v>1246</v>
      </c>
      <c r="D1046" s="24" t="s">
        <v>1102</v>
      </c>
      <c r="E1046" s="24" t="s">
        <v>402</v>
      </c>
      <c r="F1046" s="24" t="s">
        <v>1142</v>
      </c>
      <c r="G1046" s="24" t="s">
        <v>1244</v>
      </c>
      <c r="H1046" s="24" t="s">
        <v>415</v>
      </c>
      <c r="I1046" s="24" t="s">
        <v>1264</v>
      </c>
      <c r="J1046" s="24" t="s">
        <v>761</v>
      </c>
      <c r="K1046" s="24" t="s">
        <v>1146</v>
      </c>
      <c r="L1046" s="25">
        <v>1070</v>
      </c>
      <c r="M1046" s="26">
        <v>2.7162000000000002</v>
      </c>
      <c r="N1046" s="27">
        <v>2.7162000000000002</v>
      </c>
      <c r="O1046" s="28">
        <v>2.4692727272727275E-3</v>
      </c>
      <c r="P1046" s="28">
        <v>2.5719769911504429</v>
      </c>
    </row>
    <row r="1047" spans="1:16" x14ac:dyDescent="0.3">
      <c r="A1047" t="s">
        <v>3943</v>
      </c>
      <c r="B1047" s="24">
        <v>101554</v>
      </c>
      <c r="C1047" s="24" t="s">
        <v>1202</v>
      </c>
      <c r="D1047" s="24" t="s">
        <v>1102</v>
      </c>
      <c r="E1047" s="24" t="s">
        <v>402</v>
      </c>
      <c r="F1047" s="24" t="s">
        <v>1142</v>
      </c>
      <c r="G1047" s="24" t="s">
        <v>1244</v>
      </c>
      <c r="H1047" s="24" t="s">
        <v>416</v>
      </c>
      <c r="I1047" s="24" t="s">
        <v>1265</v>
      </c>
      <c r="J1047" s="24" t="s">
        <v>761</v>
      </c>
      <c r="K1047" s="24" t="s">
        <v>1146</v>
      </c>
      <c r="L1047" s="25">
        <v>1070</v>
      </c>
      <c r="M1047" s="26">
        <v>2.5781999999999998</v>
      </c>
      <c r="N1047" s="27">
        <v>2.5781999999999998</v>
      </c>
      <c r="O1047" s="28">
        <v>2.3438181818181817E-3</v>
      </c>
      <c r="P1047" s="28">
        <v>2.4413044247787612</v>
      </c>
    </row>
    <row r="1048" spans="1:16" x14ac:dyDescent="0.3">
      <c r="A1048" t="s">
        <v>3944</v>
      </c>
      <c r="B1048" s="24">
        <v>101554</v>
      </c>
      <c r="C1048" s="24" t="s">
        <v>1202</v>
      </c>
      <c r="D1048" s="24" t="s">
        <v>1102</v>
      </c>
      <c r="E1048" s="24" t="s">
        <v>402</v>
      </c>
      <c r="F1048" s="24" t="s">
        <v>1142</v>
      </c>
      <c r="G1048" s="24" t="s">
        <v>1244</v>
      </c>
      <c r="H1048" s="24" t="s">
        <v>1127</v>
      </c>
      <c r="I1048" s="24" t="s">
        <v>1266</v>
      </c>
      <c r="J1048" s="24" t="s">
        <v>761</v>
      </c>
      <c r="K1048" s="24" t="s">
        <v>1146</v>
      </c>
      <c r="L1048" s="25">
        <v>1070</v>
      </c>
      <c r="M1048" s="26">
        <v>1.85</v>
      </c>
      <c r="N1048" s="27">
        <v>1.85</v>
      </c>
      <c r="O1048" s="28">
        <v>1.6818181818181819E-3</v>
      </c>
      <c r="P1048" s="28">
        <v>1.7517699115044247</v>
      </c>
    </row>
    <row r="1049" spans="1:16" x14ac:dyDescent="0.3">
      <c r="A1049" t="s">
        <v>3945</v>
      </c>
      <c r="B1049" s="24">
        <v>101554</v>
      </c>
      <c r="C1049" s="24" t="s">
        <v>1202</v>
      </c>
      <c r="D1049" s="24" t="s">
        <v>1102</v>
      </c>
      <c r="E1049" s="24" t="s">
        <v>402</v>
      </c>
      <c r="F1049" s="24" t="s">
        <v>1142</v>
      </c>
      <c r="G1049" s="24" t="s">
        <v>1244</v>
      </c>
      <c r="H1049" s="24" t="s">
        <v>417</v>
      </c>
      <c r="I1049" s="24" t="s">
        <v>1267</v>
      </c>
      <c r="J1049" s="24" t="s">
        <v>761</v>
      </c>
      <c r="K1049" s="24" t="s">
        <v>1146</v>
      </c>
      <c r="L1049" s="25">
        <v>1070</v>
      </c>
      <c r="M1049" s="26">
        <v>1.85</v>
      </c>
      <c r="N1049" s="27">
        <v>1.85</v>
      </c>
      <c r="O1049" s="28">
        <v>1.6818181818181819E-3</v>
      </c>
      <c r="P1049" s="28">
        <v>1.7517699115044247</v>
      </c>
    </row>
    <row r="1050" spans="1:16" x14ac:dyDescent="0.3">
      <c r="A1050" t="s">
        <v>3946</v>
      </c>
      <c r="B1050" s="24">
        <v>114635</v>
      </c>
      <c r="C1050" s="24" t="s">
        <v>1243</v>
      </c>
      <c r="D1050" s="24" t="s">
        <v>1102</v>
      </c>
      <c r="E1050" s="24" t="s">
        <v>51</v>
      </c>
      <c r="F1050" s="24" t="s">
        <v>1142</v>
      </c>
      <c r="G1050" s="24" t="s">
        <v>1244</v>
      </c>
      <c r="H1050" s="24" t="s">
        <v>419</v>
      </c>
      <c r="I1050" s="24" t="s">
        <v>1268</v>
      </c>
      <c r="J1050" s="24" t="s">
        <v>761</v>
      </c>
      <c r="K1050" s="24" t="s">
        <v>1146</v>
      </c>
      <c r="L1050" s="25">
        <v>1070</v>
      </c>
      <c r="M1050" s="26">
        <v>2.4165999999999999</v>
      </c>
      <c r="N1050" s="27">
        <v>2.4165999999999999</v>
      </c>
      <c r="O1050" s="28">
        <v>2.1969090909090909E-3</v>
      </c>
      <c r="P1050" s="28">
        <v>2.288284955752212</v>
      </c>
    </row>
    <row r="1051" spans="1:16" x14ac:dyDescent="0.3">
      <c r="A1051" t="s">
        <v>3947</v>
      </c>
      <c r="B1051" s="24">
        <v>142363</v>
      </c>
      <c r="C1051" s="24" t="s">
        <v>1246</v>
      </c>
      <c r="D1051" s="24" t="s">
        <v>1102</v>
      </c>
      <c r="E1051" s="24" t="s">
        <v>51</v>
      </c>
      <c r="F1051" s="24" t="s">
        <v>1142</v>
      </c>
      <c r="G1051" s="24" t="s">
        <v>1244</v>
      </c>
      <c r="H1051" s="24" t="s">
        <v>419</v>
      </c>
      <c r="I1051" s="24" t="s">
        <v>1268</v>
      </c>
      <c r="J1051" s="24" t="s">
        <v>761</v>
      </c>
      <c r="K1051" s="24" t="s">
        <v>1146</v>
      </c>
      <c r="L1051" s="25">
        <v>1070</v>
      </c>
      <c r="M1051" s="26">
        <v>2.4165999999999999</v>
      </c>
      <c r="N1051" s="27">
        <v>2.4165999999999999</v>
      </c>
      <c r="O1051" s="28">
        <v>2.1969090909090909E-3</v>
      </c>
      <c r="P1051" s="28">
        <v>2.288284955752212</v>
      </c>
    </row>
    <row r="1052" spans="1:16" x14ac:dyDescent="0.3">
      <c r="A1052" t="s">
        <v>3948</v>
      </c>
      <c r="B1052" s="24">
        <v>101554</v>
      </c>
      <c r="C1052" s="24" t="s">
        <v>1202</v>
      </c>
      <c r="D1052" s="24" t="s">
        <v>1102</v>
      </c>
      <c r="E1052" s="24" t="s">
        <v>51</v>
      </c>
      <c r="F1052" s="24" t="s">
        <v>1142</v>
      </c>
      <c r="G1052" s="24" t="s">
        <v>1244</v>
      </c>
      <c r="H1052" s="24" t="s">
        <v>419</v>
      </c>
      <c r="I1052" s="24" t="s">
        <v>1268</v>
      </c>
      <c r="J1052" s="24" t="s">
        <v>761</v>
      </c>
      <c r="K1052" s="24" t="s">
        <v>1146</v>
      </c>
      <c r="L1052" s="25">
        <v>1070</v>
      </c>
      <c r="M1052" s="26">
        <v>2.4165999999999999</v>
      </c>
      <c r="N1052" s="27">
        <v>2.4165999999999999</v>
      </c>
      <c r="O1052" s="28">
        <v>2.1969090909090909E-3</v>
      </c>
      <c r="P1052" s="28">
        <v>2.288284955752212</v>
      </c>
    </row>
    <row r="1053" spans="1:16" x14ac:dyDescent="0.3">
      <c r="A1053" t="s">
        <v>3949</v>
      </c>
      <c r="B1053" s="24">
        <v>102470</v>
      </c>
      <c r="C1053" s="24" t="s">
        <v>1247</v>
      </c>
      <c r="D1053" s="24" t="s">
        <v>1102</v>
      </c>
      <c r="E1053" s="24" t="s">
        <v>402</v>
      </c>
      <c r="F1053" s="24" t="s">
        <v>1142</v>
      </c>
      <c r="G1053" s="24" t="s">
        <v>1244</v>
      </c>
      <c r="H1053" s="24" t="s">
        <v>418</v>
      </c>
      <c r="I1053" s="24" t="s">
        <v>1269</v>
      </c>
      <c r="J1053" s="24" t="s">
        <v>761</v>
      </c>
      <c r="K1053" s="24" t="s">
        <v>1146</v>
      </c>
      <c r="L1053" s="25">
        <v>1070</v>
      </c>
      <c r="M1053" s="26">
        <v>2.4165999999999999</v>
      </c>
      <c r="N1053" s="27">
        <v>2.4165999999999999</v>
      </c>
      <c r="O1053" s="28">
        <v>2.1969090909090909E-3</v>
      </c>
      <c r="P1053" s="28">
        <v>2.288284955752212</v>
      </c>
    </row>
    <row r="1054" spans="1:16" x14ac:dyDescent="0.3">
      <c r="A1054" t="s">
        <v>3950</v>
      </c>
      <c r="B1054" s="24">
        <v>112102</v>
      </c>
      <c r="C1054" s="24" t="s">
        <v>1270</v>
      </c>
      <c r="D1054" s="24" t="s">
        <v>1102</v>
      </c>
      <c r="E1054" s="24" t="s">
        <v>402</v>
      </c>
      <c r="F1054" s="24" t="s">
        <v>1142</v>
      </c>
      <c r="G1054" s="24" t="s">
        <v>1244</v>
      </c>
      <c r="H1054" s="24" t="s">
        <v>418</v>
      </c>
      <c r="I1054" s="24" t="s">
        <v>1269</v>
      </c>
      <c r="J1054" s="24" t="s">
        <v>761</v>
      </c>
      <c r="K1054" s="24" t="s">
        <v>1146</v>
      </c>
      <c r="L1054" s="25">
        <v>1070</v>
      </c>
      <c r="M1054" s="26">
        <v>2.4262999999999999</v>
      </c>
      <c r="N1054" s="27">
        <v>2.4262999999999999</v>
      </c>
      <c r="O1054" s="28">
        <v>2.2057272727272728E-3</v>
      </c>
      <c r="P1054" s="28">
        <v>2.2974699115044248</v>
      </c>
    </row>
    <row r="1055" spans="1:16" x14ac:dyDescent="0.3">
      <c r="A1055" t="s">
        <v>3951</v>
      </c>
      <c r="B1055" s="24">
        <v>112102</v>
      </c>
      <c r="C1055" s="24" t="s">
        <v>1270</v>
      </c>
      <c r="D1055" s="24" t="s">
        <v>1102</v>
      </c>
      <c r="E1055" s="24" t="s">
        <v>402</v>
      </c>
      <c r="F1055" s="24" t="s">
        <v>1142</v>
      </c>
      <c r="G1055" s="24" t="s">
        <v>1244</v>
      </c>
      <c r="H1055" s="24" t="s">
        <v>418</v>
      </c>
      <c r="I1055" s="24" t="s">
        <v>1268</v>
      </c>
      <c r="J1055" s="24" t="s">
        <v>761</v>
      </c>
      <c r="K1055" s="24" t="s">
        <v>1146</v>
      </c>
      <c r="L1055" s="25">
        <v>1070</v>
      </c>
      <c r="M1055" s="26">
        <v>2.4262999999999999</v>
      </c>
      <c r="N1055" s="27">
        <v>2.4262999999999999</v>
      </c>
      <c r="O1055" s="28">
        <v>2.2057272727272728E-3</v>
      </c>
      <c r="P1055" s="28">
        <v>2.2974699115044248</v>
      </c>
    </row>
    <row r="1056" spans="1:16" x14ac:dyDescent="0.3">
      <c r="A1056" t="s">
        <v>3952</v>
      </c>
      <c r="B1056" s="24">
        <v>114635</v>
      </c>
      <c r="C1056" s="24" t="s">
        <v>1243</v>
      </c>
      <c r="D1056" s="24" t="s">
        <v>1102</v>
      </c>
      <c r="E1056" s="24" t="s">
        <v>51</v>
      </c>
      <c r="F1056" s="24" t="s">
        <v>1142</v>
      </c>
      <c r="G1056" s="24" t="s">
        <v>1244</v>
      </c>
      <c r="H1056" s="24" t="s">
        <v>420</v>
      </c>
      <c r="I1056" s="24" t="s">
        <v>1271</v>
      </c>
      <c r="J1056" s="24" t="s">
        <v>761</v>
      </c>
      <c r="K1056" s="24" t="s">
        <v>1146</v>
      </c>
      <c r="L1056" s="25">
        <v>1070</v>
      </c>
      <c r="M1056" s="26">
        <v>3.5775999999999999</v>
      </c>
      <c r="N1056" s="27">
        <v>3.5775999999999999</v>
      </c>
      <c r="O1056" s="28">
        <v>3.2523636363636361E-3</v>
      </c>
      <c r="P1056" s="28">
        <v>3.3876389380530969</v>
      </c>
    </row>
    <row r="1057" spans="1:16" x14ac:dyDescent="0.3">
      <c r="A1057" t="s">
        <v>3953</v>
      </c>
      <c r="B1057" s="24">
        <v>142363</v>
      </c>
      <c r="C1057" s="24" t="s">
        <v>1246</v>
      </c>
      <c r="D1057" s="24" t="s">
        <v>1102</v>
      </c>
      <c r="E1057" s="24" t="s">
        <v>51</v>
      </c>
      <c r="F1057" s="24" t="s">
        <v>1142</v>
      </c>
      <c r="G1057" s="24" t="s">
        <v>1244</v>
      </c>
      <c r="H1057" s="24" t="s">
        <v>420</v>
      </c>
      <c r="I1057" s="24" t="s">
        <v>1271</v>
      </c>
      <c r="J1057" s="24" t="s">
        <v>761</v>
      </c>
      <c r="K1057" s="24" t="s">
        <v>1146</v>
      </c>
      <c r="L1057" s="25">
        <v>1070</v>
      </c>
      <c r="M1057" s="26">
        <v>3.5775999999999999</v>
      </c>
      <c r="N1057" s="27">
        <v>3.5775999999999999</v>
      </c>
      <c r="O1057" s="28">
        <v>3.2523636363636361E-3</v>
      </c>
      <c r="P1057" s="28">
        <v>3.3876389380530969</v>
      </c>
    </row>
    <row r="1058" spans="1:16" x14ac:dyDescent="0.3">
      <c r="A1058" t="s">
        <v>3954</v>
      </c>
      <c r="B1058" s="24">
        <v>101554</v>
      </c>
      <c r="C1058" s="24" t="s">
        <v>1202</v>
      </c>
      <c r="D1058" s="24" t="s">
        <v>1102</v>
      </c>
      <c r="E1058" s="24" t="s">
        <v>402</v>
      </c>
      <c r="F1058" s="24" t="s">
        <v>1142</v>
      </c>
      <c r="G1058" s="24" t="s">
        <v>1244</v>
      </c>
      <c r="H1058" s="24" t="s">
        <v>420</v>
      </c>
      <c r="I1058" s="24" t="s">
        <v>1271</v>
      </c>
      <c r="J1058" s="24" t="s">
        <v>761</v>
      </c>
      <c r="K1058" s="24" t="s">
        <v>1146</v>
      </c>
      <c r="L1058" s="25">
        <v>1070</v>
      </c>
      <c r="M1058" s="26">
        <v>3.5775999999999999</v>
      </c>
      <c r="N1058" s="27">
        <v>3.5775999999999999</v>
      </c>
      <c r="O1058" s="28">
        <v>3.2523636363636361E-3</v>
      </c>
      <c r="P1058" s="28">
        <v>3.3876389380530969</v>
      </c>
    </row>
    <row r="1059" spans="1:16" x14ac:dyDescent="0.3">
      <c r="A1059" t="s">
        <v>3955</v>
      </c>
      <c r="B1059" s="24">
        <v>102470</v>
      </c>
      <c r="C1059" s="24" t="s">
        <v>1247</v>
      </c>
      <c r="D1059" s="24" t="s">
        <v>1102</v>
      </c>
      <c r="E1059" s="24" t="s">
        <v>402</v>
      </c>
      <c r="F1059" s="24" t="s">
        <v>1142</v>
      </c>
      <c r="G1059" s="24" t="s">
        <v>1244</v>
      </c>
      <c r="H1059" s="24" t="s">
        <v>421</v>
      </c>
      <c r="I1059" s="24" t="s">
        <v>1272</v>
      </c>
      <c r="J1059" s="24" t="s">
        <v>761</v>
      </c>
      <c r="K1059" s="24" t="s">
        <v>1146</v>
      </c>
      <c r="L1059" s="25">
        <v>1070</v>
      </c>
      <c r="M1059" s="26">
        <v>1.8709</v>
      </c>
      <c r="N1059" s="27">
        <v>1.8709</v>
      </c>
      <c r="O1059" s="28">
        <v>1.7008181818181818E-3</v>
      </c>
      <c r="P1059" s="28">
        <v>1.7715601769911504</v>
      </c>
    </row>
    <row r="1060" spans="1:16" x14ac:dyDescent="0.3">
      <c r="A1060" t="s">
        <v>3956</v>
      </c>
      <c r="B1060" s="24">
        <v>114635</v>
      </c>
      <c r="C1060" s="24" t="s">
        <v>1243</v>
      </c>
      <c r="D1060" s="24" t="s">
        <v>1102</v>
      </c>
      <c r="E1060" s="24" t="s">
        <v>402</v>
      </c>
      <c r="F1060" s="24" t="s">
        <v>1142</v>
      </c>
      <c r="G1060" s="24" t="s">
        <v>1244</v>
      </c>
      <c r="H1060" s="24" t="s">
        <v>421</v>
      </c>
      <c r="I1060" s="24" t="s">
        <v>1272</v>
      </c>
      <c r="J1060" s="24" t="s">
        <v>761</v>
      </c>
      <c r="K1060" s="24" t="s">
        <v>1146</v>
      </c>
      <c r="L1060" s="25">
        <v>1070</v>
      </c>
      <c r="M1060" s="26">
        <v>1.8709</v>
      </c>
      <c r="N1060" s="27">
        <v>1.8709</v>
      </c>
      <c r="O1060" s="28">
        <v>1.7008181818181818E-3</v>
      </c>
      <c r="P1060" s="28">
        <v>1.7715601769911504</v>
      </c>
    </row>
    <row r="1061" spans="1:16" x14ac:dyDescent="0.3">
      <c r="A1061" t="s">
        <v>3957</v>
      </c>
      <c r="B1061" s="24">
        <v>142805</v>
      </c>
      <c r="C1061" s="24" t="s">
        <v>1249</v>
      </c>
      <c r="D1061" s="24" t="s">
        <v>1102</v>
      </c>
      <c r="E1061" s="24" t="s">
        <v>402</v>
      </c>
      <c r="F1061" s="24" t="s">
        <v>1142</v>
      </c>
      <c r="G1061" s="24" t="s">
        <v>1244</v>
      </c>
      <c r="H1061" s="24" t="s">
        <v>421</v>
      </c>
      <c r="I1061" s="24" t="s">
        <v>1272</v>
      </c>
      <c r="J1061" s="24" t="s">
        <v>761</v>
      </c>
      <c r="K1061" s="24" t="s">
        <v>1146</v>
      </c>
      <c r="L1061" s="25">
        <v>1070</v>
      </c>
      <c r="M1061" s="26">
        <v>1.9891000000000001</v>
      </c>
      <c r="N1061" s="27">
        <v>1.9891000000000001</v>
      </c>
      <c r="O1061" s="28">
        <v>1.8082727272727274E-3</v>
      </c>
      <c r="P1061" s="28">
        <v>1.8834840707964602</v>
      </c>
    </row>
    <row r="1062" spans="1:16" x14ac:dyDescent="0.3">
      <c r="A1062" t="s">
        <v>3958</v>
      </c>
      <c r="B1062" s="24">
        <v>400144</v>
      </c>
      <c r="C1062" s="24" t="s">
        <v>1250</v>
      </c>
      <c r="D1062" s="24" t="s">
        <v>1102</v>
      </c>
      <c r="E1062" s="24" t="s">
        <v>402</v>
      </c>
      <c r="F1062" s="24" t="s">
        <v>1142</v>
      </c>
      <c r="G1062" s="24" t="s">
        <v>1244</v>
      </c>
      <c r="H1062" s="24" t="s">
        <v>421</v>
      </c>
      <c r="I1062" s="24" t="s">
        <v>1272</v>
      </c>
      <c r="J1062" s="24" t="s">
        <v>761</v>
      </c>
      <c r="K1062" s="24" t="s">
        <v>1146</v>
      </c>
      <c r="L1062" s="25">
        <v>1070</v>
      </c>
      <c r="M1062" s="26">
        <v>1.8709</v>
      </c>
      <c r="N1062" s="27">
        <v>1.8709</v>
      </c>
      <c r="O1062" s="28">
        <v>1.7008181818181818E-3</v>
      </c>
      <c r="P1062" s="28">
        <v>1.7715601769911504</v>
      </c>
    </row>
    <row r="1063" spans="1:16" x14ac:dyDescent="0.3">
      <c r="A1063" t="s">
        <v>3959</v>
      </c>
      <c r="B1063" s="24">
        <v>142805</v>
      </c>
      <c r="C1063" s="24" t="s">
        <v>1249</v>
      </c>
      <c r="D1063" s="24" t="s">
        <v>1102</v>
      </c>
      <c r="E1063" s="24" t="s">
        <v>402</v>
      </c>
      <c r="F1063" s="24" t="s">
        <v>1142</v>
      </c>
      <c r="G1063" s="24" t="s">
        <v>1244</v>
      </c>
      <c r="H1063" s="24" t="s">
        <v>422</v>
      </c>
      <c r="I1063" s="24" t="s">
        <v>1252</v>
      </c>
      <c r="J1063" s="24" t="s">
        <v>761</v>
      </c>
      <c r="K1063" s="24" t="s">
        <v>1146</v>
      </c>
      <c r="L1063" s="25">
        <v>1070</v>
      </c>
      <c r="M1063" s="26">
        <v>1.9891000000000001</v>
      </c>
      <c r="N1063" s="27">
        <v>1.9891000000000001</v>
      </c>
      <c r="O1063" s="28">
        <v>1.8082727272727274E-3</v>
      </c>
      <c r="P1063" s="28">
        <v>1.8834840707964602</v>
      </c>
    </row>
    <row r="1064" spans="1:16" x14ac:dyDescent="0.3">
      <c r="A1064" t="s">
        <v>3960</v>
      </c>
      <c r="B1064" s="24">
        <v>101186</v>
      </c>
      <c r="C1064" s="24" t="s">
        <v>1273</v>
      </c>
      <c r="D1064" s="24" t="s">
        <v>1102</v>
      </c>
      <c r="E1064" s="24" t="s">
        <v>402</v>
      </c>
      <c r="F1064" s="24" t="s">
        <v>1142</v>
      </c>
      <c r="G1064" s="24" t="s">
        <v>1203</v>
      </c>
      <c r="H1064" s="24" t="s">
        <v>582</v>
      </c>
      <c r="I1064" s="24" t="s">
        <v>1274</v>
      </c>
      <c r="J1064" s="24" t="s">
        <v>761</v>
      </c>
      <c r="K1064" s="24" t="s">
        <v>1146</v>
      </c>
      <c r="L1064" s="25">
        <v>1070</v>
      </c>
      <c r="M1064" s="26">
        <v>2.86</v>
      </c>
      <c r="N1064" s="27">
        <v>2.86</v>
      </c>
      <c r="O1064" s="28">
        <v>2.5999999999999999E-3</v>
      </c>
      <c r="P1064" s="28">
        <v>2.7081415929203536</v>
      </c>
    </row>
    <row r="1065" spans="1:16" x14ac:dyDescent="0.3">
      <c r="A1065" t="s">
        <v>3961</v>
      </c>
      <c r="B1065" s="24">
        <v>114635</v>
      </c>
      <c r="C1065" s="24" t="s">
        <v>1243</v>
      </c>
      <c r="D1065" s="24" t="s">
        <v>1102</v>
      </c>
      <c r="E1065" s="24" t="s">
        <v>402</v>
      </c>
      <c r="F1065" s="24" t="s">
        <v>1142</v>
      </c>
      <c r="G1065" s="24" t="s">
        <v>1244</v>
      </c>
      <c r="H1065" s="24" t="s">
        <v>424</v>
      </c>
      <c r="I1065" s="24" t="s">
        <v>1245</v>
      </c>
      <c r="J1065" s="24" t="s">
        <v>761</v>
      </c>
      <c r="K1065" s="24" t="s">
        <v>1146</v>
      </c>
      <c r="L1065" s="25">
        <v>1070</v>
      </c>
      <c r="M1065" s="26">
        <v>1.8709</v>
      </c>
      <c r="N1065" s="27">
        <v>1.8709</v>
      </c>
      <c r="O1065" s="28">
        <v>1.7008181818181818E-3</v>
      </c>
      <c r="P1065" s="28">
        <v>1.7715601769911504</v>
      </c>
    </row>
    <row r="1066" spans="1:16" x14ac:dyDescent="0.3">
      <c r="A1066" t="s">
        <v>3962</v>
      </c>
      <c r="B1066" s="24">
        <v>142363</v>
      </c>
      <c r="C1066" s="24" t="s">
        <v>1246</v>
      </c>
      <c r="D1066" s="24" t="s">
        <v>1102</v>
      </c>
      <c r="E1066" s="24" t="s">
        <v>402</v>
      </c>
      <c r="F1066" s="24" t="s">
        <v>1142</v>
      </c>
      <c r="G1066" s="24" t="s">
        <v>1244</v>
      </c>
      <c r="H1066" s="24" t="s">
        <v>424</v>
      </c>
      <c r="I1066" s="24" t="s">
        <v>1245</v>
      </c>
      <c r="J1066" s="24" t="s">
        <v>761</v>
      </c>
      <c r="K1066" s="24" t="s">
        <v>1146</v>
      </c>
      <c r="L1066" s="25">
        <v>1070</v>
      </c>
      <c r="M1066" s="26">
        <v>1.8709</v>
      </c>
      <c r="N1066" s="27">
        <v>1.8709</v>
      </c>
      <c r="O1066" s="28">
        <v>1.7008181818181818E-3</v>
      </c>
      <c r="P1066" s="28">
        <v>1.7715601769911504</v>
      </c>
    </row>
    <row r="1067" spans="1:16" x14ac:dyDescent="0.3">
      <c r="A1067" t="s">
        <v>3963</v>
      </c>
      <c r="B1067" s="24">
        <v>102470</v>
      </c>
      <c r="C1067" s="24" t="s">
        <v>1247</v>
      </c>
      <c r="D1067" s="24" t="s">
        <v>1102</v>
      </c>
      <c r="E1067" s="24" t="s">
        <v>402</v>
      </c>
      <c r="F1067" s="24" t="s">
        <v>1142</v>
      </c>
      <c r="G1067" s="24" t="s">
        <v>1244</v>
      </c>
      <c r="H1067" s="24" t="s">
        <v>423</v>
      </c>
      <c r="I1067" s="24" t="s">
        <v>1272</v>
      </c>
      <c r="J1067" s="24" t="s">
        <v>761</v>
      </c>
      <c r="K1067" s="24" t="s">
        <v>1146</v>
      </c>
      <c r="L1067" s="25">
        <v>1070</v>
      </c>
      <c r="M1067" s="26">
        <v>1.8709</v>
      </c>
      <c r="N1067" s="27">
        <v>1.8709</v>
      </c>
      <c r="O1067" s="28">
        <v>1.7008181818181818E-3</v>
      </c>
      <c r="P1067" s="28">
        <v>1.7715601769911504</v>
      </c>
    </row>
    <row r="1068" spans="1:16" x14ac:dyDescent="0.3">
      <c r="A1068" t="s">
        <v>3964</v>
      </c>
      <c r="B1068" s="24">
        <v>114635</v>
      </c>
      <c r="C1068" s="24" t="s">
        <v>1243</v>
      </c>
      <c r="D1068" s="24" t="s">
        <v>1102</v>
      </c>
      <c r="E1068" s="24" t="s">
        <v>402</v>
      </c>
      <c r="F1068" s="24" t="s">
        <v>1142</v>
      </c>
      <c r="G1068" s="24" t="s">
        <v>1244</v>
      </c>
      <c r="H1068" s="24" t="s">
        <v>423</v>
      </c>
      <c r="I1068" s="24" t="s">
        <v>1272</v>
      </c>
      <c r="J1068" s="24" t="s">
        <v>761</v>
      </c>
      <c r="K1068" s="24" t="s">
        <v>1146</v>
      </c>
      <c r="L1068" s="25">
        <v>1070</v>
      </c>
      <c r="M1068" s="26">
        <v>1.8709</v>
      </c>
      <c r="N1068" s="27">
        <v>1.8709</v>
      </c>
      <c r="O1068" s="28">
        <v>1.7008181818181818E-3</v>
      </c>
      <c r="P1068" s="28">
        <v>1.7715601769911504</v>
      </c>
    </row>
    <row r="1069" spans="1:16" x14ac:dyDescent="0.3">
      <c r="A1069" t="s">
        <v>3965</v>
      </c>
      <c r="B1069" s="24">
        <v>142363</v>
      </c>
      <c r="C1069" s="24" t="s">
        <v>1246</v>
      </c>
      <c r="D1069" s="24" t="s">
        <v>1102</v>
      </c>
      <c r="E1069" s="24" t="s">
        <v>402</v>
      </c>
      <c r="F1069" s="24" t="s">
        <v>1142</v>
      </c>
      <c r="G1069" s="24" t="s">
        <v>1244</v>
      </c>
      <c r="H1069" s="24" t="s">
        <v>423</v>
      </c>
      <c r="I1069" s="24" t="s">
        <v>1272</v>
      </c>
      <c r="J1069" s="24" t="s">
        <v>761</v>
      </c>
      <c r="K1069" s="24" t="s">
        <v>1146</v>
      </c>
      <c r="L1069" s="25">
        <v>1070</v>
      </c>
      <c r="M1069" s="26">
        <v>1.8709</v>
      </c>
      <c r="N1069" s="27">
        <v>1.8709</v>
      </c>
      <c r="O1069" s="28">
        <v>1.7008181818181818E-3</v>
      </c>
      <c r="P1069" s="28">
        <v>1.7715601769911504</v>
      </c>
    </row>
    <row r="1070" spans="1:16" x14ac:dyDescent="0.3">
      <c r="A1070" t="s">
        <v>3966</v>
      </c>
      <c r="B1070" s="24">
        <v>142805</v>
      </c>
      <c r="C1070" s="24" t="s">
        <v>1249</v>
      </c>
      <c r="D1070" s="24" t="s">
        <v>1102</v>
      </c>
      <c r="E1070" s="24" t="s">
        <v>402</v>
      </c>
      <c r="F1070" s="24" t="s">
        <v>1142</v>
      </c>
      <c r="G1070" s="24" t="s">
        <v>1244</v>
      </c>
      <c r="H1070" s="24" t="s">
        <v>423</v>
      </c>
      <c r="I1070" s="24" t="s">
        <v>1272</v>
      </c>
      <c r="J1070" s="24" t="s">
        <v>761</v>
      </c>
      <c r="K1070" s="24" t="s">
        <v>1146</v>
      </c>
      <c r="L1070" s="25">
        <v>1070</v>
      </c>
      <c r="M1070" s="26">
        <v>1.9891000000000001</v>
      </c>
      <c r="N1070" s="27">
        <v>1.9891000000000001</v>
      </c>
      <c r="O1070" s="28">
        <v>1.8082727272727274E-3</v>
      </c>
      <c r="P1070" s="28">
        <v>1.8834840707964602</v>
      </c>
    </row>
    <row r="1071" spans="1:16" x14ac:dyDescent="0.3">
      <c r="A1071" t="s">
        <v>3967</v>
      </c>
      <c r="B1071" s="24">
        <v>400144</v>
      </c>
      <c r="C1071" s="24" t="s">
        <v>1250</v>
      </c>
      <c r="D1071" s="24" t="s">
        <v>1102</v>
      </c>
      <c r="E1071" s="24" t="s">
        <v>402</v>
      </c>
      <c r="F1071" s="24" t="s">
        <v>1142</v>
      </c>
      <c r="G1071" s="24" t="s">
        <v>1244</v>
      </c>
      <c r="H1071" s="24" t="s">
        <v>423</v>
      </c>
      <c r="I1071" s="24" t="s">
        <v>1272</v>
      </c>
      <c r="J1071" s="24" t="s">
        <v>761</v>
      </c>
      <c r="K1071" s="24" t="s">
        <v>1146</v>
      </c>
      <c r="L1071" s="25">
        <v>1070</v>
      </c>
      <c r="M1071" s="26">
        <v>1.8709</v>
      </c>
      <c r="N1071" s="27">
        <v>1.8709</v>
      </c>
      <c r="O1071" s="28">
        <v>1.7008181818181818E-3</v>
      </c>
      <c r="P1071" s="28">
        <v>1.7715601769911504</v>
      </c>
    </row>
    <row r="1072" spans="1:16" x14ac:dyDescent="0.3">
      <c r="A1072" t="s">
        <v>3968</v>
      </c>
      <c r="B1072" s="24">
        <v>142805</v>
      </c>
      <c r="C1072" s="24" t="s">
        <v>1249</v>
      </c>
      <c r="D1072" s="24" t="s">
        <v>1102</v>
      </c>
      <c r="E1072" s="24" t="s">
        <v>402</v>
      </c>
      <c r="F1072" s="24" t="s">
        <v>1142</v>
      </c>
      <c r="G1072" s="24" t="s">
        <v>1244</v>
      </c>
      <c r="H1072" s="24" t="s">
        <v>425</v>
      </c>
      <c r="I1072" s="24" t="s">
        <v>1252</v>
      </c>
      <c r="J1072" s="24" t="s">
        <v>761</v>
      </c>
      <c r="K1072" s="24" t="s">
        <v>1146</v>
      </c>
      <c r="L1072" s="25">
        <v>1070</v>
      </c>
      <c r="M1072" s="26">
        <v>1.9891000000000001</v>
      </c>
      <c r="N1072" s="27">
        <v>1.9891000000000001</v>
      </c>
      <c r="O1072" s="28">
        <v>1.8082727272727274E-3</v>
      </c>
      <c r="P1072" s="28">
        <v>1.8834840707964602</v>
      </c>
    </row>
    <row r="1073" spans="1:16" x14ac:dyDescent="0.3">
      <c r="A1073" t="s">
        <v>3969</v>
      </c>
      <c r="B1073" s="24">
        <v>114635</v>
      </c>
      <c r="C1073" s="24" t="s">
        <v>1243</v>
      </c>
      <c r="D1073" s="24" t="s">
        <v>1102</v>
      </c>
      <c r="E1073" s="24" t="s">
        <v>402</v>
      </c>
      <c r="F1073" s="24" t="s">
        <v>1142</v>
      </c>
      <c r="G1073" s="24" t="s">
        <v>1244</v>
      </c>
      <c r="H1073" s="24" t="s">
        <v>426</v>
      </c>
      <c r="I1073" s="24" t="s">
        <v>1275</v>
      </c>
      <c r="J1073" s="24" t="s">
        <v>761</v>
      </c>
      <c r="K1073" s="24" t="s">
        <v>1146</v>
      </c>
      <c r="L1073" s="25">
        <v>1070</v>
      </c>
      <c r="M1073" s="26">
        <v>2.1659000000000002</v>
      </c>
      <c r="N1073" s="27">
        <v>2.1659000000000002</v>
      </c>
      <c r="O1073" s="28">
        <v>1.9690000000000003E-3</v>
      </c>
      <c r="P1073" s="28">
        <v>2.0508964601769915</v>
      </c>
    </row>
    <row r="1074" spans="1:16" x14ac:dyDescent="0.3">
      <c r="A1074" t="s">
        <v>3970</v>
      </c>
      <c r="B1074" s="24">
        <v>100581</v>
      </c>
      <c r="C1074" s="24" t="s">
        <v>1232</v>
      </c>
      <c r="D1074" s="24" t="s">
        <v>1102</v>
      </c>
      <c r="E1074" s="24" t="s">
        <v>402</v>
      </c>
      <c r="F1074" s="24" t="s">
        <v>1142</v>
      </c>
      <c r="G1074" s="24" t="s">
        <v>1233</v>
      </c>
      <c r="H1074" s="24" t="s">
        <v>583</v>
      </c>
      <c r="I1074" s="24" t="s">
        <v>1276</v>
      </c>
      <c r="J1074" s="24" t="s">
        <v>761</v>
      </c>
      <c r="K1074" s="24" t="s">
        <v>1146</v>
      </c>
      <c r="L1074" s="25">
        <v>1070</v>
      </c>
      <c r="M1074" s="26">
        <v>2.39</v>
      </c>
      <c r="N1074" s="27">
        <v>2.39</v>
      </c>
      <c r="O1074" s="28">
        <v>2.1727272727272728E-3</v>
      </c>
      <c r="P1074" s="28">
        <v>2.2630973451327434</v>
      </c>
    </row>
    <row r="1075" spans="1:16" x14ac:dyDescent="0.3">
      <c r="A1075" t="s">
        <v>3971</v>
      </c>
      <c r="B1075" s="24">
        <v>100603</v>
      </c>
      <c r="C1075" s="24" t="s">
        <v>1277</v>
      </c>
      <c r="D1075" s="24" t="s">
        <v>1102</v>
      </c>
      <c r="E1075" s="24" t="s">
        <v>402</v>
      </c>
      <c r="F1075" s="24" t="s">
        <v>1142</v>
      </c>
      <c r="G1075" s="24" t="s">
        <v>1082</v>
      </c>
      <c r="H1075" s="24" t="s">
        <v>583</v>
      </c>
      <c r="I1075" s="24" t="s">
        <v>1276</v>
      </c>
      <c r="J1075" s="24" t="s">
        <v>761</v>
      </c>
      <c r="K1075" s="24" t="s">
        <v>1146</v>
      </c>
      <c r="L1075" s="25">
        <v>1070</v>
      </c>
      <c r="M1075" s="26">
        <v>2.39</v>
      </c>
      <c r="N1075" s="27">
        <v>2.39</v>
      </c>
      <c r="O1075" s="28">
        <v>2.1727272727272728E-3</v>
      </c>
      <c r="P1075" s="28">
        <v>2.2630973451327434</v>
      </c>
    </row>
    <row r="1076" spans="1:16" x14ac:dyDescent="0.3">
      <c r="A1076" t="s">
        <v>3972</v>
      </c>
      <c r="B1076" s="24">
        <v>101186</v>
      </c>
      <c r="C1076" s="24" t="s">
        <v>1273</v>
      </c>
      <c r="D1076" s="24" t="s">
        <v>1102</v>
      </c>
      <c r="E1076" s="24" t="s">
        <v>402</v>
      </c>
      <c r="F1076" s="24" t="s">
        <v>1142</v>
      </c>
      <c r="G1076" s="24" t="s">
        <v>1203</v>
      </c>
      <c r="H1076" s="24" t="s">
        <v>583</v>
      </c>
      <c r="I1076" s="24" t="s">
        <v>1276</v>
      </c>
      <c r="J1076" s="24" t="s">
        <v>761</v>
      </c>
      <c r="K1076" s="24" t="s">
        <v>1146</v>
      </c>
      <c r="L1076" s="25">
        <v>1070</v>
      </c>
      <c r="M1076" s="26">
        <v>2.39</v>
      </c>
      <c r="N1076" s="27">
        <v>2.39</v>
      </c>
      <c r="O1076" s="28">
        <v>2.1727272727272728E-3</v>
      </c>
      <c r="P1076" s="28">
        <v>2.2630973451327434</v>
      </c>
    </row>
    <row r="1077" spans="1:16" x14ac:dyDescent="0.3">
      <c r="A1077" t="s">
        <v>3973</v>
      </c>
      <c r="B1077" s="24">
        <v>101424</v>
      </c>
      <c r="C1077" s="24" t="s">
        <v>1278</v>
      </c>
      <c r="D1077" s="24" t="s">
        <v>1102</v>
      </c>
      <c r="E1077" s="24" t="s">
        <v>402</v>
      </c>
      <c r="F1077" s="24" t="s">
        <v>1142</v>
      </c>
      <c r="G1077" s="24" t="s">
        <v>1203</v>
      </c>
      <c r="H1077" s="24" t="s">
        <v>583</v>
      </c>
      <c r="I1077" s="24" t="s">
        <v>1276</v>
      </c>
      <c r="J1077" s="24" t="s">
        <v>761</v>
      </c>
      <c r="K1077" s="24" t="s">
        <v>1146</v>
      </c>
      <c r="L1077" s="25">
        <v>1070</v>
      </c>
      <c r="M1077" s="26">
        <v>2.39</v>
      </c>
      <c r="N1077" s="27">
        <v>2.39</v>
      </c>
      <c r="O1077" s="28">
        <v>2.1727272727272728E-3</v>
      </c>
      <c r="P1077" s="28">
        <v>2.2630973451327434</v>
      </c>
    </row>
    <row r="1078" spans="1:16" x14ac:dyDescent="0.3">
      <c r="A1078" t="s">
        <v>3974</v>
      </c>
      <c r="B1078" s="24">
        <v>106916</v>
      </c>
      <c r="C1078" s="24" t="s">
        <v>1216</v>
      </c>
      <c r="D1078" s="24" t="s">
        <v>1102</v>
      </c>
      <c r="E1078" s="24" t="s">
        <v>402</v>
      </c>
      <c r="F1078" s="24" t="s">
        <v>1142</v>
      </c>
      <c r="G1078" s="24" t="s">
        <v>1203</v>
      </c>
      <c r="H1078" s="24" t="s">
        <v>583</v>
      </c>
      <c r="I1078" s="24" t="s">
        <v>1276</v>
      </c>
      <c r="J1078" s="24" t="s">
        <v>761</v>
      </c>
      <c r="K1078" s="24" t="s">
        <v>1146</v>
      </c>
      <c r="L1078" s="25">
        <v>1070</v>
      </c>
      <c r="M1078" s="26">
        <v>2.39</v>
      </c>
      <c r="N1078" s="27">
        <v>2.39</v>
      </c>
      <c r="O1078" s="28">
        <v>2.1727272727272728E-3</v>
      </c>
      <c r="P1078" s="28">
        <v>2.2630973451327434</v>
      </c>
    </row>
    <row r="1079" spans="1:16" x14ac:dyDescent="0.3">
      <c r="A1079" t="s">
        <v>3975</v>
      </c>
      <c r="B1079" s="24">
        <v>109171</v>
      </c>
      <c r="C1079" s="24" t="s">
        <v>1279</v>
      </c>
      <c r="D1079" s="24" t="s">
        <v>1102</v>
      </c>
      <c r="E1079" s="24" t="s">
        <v>402</v>
      </c>
      <c r="F1079" s="24" t="s">
        <v>1142</v>
      </c>
      <c r="G1079" s="24" t="s">
        <v>1203</v>
      </c>
      <c r="H1079" s="24" t="s">
        <v>583</v>
      </c>
      <c r="I1079" s="24" t="s">
        <v>1276</v>
      </c>
      <c r="J1079" s="24" t="s">
        <v>761</v>
      </c>
      <c r="K1079" s="24" t="s">
        <v>1146</v>
      </c>
      <c r="L1079" s="25">
        <v>1070</v>
      </c>
      <c r="M1079" s="26">
        <v>2.39</v>
      </c>
      <c r="N1079" s="27">
        <v>2.39</v>
      </c>
      <c r="O1079" s="28">
        <v>2.1727272727272728E-3</v>
      </c>
      <c r="P1079" s="28">
        <v>2.2630973451327434</v>
      </c>
    </row>
    <row r="1080" spans="1:16" x14ac:dyDescent="0.3">
      <c r="A1080" t="s">
        <v>3976</v>
      </c>
      <c r="B1080" s="24">
        <v>300043</v>
      </c>
      <c r="C1080" s="24" t="s">
        <v>1280</v>
      </c>
      <c r="D1080" s="24" t="s">
        <v>1102</v>
      </c>
      <c r="E1080" s="24" t="s">
        <v>402</v>
      </c>
      <c r="F1080" s="24" t="s">
        <v>1142</v>
      </c>
      <c r="G1080" s="24" t="s">
        <v>1203</v>
      </c>
      <c r="H1080" s="24" t="s">
        <v>583</v>
      </c>
      <c r="I1080" s="24" t="s">
        <v>1276</v>
      </c>
      <c r="J1080" s="24" t="s">
        <v>761</v>
      </c>
      <c r="K1080" s="24" t="s">
        <v>1146</v>
      </c>
      <c r="L1080" s="25">
        <v>1070</v>
      </c>
      <c r="M1080" s="26">
        <v>2.39</v>
      </c>
      <c r="N1080" s="27">
        <v>2.39</v>
      </c>
      <c r="O1080" s="28">
        <v>2.1727272727272728E-3</v>
      </c>
      <c r="P1080" s="28">
        <v>2.2630973451327434</v>
      </c>
    </row>
    <row r="1081" spans="1:16" x14ac:dyDescent="0.3">
      <c r="A1081" t="s">
        <v>3977</v>
      </c>
      <c r="B1081" s="24">
        <v>114635</v>
      </c>
      <c r="C1081" s="24" t="s">
        <v>1243</v>
      </c>
      <c r="D1081" s="24" t="s">
        <v>1102</v>
      </c>
      <c r="E1081" s="24" t="s">
        <v>402</v>
      </c>
      <c r="F1081" s="24" t="s">
        <v>1142</v>
      </c>
      <c r="G1081" s="24" t="s">
        <v>1244</v>
      </c>
      <c r="H1081" s="24" t="s">
        <v>427</v>
      </c>
      <c r="I1081" s="24" t="s">
        <v>1281</v>
      </c>
      <c r="J1081" s="24" t="s">
        <v>761</v>
      </c>
      <c r="K1081" s="24" t="s">
        <v>1146</v>
      </c>
      <c r="L1081" s="25">
        <v>1070</v>
      </c>
      <c r="M1081" s="26">
        <v>2.8102999999999998</v>
      </c>
      <c r="N1081" s="27">
        <v>2.8102999999999998</v>
      </c>
      <c r="O1081" s="28">
        <v>2.5548181818181815E-3</v>
      </c>
      <c r="P1081" s="28">
        <v>2.6610805309734511</v>
      </c>
    </row>
    <row r="1082" spans="1:16" x14ac:dyDescent="0.3">
      <c r="A1082" t="s">
        <v>3978</v>
      </c>
      <c r="B1082" s="24">
        <v>142363</v>
      </c>
      <c r="C1082" s="24" t="s">
        <v>1246</v>
      </c>
      <c r="D1082" s="24" t="s">
        <v>1102</v>
      </c>
      <c r="E1082" s="24" t="s">
        <v>402</v>
      </c>
      <c r="F1082" s="24" t="s">
        <v>1142</v>
      </c>
      <c r="G1082" s="24" t="s">
        <v>1244</v>
      </c>
      <c r="H1082" s="24" t="s">
        <v>427</v>
      </c>
      <c r="I1082" s="24" t="s">
        <v>1281</v>
      </c>
      <c r="J1082" s="24" t="s">
        <v>761</v>
      </c>
      <c r="K1082" s="24" t="s">
        <v>1146</v>
      </c>
      <c r="L1082" s="25">
        <v>1070</v>
      </c>
      <c r="M1082" s="26">
        <v>2.8102999999999998</v>
      </c>
      <c r="N1082" s="27">
        <v>2.8102999999999998</v>
      </c>
      <c r="O1082" s="28">
        <v>2.5548181818181815E-3</v>
      </c>
      <c r="P1082" s="28">
        <v>2.6610805309734511</v>
      </c>
    </row>
    <row r="1083" spans="1:16" x14ac:dyDescent="0.3">
      <c r="A1083" t="s">
        <v>3979</v>
      </c>
      <c r="B1083" s="24">
        <v>106916</v>
      </c>
      <c r="C1083" s="24" t="s">
        <v>1216</v>
      </c>
      <c r="D1083" s="24" t="s">
        <v>1102</v>
      </c>
      <c r="E1083" s="24" t="s">
        <v>402</v>
      </c>
      <c r="F1083" s="24" t="s">
        <v>1142</v>
      </c>
      <c r="G1083" s="24" t="s">
        <v>1244</v>
      </c>
      <c r="H1083" s="24" t="s">
        <v>427</v>
      </c>
      <c r="I1083" s="24" t="s">
        <v>1281</v>
      </c>
      <c r="J1083" s="24" t="s">
        <v>761</v>
      </c>
      <c r="K1083" s="24" t="s">
        <v>1146</v>
      </c>
      <c r="L1083" s="25">
        <v>1070</v>
      </c>
      <c r="M1083" s="26">
        <v>2.8102999999999998</v>
      </c>
      <c r="N1083" s="27">
        <v>2.8102999999999998</v>
      </c>
      <c r="O1083" s="28">
        <v>2.5548181818181815E-3</v>
      </c>
      <c r="P1083" s="28">
        <v>2.6610805309734511</v>
      </c>
    </row>
    <row r="1084" spans="1:16" x14ac:dyDescent="0.3">
      <c r="A1084" t="s">
        <v>3980</v>
      </c>
      <c r="B1084" s="24">
        <v>114635</v>
      </c>
      <c r="C1084" s="24" t="s">
        <v>1243</v>
      </c>
      <c r="D1084" s="24" t="s">
        <v>1102</v>
      </c>
      <c r="E1084" s="24" t="s">
        <v>402</v>
      </c>
      <c r="F1084" s="24" t="s">
        <v>1142</v>
      </c>
      <c r="G1084" s="24" t="s">
        <v>1244</v>
      </c>
      <c r="H1084" s="24" t="s">
        <v>430</v>
      </c>
      <c r="I1084" s="24" t="s">
        <v>1257</v>
      </c>
      <c r="J1084" s="24" t="s">
        <v>761</v>
      </c>
      <c r="K1084" s="24" t="s">
        <v>1146</v>
      </c>
      <c r="L1084" s="25">
        <v>1070</v>
      </c>
      <c r="M1084" s="26">
        <v>1.8964000000000001</v>
      </c>
      <c r="N1084" s="27">
        <v>1.8964000000000001</v>
      </c>
      <c r="O1084" s="28">
        <v>1.7240000000000001E-3</v>
      </c>
      <c r="P1084" s="28">
        <v>1.7957061946902657</v>
      </c>
    </row>
    <row r="1085" spans="1:16" x14ac:dyDescent="0.3">
      <c r="A1085" t="s">
        <v>3981</v>
      </c>
      <c r="B1085" s="24">
        <v>142363</v>
      </c>
      <c r="C1085" s="24" t="s">
        <v>1246</v>
      </c>
      <c r="D1085" s="24" t="s">
        <v>1102</v>
      </c>
      <c r="E1085" s="24" t="s">
        <v>402</v>
      </c>
      <c r="F1085" s="24" t="s">
        <v>1142</v>
      </c>
      <c r="G1085" s="24" t="s">
        <v>1244</v>
      </c>
      <c r="H1085" s="24" t="s">
        <v>430</v>
      </c>
      <c r="I1085" s="24" t="s">
        <v>1257</v>
      </c>
      <c r="J1085" s="24" t="s">
        <v>761</v>
      </c>
      <c r="K1085" s="24" t="s">
        <v>1146</v>
      </c>
      <c r="L1085" s="25">
        <v>1070</v>
      </c>
      <c r="M1085" s="26">
        <v>1.8964000000000001</v>
      </c>
      <c r="N1085" s="27">
        <v>1.8964000000000001</v>
      </c>
      <c r="O1085" s="28">
        <v>1.7240000000000001E-3</v>
      </c>
      <c r="P1085" s="28">
        <v>1.7957061946902657</v>
      </c>
    </row>
    <row r="1086" spans="1:16" x14ac:dyDescent="0.3">
      <c r="A1086" t="s">
        <v>3982</v>
      </c>
      <c r="B1086" s="24">
        <v>114635</v>
      </c>
      <c r="C1086" s="24" t="s">
        <v>1243</v>
      </c>
      <c r="D1086" s="24" t="s">
        <v>1102</v>
      </c>
      <c r="E1086" s="24" t="s">
        <v>51</v>
      </c>
      <c r="F1086" s="24" t="s">
        <v>1142</v>
      </c>
      <c r="G1086" s="24" t="s">
        <v>1244</v>
      </c>
      <c r="H1086" s="24" t="s">
        <v>429</v>
      </c>
      <c r="I1086" s="24" t="s">
        <v>1268</v>
      </c>
      <c r="J1086" s="24" t="s">
        <v>761</v>
      </c>
      <c r="K1086" s="24" t="s">
        <v>1146</v>
      </c>
      <c r="L1086" s="25">
        <v>1070</v>
      </c>
      <c r="M1086" s="26">
        <v>2.7951000000000001</v>
      </c>
      <c r="N1086" s="27">
        <v>2.7951000000000001</v>
      </c>
      <c r="O1086" s="28">
        <v>2.5410000000000003E-3</v>
      </c>
      <c r="P1086" s="28">
        <v>2.6466876106194692</v>
      </c>
    </row>
    <row r="1087" spans="1:16" x14ac:dyDescent="0.3">
      <c r="A1087" t="s">
        <v>3983</v>
      </c>
      <c r="B1087" s="24">
        <v>142363</v>
      </c>
      <c r="C1087" s="24" t="s">
        <v>1246</v>
      </c>
      <c r="D1087" s="24" t="s">
        <v>1102</v>
      </c>
      <c r="E1087" s="24" t="s">
        <v>51</v>
      </c>
      <c r="F1087" s="24" t="s">
        <v>1142</v>
      </c>
      <c r="G1087" s="24" t="s">
        <v>1244</v>
      </c>
      <c r="H1087" s="24" t="s">
        <v>429</v>
      </c>
      <c r="I1087" s="24" t="s">
        <v>1268</v>
      </c>
      <c r="J1087" s="24" t="s">
        <v>761</v>
      </c>
      <c r="K1087" s="24" t="s">
        <v>1146</v>
      </c>
      <c r="L1087" s="25">
        <v>1070</v>
      </c>
      <c r="M1087" s="26">
        <v>2.7951000000000001</v>
      </c>
      <c r="N1087" s="27">
        <v>2.7951000000000001</v>
      </c>
      <c r="O1087" s="28">
        <v>2.5410000000000003E-3</v>
      </c>
      <c r="P1087" s="28">
        <v>2.6466876106194692</v>
      </c>
    </row>
    <row r="1088" spans="1:16" x14ac:dyDescent="0.3">
      <c r="A1088" t="s">
        <v>3984</v>
      </c>
      <c r="B1088" s="24">
        <v>101554</v>
      </c>
      <c r="C1088" s="24" t="s">
        <v>1202</v>
      </c>
      <c r="D1088" s="24" t="s">
        <v>1102</v>
      </c>
      <c r="E1088" s="24" t="s">
        <v>51</v>
      </c>
      <c r="F1088" s="24" t="s">
        <v>1142</v>
      </c>
      <c r="G1088" s="24" t="s">
        <v>1244</v>
      </c>
      <c r="H1088" s="24" t="s">
        <v>429</v>
      </c>
      <c r="I1088" s="24" t="s">
        <v>1268</v>
      </c>
      <c r="J1088" s="24" t="s">
        <v>761</v>
      </c>
      <c r="K1088" s="24" t="s">
        <v>1146</v>
      </c>
      <c r="L1088" s="25">
        <v>1070</v>
      </c>
      <c r="M1088" s="26">
        <v>2.7951000000000001</v>
      </c>
      <c r="N1088" s="27">
        <v>2.7951000000000001</v>
      </c>
      <c r="O1088" s="28">
        <v>2.5410000000000003E-3</v>
      </c>
      <c r="P1088" s="28">
        <v>2.6466876106194692</v>
      </c>
    </row>
    <row r="1089" spans="1:16" x14ac:dyDescent="0.3">
      <c r="A1089" t="s">
        <v>3985</v>
      </c>
      <c r="B1089" s="24">
        <v>300024</v>
      </c>
      <c r="C1089" s="24" t="s">
        <v>1255</v>
      </c>
      <c r="D1089" s="24" t="s">
        <v>1102</v>
      </c>
      <c r="E1089" s="24" t="s">
        <v>402</v>
      </c>
      <c r="F1089" s="24" t="s">
        <v>1142</v>
      </c>
      <c r="G1089" s="24" t="s">
        <v>1244</v>
      </c>
      <c r="H1089" s="24" t="s">
        <v>428</v>
      </c>
      <c r="I1089" s="24" t="s">
        <v>1282</v>
      </c>
      <c r="J1089" s="24" t="s">
        <v>761</v>
      </c>
      <c r="K1089" s="24" t="s">
        <v>1146</v>
      </c>
      <c r="L1089" s="25">
        <v>1070</v>
      </c>
      <c r="M1089" s="26">
        <v>2.8119999999999998</v>
      </c>
      <c r="N1089" s="27">
        <v>2.8119999999999998</v>
      </c>
      <c r="O1089" s="28">
        <v>2.5563636363636361E-3</v>
      </c>
      <c r="P1089" s="28">
        <v>2.6626902654867255</v>
      </c>
    </row>
    <row r="1090" spans="1:16" x14ac:dyDescent="0.3">
      <c r="A1090" t="s">
        <v>3986</v>
      </c>
      <c r="B1090" s="24">
        <v>101554</v>
      </c>
      <c r="C1090" s="24" t="s">
        <v>1202</v>
      </c>
      <c r="D1090" s="24" t="s">
        <v>1102</v>
      </c>
      <c r="E1090" s="24" t="s">
        <v>402</v>
      </c>
      <c r="F1090" s="24" t="s">
        <v>1142</v>
      </c>
      <c r="G1090" s="24" t="s">
        <v>1244</v>
      </c>
      <c r="H1090" s="24" t="s">
        <v>1283</v>
      </c>
      <c r="I1090" s="24" t="s">
        <v>1284</v>
      </c>
      <c r="J1090" s="24" t="s">
        <v>761</v>
      </c>
      <c r="K1090" s="24" t="s">
        <v>1146</v>
      </c>
      <c r="L1090" s="25">
        <v>1070</v>
      </c>
      <c r="M1090" s="26">
        <v>5.59</v>
      </c>
      <c r="N1090" s="27">
        <v>5.59</v>
      </c>
      <c r="O1090" s="28">
        <v>5.0818181818181813E-3</v>
      </c>
      <c r="P1090" s="28">
        <v>5.2931858407079648</v>
      </c>
    </row>
    <row r="1091" spans="1:16" x14ac:dyDescent="0.3">
      <c r="A1091" t="s">
        <v>3987</v>
      </c>
      <c r="B1091" s="24">
        <v>101554</v>
      </c>
      <c r="C1091" s="24" t="s">
        <v>1202</v>
      </c>
      <c r="D1091" s="24" t="s">
        <v>1102</v>
      </c>
      <c r="E1091" s="24" t="s">
        <v>402</v>
      </c>
      <c r="F1091" s="24" t="s">
        <v>1142</v>
      </c>
      <c r="G1091" s="24" t="s">
        <v>1244</v>
      </c>
      <c r="H1091" s="24" t="s">
        <v>433</v>
      </c>
      <c r="I1091" s="24" t="s">
        <v>1285</v>
      </c>
      <c r="J1091" s="24" t="s">
        <v>761</v>
      </c>
      <c r="K1091" s="24" t="s">
        <v>1146</v>
      </c>
      <c r="L1091" s="25">
        <v>1070</v>
      </c>
      <c r="M1091" s="26">
        <v>4.16</v>
      </c>
      <c r="N1091" s="27">
        <v>4.16</v>
      </c>
      <c r="O1091" s="28">
        <v>3.7818181818181818E-3</v>
      </c>
      <c r="P1091" s="28">
        <v>3.9391150442477874</v>
      </c>
    </row>
    <row r="1092" spans="1:16" x14ac:dyDescent="0.3">
      <c r="A1092" t="s">
        <v>3988</v>
      </c>
      <c r="B1092" s="24">
        <v>101554</v>
      </c>
      <c r="C1092" s="24" t="s">
        <v>1202</v>
      </c>
      <c r="D1092" s="24" t="s">
        <v>1102</v>
      </c>
      <c r="E1092" s="24" t="s">
        <v>402</v>
      </c>
      <c r="F1092" s="24" t="s">
        <v>1142</v>
      </c>
      <c r="G1092" s="24" t="s">
        <v>1244</v>
      </c>
      <c r="H1092" s="24" t="s">
        <v>434</v>
      </c>
      <c r="I1092" s="24" t="s">
        <v>1286</v>
      </c>
      <c r="J1092" s="24" t="s">
        <v>761</v>
      </c>
      <c r="K1092" s="24" t="s">
        <v>1146</v>
      </c>
      <c r="L1092" s="25">
        <v>1070</v>
      </c>
      <c r="M1092" s="26">
        <v>4.16</v>
      </c>
      <c r="N1092" s="27">
        <v>4.16</v>
      </c>
      <c r="O1092" s="28">
        <v>3.7818181818181818E-3</v>
      </c>
      <c r="P1092" s="28">
        <v>3.9391150442477874</v>
      </c>
    </row>
    <row r="1093" spans="1:16" x14ac:dyDescent="0.3">
      <c r="A1093" t="s">
        <v>3989</v>
      </c>
      <c r="B1093" s="24">
        <v>101554</v>
      </c>
      <c r="C1093" s="24" t="s">
        <v>1202</v>
      </c>
      <c r="D1093" s="24" t="s">
        <v>1102</v>
      </c>
      <c r="E1093" s="24" t="s">
        <v>402</v>
      </c>
      <c r="F1093" s="24" t="s">
        <v>1142</v>
      </c>
      <c r="G1093" s="24" t="s">
        <v>1244</v>
      </c>
      <c r="H1093" s="24" t="s">
        <v>1091</v>
      </c>
      <c r="I1093" s="24" t="s">
        <v>1287</v>
      </c>
      <c r="J1093" s="24" t="s">
        <v>761</v>
      </c>
      <c r="K1093" s="24" t="s">
        <v>1146</v>
      </c>
      <c r="L1093" s="25">
        <v>1070</v>
      </c>
      <c r="M1093" s="26">
        <v>4.3460000000000001</v>
      </c>
      <c r="N1093" s="27">
        <v>4.3460000000000001</v>
      </c>
      <c r="O1093" s="28">
        <v>3.9509090909090909E-3</v>
      </c>
      <c r="P1093" s="28">
        <v>4.1152389380530972</v>
      </c>
    </row>
    <row r="1094" spans="1:16" x14ac:dyDescent="0.3">
      <c r="A1094" t="s">
        <v>3990</v>
      </c>
      <c r="B1094" s="24">
        <v>101554</v>
      </c>
      <c r="C1094" s="24" t="s">
        <v>1202</v>
      </c>
      <c r="D1094" s="24" t="s">
        <v>1102</v>
      </c>
      <c r="E1094" s="24" t="s">
        <v>402</v>
      </c>
      <c r="F1094" s="24" t="s">
        <v>1142</v>
      </c>
      <c r="G1094" s="24" t="s">
        <v>1244</v>
      </c>
      <c r="H1094" s="24" t="s">
        <v>1092</v>
      </c>
      <c r="I1094" s="24" t="s">
        <v>1288</v>
      </c>
      <c r="J1094" s="24" t="s">
        <v>761</v>
      </c>
      <c r="K1094" s="24" t="s">
        <v>1146</v>
      </c>
      <c r="L1094" s="25">
        <v>1070</v>
      </c>
      <c r="M1094" s="26">
        <v>4.4790000000000001</v>
      </c>
      <c r="N1094" s="27">
        <v>4.4790000000000001</v>
      </c>
      <c r="O1094" s="28">
        <v>4.0718181818181817E-3</v>
      </c>
      <c r="P1094" s="28">
        <v>4.241176991150442</v>
      </c>
    </row>
    <row r="1095" spans="1:16" x14ac:dyDescent="0.3">
      <c r="A1095" t="s">
        <v>3991</v>
      </c>
      <c r="B1095" s="24">
        <v>101554</v>
      </c>
      <c r="C1095" s="24" t="s">
        <v>1202</v>
      </c>
      <c r="D1095" s="24" t="s">
        <v>1102</v>
      </c>
      <c r="E1095" s="24" t="s">
        <v>402</v>
      </c>
      <c r="F1095" s="24" t="s">
        <v>1142</v>
      </c>
      <c r="G1095" s="24" t="s">
        <v>1244</v>
      </c>
      <c r="H1095" s="24" t="s">
        <v>435</v>
      </c>
      <c r="I1095" s="24" t="s">
        <v>1289</v>
      </c>
      <c r="J1095" s="24" t="s">
        <v>761</v>
      </c>
      <c r="K1095" s="24" t="s">
        <v>1146</v>
      </c>
      <c r="L1095" s="25">
        <v>1070</v>
      </c>
      <c r="M1095" s="26">
        <v>4.5339999999999998</v>
      </c>
      <c r="N1095" s="27">
        <v>4.5339999999999998</v>
      </c>
      <c r="O1095" s="28">
        <v>4.1218181818181814E-3</v>
      </c>
      <c r="P1095" s="28">
        <v>4.2932566371681418</v>
      </c>
    </row>
    <row r="1096" spans="1:16" x14ac:dyDescent="0.3">
      <c r="A1096" t="s">
        <v>3992</v>
      </c>
      <c r="B1096" s="24">
        <v>101554</v>
      </c>
      <c r="C1096" s="24" t="s">
        <v>1202</v>
      </c>
      <c r="D1096" s="24" t="s">
        <v>1102</v>
      </c>
      <c r="E1096" s="24" t="s">
        <v>51</v>
      </c>
      <c r="F1096" s="24" t="s">
        <v>1142</v>
      </c>
      <c r="G1096" s="24" t="s">
        <v>1244</v>
      </c>
      <c r="H1096" s="24" t="s">
        <v>436</v>
      </c>
      <c r="I1096" s="24" t="s">
        <v>1290</v>
      </c>
      <c r="J1096" s="24" t="s">
        <v>761</v>
      </c>
      <c r="K1096" s="24" t="s">
        <v>1146</v>
      </c>
      <c r="L1096" s="25">
        <v>1070</v>
      </c>
      <c r="M1096" s="26">
        <v>5.6669999999999998</v>
      </c>
      <c r="N1096" s="27">
        <v>5.6669999999999998</v>
      </c>
      <c r="O1096" s="28">
        <v>5.1518181818181819E-3</v>
      </c>
      <c r="P1096" s="28">
        <v>5.3660973451327427</v>
      </c>
    </row>
    <row r="1097" spans="1:16" x14ac:dyDescent="0.3">
      <c r="A1097" t="s">
        <v>3993</v>
      </c>
      <c r="B1097" s="24">
        <v>101554</v>
      </c>
      <c r="C1097" s="24" t="s">
        <v>1202</v>
      </c>
      <c r="D1097" s="24" t="s">
        <v>1102</v>
      </c>
      <c r="E1097" s="24" t="s">
        <v>402</v>
      </c>
      <c r="F1097" s="24" t="s">
        <v>1142</v>
      </c>
      <c r="G1097" s="24" t="s">
        <v>1244</v>
      </c>
      <c r="H1097" s="24" t="s">
        <v>437</v>
      </c>
      <c r="I1097" s="24" t="s">
        <v>1291</v>
      </c>
      <c r="J1097" s="24" t="s">
        <v>761</v>
      </c>
      <c r="K1097" s="24" t="s">
        <v>1146</v>
      </c>
      <c r="L1097" s="25">
        <v>1070</v>
      </c>
      <c r="M1097" s="26">
        <v>4.4089999999999998</v>
      </c>
      <c r="N1097" s="27">
        <v>4.4089999999999998</v>
      </c>
      <c r="O1097" s="28">
        <v>4.0081818181818179E-3</v>
      </c>
      <c r="P1097" s="28">
        <v>4.1748938053097344</v>
      </c>
    </row>
    <row r="1098" spans="1:16" x14ac:dyDescent="0.3">
      <c r="A1098" t="s">
        <v>3994</v>
      </c>
      <c r="B1098" s="24">
        <v>101554</v>
      </c>
      <c r="C1098" s="24" t="s">
        <v>1202</v>
      </c>
      <c r="D1098" s="24" t="s">
        <v>1102</v>
      </c>
      <c r="E1098" s="24" t="s">
        <v>402</v>
      </c>
      <c r="F1098" s="24" t="s">
        <v>1142</v>
      </c>
      <c r="G1098" s="24" t="s">
        <v>1244</v>
      </c>
      <c r="H1098" s="24" t="s">
        <v>438</v>
      </c>
      <c r="I1098" s="24" t="s">
        <v>1292</v>
      </c>
      <c r="J1098" s="24" t="s">
        <v>761</v>
      </c>
      <c r="K1098" s="24" t="s">
        <v>1146</v>
      </c>
      <c r="L1098" s="25">
        <v>1070</v>
      </c>
      <c r="M1098" s="26">
        <v>4.4770000000000003</v>
      </c>
      <c r="N1098" s="27">
        <v>4.4770000000000003</v>
      </c>
      <c r="O1098" s="28">
        <v>4.0700000000000007E-3</v>
      </c>
      <c r="P1098" s="28">
        <v>4.2392831858407085</v>
      </c>
    </row>
    <row r="1099" spans="1:16" x14ac:dyDescent="0.3">
      <c r="A1099" t="s">
        <v>3995</v>
      </c>
      <c r="B1099" s="24">
        <v>101554</v>
      </c>
      <c r="C1099" s="24" t="s">
        <v>1202</v>
      </c>
      <c r="D1099" s="24" t="s">
        <v>1102</v>
      </c>
      <c r="E1099" s="24" t="s">
        <v>402</v>
      </c>
      <c r="F1099" s="24" t="s">
        <v>1142</v>
      </c>
      <c r="G1099" s="24" t="s">
        <v>1244</v>
      </c>
      <c r="H1099" s="24" t="s">
        <v>1094</v>
      </c>
      <c r="I1099" s="24" t="s">
        <v>1293</v>
      </c>
      <c r="J1099" s="24" t="s">
        <v>761</v>
      </c>
      <c r="K1099" s="24" t="s">
        <v>1146</v>
      </c>
      <c r="L1099" s="25">
        <v>1070</v>
      </c>
      <c r="M1099" s="26">
        <v>5.6539999999999999</v>
      </c>
      <c r="N1099" s="27">
        <v>5.6539999999999999</v>
      </c>
      <c r="O1099" s="28">
        <v>5.1399999999999996E-3</v>
      </c>
      <c r="P1099" s="28">
        <v>5.3537876106194684</v>
      </c>
    </row>
    <row r="1100" spans="1:16" x14ac:dyDescent="0.3">
      <c r="A1100" t="s">
        <v>3996</v>
      </c>
      <c r="B1100" s="24">
        <v>101554</v>
      </c>
      <c r="C1100" s="24" t="s">
        <v>1202</v>
      </c>
      <c r="D1100" s="24" t="s">
        <v>1102</v>
      </c>
      <c r="E1100" s="24" t="s">
        <v>402</v>
      </c>
      <c r="F1100" s="24" t="s">
        <v>1142</v>
      </c>
      <c r="G1100" s="24" t="s">
        <v>1244</v>
      </c>
      <c r="H1100" s="24" t="s">
        <v>1093</v>
      </c>
      <c r="I1100" s="24" t="s">
        <v>1294</v>
      </c>
      <c r="J1100" s="24" t="s">
        <v>761</v>
      </c>
      <c r="K1100" s="24" t="s">
        <v>1146</v>
      </c>
      <c r="L1100" s="25">
        <v>1070</v>
      </c>
      <c r="M1100" s="26">
        <v>5.3559999999999999</v>
      </c>
      <c r="N1100" s="27">
        <v>5.3559999999999999</v>
      </c>
      <c r="O1100" s="28">
        <v>4.8690909090909089E-3</v>
      </c>
      <c r="P1100" s="28">
        <v>5.0716106194690269</v>
      </c>
    </row>
    <row r="1101" spans="1:16" x14ac:dyDescent="0.3">
      <c r="A1101" t="s">
        <v>3997</v>
      </c>
      <c r="B1101" s="24">
        <v>101554</v>
      </c>
      <c r="C1101" s="24" t="s">
        <v>1202</v>
      </c>
      <c r="D1101" s="24" t="s">
        <v>1102</v>
      </c>
      <c r="E1101" s="24" t="s">
        <v>51</v>
      </c>
      <c r="F1101" s="24" t="s">
        <v>1142</v>
      </c>
      <c r="G1101" s="24" t="s">
        <v>1244</v>
      </c>
      <c r="H1101" s="24" t="s">
        <v>439</v>
      </c>
      <c r="I1101" s="24" t="s">
        <v>1295</v>
      </c>
      <c r="J1101" s="24" t="s">
        <v>761</v>
      </c>
      <c r="K1101" s="24" t="s">
        <v>1146</v>
      </c>
      <c r="L1101" s="25">
        <v>1070</v>
      </c>
      <c r="M1101" s="26">
        <v>5.117</v>
      </c>
      <c r="N1101" s="27">
        <v>5.117</v>
      </c>
      <c r="O1101" s="28">
        <v>4.6518181818181814E-3</v>
      </c>
      <c r="P1101" s="28">
        <v>4.8453008849557522</v>
      </c>
    </row>
    <row r="1102" spans="1:16" x14ac:dyDescent="0.3">
      <c r="A1102" t="s">
        <v>3998</v>
      </c>
      <c r="B1102" s="24">
        <v>101554</v>
      </c>
      <c r="C1102" s="24" t="s">
        <v>1202</v>
      </c>
      <c r="D1102" s="24" t="s">
        <v>1102</v>
      </c>
      <c r="E1102" s="24" t="s">
        <v>402</v>
      </c>
      <c r="F1102" s="24" t="s">
        <v>1142</v>
      </c>
      <c r="G1102" s="24" t="s">
        <v>1244</v>
      </c>
      <c r="H1102" s="24" t="s">
        <v>440</v>
      </c>
      <c r="I1102" s="24" t="s">
        <v>1296</v>
      </c>
      <c r="J1102" s="24" t="s">
        <v>761</v>
      </c>
      <c r="K1102" s="24" t="s">
        <v>1146</v>
      </c>
      <c r="L1102" s="25">
        <v>1070</v>
      </c>
      <c r="M1102" s="26">
        <v>5.4980000000000002</v>
      </c>
      <c r="N1102" s="27">
        <v>5.4980000000000002</v>
      </c>
      <c r="O1102" s="28">
        <v>4.9981818181818183E-3</v>
      </c>
      <c r="P1102" s="28">
        <v>5.2060707964601773</v>
      </c>
    </row>
    <row r="1103" spans="1:16" x14ac:dyDescent="0.3">
      <c r="A1103" t="s">
        <v>3999</v>
      </c>
      <c r="B1103" s="24">
        <v>101554</v>
      </c>
      <c r="C1103" s="24" t="s">
        <v>1202</v>
      </c>
      <c r="D1103" s="24" t="s">
        <v>1102</v>
      </c>
      <c r="E1103" s="24" t="s">
        <v>402</v>
      </c>
      <c r="F1103" s="24" t="s">
        <v>1142</v>
      </c>
      <c r="G1103" s="24" t="s">
        <v>1244</v>
      </c>
      <c r="H1103" s="24" t="s">
        <v>442</v>
      </c>
      <c r="I1103" s="24" t="s">
        <v>1297</v>
      </c>
      <c r="J1103" s="24" t="s">
        <v>761</v>
      </c>
      <c r="K1103" s="24" t="s">
        <v>1146</v>
      </c>
      <c r="L1103" s="25">
        <v>1070</v>
      </c>
      <c r="M1103" s="26">
        <v>6.5529999999999999</v>
      </c>
      <c r="N1103" s="27">
        <v>6.5529999999999999</v>
      </c>
      <c r="O1103" s="28">
        <v>5.9572727272727269E-3</v>
      </c>
      <c r="P1103" s="28">
        <v>6.2050530973451332</v>
      </c>
    </row>
    <row r="1104" spans="1:16" x14ac:dyDescent="0.3">
      <c r="A1104" t="s">
        <v>4000</v>
      </c>
      <c r="B1104" s="24">
        <v>114635</v>
      </c>
      <c r="C1104" s="24" t="s">
        <v>1243</v>
      </c>
      <c r="D1104" s="24" t="s">
        <v>1102</v>
      </c>
      <c r="E1104" s="24" t="s">
        <v>402</v>
      </c>
      <c r="F1104" s="24" t="s">
        <v>1142</v>
      </c>
      <c r="G1104" s="24" t="s">
        <v>1244</v>
      </c>
      <c r="H1104" s="24" t="s">
        <v>431</v>
      </c>
      <c r="I1104" s="24" t="s">
        <v>1298</v>
      </c>
      <c r="J1104" s="24" t="s">
        <v>761</v>
      </c>
      <c r="K1104" s="24" t="s">
        <v>1146</v>
      </c>
      <c r="L1104" s="25">
        <v>1070</v>
      </c>
      <c r="M1104" s="26">
        <v>2.7951000000000001</v>
      </c>
      <c r="N1104" s="27">
        <v>2.7951000000000001</v>
      </c>
      <c r="O1104" s="28">
        <v>2.5410000000000003E-3</v>
      </c>
      <c r="P1104" s="28">
        <v>2.6466876106194692</v>
      </c>
    </row>
    <row r="1105" spans="1:16" x14ac:dyDescent="0.3">
      <c r="A1105" t="s">
        <v>4001</v>
      </c>
      <c r="B1105" s="24">
        <v>142363</v>
      </c>
      <c r="C1105" s="24" t="s">
        <v>1246</v>
      </c>
      <c r="D1105" s="24" t="s">
        <v>1102</v>
      </c>
      <c r="E1105" s="24" t="s">
        <v>402</v>
      </c>
      <c r="F1105" s="24" t="s">
        <v>1142</v>
      </c>
      <c r="G1105" s="24" t="s">
        <v>1244</v>
      </c>
      <c r="H1105" s="24" t="s">
        <v>431</v>
      </c>
      <c r="I1105" s="24" t="s">
        <v>1298</v>
      </c>
      <c r="J1105" s="24" t="s">
        <v>761</v>
      </c>
      <c r="K1105" s="24" t="s">
        <v>1146</v>
      </c>
      <c r="L1105" s="25">
        <v>1070</v>
      </c>
      <c r="M1105" s="26">
        <v>2.7951000000000001</v>
      </c>
      <c r="N1105" s="27">
        <v>2.7951000000000001</v>
      </c>
      <c r="O1105" s="28">
        <v>2.5410000000000003E-3</v>
      </c>
      <c r="P1105" s="28">
        <v>2.6466876106194692</v>
      </c>
    </row>
    <row r="1106" spans="1:16" x14ac:dyDescent="0.3">
      <c r="A1106" t="s">
        <v>4002</v>
      </c>
      <c r="B1106" s="24">
        <v>114635</v>
      </c>
      <c r="C1106" s="24" t="s">
        <v>1243</v>
      </c>
      <c r="D1106" s="24" t="s">
        <v>1102</v>
      </c>
      <c r="E1106" s="24" t="s">
        <v>402</v>
      </c>
      <c r="F1106" s="24" t="s">
        <v>1142</v>
      </c>
      <c r="G1106" s="24" t="s">
        <v>1244</v>
      </c>
      <c r="H1106" s="24" t="s">
        <v>1104</v>
      </c>
      <c r="I1106" s="24" t="s">
        <v>1257</v>
      </c>
      <c r="J1106" s="24" t="s">
        <v>761</v>
      </c>
      <c r="K1106" s="24" t="s">
        <v>1146</v>
      </c>
      <c r="L1106" s="25">
        <v>1070</v>
      </c>
      <c r="M1106" s="26">
        <v>1.8864000000000001</v>
      </c>
      <c r="N1106" s="27">
        <v>1.8864000000000001</v>
      </c>
      <c r="O1106" s="28">
        <v>1.7149090909090909E-3</v>
      </c>
      <c r="P1106" s="28">
        <v>1.7862371681415929</v>
      </c>
    </row>
    <row r="1107" spans="1:16" x14ac:dyDescent="0.3">
      <c r="A1107" t="s">
        <v>4003</v>
      </c>
      <c r="B1107" s="24">
        <v>142363</v>
      </c>
      <c r="C1107" s="24" t="s">
        <v>1246</v>
      </c>
      <c r="D1107" s="24" t="s">
        <v>1102</v>
      </c>
      <c r="E1107" s="24" t="s">
        <v>402</v>
      </c>
      <c r="F1107" s="24" t="s">
        <v>1142</v>
      </c>
      <c r="G1107" s="24" t="s">
        <v>1244</v>
      </c>
      <c r="H1107" s="24" t="s">
        <v>1104</v>
      </c>
      <c r="I1107" s="24" t="s">
        <v>1257</v>
      </c>
      <c r="J1107" s="24" t="s">
        <v>761</v>
      </c>
      <c r="K1107" s="24" t="s">
        <v>1146</v>
      </c>
      <c r="L1107" s="25">
        <v>1070</v>
      </c>
      <c r="M1107" s="26">
        <v>1.8864000000000001</v>
      </c>
      <c r="N1107" s="27">
        <v>1.8864000000000001</v>
      </c>
      <c r="O1107" s="28">
        <v>1.7149090909090909E-3</v>
      </c>
      <c r="P1107" s="28">
        <v>1.7862371681415929</v>
      </c>
    </row>
    <row r="1108" spans="1:16" x14ac:dyDescent="0.3">
      <c r="A1108" t="s">
        <v>4004</v>
      </c>
      <c r="B1108" s="24">
        <v>114635</v>
      </c>
      <c r="C1108" s="24" t="s">
        <v>1243</v>
      </c>
      <c r="D1108" s="24" t="s">
        <v>1102</v>
      </c>
      <c r="E1108" s="24" t="s">
        <v>402</v>
      </c>
      <c r="F1108" s="24" t="s">
        <v>1142</v>
      </c>
      <c r="G1108" s="24" t="s">
        <v>1244</v>
      </c>
      <c r="H1108" s="24" t="s">
        <v>432</v>
      </c>
      <c r="I1108" s="24" t="s">
        <v>1257</v>
      </c>
      <c r="J1108" s="24" t="s">
        <v>761</v>
      </c>
      <c r="K1108" s="24" t="s">
        <v>1146</v>
      </c>
      <c r="L1108" s="25">
        <v>1070</v>
      </c>
      <c r="M1108" s="26">
        <v>1.8864000000000001</v>
      </c>
      <c r="N1108" s="27">
        <v>1.8864000000000001</v>
      </c>
      <c r="O1108" s="28">
        <v>1.7149090909090909E-3</v>
      </c>
      <c r="P1108" s="28">
        <v>1.7862371681415929</v>
      </c>
    </row>
    <row r="1109" spans="1:16" x14ac:dyDescent="0.3">
      <c r="A1109" t="s">
        <v>4005</v>
      </c>
      <c r="B1109" s="24">
        <v>142363</v>
      </c>
      <c r="C1109" s="24" t="s">
        <v>1246</v>
      </c>
      <c r="D1109" s="24" t="s">
        <v>1102</v>
      </c>
      <c r="E1109" s="24" t="s">
        <v>402</v>
      </c>
      <c r="F1109" s="24" t="s">
        <v>1142</v>
      </c>
      <c r="G1109" s="24" t="s">
        <v>1244</v>
      </c>
      <c r="H1109" s="24" t="s">
        <v>432</v>
      </c>
      <c r="I1109" s="24" t="s">
        <v>1257</v>
      </c>
      <c r="J1109" s="24" t="s">
        <v>761</v>
      </c>
      <c r="K1109" s="24" t="s">
        <v>1146</v>
      </c>
      <c r="L1109" s="25">
        <v>1070</v>
      </c>
      <c r="M1109" s="26">
        <v>1.8864000000000001</v>
      </c>
      <c r="N1109" s="27">
        <v>1.8864000000000001</v>
      </c>
      <c r="O1109" s="28">
        <v>1.7149090909090909E-3</v>
      </c>
      <c r="P1109" s="28">
        <v>1.7862371681415929</v>
      </c>
    </row>
    <row r="1110" spans="1:16" x14ac:dyDescent="0.3">
      <c r="A1110" t="s">
        <v>4006</v>
      </c>
      <c r="B1110" s="24">
        <v>101082</v>
      </c>
      <c r="C1110" s="24" t="s">
        <v>1299</v>
      </c>
      <c r="D1110" s="24" t="s">
        <v>1102</v>
      </c>
      <c r="E1110" s="24" t="s">
        <v>402</v>
      </c>
      <c r="F1110" s="24" t="s">
        <v>1142</v>
      </c>
      <c r="G1110" s="24" t="s">
        <v>1244</v>
      </c>
      <c r="H1110" s="24" t="s">
        <v>454</v>
      </c>
      <c r="I1110" s="24" t="s">
        <v>1300</v>
      </c>
      <c r="J1110" s="24" t="s">
        <v>761</v>
      </c>
      <c r="K1110" s="24" t="s">
        <v>1146</v>
      </c>
      <c r="L1110" s="25">
        <v>1070</v>
      </c>
      <c r="M1110" s="26">
        <v>2.8</v>
      </c>
      <c r="N1110" s="27">
        <v>2.8</v>
      </c>
      <c r="O1110" s="28">
        <v>2.5454545454545452E-3</v>
      </c>
      <c r="P1110" s="28">
        <v>2.6513274336283188</v>
      </c>
    </row>
    <row r="1111" spans="1:16" x14ac:dyDescent="0.3">
      <c r="A1111" t="s">
        <v>4007</v>
      </c>
      <c r="B1111" s="24">
        <v>101554</v>
      </c>
      <c r="C1111" s="24" t="s">
        <v>1202</v>
      </c>
      <c r="D1111" s="24" t="s">
        <v>1102</v>
      </c>
      <c r="E1111" s="24" t="s">
        <v>402</v>
      </c>
      <c r="F1111" s="24" t="s">
        <v>1142</v>
      </c>
      <c r="G1111" s="24" t="s">
        <v>1244</v>
      </c>
      <c r="H1111" s="24" t="s">
        <v>1095</v>
      </c>
      <c r="I1111" s="24" t="s">
        <v>1301</v>
      </c>
      <c r="J1111" s="24" t="s">
        <v>761</v>
      </c>
      <c r="K1111" s="24" t="s">
        <v>1146</v>
      </c>
      <c r="L1111" s="25">
        <v>1070</v>
      </c>
      <c r="M1111" s="26">
        <v>4.16</v>
      </c>
      <c r="N1111" s="27">
        <v>4.16</v>
      </c>
      <c r="O1111" s="28">
        <v>3.7818181818181818E-3</v>
      </c>
      <c r="P1111" s="28">
        <v>3.9391150442477874</v>
      </c>
    </row>
    <row r="1112" spans="1:16" x14ac:dyDescent="0.3">
      <c r="A1112" t="s">
        <v>4008</v>
      </c>
      <c r="B1112" s="24">
        <v>101554</v>
      </c>
      <c r="C1112" s="24" t="s">
        <v>1202</v>
      </c>
      <c r="D1112" s="24" t="s">
        <v>1102</v>
      </c>
      <c r="E1112" s="24" t="s">
        <v>402</v>
      </c>
      <c r="F1112" s="24" t="s">
        <v>1142</v>
      </c>
      <c r="G1112" s="24" t="s">
        <v>1244</v>
      </c>
      <c r="H1112" s="24" t="s">
        <v>443</v>
      </c>
      <c r="I1112" s="24" t="s">
        <v>1302</v>
      </c>
      <c r="J1112" s="24" t="s">
        <v>761</v>
      </c>
      <c r="K1112" s="24" t="s">
        <v>1146</v>
      </c>
      <c r="L1112" s="25">
        <v>1070</v>
      </c>
      <c r="M1112" s="26">
        <v>4.62</v>
      </c>
      <c r="N1112" s="27">
        <v>4.62</v>
      </c>
      <c r="O1112" s="28">
        <v>4.1999999999999997E-3</v>
      </c>
      <c r="P1112" s="28">
        <v>4.3746902654867261</v>
      </c>
    </row>
    <row r="1113" spans="1:16" x14ac:dyDescent="0.3">
      <c r="A1113" t="s">
        <v>4009</v>
      </c>
      <c r="B1113" s="24">
        <v>101554</v>
      </c>
      <c r="C1113" s="24" t="s">
        <v>1202</v>
      </c>
      <c r="D1113" s="24" t="s">
        <v>1102</v>
      </c>
      <c r="E1113" s="24" t="s">
        <v>402</v>
      </c>
      <c r="F1113" s="24" t="s">
        <v>1142</v>
      </c>
      <c r="G1113" s="24" t="s">
        <v>1244</v>
      </c>
      <c r="H1113" s="24" t="s">
        <v>444</v>
      </c>
      <c r="I1113" s="24" t="s">
        <v>1303</v>
      </c>
      <c r="J1113" s="24" t="s">
        <v>761</v>
      </c>
      <c r="K1113" s="24" t="s">
        <v>1146</v>
      </c>
      <c r="L1113" s="25">
        <v>1070</v>
      </c>
      <c r="M1113" s="26">
        <v>4.62</v>
      </c>
      <c r="N1113" s="27">
        <v>4.62</v>
      </c>
      <c r="O1113" s="28">
        <v>4.1999999999999997E-3</v>
      </c>
      <c r="P1113" s="28">
        <v>4.3746902654867261</v>
      </c>
    </row>
    <row r="1114" spans="1:16" x14ac:dyDescent="0.3">
      <c r="A1114" t="s">
        <v>4010</v>
      </c>
      <c r="B1114" s="24">
        <v>101554</v>
      </c>
      <c r="C1114" s="24" t="s">
        <v>1202</v>
      </c>
      <c r="D1114" s="24" t="s">
        <v>1102</v>
      </c>
      <c r="E1114" s="24" t="s">
        <v>402</v>
      </c>
      <c r="F1114" s="24" t="s">
        <v>1142</v>
      </c>
      <c r="G1114" s="24" t="s">
        <v>1244</v>
      </c>
      <c r="H1114" s="24" t="s">
        <v>446</v>
      </c>
      <c r="I1114" s="24" t="s">
        <v>1304</v>
      </c>
      <c r="J1114" s="24" t="s">
        <v>761</v>
      </c>
      <c r="K1114" s="24" t="s">
        <v>1146</v>
      </c>
      <c r="L1114" s="25">
        <v>1070</v>
      </c>
      <c r="M1114" s="26">
        <v>4.5789999999999997</v>
      </c>
      <c r="N1114" s="27">
        <v>4.5789999999999997</v>
      </c>
      <c r="O1114" s="28">
        <v>4.1627272727272728E-3</v>
      </c>
      <c r="P1114" s="28">
        <v>4.3358672566371679</v>
      </c>
    </row>
    <row r="1115" spans="1:16" x14ac:dyDescent="0.3">
      <c r="A1115" t="s">
        <v>4011</v>
      </c>
      <c r="B1115" s="24">
        <v>101554</v>
      </c>
      <c r="C1115" s="24" t="s">
        <v>1202</v>
      </c>
      <c r="D1115" s="24" t="s">
        <v>1102</v>
      </c>
      <c r="E1115" s="24" t="s">
        <v>51</v>
      </c>
      <c r="F1115" s="24" t="s">
        <v>1142</v>
      </c>
      <c r="G1115" s="24" t="s">
        <v>1244</v>
      </c>
      <c r="H1115" s="24" t="s">
        <v>445</v>
      </c>
      <c r="I1115" s="24" t="s">
        <v>1305</v>
      </c>
      <c r="J1115" s="24" t="s">
        <v>761</v>
      </c>
      <c r="K1115" s="24" t="s">
        <v>1146</v>
      </c>
      <c r="L1115" s="25">
        <v>1070</v>
      </c>
      <c r="M1115" s="26">
        <v>5.5759999999999996</v>
      </c>
      <c r="N1115" s="27">
        <v>5.5759999999999996</v>
      </c>
      <c r="O1115" s="28">
        <v>5.0690909090909085E-3</v>
      </c>
      <c r="P1115" s="28">
        <v>5.2799292035398224</v>
      </c>
    </row>
    <row r="1116" spans="1:16" x14ac:dyDescent="0.3">
      <c r="A1116" t="s">
        <v>4012</v>
      </c>
      <c r="B1116" s="24">
        <v>101554</v>
      </c>
      <c r="C1116" s="24" t="s">
        <v>1202</v>
      </c>
      <c r="D1116" s="24" t="s">
        <v>1102</v>
      </c>
      <c r="E1116" s="24" t="s">
        <v>402</v>
      </c>
      <c r="F1116" s="24" t="s">
        <v>1142</v>
      </c>
      <c r="G1116" s="24" t="s">
        <v>1244</v>
      </c>
      <c r="H1116" s="24" t="s">
        <v>447</v>
      </c>
      <c r="I1116" s="24" t="s">
        <v>1306</v>
      </c>
      <c r="J1116" s="24" t="s">
        <v>761</v>
      </c>
      <c r="K1116" s="24" t="s">
        <v>1146</v>
      </c>
      <c r="L1116" s="25">
        <v>1070</v>
      </c>
      <c r="M1116" s="26">
        <v>5.9569999999999999</v>
      </c>
      <c r="N1116" s="27">
        <v>5.9569999999999999</v>
      </c>
      <c r="O1116" s="28">
        <v>5.4154545454545453E-3</v>
      </c>
      <c r="P1116" s="28">
        <v>5.6406991150442476</v>
      </c>
    </row>
    <row r="1117" spans="1:16" x14ac:dyDescent="0.3">
      <c r="A1117" t="s">
        <v>4013</v>
      </c>
      <c r="B1117" s="24">
        <v>101554</v>
      </c>
      <c r="C1117" s="24" t="s">
        <v>1202</v>
      </c>
      <c r="D1117" s="24" t="s">
        <v>1102</v>
      </c>
      <c r="E1117" s="24" t="s">
        <v>402</v>
      </c>
      <c r="F1117" s="24" t="s">
        <v>1142</v>
      </c>
      <c r="G1117" s="24" t="s">
        <v>1244</v>
      </c>
      <c r="H1117" s="24" t="s">
        <v>448</v>
      </c>
      <c r="I1117" s="24" t="s">
        <v>1306</v>
      </c>
      <c r="J1117" s="24" t="s">
        <v>761</v>
      </c>
      <c r="K1117" s="24" t="s">
        <v>1146</v>
      </c>
      <c r="L1117" s="25">
        <v>1070</v>
      </c>
      <c r="M1117" s="26">
        <v>5.6829999999999998</v>
      </c>
      <c r="N1117" s="27">
        <v>5.6829999999999998</v>
      </c>
      <c r="O1117" s="28">
        <v>5.1663636363636365E-3</v>
      </c>
      <c r="P1117" s="28">
        <v>5.3812477876106186</v>
      </c>
    </row>
    <row r="1118" spans="1:16" x14ac:dyDescent="0.3">
      <c r="A1118" t="s">
        <v>4014</v>
      </c>
      <c r="B1118" s="24">
        <v>101554</v>
      </c>
      <c r="C1118" s="24" t="s">
        <v>1202</v>
      </c>
      <c r="D1118" s="24" t="s">
        <v>1102</v>
      </c>
      <c r="E1118" s="24" t="s">
        <v>402</v>
      </c>
      <c r="F1118" s="24" t="s">
        <v>1142</v>
      </c>
      <c r="G1118" s="24" t="s">
        <v>1244</v>
      </c>
      <c r="H1118" s="24" t="s">
        <v>449</v>
      </c>
      <c r="I1118" s="24" t="s">
        <v>1256</v>
      </c>
      <c r="J1118" s="24" t="s">
        <v>761</v>
      </c>
      <c r="K1118" s="24" t="s">
        <v>1146</v>
      </c>
      <c r="L1118" s="25">
        <v>1070</v>
      </c>
      <c r="M1118" s="26">
        <v>4.7119999999999997</v>
      </c>
      <c r="N1118" s="27">
        <v>4.7119999999999997</v>
      </c>
      <c r="O1118" s="28">
        <v>4.2836363636363636E-3</v>
      </c>
      <c r="P1118" s="28">
        <v>4.4618053097345136</v>
      </c>
    </row>
    <row r="1119" spans="1:16" x14ac:dyDescent="0.3">
      <c r="A1119" t="s">
        <v>4015</v>
      </c>
      <c r="B1119" s="24">
        <v>101554</v>
      </c>
      <c r="C1119" s="24" t="s">
        <v>1202</v>
      </c>
      <c r="D1119" s="24" t="s">
        <v>1102</v>
      </c>
      <c r="E1119" s="24" t="s">
        <v>402</v>
      </c>
      <c r="F1119" s="24" t="s">
        <v>1142</v>
      </c>
      <c r="G1119" s="24" t="s">
        <v>1244</v>
      </c>
      <c r="H1119" s="24" t="s">
        <v>450</v>
      </c>
      <c r="I1119" s="24" t="s">
        <v>1307</v>
      </c>
      <c r="J1119" s="24" t="s">
        <v>761</v>
      </c>
      <c r="K1119" s="24" t="s">
        <v>1146</v>
      </c>
      <c r="L1119" s="25">
        <v>1070</v>
      </c>
      <c r="M1119" s="26">
        <v>4.6399999999999997</v>
      </c>
      <c r="N1119" s="27">
        <v>4.6399999999999997</v>
      </c>
      <c r="O1119" s="28">
        <v>4.218181818181818E-3</v>
      </c>
      <c r="P1119" s="28">
        <v>4.3936283185840699</v>
      </c>
    </row>
    <row r="1120" spans="1:16" x14ac:dyDescent="0.3">
      <c r="A1120" t="s">
        <v>4016</v>
      </c>
      <c r="B1120" s="24">
        <v>101554</v>
      </c>
      <c r="C1120" s="24" t="s">
        <v>1202</v>
      </c>
      <c r="D1120" s="24" t="s">
        <v>1102</v>
      </c>
      <c r="E1120" s="24" t="s">
        <v>402</v>
      </c>
      <c r="F1120" s="24" t="s">
        <v>1142</v>
      </c>
      <c r="G1120" s="24" t="s">
        <v>1244</v>
      </c>
      <c r="H1120" s="24" t="s">
        <v>451</v>
      </c>
      <c r="I1120" s="24" t="s">
        <v>1308</v>
      </c>
      <c r="J1120" s="24" t="s">
        <v>761</v>
      </c>
      <c r="K1120" s="24" t="s">
        <v>1146</v>
      </c>
      <c r="L1120" s="25">
        <v>1070</v>
      </c>
      <c r="M1120" s="26">
        <v>4.3920000000000003</v>
      </c>
      <c r="N1120" s="27">
        <v>4.3920000000000003</v>
      </c>
      <c r="O1120" s="28">
        <v>3.9927272727272728E-3</v>
      </c>
      <c r="P1120" s="28">
        <v>4.1587964601769913</v>
      </c>
    </row>
    <row r="1121" spans="1:16" x14ac:dyDescent="0.3">
      <c r="A1121" t="s">
        <v>4017</v>
      </c>
      <c r="B1121" s="24">
        <v>101554</v>
      </c>
      <c r="C1121" s="24" t="s">
        <v>1202</v>
      </c>
      <c r="D1121" s="24" t="s">
        <v>1102</v>
      </c>
      <c r="E1121" s="24" t="s">
        <v>51</v>
      </c>
      <c r="F1121" s="24" t="s">
        <v>1142</v>
      </c>
      <c r="G1121" s="24" t="s">
        <v>1244</v>
      </c>
      <c r="H1121" s="24" t="s">
        <v>453</v>
      </c>
      <c r="I1121" s="24" t="s">
        <v>1309</v>
      </c>
      <c r="J1121" s="24" t="s">
        <v>761</v>
      </c>
      <c r="K1121" s="24" t="s">
        <v>1146</v>
      </c>
      <c r="L1121" s="25">
        <v>1070</v>
      </c>
      <c r="M1121" s="26">
        <v>5.6269999999999998</v>
      </c>
      <c r="N1121" s="27">
        <v>5.6269999999999998</v>
      </c>
      <c r="O1121" s="28">
        <v>5.1154545454545454E-3</v>
      </c>
      <c r="P1121" s="28">
        <v>5.3282212389380526</v>
      </c>
    </row>
    <row r="1122" spans="1:16" x14ac:dyDescent="0.3">
      <c r="A1122" t="s">
        <v>4018</v>
      </c>
      <c r="B1122" s="24">
        <v>101554</v>
      </c>
      <c r="C1122" s="24" t="s">
        <v>1202</v>
      </c>
      <c r="D1122" s="24" t="s">
        <v>1102</v>
      </c>
      <c r="E1122" s="24" t="s">
        <v>402</v>
      </c>
      <c r="F1122" s="24" t="s">
        <v>1142</v>
      </c>
      <c r="G1122" s="24" t="s">
        <v>1244</v>
      </c>
      <c r="H1122" s="24" t="s">
        <v>452</v>
      </c>
      <c r="I1122" s="24" t="s">
        <v>1310</v>
      </c>
      <c r="J1122" s="24" t="s">
        <v>761</v>
      </c>
      <c r="K1122" s="24" t="s">
        <v>1146</v>
      </c>
      <c r="L1122" s="25">
        <v>1070</v>
      </c>
      <c r="M1122" s="26">
        <v>4.62</v>
      </c>
      <c r="N1122" s="27">
        <v>4.62</v>
      </c>
      <c r="O1122" s="28">
        <v>4.1999999999999997E-3</v>
      </c>
      <c r="P1122" s="28">
        <v>4.3746902654867261</v>
      </c>
    </row>
    <row r="1123" spans="1:16" x14ac:dyDescent="0.3">
      <c r="A1123" t="s">
        <v>4019</v>
      </c>
      <c r="B1123" s="24">
        <v>300018</v>
      </c>
      <c r="C1123" s="24" t="s">
        <v>1311</v>
      </c>
      <c r="D1123" s="24" t="s">
        <v>1102</v>
      </c>
      <c r="E1123" s="24" t="s">
        <v>402</v>
      </c>
      <c r="F1123" s="24" t="s">
        <v>1142</v>
      </c>
      <c r="G1123" s="24" t="s">
        <v>1200</v>
      </c>
      <c r="H1123" s="24" t="s">
        <v>455</v>
      </c>
      <c r="I1123" s="24" t="s">
        <v>1312</v>
      </c>
      <c r="J1123" s="24" t="s">
        <v>761</v>
      </c>
      <c r="K1123" s="24" t="s">
        <v>1146</v>
      </c>
      <c r="L1123" s="25">
        <v>1070</v>
      </c>
      <c r="M1123" s="26">
        <v>2.4500000000000002</v>
      </c>
      <c r="N1123" s="27">
        <v>2.4500000000000002</v>
      </c>
      <c r="O1123" s="28">
        <v>2.2272727272727275E-3</v>
      </c>
      <c r="P1123" s="28">
        <v>2.3199115044247787</v>
      </c>
    </row>
    <row r="1124" spans="1:16" x14ac:dyDescent="0.3">
      <c r="A1124" t="s">
        <v>4020</v>
      </c>
      <c r="B1124" s="24">
        <v>300018</v>
      </c>
      <c r="C1124" s="24" t="s">
        <v>1311</v>
      </c>
      <c r="D1124" s="24" t="s">
        <v>1102</v>
      </c>
      <c r="E1124" s="24" t="s">
        <v>402</v>
      </c>
      <c r="F1124" s="24" t="s">
        <v>1142</v>
      </c>
      <c r="G1124" s="24" t="s">
        <v>1200</v>
      </c>
      <c r="H1124" s="24" t="s">
        <v>456</v>
      </c>
      <c r="I1124" s="24" t="s">
        <v>1313</v>
      </c>
      <c r="J1124" s="24" t="s">
        <v>761</v>
      </c>
      <c r="K1124" s="24" t="s">
        <v>1146</v>
      </c>
      <c r="L1124" s="25">
        <v>1070</v>
      </c>
      <c r="M1124" s="26">
        <v>2.4500000000000002</v>
      </c>
      <c r="N1124" s="27">
        <v>2.4500000000000002</v>
      </c>
      <c r="O1124" s="28">
        <v>2.2272727272727275E-3</v>
      </c>
      <c r="P1124" s="28">
        <v>2.3199115044247787</v>
      </c>
    </row>
    <row r="1125" spans="1:16" x14ac:dyDescent="0.3">
      <c r="A1125" t="s">
        <v>4021</v>
      </c>
      <c r="B1125" s="24">
        <v>300018</v>
      </c>
      <c r="C1125" s="24" t="s">
        <v>1311</v>
      </c>
      <c r="D1125" s="24" t="s">
        <v>1102</v>
      </c>
      <c r="E1125" s="24" t="s">
        <v>402</v>
      </c>
      <c r="F1125" s="24" t="s">
        <v>1142</v>
      </c>
      <c r="G1125" s="24" t="s">
        <v>1200</v>
      </c>
      <c r="H1125" s="24" t="s">
        <v>457</v>
      </c>
      <c r="I1125" s="24" t="s">
        <v>1314</v>
      </c>
      <c r="J1125" s="24" t="s">
        <v>761</v>
      </c>
      <c r="K1125" s="24" t="s">
        <v>1146</v>
      </c>
      <c r="L1125" s="25">
        <v>1070</v>
      </c>
      <c r="M1125" s="26">
        <v>2.4500000000000002</v>
      </c>
      <c r="N1125" s="27">
        <v>2.4500000000000002</v>
      </c>
      <c r="O1125" s="28">
        <v>2.2272727272727275E-3</v>
      </c>
      <c r="P1125" s="28">
        <v>2.3199115044247787</v>
      </c>
    </row>
    <row r="1126" spans="1:16" x14ac:dyDescent="0.3">
      <c r="A1126" t="s">
        <v>4022</v>
      </c>
      <c r="B1126" s="24">
        <v>300018</v>
      </c>
      <c r="C1126" s="24" t="s">
        <v>1311</v>
      </c>
      <c r="D1126" s="24" t="s">
        <v>1102</v>
      </c>
      <c r="E1126" s="24" t="s">
        <v>402</v>
      </c>
      <c r="F1126" s="24" t="s">
        <v>1142</v>
      </c>
      <c r="G1126" s="24" t="s">
        <v>1200</v>
      </c>
      <c r="H1126" s="24" t="s">
        <v>458</v>
      </c>
      <c r="I1126" s="24" t="s">
        <v>1315</v>
      </c>
      <c r="J1126" s="24" t="s">
        <v>761</v>
      </c>
      <c r="K1126" s="24" t="s">
        <v>1146</v>
      </c>
      <c r="L1126" s="25">
        <v>1070</v>
      </c>
      <c r="M1126" s="26">
        <v>2.4500000000000002</v>
      </c>
      <c r="N1126" s="27">
        <v>2.4500000000000002</v>
      </c>
      <c r="O1126" s="28">
        <v>2.2272727272727275E-3</v>
      </c>
      <c r="P1126" s="28">
        <v>2.3199115044247787</v>
      </c>
    </row>
    <row r="1127" spans="1:16" x14ac:dyDescent="0.3">
      <c r="A1127" t="s">
        <v>4023</v>
      </c>
      <c r="B1127" s="24">
        <v>300018</v>
      </c>
      <c r="C1127" s="24" t="s">
        <v>1311</v>
      </c>
      <c r="D1127" s="24" t="s">
        <v>1102</v>
      </c>
      <c r="E1127" s="24" t="s">
        <v>402</v>
      </c>
      <c r="F1127" s="24" t="s">
        <v>1142</v>
      </c>
      <c r="G1127" s="24" t="s">
        <v>1200</v>
      </c>
      <c r="H1127" s="24" t="s">
        <v>459</v>
      </c>
      <c r="I1127" s="24" t="s">
        <v>1316</v>
      </c>
      <c r="J1127" s="24" t="s">
        <v>761</v>
      </c>
      <c r="K1127" s="24" t="s">
        <v>1146</v>
      </c>
      <c r="L1127" s="25">
        <v>1070</v>
      </c>
      <c r="M1127" s="26">
        <v>2.75</v>
      </c>
      <c r="N1127" s="27">
        <v>2.75</v>
      </c>
      <c r="O1127" s="28">
        <v>2.5000000000000001E-3</v>
      </c>
      <c r="P1127" s="28">
        <v>2.6039823008849559</v>
      </c>
    </row>
    <row r="1128" spans="1:16" x14ac:dyDescent="0.3">
      <c r="A1128" t="s">
        <v>4024</v>
      </c>
      <c r="B1128" s="24">
        <v>300018</v>
      </c>
      <c r="C1128" s="24" t="s">
        <v>1311</v>
      </c>
      <c r="D1128" s="24" t="s">
        <v>1102</v>
      </c>
      <c r="E1128" s="24" t="s">
        <v>402</v>
      </c>
      <c r="F1128" s="24" t="s">
        <v>1142</v>
      </c>
      <c r="G1128" s="24" t="s">
        <v>1200</v>
      </c>
      <c r="H1128" s="24" t="s">
        <v>1317</v>
      </c>
      <c r="I1128" s="24" t="s">
        <v>1318</v>
      </c>
      <c r="J1128" s="24" t="s">
        <v>761</v>
      </c>
      <c r="K1128" s="24" t="s">
        <v>1146</v>
      </c>
      <c r="L1128" s="25">
        <v>1070</v>
      </c>
      <c r="M1128" s="26">
        <v>2.75</v>
      </c>
      <c r="N1128" s="27">
        <v>2.75</v>
      </c>
      <c r="O1128" s="28">
        <v>2.5000000000000001E-3</v>
      </c>
      <c r="P1128" s="28">
        <v>2.6039823008849559</v>
      </c>
    </row>
    <row r="1129" spans="1:16" x14ac:dyDescent="0.3">
      <c r="A1129" t="s">
        <v>4025</v>
      </c>
      <c r="B1129" s="24">
        <v>300018</v>
      </c>
      <c r="C1129" s="24" t="s">
        <v>1311</v>
      </c>
      <c r="D1129" s="24" t="s">
        <v>1102</v>
      </c>
      <c r="E1129" s="24" t="s">
        <v>402</v>
      </c>
      <c r="F1129" s="24" t="s">
        <v>1142</v>
      </c>
      <c r="G1129" s="24" t="s">
        <v>1200</v>
      </c>
      <c r="H1129" s="24" t="s">
        <v>460</v>
      </c>
      <c r="I1129" s="24" t="s">
        <v>1319</v>
      </c>
      <c r="J1129" s="24" t="s">
        <v>761</v>
      </c>
      <c r="K1129" s="24" t="s">
        <v>1146</v>
      </c>
      <c r="L1129" s="25">
        <v>1070</v>
      </c>
      <c r="M1129" s="26">
        <v>2.75</v>
      </c>
      <c r="N1129" s="27">
        <v>2.75</v>
      </c>
      <c r="O1129" s="28">
        <v>2.5000000000000001E-3</v>
      </c>
      <c r="P1129" s="28">
        <v>2.6039823008849559</v>
      </c>
    </row>
    <row r="1130" spans="1:16" x14ac:dyDescent="0.3">
      <c r="A1130" t="s">
        <v>4026</v>
      </c>
      <c r="B1130" s="24">
        <v>300018</v>
      </c>
      <c r="C1130" s="24" t="s">
        <v>1311</v>
      </c>
      <c r="D1130" s="24" t="s">
        <v>1102</v>
      </c>
      <c r="E1130" s="24" t="s">
        <v>402</v>
      </c>
      <c r="F1130" s="24" t="s">
        <v>1142</v>
      </c>
      <c r="G1130" s="24" t="s">
        <v>1200</v>
      </c>
      <c r="H1130" s="24" t="s">
        <v>461</v>
      </c>
      <c r="I1130" s="24" t="s">
        <v>1320</v>
      </c>
      <c r="J1130" s="24" t="s">
        <v>761</v>
      </c>
      <c r="K1130" s="24" t="s">
        <v>1146</v>
      </c>
      <c r="L1130" s="25">
        <v>1070</v>
      </c>
      <c r="M1130" s="26">
        <v>2.75</v>
      </c>
      <c r="N1130" s="27">
        <v>2.75</v>
      </c>
      <c r="O1130" s="28">
        <v>2.5000000000000001E-3</v>
      </c>
      <c r="P1130" s="28">
        <v>2.6039823008849559</v>
      </c>
    </row>
    <row r="1131" spans="1:16" x14ac:dyDescent="0.3">
      <c r="A1131" t="s">
        <v>4027</v>
      </c>
      <c r="B1131" s="24">
        <v>300018</v>
      </c>
      <c r="C1131" s="24" t="s">
        <v>1311</v>
      </c>
      <c r="D1131" s="24" t="s">
        <v>1102</v>
      </c>
      <c r="E1131" s="24" t="s">
        <v>402</v>
      </c>
      <c r="F1131" s="24" t="s">
        <v>1142</v>
      </c>
      <c r="G1131" s="24" t="s">
        <v>1200</v>
      </c>
      <c r="H1131" s="24" t="s">
        <v>462</v>
      </c>
      <c r="I1131" s="24" t="s">
        <v>1321</v>
      </c>
      <c r="J1131" s="24" t="s">
        <v>761</v>
      </c>
      <c r="K1131" s="24" t="s">
        <v>1146</v>
      </c>
      <c r="L1131" s="25">
        <v>1070</v>
      </c>
      <c r="M1131" s="26">
        <v>3.1</v>
      </c>
      <c r="N1131" s="27">
        <v>3.1</v>
      </c>
      <c r="O1131" s="28">
        <v>2.8181818181818182E-3</v>
      </c>
      <c r="P1131" s="28">
        <v>2.9353982300884955</v>
      </c>
    </row>
    <row r="1132" spans="1:16" x14ac:dyDescent="0.3">
      <c r="A1132" t="s">
        <v>4028</v>
      </c>
      <c r="B1132" s="24">
        <v>300018</v>
      </c>
      <c r="C1132" s="24" t="s">
        <v>1311</v>
      </c>
      <c r="D1132" s="24" t="s">
        <v>1102</v>
      </c>
      <c r="E1132" s="24" t="s">
        <v>402</v>
      </c>
      <c r="F1132" s="24" t="s">
        <v>1142</v>
      </c>
      <c r="G1132" s="24" t="s">
        <v>1200</v>
      </c>
      <c r="H1132" s="24" t="s">
        <v>1322</v>
      </c>
      <c r="I1132" s="24" t="s">
        <v>1323</v>
      </c>
      <c r="J1132" s="24" t="s">
        <v>761</v>
      </c>
      <c r="K1132" s="24" t="s">
        <v>1146</v>
      </c>
      <c r="L1132" s="25">
        <v>1070</v>
      </c>
      <c r="M1132" s="26">
        <v>3.1</v>
      </c>
      <c r="N1132" s="27">
        <v>3.1</v>
      </c>
      <c r="O1132" s="28">
        <v>2.8181818181818182E-3</v>
      </c>
      <c r="P1132" s="28">
        <v>2.9353982300884955</v>
      </c>
    </row>
    <row r="1133" spans="1:16" x14ac:dyDescent="0.3">
      <c r="A1133" t="s">
        <v>4029</v>
      </c>
      <c r="B1133" s="24">
        <v>300018</v>
      </c>
      <c r="C1133" s="24" t="s">
        <v>1311</v>
      </c>
      <c r="D1133" s="24" t="s">
        <v>1102</v>
      </c>
      <c r="E1133" s="24" t="s">
        <v>402</v>
      </c>
      <c r="F1133" s="24" t="s">
        <v>1142</v>
      </c>
      <c r="G1133" s="24" t="s">
        <v>1200</v>
      </c>
      <c r="H1133" s="24" t="s">
        <v>463</v>
      </c>
      <c r="I1133" s="24" t="s">
        <v>1319</v>
      </c>
      <c r="J1133" s="24" t="s">
        <v>761</v>
      </c>
      <c r="K1133" s="24" t="s">
        <v>1146</v>
      </c>
      <c r="L1133" s="25">
        <v>1070</v>
      </c>
      <c r="M1133" s="26">
        <v>3.15</v>
      </c>
      <c r="N1133" s="27">
        <v>3.15</v>
      </c>
      <c r="O1133" s="28">
        <v>2.8636363636363633E-3</v>
      </c>
      <c r="P1133" s="28">
        <v>2.9827433628318585</v>
      </c>
    </row>
    <row r="1134" spans="1:16" x14ac:dyDescent="0.3">
      <c r="A1134" t="s">
        <v>4030</v>
      </c>
      <c r="B1134" s="24">
        <v>300018</v>
      </c>
      <c r="C1134" s="24" t="s">
        <v>1311</v>
      </c>
      <c r="D1134" s="24" t="s">
        <v>1102</v>
      </c>
      <c r="E1134" s="24" t="s">
        <v>402</v>
      </c>
      <c r="F1134" s="24" t="s">
        <v>1142</v>
      </c>
      <c r="G1134" s="24" t="s">
        <v>1200</v>
      </c>
      <c r="H1134" s="24" t="s">
        <v>464</v>
      </c>
      <c r="I1134" s="24" t="s">
        <v>1320</v>
      </c>
      <c r="J1134" s="24" t="s">
        <v>761</v>
      </c>
      <c r="K1134" s="24" t="s">
        <v>1146</v>
      </c>
      <c r="L1134" s="25">
        <v>1070</v>
      </c>
      <c r="M1134" s="26">
        <v>3.15</v>
      </c>
      <c r="N1134" s="27">
        <v>3.15</v>
      </c>
      <c r="O1134" s="28">
        <v>2.8636363636363633E-3</v>
      </c>
      <c r="P1134" s="28">
        <v>2.9827433628318585</v>
      </c>
    </row>
    <row r="1135" spans="1:16" x14ac:dyDescent="0.3">
      <c r="A1135" t="s">
        <v>4031</v>
      </c>
      <c r="B1135" s="24">
        <v>300084</v>
      </c>
      <c r="C1135" s="24" t="s">
        <v>1324</v>
      </c>
      <c r="D1135" s="24" t="s">
        <v>1102</v>
      </c>
      <c r="E1135" s="24" t="s">
        <v>402</v>
      </c>
      <c r="F1135" s="24" t="s">
        <v>1142</v>
      </c>
      <c r="G1135" s="24" t="s">
        <v>1325</v>
      </c>
      <c r="H1135" s="24" t="s">
        <v>465</v>
      </c>
      <c r="I1135" s="24" t="s">
        <v>1319</v>
      </c>
      <c r="J1135" s="24" t="s">
        <v>761</v>
      </c>
      <c r="K1135" s="24" t="s">
        <v>1146</v>
      </c>
      <c r="L1135" s="25">
        <v>1070</v>
      </c>
      <c r="M1135" s="26">
        <v>2.75</v>
      </c>
      <c r="N1135" s="27">
        <v>2.75</v>
      </c>
      <c r="O1135" s="28">
        <v>2.5000000000000001E-3</v>
      </c>
      <c r="P1135" s="28">
        <v>2.6039823008849559</v>
      </c>
    </row>
    <row r="1136" spans="1:16" x14ac:dyDescent="0.3">
      <c r="A1136" t="s">
        <v>4032</v>
      </c>
      <c r="B1136" s="24">
        <v>300018</v>
      </c>
      <c r="C1136" s="24" t="s">
        <v>1311</v>
      </c>
      <c r="D1136" s="24" t="s">
        <v>1102</v>
      </c>
      <c r="E1136" s="24" t="s">
        <v>402</v>
      </c>
      <c r="F1136" s="24" t="s">
        <v>1142</v>
      </c>
      <c r="G1136" s="24" t="s">
        <v>1200</v>
      </c>
      <c r="H1136" s="24" t="s">
        <v>466</v>
      </c>
      <c r="I1136" s="24" t="s">
        <v>1326</v>
      </c>
      <c r="J1136" s="24" t="s">
        <v>761</v>
      </c>
      <c r="K1136" s="24" t="s">
        <v>1146</v>
      </c>
      <c r="L1136" s="25">
        <v>1070</v>
      </c>
      <c r="M1136" s="26">
        <v>2.6</v>
      </c>
      <c r="N1136" s="27">
        <v>2.6</v>
      </c>
      <c r="O1136" s="28">
        <v>2.3636363636363638E-3</v>
      </c>
      <c r="P1136" s="28">
        <v>2.461946902654867</v>
      </c>
    </row>
    <row r="1137" spans="1:16" x14ac:dyDescent="0.3">
      <c r="A1137" t="s">
        <v>4033</v>
      </c>
      <c r="B1137" s="24">
        <v>101554</v>
      </c>
      <c r="C1137" s="24" t="s">
        <v>1202</v>
      </c>
      <c r="D1137" s="24" t="s">
        <v>1102</v>
      </c>
      <c r="E1137" s="24" t="s">
        <v>402</v>
      </c>
      <c r="F1137" s="24" t="s">
        <v>1142</v>
      </c>
      <c r="G1137" s="24" t="s">
        <v>1244</v>
      </c>
      <c r="H1137" s="24" t="s">
        <v>467</v>
      </c>
      <c r="I1137" s="24" t="s">
        <v>1327</v>
      </c>
      <c r="J1137" s="24" t="s">
        <v>761</v>
      </c>
      <c r="K1137" s="24" t="s">
        <v>1146</v>
      </c>
      <c r="L1137" s="25">
        <v>1070</v>
      </c>
      <c r="M1137" s="26">
        <v>1.9757</v>
      </c>
      <c r="N1137" s="27">
        <v>1.9757</v>
      </c>
      <c r="O1137" s="28">
        <v>1.7960909090909091E-3</v>
      </c>
      <c r="P1137" s="28">
        <v>1.8707955752212388</v>
      </c>
    </row>
    <row r="1138" spans="1:16" x14ac:dyDescent="0.3">
      <c r="A1138" t="s">
        <v>4034</v>
      </c>
      <c r="B1138" s="24">
        <v>114635</v>
      </c>
      <c r="C1138" s="24" t="s">
        <v>1243</v>
      </c>
      <c r="D1138" s="24" t="s">
        <v>1102</v>
      </c>
      <c r="E1138" s="24" t="s">
        <v>402</v>
      </c>
      <c r="F1138" s="24" t="s">
        <v>1142</v>
      </c>
      <c r="G1138" s="24" t="s">
        <v>1244</v>
      </c>
      <c r="H1138" s="24" t="s">
        <v>468</v>
      </c>
      <c r="I1138" s="24" t="s">
        <v>1328</v>
      </c>
      <c r="J1138" s="24" t="s">
        <v>761</v>
      </c>
      <c r="K1138" s="24" t="s">
        <v>1146</v>
      </c>
      <c r="L1138" s="25">
        <v>1070</v>
      </c>
      <c r="M1138" s="26">
        <v>1.794</v>
      </c>
      <c r="N1138" s="27">
        <v>1.794</v>
      </c>
      <c r="O1138" s="28">
        <v>1.6309090909090908E-3</v>
      </c>
      <c r="P1138" s="28">
        <v>1.6987433628318584</v>
      </c>
    </row>
    <row r="1139" spans="1:16" x14ac:dyDescent="0.3">
      <c r="A1139" t="s">
        <v>4035</v>
      </c>
      <c r="B1139" s="24">
        <v>142363</v>
      </c>
      <c r="C1139" s="24" t="s">
        <v>1246</v>
      </c>
      <c r="D1139" s="24" t="s">
        <v>1102</v>
      </c>
      <c r="E1139" s="24" t="s">
        <v>402</v>
      </c>
      <c r="F1139" s="24" t="s">
        <v>1142</v>
      </c>
      <c r="G1139" s="24" t="s">
        <v>1244</v>
      </c>
      <c r="H1139" s="24" t="s">
        <v>468</v>
      </c>
      <c r="I1139" s="24" t="s">
        <v>1328</v>
      </c>
      <c r="J1139" s="24" t="s">
        <v>761</v>
      </c>
      <c r="K1139" s="24" t="s">
        <v>1146</v>
      </c>
      <c r="L1139" s="25">
        <v>1070</v>
      </c>
      <c r="M1139" s="26">
        <v>1.794</v>
      </c>
      <c r="N1139" s="27">
        <v>1.794</v>
      </c>
      <c r="O1139" s="28">
        <v>1.6309090909090908E-3</v>
      </c>
      <c r="P1139" s="28">
        <v>1.6987433628318584</v>
      </c>
    </row>
    <row r="1140" spans="1:16" x14ac:dyDescent="0.3">
      <c r="A1140" t="s">
        <v>4036</v>
      </c>
      <c r="B1140" s="24">
        <v>142805</v>
      </c>
      <c r="C1140" s="24" t="s">
        <v>1249</v>
      </c>
      <c r="D1140" s="24" t="s">
        <v>1102</v>
      </c>
      <c r="E1140" s="24" t="s">
        <v>402</v>
      </c>
      <c r="F1140" s="24" t="s">
        <v>1142</v>
      </c>
      <c r="G1140" s="24" t="s">
        <v>1244</v>
      </c>
      <c r="H1140" s="24" t="s">
        <v>468</v>
      </c>
      <c r="I1140" s="24" t="s">
        <v>1328</v>
      </c>
      <c r="J1140" s="24" t="s">
        <v>761</v>
      </c>
      <c r="K1140" s="24" t="s">
        <v>1146</v>
      </c>
      <c r="L1140" s="25">
        <v>1070</v>
      </c>
      <c r="M1140" s="26">
        <v>1.8902000000000001</v>
      </c>
      <c r="N1140" s="27">
        <v>1.8902000000000001</v>
      </c>
      <c r="O1140" s="28">
        <v>1.7183636363636364E-3</v>
      </c>
      <c r="P1140" s="28">
        <v>1.7898353982300885</v>
      </c>
    </row>
    <row r="1141" spans="1:16" x14ac:dyDescent="0.3">
      <c r="A1141" t="s">
        <v>4037</v>
      </c>
      <c r="B1141" s="24">
        <v>400144</v>
      </c>
      <c r="C1141" s="24" t="s">
        <v>1250</v>
      </c>
      <c r="D1141" s="24" t="s">
        <v>1102</v>
      </c>
      <c r="E1141" s="24" t="s">
        <v>402</v>
      </c>
      <c r="F1141" s="24" t="s">
        <v>1142</v>
      </c>
      <c r="G1141" s="24" t="s">
        <v>1244</v>
      </c>
      <c r="H1141" s="24" t="s">
        <v>468</v>
      </c>
      <c r="I1141" s="24" t="s">
        <v>1328</v>
      </c>
      <c r="J1141" s="24" t="s">
        <v>761</v>
      </c>
      <c r="K1141" s="24" t="s">
        <v>1146</v>
      </c>
      <c r="L1141" s="25">
        <v>1070</v>
      </c>
      <c r="M1141" s="26">
        <v>1.794</v>
      </c>
      <c r="N1141" s="27">
        <v>1.794</v>
      </c>
      <c r="O1141" s="28">
        <v>1.6309090909090908E-3</v>
      </c>
      <c r="P1141" s="28">
        <v>1.6987433628318584</v>
      </c>
    </row>
    <row r="1142" spans="1:16" x14ac:dyDescent="0.3">
      <c r="A1142" t="s">
        <v>4038</v>
      </c>
      <c r="B1142" s="24">
        <v>400278</v>
      </c>
      <c r="C1142" s="24" t="s">
        <v>1329</v>
      </c>
      <c r="D1142" s="24" t="s">
        <v>1102</v>
      </c>
      <c r="E1142" s="24" t="s">
        <v>402</v>
      </c>
      <c r="F1142" s="24" t="s">
        <v>1142</v>
      </c>
      <c r="G1142" s="24" t="s">
        <v>1244</v>
      </c>
      <c r="H1142" s="24" t="s">
        <v>468</v>
      </c>
      <c r="I1142" s="24" t="s">
        <v>1328</v>
      </c>
      <c r="J1142" s="24" t="s">
        <v>761</v>
      </c>
      <c r="K1142" s="24" t="s">
        <v>1146</v>
      </c>
      <c r="L1142" s="25">
        <v>1070</v>
      </c>
      <c r="M1142" s="26">
        <v>1.794</v>
      </c>
      <c r="N1142" s="27">
        <v>1.794</v>
      </c>
      <c r="O1142" s="28">
        <v>1.6309090909090908E-3</v>
      </c>
      <c r="P1142" s="28">
        <v>1.6987433628318584</v>
      </c>
    </row>
    <row r="1143" spans="1:16" x14ac:dyDescent="0.3">
      <c r="A1143" t="s">
        <v>4039</v>
      </c>
      <c r="B1143" s="24">
        <v>101554</v>
      </c>
      <c r="C1143" s="24" t="s">
        <v>1202</v>
      </c>
      <c r="D1143" s="24" t="s">
        <v>1102</v>
      </c>
      <c r="E1143" s="24" t="s">
        <v>402</v>
      </c>
      <c r="F1143" s="24" t="s">
        <v>1142</v>
      </c>
      <c r="G1143" s="24" t="s">
        <v>1244</v>
      </c>
      <c r="H1143" s="24" t="s">
        <v>482</v>
      </c>
      <c r="I1143" s="24" t="s">
        <v>1330</v>
      </c>
      <c r="J1143" s="24" t="s">
        <v>761</v>
      </c>
      <c r="K1143" s="24" t="s">
        <v>1146</v>
      </c>
      <c r="L1143" s="25">
        <v>1070</v>
      </c>
      <c r="M1143" s="26">
        <v>1.8540000000000001</v>
      </c>
      <c r="N1143" s="27">
        <v>1.8540000000000001</v>
      </c>
      <c r="O1143" s="28">
        <v>1.6854545454545455E-3</v>
      </c>
      <c r="P1143" s="28">
        <v>1.7555575221238939</v>
      </c>
    </row>
    <row r="1144" spans="1:16" x14ac:dyDescent="0.3">
      <c r="A1144" t="s">
        <v>4040</v>
      </c>
      <c r="B1144" s="24">
        <v>114635</v>
      </c>
      <c r="C1144" s="24" t="s">
        <v>1243</v>
      </c>
      <c r="D1144" s="24" t="s">
        <v>1102</v>
      </c>
      <c r="E1144" s="24" t="s">
        <v>402</v>
      </c>
      <c r="F1144" s="24" t="s">
        <v>1142</v>
      </c>
      <c r="G1144" s="24" t="s">
        <v>1244</v>
      </c>
      <c r="H1144" s="24" t="s">
        <v>482</v>
      </c>
      <c r="I1144" s="24" t="s">
        <v>1330</v>
      </c>
      <c r="J1144" s="24" t="s">
        <v>761</v>
      </c>
      <c r="K1144" s="24" t="s">
        <v>1146</v>
      </c>
      <c r="L1144" s="25">
        <v>1070</v>
      </c>
      <c r="M1144" s="26">
        <v>1.8540000000000001</v>
      </c>
      <c r="N1144" s="27">
        <v>1.8540000000000001</v>
      </c>
      <c r="O1144" s="28">
        <v>1.6854545454545455E-3</v>
      </c>
      <c r="P1144" s="28">
        <v>1.7555575221238939</v>
      </c>
    </row>
    <row r="1145" spans="1:16" x14ac:dyDescent="0.3">
      <c r="A1145" t="s">
        <v>4041</v>
      </c>
      <c r="B1145" s="24">
        <v>142363</v>
      </c>
      <c r="C1145" s="24" t="s">
        <v>1246</v>
      </c>
      <c r="D1145" s="24" t="s">
        <v>1102</v>
      </c>
      <c r="E1145" s="24" t="s">
        <v>402</v>
      </c>
      <c r="F1145" s="24" t="s">
        <v>1142</v>
      </c>
      <c r="G1145" s="24" t="s">
        <v>1244</v>
      </c>
      <c r="H1145" s="24" t="s">
        <v>482</v>
      </c>
      <c r="I1145" s="24" t="s">
        <v>1330</v>
      </c>
      <c r="J1145" s="24" t="s">
        <v>761</v>
      </c>
      <c r="K1145" s="24" t="s">
        <v>1146</v>
      </c>
      <c r="L1145" s="25">
        <v>1070</v>
      </c>
      <c r="M1145" s="26">
        <v>1.8540000000000001</v>
      </c>
      <c r="N1145" s="27">
        <v>1.8540000000000001</v>
      </c>
      <c r="O1145" s="28">
        <v>1.6854545454545455E-3</v>
      </c>
      <c r="P1145" s="28">
        <v>1.7555575221238939</v>
      </c>
    </row>
    <row r="1146" spans="1:16" x14ac:dyDescent="0.3">
      <c r="A1146" t="s">
        <v>4042</v>
      </c>
      <c r="B1146" s="24">
        <v>400144</v>
      </c>
      <c r="C1146" s="24" t="s">
        <v>1250</v>
      </c>
      <c r="D1146" s="24" t="s">
        <v>1102</v>
      </c>
      <c r="E1146" s="24" t="s">
        <v>402</v>
      </c>
      <c r="F1146" s="24" t="s">
        <v>1142</v>
      </c>
      <c r="G1146" s="24" t="s">
        <v>1244</v>
      </c>
      <c r="H1146" s="24" t="s">
        <v>482</v>
      </c>
      <c r="I1146" s="24" t="s">
        <v>1330</v>
      </c>
      <c r="J1146" s="24" t="s">
        <v>761</v>
      </c>
      <c r="K1146" s="24" t="s">
        <v>1146</v>
      </c>
      <c r="L1146" s="25">
        <v>1070</v>
      </c>
      <c r="M1146" s="26">
        <v>1.8540000000000001</v>
      </c>
      <c r="N1146" s="27">
        <v>1.8540000000000001</v>
      </c>
      <c r="O1146" s="28">
        <v>1.6854545454545455E-3</v>
      </c>
      <c r="P1146" s="28">
        <v>1.7555575221238939</v>
      </c>
    </row>
    <row r="1147" spans="1:16" x14ac:dyDescent="0.3">
      <c r="A1147" t="s">
        <v>4043</v>
      </c>
      <c r="B1147" s="24">
        <v>101554</v>
      </c>
      <c r="C1147" s="24" t="s">
        <v>1202</v>
      </c>
      <c r="D1147" s="24" t="s">
        <v>1102</v>
      </c>
      <c r="E1147" s="24" t="s">
        <v>402</v>
      </c>
      <c r="F1147" s="24" t="s">
        <v>1142</v>
      </c>
      <c r="G1147" s="24" t="s">
        <v>1244</v>
      </c>
      <c r="H1147" s="24" t="s">
        <v>468</v>
      </c>
      <c r="I1147" s="24" t="s">
        <v>1328</v>
      </c>
      <c r="J1147" s="24" t="s">
        <v>761</v>
      </c>
      <c r="K1147" s="24" t="s">
        <v>1146</v>
      </c>
      <c r="L1147" s="25">
        <v>1070</v>
      </c>
      <c r="M1147" s="26">
        <v>1.794</v>
      </c>
      <c r="N1147" s="27">
        <v>1.794</v>
      </c>
      <c r="O1147" s="28">
        <v>1.6309090909090908E-3</v>
      </c>
      <c r="P1147" s="28">
        <v>1.6987433628318584</v>
      </c>
    </row>
    <row r="1148" spans="1:16" x14ac:dyDescent="0.3">
      <c r="A1148" t="s">
        <v>4044</v>
      </c>
      <c r="B1148" s="24">
        <v>102470</v>
      </c>
      <c r="C1148" s="24" t="s">
        <v>1247</v>
      </c>
      <c r="D1148" s="24" t="s">
        <v>1102</v>
      </c>
      <c r="E1148" s="24" t="s">
        <v>402</v>
      </c>
      <c r="F1148" s="24" t="s">
        <v>1142</v>
      </c>
      <c r="G1148" s="24" t="s">
        <v>1244</v>
      </c>
      <c r="H1148" s="24" t="s">
        <v>469</v>
      </c>
      <c r="I1148" s="24" t="s">
        <v>1328</v>
      </c>
      <c r="J1148" s="24" t="s">
        <v>761</v>
      </c>
      <c r="K1148" s="24" t="s">
        <v>1146</v>
      </c>
      <c r="L1148" s="25">
        <v>1070</v>
      </c>
      <c r="M1148" s="26">
        <v>1.8709</v>
      </c>
      <c r="N1148" s="27">
        <v>1.8709</v>
      </c>
      <c r="O1148" s="28">
        <v>1.7008181818181818E-3</v>
      </c>
      <c r="P1148" s="28">
        <v>1.7715601769911504</v>
      </c>
    </row>
    <row r="1149" spans="1:16" x14ac:dyDescent="0.3">
      <c r="A1149" t="s">
        <v>4045</v>
      </c>
      <c r="B1149" s="24">
        <v>114635</v>
      </c>
      <c r="C1149" s="24" t="s">
        <v>1243</v>
      </c>
      <c r="D1149" s="24" t="s">
        <v>1102</v>
      </c>
      <c r="E1149" s="24" t="s">
        <v>402</v>
      </c>
      <c r="F1149" s="24" t="s">
        <v>1142</v>
      </c>
      <c r="G1149" s="24" t="s">
        <v>1244</v>
      </c>
      <c r="H1149" s="24" t="s">
        <v>469</v>
      </c>
      <c r="I1149" s="24" t="s">
        <v>1328</v>
      </c>
      <c r="J1149" s="24" t="s">
        <v>761</v>
      </c>
      <c r="K1149" s="24" t="s">
        <v>1146</v>
      </c>
      <c r="L1149" s="25">
        <v>1070</v>
      </c>
      <c r="M1149" s="26">
        <v>1.8709</v>
      </c>
      <c r="N1149" s="27">
        <v>1.8709</v>
      </c>
      <c r="O1149" s="28">
        <v>1.7008181818181818E-3</v>
      </c>
      <c r="P1149" s="28">
        <v>1.7715601769911504</v>
      </c>
    </row>
    <row r="1150" spans="1:16" x14ac:dyDescent="0.3">
      <c r="A1150" t="s">
        <v>4046</v>
      </c>
      <c r="B1150" s="24">
        <v>142363</v>
      </c>
      <c r="C1150" s="24" t="s">
        <v>1246</v>
      </c>
      <c r="D1150" s="24" t="s">
        <v>1102</v>
      </c>
      <c r="E1150" s="24" t="s">
        <v>402</v>
      </c>
      <c r="F1150" s="24" t="s">
        <v>1142</v>
      </c>
      <c r="G1150" s="24" t="s">
        <v>1244</v>
      </c>
      <c r="H1150" s="24" t="s">
        <v>469</v>
      </c>
      <c r="I1150" s="24" t="s">
        <v>1328</v>
      </c>
      <c r="J1150" s="24" t="s">
        <v>761</v>
      </c>
      <c r="K1150" s="24" t="s">
        <v>1146</v>
      </c>
      <c r="L1150" s="25">
        <v>1070</v>
      </c>
      <c r="M1150" s="26">
        <v>1.8709</v>
      </c>
      <c r="N1150" s="27">
        <v>1.8709</v>
      </c>
      <c r="O1150" s="28">
        <v>1.7008181818181818E-3</v>
      </c>
      <c r="P1150" s="28">
        <v>1.7715601769911504</v>
      </c>
    </row>
    <row r="1151" spans="1:16" x14ac:dyDescent="0.3">
      <c r="A1151" t="s">
        <v>4047</v>
      </c>
      <c r="B1151" s="24">
        <v>142805</v>
      </c>
      <c r="C1151" s="24" t="s">
        <v>1249</v>
      </c>
      <c r="D1151" s="24" t="s">
        <v>1102</v>
      </c>
      <c r="E1151" s="24" t="s">
        <v>402</v>
      </c>
      <c r="F1151" s="24" t="s">
        <v>1142</v>
      </c>
      <c r="G1151" s="24" t="s">
        <v>1244</v>
      </c>
      <c r="H1151" s="24" t="s">
        <v>469</v>
      </c>
      <c r="I1151" s="24" t="s">
        <v>1328</v>
      </c>
      <c r="J1151" s="24" t="s">
        <v>761</v>
      </c>
      <c r="K1151" s="24" t="s">
        <v>1146</v>
      </c>
      <c r="L1151" s="25">
        <v>1070</v>
      </c>
      <c r="M1151" s="26">
        <v>1.9891000000000001</v>
      </c>
      <c r="N1151" s="27">
        <v>1.9891000000000001</v>
      </c>
      <c r="O1151" s="28">
        <v>1.8082727272727274E-3</v>
      </c>
      <c r="P1151" s="28">
        <v>1.8834840707964602</v>
      </c>
    </row>
    <row r="1152" spans="1:16" x14ac:dyDescent="0.3">
      <c r="A1152" t="s">
        <v>4048</v>
      </c>
      <c r="B1152" s="24">
        <v>400144</v>
      </c>
      <c r="C1152" s="24" t="s">
        <v>1250</v>
      </c>
      <c r="D1152" s="24" t="s">
        <v>1102</v>
      </c>
      <c r="E1152" s="24" t="s">
        <v>402</v>
      </c>
      <c r="F1152" s="24" t="s">
        <v>1142</v>
      </c>
      <c r="G1152" s="24" t="s">
        <v>1244</v>
      </c>
      <c r="H1152" s="24" t="s">
        <v>469</v>
      </c>
      <c r="I1152" s="24" t="s">
        <v>1328</v>
      </c>
      <c r="J1152" s="24" t="s">
        <v>761</v>
      </c>
      <c r="K1152" s="24" t="s">
        <v>1146</v>
      </c>
      <c r="L1152" s="25">
        <v>1070</v>
      </c>
      <c r="M1152" s="26">
        <v>1.8709</v>
      </c>
      <c r="N1152" s="27">
        <v>1.8709</v>
      </c>
      <c r="O1152" s="28">
        <v>1.7008181818181818E-3</v>
      </c>
      <c r="P1152" s="28">
        <v>1.7715601769911504</v>
      </c>
    </row>
    <row r="1153" spans="1:16" x14ac:dyDescent="0.3">
      <c r="A1153" t="s">
        <v>4049</v>
      </c>
      <c r="B1153" s="24">
        <v>102470</v>
      </c>
      <c r="C1153" s="24" t="s">
        <v>1247</v>
      </c>
      <c r="D1153" s="24" t="s">
        <v>1102</v>
      </c>
      <c r="E1153" s="24" t="s">
        <v>402</v>
      </c>
      <c r="F1153" s="24" t="s">
        <v>1142</v>
      </c>
      <c r="G1153" s="24" t="s">
        <v>1244</v>
      </c>
      <c r="H1153" s="24" t="s">
        <v>483</v>
      </c>
      <c r="I1153" s="24" t="s">
        <v>1330</v>
      </c>
      <c r="J1153" s="24" t="s">
        <v>761</v>
      </c>
      <c r="K1153" s="24" t="s">
        <v>1146</v>
      </c>
      <c r="L1153" s="25">
        <v>1070</v>
      </c>
      <c r="M1153" s="26">
        <v>1.9309000000000001</v>
      </c>
      <c r="N1153" s="27">
        <v>1.9309000000000001</v>
      </c>
      <c r="O1153" s="28">
        <v>1.7553636363636365E-3</v>
      </c>
      <c r="P1153" s="28">
        <v>1.8283743362831859</v>
      </c>
    </row>
    <row r="1154" spans="1:16" x14ac:dyDescent="0.3">
      <c r="A1154" t="s">
        <v>4050</v>
      </c>
      <c r="B1154" s="24">
        <v>400144</v>
      </c>
      <c r="C1154" s="24" t="s">
        <v>1250</v>
      </c>
      <c r="D1154" s="24" t="s">
        <v>1102</v>
      </c>
      <c r="E1154" s="24" t="s">
        <v>402</v>
      </c>
      <c r="F1154" s="24" t="s">
        <v>1142</v>
      </c>
      <c r="G1154" s="24" t="s">
        <v>1244</v>
      </c>
      <c r="H1154" s="24" t="s">
        <v>483</v>
      </c>
      <c r="I1154" s="24" t="s">
        <v>1330</v>
      </c>
      <c r="J1154" s="24" t="s">
        <v>761</v>
      </c>
      <c r="K1154" s="24" t="s">
        <v>1146</v>
      </c>
      <c r="L1154" s="25">
        <v>1070</v>
      </c>
      <c r="M1154" s="26">
        <v>1.9309000000000001</v>
      </c>
      <c r="N1154" s="27">
        <v>1.9309000000000001</v>
      </c>
      <c r="O1154" s="28">
        <v>1.7553636363636365E-3</v>
      </c>
      <c r="P1154" s="28">
        <v>1.8283743362831859</v>
      </c>
    </row>
    <row r="1155" spans="1:16" x14ac:dyDescent="0.3">
      <c r="A1155" t="s">
        <v>4051</v>
      </c>
      <c r="B1155" s="24">
        <v>102470</v>
      </c>
      <c r="C1155" s="24" t="s">
        <v>1247</v>
      </c>
      <c r="D1155" s="24" t="s">
        <v>1102</v>
      </c>
      <c r="E1155" s="24" t="s">
        <v>402</v>
      </c>
      <c r="F1155" s="24" t="s">
        <v>1142</v>
      </c>
      <c r="G1155" s="24" t="s">
        <v>1244</v>
      </c>
      <c r="H1155" s="24" t="s">
        <v>470</v>
      </c>
      <c r="I1155" s="24" t="s">
        <v>1330</v>
      </c>
      <c r="J1155" s="24" t="s">
        <v>761</v>
      </c>
      <c r="K1155" s="24" t="s">
        <v>1146</v>
      </c>
      <c r="L1155" s="25">
        <v>1070</v>
      </c>
      <c r="M1155" s="26">
        <v>1.8709</v>
      </c>
      <c r="N1155" s="27">
        <v>1.8709</v>
      </c>
      <c r="O1155" s="28">
        <v>1.7008181818181818E-3</v>
      </c>
      <c r="P1155" s="28">
        <v>1.7715601769911504</v>
      </c>
    </row>
    <row r="1156" spans="1:16" x14ac:dyDescent="0.3">
      <c r="A1156" t="s">
        <v>4052</v>
      </c>
      <c r="B1156" s="24">
        <v>114635</v>
      </c>
      <c r="C1156" s="24" t="s">
        <v>1243</v>
      </c>
      <c r="D1156" s="24" t="s">
        <v>1102</v>
      </c>
      <c r="E1156" s="24" t="s">
        <v>402</v>
      </c>
      <c r="F1156" s="24" t="s">
        <v>1142</v>
      </c>
      <c r="G1156" s="24" t="s">
        <v>1244</v>
      </c>
      <c r="H1156" s="24" t="s">
        <v>470</v>
      </c>
      <c r="I1156" s="24" t="s">
        <v>1330</v>
      </c>
      <c r="J1156" s="24" t="s">
        <v>761</v>
      </c>
      <c r="K1156" s="24" t="s">
        <v>1146</v>
      </c>
      <c r="L1156" s="25">
        <v>1070</v>
      </c>
      <c r="M1156" s="26">
        <v>1.8709</v>
      </c>
      <c r="N1156" s="27">
        <v>1.8709</v>
      </c>
      <c r="O1156" s="28">
        <v>1.7008181818181818E-3</v>
      </c>
      <c r="P1156" s="28">
        <v>1.7715601769911504</v>
      </c>
    </row>
    <row r="1157" spans="1:16" x14ac:dyDescent="0.3">
      <c r="A1157" t="s">
        <v>4053</v>
      </c>
      <c r="B1157" s="24">
        <v>142363</v>
      </c>
      <c r="C1157" s="24" t="s">
        <v>1246</v>
      </c>
      <c r="D1157" s="24" t="s">
        <v>1102</v>
      </c>
      <c r="E1157" s="24" t="s">
        <v>402</v>
      </c>
      <c r="F1157" s="24" t="s">
        <v>1142</v>
      </c>
      <c r="G1157" s="24" t="s">
        <v>1244</v>
      </c>
      <c r="H1157" s="24" t="s">
        <v>470</v>
      </c>
      <c r="I1157" s="24" t="s">
        <v>1330</v>
      </c>
      <c r="J1157" s="24" t="s">
        <v>761</v>
      </c>
      <c r="K1157" s="24" t="s">
        <v>1146</v>
      </c>
      <c r="L1157" s="25">
        <v>1070</v>
      </c>
      <c r="M1157" s="26">
        <v>1.8709</v>
      </c>
      <c r="N1157" s="27">
        <v>1.8709</v>
      </c>
      <c r="O1157" s="28">
        <v>1.7008181818181818E-3</v>
      </c>
      <c r="P1157" s="28">
        <v>1.7715601769911504</v>
      </c>
    </row>
    <row r="1158" spans="1:16" x14ac:dyDescent="0.3">
      <c r="A1158" t="s">
        <v>4054</v>
      </c>
      <c r="B1158" s="24">
        <v>142805</v>
      </c>
      <c r="C1158" s="24" t="s">
        <v>1249</v>
      </c>
      <c r="D1158" s="24" t="s">
        <v>1102</v>
      </c>
      <c r="E1158" s="24" t="s">
        <v>402</v>
      </c>
      <c r="F1158" s="24" t="s">
        <v>1142</v>
      </c>
      <c r="G1158" s="24" t="s">
        <v>1244</v>
      </c>
      <c r="H1158" s="24" t="s">
        <v>470</v>
      </c>
      <c r="I1158" s="24" t="s">
        <v>1330</v>
      </c>
      <c r="J1158" s="24" t="s">
        <v>761</v>
      </c>
      <c r="K1158" s="24" t="s">
        <v>1146</v>
      </c>
      <c r="L1158" s="25">
        <v>1070</v>
      </c>
      <c r="M1158" s="26">
        <v>1.9891000000000001</v>
      </c>
      <c r="N1158" s="27">
        <v>1.9891000000000001</v>
      </c>
      <c r="O1158" s="28">
        <v>1.8082727272727274E-3</v>
      </c>
      <c r="P1158" s="28">
        <v>1.8834840707964602</v>
      </c>
    </row>
    <row r="1159" spans="1:16" x14ac:dyDescent="0.3">
      <c r="A1159" t="s">
        <v>4055</v>
      </c>
      <c r="B1159" s="24">
        <v>400144</v>
      </c>
      <c r="C1159" s="24" t="s">
        <v>1250</v>
      </c>
      <c r="D1159" s="24" t="s">
        <v>1102</v>
      </c>
      <c r="E1159" s="24" t="s">
        <v>402</v>
      </c>
      <c r="F1159" s="24" t="s">
        <v>1142</v>
      </c>
      <c r="G1159" s="24" t="s">
        <v>1244</v>
      </c>
      <c r="H1159" s="24" t="s">
        <v>470</v>
      </c>
      <c r="I1159" s="24" t="s">
        <v>1330</v>
      </c>
      <c r="J1159" s="24" t="s">
        <v>761</v>
      </c>
      <c r="K1159" s="24" t="s">
        <v>1146</v>
      </c>
      <c r="L1159" s="25">
        <v>1070</v>
      </c>
      <c r="M1159" s="26">
        <v>1.8709</v>
      </c>
      <c r="N1159" s="27">
        <v>1.8709</v>
      </c>
      <c r="O1159" s="28">
        <v>1.7008181818181818E-3</v>
      </c>
      <c r="P1159" s="28">
        <v>1.7715601769911504</v>
      </c>
    </row>
    <row r="1160" spans="1:16" x14ac:dyDescent="0.3">
      <c r="A1160" t="s">
        <v>4056</v>
      </c>
      <c r="B1160" s="24">
        <v>102470</v>
      </c>
      <c r="C1160" s="24" t="s">
        <v>1247</v>
      </c>
      <c r="D1160" s="24" t="s">
        <v>1102</v>
      </c>
      <c r="E1160" s="24" t="s">
        <v>402</v>
      </c>
      <c r="F1160" s="24" t="s">
        <v>1142</v>
      </c>
      <c r="G1160" s="24" t="s">
        <v>1244</v>
      </c>
      <c r="H1160" s="24" t="s">
        <v>484</v>
      </c>
      <c r="I1160" s="24" t="s">
        <v>1330</v>
      </c>
      <c r="J1160" s="24" t="s">
        <v>761</v>
      </c>
      <c r="K1160" s="24" t="s">
        <v>1146</v>
      </c>
      <c r="L1160" s="25">
        <v>1070</v>
      </c>
      <c r="M1160" s="26">
        <v>1.9309000000000001</v>
      </c>
      <c r="N1160" s="27">
        <v>1.9309000000000001</v>
      </c>
      <c r="O1160" s="28">
        <v>1.7553636363636365E-3</v>
      </c>
      <c r="P1160" s="28">
        <v>1.8283743362831859</v>
      </c>
    </row>
    <row r="1161" spans="1:16" x14ac:dyDescent="0.3">
      <c r="A1161" t="s">
        <v>4057</v>
      </c>
      <c r="B1161" s="24">
        <v>400144</v>
      </c>
      <c r="C1161" s="24" t="s">
        <v>1250</v>
      </c>
      <c r="D1161" s="24" t="s">
        <v>1102</v>
      </c>
      <c r="E1161" s="24" t="s">
        <v>402</v>
      </c>
      <c r="F1161" s="24" t="s">
        <v>1142</v>
      </c>
      <c r="G1161" s="24" t="s">
        <v>1244</v>
      </c>
      <c r="H1161" s="24" t="s">
        <v>484</v>
      </c>
      <c r="I1161" s="24" t="s">
        <v>1330</v>
      </c>
      <c r="J1161" s="24" t="s">
        <v>761</v>
      </c>
      <c r="K1161" s="24" t="s">
        <v>1146</v>
      </c>
      <c r="L1161" s="25">
        <v>1070</v>
      </c>
      <c r="M1161" s="26">
        <v>1.9309000000000001</v>
      </c>
      <c r="N1161" s="27">
        <v>1.9309000000000001</v>
      </c>
      <c r="O1161" s="28">
        <v>1.7553636363636365E-3</v>
      </c>
      <c r="P1161" s="28">
        <v>1.8283743362831859</v>
      </c>
    </row>
    <row r="1162" spans="1:16" x14ac:dyDescent="0.3">
      <c r="A1162" t="s">
        <v>4058</v>
      </c>
      <c r="B1162" s="24">
        <v>114635</v>
      </c>
      <c r="C1162" s="24" t="s">
        <v>1243</v>
      </c>
      <c r="D1162" s="24" t="s">
        <v>1102</v>
      </c>
      <c r="E1162" s="24" t="s">
        <v>402</v>
      </c>
      <c r="F1162" s="24" t="s">
        <v>1142</v>
      </c>
      <c r="G1162" s="24" t="s">
        <v>1244</v>
      </c>
      <c r="H1162" s="24" t="s">
        <v>471</v>
      </c>
      <c r="I1162" s="24" t="s">
        <v>1331</v>
      </c>
      <c r="J1162" s="24" t="s">
        <v>761</v>
      </c>
      <c r="K1162" s="24" t="s">
        <v>1146</v>
      </c>
      <c r="L1162" s="25">
        <v>1070</v>
      </c>
      <c r="M1162" s="26">
        <v>1.8706</v>
      </c>
      <c r="N1162" s="27">
        <v>1.8706</v>
      </c>
      <c r="O1162" s="28">
        <v>1.7005454545454546E-3</v>
      </c>
      <c r="P1162" s="28">
        <v>1.7712761061946904</v>
      </c>
    </row>
    <row r="1163" spans="1:16" x14ac:dyDescent="0.3">
      <c r="A1163" t="s">
        <v>4059</v>
      </c>
      <c r="B1163" s="24">
        <v>142363</v>
      </c>
      <c r="C1163" s="24" t="s">
        <v>1246</v>
      </c>
      <c r="D1163" s="24" t="s">
        <v>1102</v>
      </c>
      <c r="E1163" s="24" t="s">
        <v>402</v>
      </c>
      <c r="F1163" s="24" t="s">
        <v>1142</v>
      </c>
      <c r="G1163" s="24" t="s">
        <v>1244</v>
      </c>
      <c r="H1163" s="24" t="s">
        <v>471</v>
      </c>
      <c r="I1163" s="24" t="s">
        <v>1331</v>
      </c>
      <c r="J1163" s="24" t="s">
        <v>761</v>
      </c>
      <c r="K1163" s="24" t="s">
        <v>1146</v>
      </c>
      <c r="L1163" s="25">
        <v>1070</v>
      </c>
      <c r="M1163" s="26">
        <v>1.8706</v>
      </c>
      <c r="N1163" s="27">
        <v>1.8706</v>
      </c>
      <c r="O1163" s="28">
        <v>1.7005454545454546E-3</v>
      </c>
      <c r="P1163" s="28">
        <v>1.7712761061946904</v>
      </c>
    </row>
    <row r="1164" spans="1:16" x14ac:dyDescent="0.3">
      <c r="A1164" t="s">
        <v>4060</v>
      </c>
      <c r="B1164" s="24">
        <v>400278</v>
      </c>
      <c r="C1164" s="24" t="s">
        <v>1329</v>
      </c>
      <c r="D1164" s="24" t="s">
        <v>1102</v>
      </c>
      <c r="E1164" s="24" t="s">
        <v>402</v>
      </c>
      <c r="F1164" s="24" t="s">
        <v>1142</v>
      </c>
      <c r="G1164" s="24" t="s">
        <v>1244</v>
      </c>
      <c r="H1164" s="24" t="s">
        <v>471</v>
      </c>
      <c r="I1164" s="24" t="s">
        <v>1331</v>
      </c>
      <c r="J1164" s="24" t="s">
        <v>761</v>
      </c>
      <c r="K1164" s="24" t="s">
        <v>1146</v>
      </c>
      <c r="L1164" s="25">
        <v>1070</v>
      </c>
      <c r="M1164" s="26">
        <v>1.8706</v>
      </c>
      <c r="N1164" s="27">
        <v>1.8706</v>
      </c>
      <c r="O1164" s="28">
        <v>1.7005454545454546E-3</v>
      </c>
      <c r="P1164" s="28">
        <v>1.7712761061946904</v>
      </c>
    </row>
    <row r="1165" spans="1:16" x14ac:dyDescent="0.3">
      <c r="A1165" t="s">
        <v>4061</v>
      </c>
      <c r="B1165" s="24">
        <v>114635</v>
      </c>
      <c r="C1165" s="24" t="s">
        <v>1243</v>
      </c>
      <c r="D1165" s="24" t="s">
        <v>1102</v>
      </c>
      <c r="E1165" s="24" t="s">
        <v>402</v>
      </c>
      <c r="F1165" s="24" t="s">
        <v>1142</v>
      </c>
      <c r="G1165" s="24" t="s">
        <v>1244</v>
      </c>
      <c r="H1165" s="24" t="s">
        <v>485</v>
      </c>
      <c r="I1165" s="24" t="s">
        <v>1331</v>
      </c>
      <c r="J1165" s="24" t="s">
        <v>761</v>
      </c>
      <c r="K1165" s="24" t="s">
        <v>1146</v>
      </c>
      <c r="L1165" s="25">
        <v>1070</v>
      </c>
      <c r="M1165" s="26">
        <v>1.9306000000000001</v>
      </c>
      <c r="N1165" s="27">
        <v>1.9306000000000001</v>
      </c>
      <c r="O1165" s="28">
        <v>1.7550909090909093E-3</v>
      </c>
      <c r="P1165" s="28">
        <v>1.8280902654867259</v>
      </c>
    </row>
    <row r="1166" spans="1:16" x14ac:dyDescent="0.3">
      <c r="A1166" t="s">
        <v>4062</v>
      </c>
      <c r="B1166" s="24">
        <v>101554</v>
      </c>
      <c r="C1166" s="24" t="s">
        <v>1202</v>
      </c>
      <c r="D1166" s="24" t="s">
        <v>1102</v>
      </c>
      <c r="E1166" s="24" t="s">
        <v>402</v>
      </c>
      <c r="F1166" s="24" t="s">
        <v>1142</v>
      </c>
      <c r="G1166" s="24" t="s">
        <v>1244</v>
      </c>
      <c r="H1166" s="24" t="s">
        <v>471</v>
      </c>
      <c r="I1166" s="24" t="s">
        <v>1331</v>
      </c>
      <c r="J1166" s="24" t="s">
        <v>761</v>
      </c>
      <c r="K1166" s="24" t="s">
        <v>1146</v>
      </c>
      <c r="L1166" s="25">
        <v>1070</v>
      </c>
      <c r="M1166" s="26">
        <v>1.8706</v>
      </c>
      <c r="N1166" s="27">
        <v>1.8706</v>
      </c>
      <c r="O1166" s="28">
        <v>1.7005454545454546E-3</v>
      </c>
      <c r="P1166" s="28">
        <v>1.7712761061946904</v>
      </c>
    </row>
    <row r="1167" spans="1:16" x14ac:dyDescent="0.3">
      <c r="A1167" t="s">
        <v>4063</v>
      </c>
      <c r="B1167" s="24">
        <v>102470</v>
      </c>
      <c r="C1167" s="24" t="s">
        <v>1247</v>
      </c>
      <c r="D1167" s="24" t="s">
        <v>1102</v>
      </c>
      <c r="E1167" s="24" t="s">
        <v>402</v>
      </c>
      <c r="F1167" s="24" t="s">
        <v>1142</v>
      </c>
      <c r="G1167" s="24" t="s">
        <v>1244</v>
      </c>
      <c r="H1167" s="24" t="s">
        <v>472</v>
      </c>
      <c r="I1167" s="24" t="s">
        <v>1332</v>
      </c>
      <c r="J1167" s="24" t="s">
        <v>761</v>
      </c>
      <c r="K1167" s="24" t="s">
        <v>1146</v>
      </c>
      <c r="L1167" s="25">
        <v>1070</v>
      </c>
      <c r="M1167" s="26">
        <v>1.7859</v>
      </c>
      <c r="N1167" s="27">
        <v>1.7859</v>
      </c>
      <c r="O1167" s="28">
        <v>1.6235454545454546E-3</v>
      </c>
      <c r="P1167" s="28">
        <v>1.6910734513274337</v>
      </c>
    </row>
    <row r="1168" spans="1:16" x14ac:dyDescent="0.3">
      <c r="A1168" t="s">
        <v>4064</v>
      </c>
      <c r="B1168" s="24">
        <v>114635</v>
      </c>
      <c r="C1168" s="24" t="s">
        <v>1243</v>
      </c>
      <c r="D1168" s="24" t="s">
        <v>1102</v>
      </c>
      <c r="E1168" s="24" t="s">
        <v>402</v>
      </c>
      <c r="F1168" s="24" t="s">
        <v>1142</v>
      </c>
      <c r="G1168" s="24" t="s">
        <v>1244</v>
      </c>
      <c r="H1168" s="24" t="s">
        <v>472</v>
      </c>
      <c r="I1168" s="24" t="s">
        <v>1332</v>
      </c>
      <c r="J1168" s="24" t="s">
        <v>761</v>
      </c>
      <c r="K1168" s="24" t="s">
        <v>1146</v>
      </c>
      <c r="L1168" s="25">
        <v>1070</v>
      </c>
      <c r="M1168" s="26">
        <v>1.7859</v>
      </c>
      <c r="N1168" s="27">
        <v>1.7859</v>
      </c>
      <c r="O1168" s="28">
        <v>1.6235454545454546E-3</v>
      </c>
      <c r="P1168" s="28">
        <v>1.6910734513274337</v>
      </c>
    </row>
    <row r="1169" spans="1:16" x14ac:dyDescent="0.3">
      <c r="A1169" t="s">
        <v>4065</v>
      </c>
      <c r="B1169" s="24">
        <v>142363</v>
      </c>
      <c r="C1169" s="24" t="s">
        <v>1246</v>
      </c>
      <c r="D1169" s="24" t="s">
        <v>1102</v>
      </c>
      <c r="E1169" s="24" t="s">
        <v>402</v>
      </c>
      <c r="F1169" s="24" t="s">
        <v>1142</v>
      </c>
      <c r="G1169" s="24" t="s">
        <v>1244</v>
      </c>
      <c r="H1169" s="24" t="s">
        <v>472</v>
      </c>
      <c r="I1169" s="24" t="s">
        <v>1332</v>
      </c>
      <c r="J1169" s="24" t="s">
        <v>761</v>
      </c>
      <c r="K1169" s="24" t="s">
        <v>1146</v>
      </c>
      <c r="L1169" s="25">
        <v>1070</v>
      </c>
      <c r="M1169" s="26">
        <v>1.7859</v>
      </c>
      <c r="N1169" s="27">
        <v>1.7859</v>
      </c>
      <c r="O1169" s="28">
        <v>1.6235454545454546E-3</v>
      </c>
      <c r="P1169" s="28">
        <v>1.6910734513274337</v>
      </c>
    </row>
    <row r="1170" spans="1:16" x14ac:dyDescent="0.3">
      <c r="A1170" t="s">
        <v>4066</v>
      </c>
      <c r="B1170" s="24">
        <v>400278</v>
      </c>
      <c r="C1170" s="24" t="s">
        <v>1329</v>
      </c>
      <c r="D1170" s="24" t="s">
        <v>1102</v>
      </c>
      <c r="E1170" s="24" t="s">
        <v>402</v>
      </c>
      <c r="F1170" s="24" t="s">
        <v>1142</v>
      </c>
      <c r="G1170" s="24" t="s">
        <v>1244</v>
      </c>
      <c r="H1170" s="24" t="s">
        <v>472</v>
      </c>
      <c r="I1170" s="24" t="s">
        <v>1332</v>
      </c>
      <c r="J1170" s="24" t="s">
        <v>761</v>
      </c>
      <c r="K1170" s="24" t="s">
        <v>1146</v>
      </c>
      <c r="L1170" s="25">
        <v>1070</v>
      </c>
      <c r="M1170" s="26">
        <v>1.7859</v>
      </c>
      <c r="N1170" s="27">
        <v>1.7859</v>
      </c>
      <c r="O1170" s="28">
        <v>1.6235454545454546E-3</v>
      </c>
      <c r="P1170" s="28">
        <v>1.6910734513274337</v>
      </c>
    </row>
    <row r="1171" spans="1:16" x14ac:dyDescent="0.3">
      <c r="A1171" t="s">
        <v>4067</v>
      </c>
      <c r="B1171" s="24">
        <v>600043</v>
      </c>
      <c r="C1171" s="24" t="s">
        <v>1333</v>
      </c>
      <c r="D1171" s="24" t="s">
        <v>1102</v>
      </c>
      <c r="E1171" s="24" t="s">
        <v>402</v>
      </c>
      <c r="F1171" s="24" t="s">
        <v>1142</v>
      </c>
      <c r="G1171" s="24" t="s">
        <v>1244</v>
      </c>
      <c r="H1171" s="24" t="s">
        <v>472</v>
      </c>
      <c r="I1171" s="24" t="s">
        <v>1332</v>
      </c>
      <c r="J1171" s="24" t="s">
        <v>761</v>
      </c>
      <c r="K1171" s="24" t="s">
        <v>1146</v>
      </c>
      <c r="L1171" s="25">
        <v>1070</v>
      </c>
      <c r="M1171" s="26">
        <v>1.7859</v>
      </c>
      <c r="N1171" s="27">
        <v>1.7859</v>
      </c>
      <c r="O1171" s="28">
        <v>1.6235454545454546E-3</v>
      </c>
      <c r="P1171" s="28">
        <v>1.6910734513274337</v>
      </c>
    </row>
    <row r="1172" spans="1:16" x14ac:dyDescent="0.3">
      <c r="A1172" t="s">
        <v>4068</v>
      </c>
      <c r="B1172" s="24">
        <v>102470</v>
      </c>
      <c r="C1172" s="24" t="s">
        <v>1247</v>
      </c>
      <c r="D1172" s="24" t="s">
        <v>1102</v>
      </c>
      <c r="E1172" s="24" t="s">
        <v>402</v>
      </c>
      <c r="F1172" s="24" t="s">
        <v>1142</v>
      </c>
      <c r="G1172" s="24" t="s">
        <v>1244</v>
      </c>
      <c r="H1172" s="24" t="s">
        <v>486</v>
      </c>
      <c r="I1172" s="24" t="s">
        <v>1332</v>
      </c>
      <c r="J1172" s="24" t="s">
        <v>761</v>
      </c>
      <c r="K1172" s="24" t="s">
        <v>1146</v>
      </c>
      <c r="L1172" s="25">
        <v>1070</v>
      </c>
      <c r="M1172" s="26">
        <v>1.8459000000000001</v>
      </c>
      <c r="N1172" s="27">
        <v>1.8459000000000001</v>
      </c>
      <c r="O1172" s="28">
        <v>1.6780909090909092E-3</v>
      </c>
      <c r="P1172" s="28">
        <v>1.7478876106194692</v>
      </c>
    </row>
    <row r="1173" spans="1:16" x14ac:dyDescent="0.3">
      <c r="A1173" t="s">
        <v>4069</v>
      </c>
      <c r="B1173" s="24">
        <v>106916</v>
      </c>
      <c r="C1173" s="24" t="s">
        <v>1216</v>
      </c>
      <c r="D1173" s="24" t="s">
        <v>1102</v>
      </c>
      <c r="E1173" s="24" t="s">
        <v>402</v>
      </c>
      <c r="F1173" s="24" t="s">
        <v>1142</v>
      </c>
      <c r="G1173" s="24" t="s">
        <v>1244</v>
      </c>
      <c r="H1173" s="24" t="s">
        <v>486</v>
      </c>
      <c r="I1173" s="24" t="s">
        <v>1332</v>
      </c>
      <c r="J1173" s="24" t="s">
        <v>761</v>
      </c>
      <c r="K1173" s="24" t="s">
        <v>1146</v>
      </c>
      <c r="L1173" s="25">
        <v>1070</v>
      </c>
      <c r="M1173" s="26">
        <v>1.8459000000000001</v>
      </c>
      <c r="N1173" s="27">
        <v>1.8459000000000001</v>
      </c>
      <c r="O1173" s="28">
        <v>1.6780909090909092E-3</v>
      </c>
      <c r="P1173" s="28">
        <v>1.7478876106194692</v>
      </c>
    </row>
    <row r="1174" spans="1:16" x14ac:dyDescent="0.3">
      <c r="A1174" t="s">
        <v>4070</v>
      </c>
      <c r="B1174" s="24">
        <v>114635</v>
      </c>
      <c r="C1174" s="24" t="s">
        <v>1243</v>
      </c>
      <c r="D1174" s="24" t="s">
        <v>1102</v>
      </c>
      <c r="E1174" s="24" t="s">
        <v>402</v>
      </c>
      <c r="F1174" s="24" t="s">
        <v>1142</v>
      </c>
      <c r="G1174" s="24" t="s">
        <v>1244</v>
      </c>
      <c r="H1174" s="24" t="s">
        <v>486</v>
      </c>
      <c r="I1174" s="24" t="s">
        <v>1332</v>
      </c>
      <c r="J1174" s="24" t="s">
        <v>761</v>
      </c>
      <c r="K1174" s="24" t="s">
        <v>1146</v>
      </c>
      <c r="L1174" s="25">
        <v>1070</v>
      </c>
      <c r="M1174" s="26">
        <v>1.8459000000000001</v>
      </c>
      <c r="N1174" s="27">
        <v>1.8459000000000001</v>
      </c>
      <c r="O1174" s="28">
        <v>1.6780909090909092E-3</v>
      </c>
      <c r="P1174" s="28">
        <v>1.7478876106194692</v>
      </c>
    </row>
    <row r="1175" spans="1:16" x14ac:dyDescent="0.3">
      <c r="A1175" t="s">
        <v>4071</v>
      </c>
      <c r="B1175" s="24">
        <v>142363</v>
      </c>
      <c r="C1175" s="24" t="s">
        <v>1246</v>
      </c>
      <c r="D1175" s="24" t="s">
        <v>1102</v>
      </c>
      <c r="E1175" s="24" t="s">
        <v>402</v>
      </c>
      <c r="F1175" s="24" t="s">
        <v>1142</v>
      </c>
      <c r="G1175" s="24" t="s">
        <v>1244</v>
      </c>
      <c r="H1175" s="24" t="s">
        <v>486</v>
      </c>
      <c r="I1175" s="24" t="s">
        <v>1332</v>
      </c>
      <c r="J1175" s="24" t="s">
        <v>761</v>
      </c>
      <c r="K1175" s="24" t="s">
        <v>1146</v>
      </c>
      <c r="L1175" s="25">
        <v>1070</v>
      </c>
      <c r="M1175" s="26">
        <v>1.8459000000000001</v>
      </c>
      <c r="N1175" s="27">
        <v>1.8459000000000001</v>
      </c>
      <c r="O1175" s="28">
        <v>1.6780909090909092E-3</v>
      </c>
      <c r="P1175" s="28">
        <v>1.7478876106194692</v>
      </c>
    </row>
    <row r="1176" spans="1:16" x14ac:dyDescent="0.3">
      <c r="A1176" t="s">
        <v>4072</v>
      </c>
      <c r="B1176" s="24">
        <v>600043</v>
      </c>
      <c r="C1176" s="24" t="s">
        <v>1333</v>
      </c>
      <c r="D1176" s="24" t="s">
        <v>1102</v>
      </c>
      <c r="E1176" s="24" t="s">
        <v>402</v>
      </c>
      <c r="F1176" s="24" t="s">
        <v>1142</v>
      </c>
      <c r="G1176" s="24" t="s">
        <v>1244</v>
      </c>
      <c r="H1176" s="24" t="s">
        <v>486</v>
      </c>
      <c r="I1176" s="24" t="s">
        <v>1332</v>
      </c>
      <c r="J1176" s="24" t="s">
        <v>761</v>
      </c>
      <c r="K1176" s="24" t="s">
        <v>1146</v>
      </c>
      <c r="L1176" s="25">
        <v>1070</v>
      </c>
      <c r="M1176" s="26">
        <v>1.8459000000000001</v>
      </c>
      <c r="N1176" s="27">
        <v>1.8459000000000001</v>
      </c>
      <c r="O1176" s="28">
        <v>1.6780909090909092E-3</v>
      </c>
      <c r="P1176" s="28">
        <v>1.7478876106194692</v>
      </c>
    </row>
    <row r="1177" spans="1:16" x14ac:dyDescent="0.3">
      <c r="A1177" t="s">
        <v>4073</v>
      </c>
      <c r="B1177" s="24">
        <v>101554</v>
      </c>
      <c r="C1177" s="24" t="s">
        <v>1202</v>
      </c>
      <c r="D1177" s="24" t="s">
        <v>1102</v>
      </c>
      <c r="E1177" s="24" t="s">
        <v>402</v>
      </c>
      <c r="F1177" s="24" t="s">
        <v>1142</v>
      </c>
      <c r="G1177" s="24" t="s">
        <v>1244</v>
      </c>
      <c r="H1177" s="24" t="s">
        <v>472</v>
      </c>
      <c r="I1177" s="24" t="s">
        <v>1332</v>
      </c>
      <c r="J1177" s="24" t="s">
        <v>761</v>
      </c>
      <c r="K1177" s="24" t="s">
        <v>1146</v>
      </c>
      <c r="L1177" s="25">
        <v>1070</v>
      </c>
      <c r="M1177" s="26">
        <v>1.7859</v>
      </c>
      <c r="N1177" s="27">
        <v>1.7859</v>
      </c>
      <c r="O1177" s="28">
        <v>1.6235454545454546E-3</v>
      </c>
      <c r="P1177" s="28">
        <v>1.6910734513274337</v>
      </c>
    </row>
    <row r="1178" spans="1:16" x14ac:dyDescent="0.3">
      <c r="A1178" t="s">
        <v>4074</v>
      </c>
      <c r="B1178" s="24">
        <v>106916</v>
      </c>
      <c r="C1178" s="24" t="s">
        <v>1216</v>
      </c>
      <c r="D1178" s="24" t="s">
        <v>1102</v>
      </c>
      <c r="E1178" s="24" t="s">
        <v>402</v>
      </c>
      <c r="F1178" s="24" t="s">
        <v>1142</v>
      </c>
      <c r="G1178" s="24" t="s">
        <v>1244</v>
      </c>
      <c r="H1178" s="24" t="s">
        <v>472</v>
      </c>
      <c r="I1178" s="24" t="s">
        <v>1332</v>
      </c>
      <c r="J1178" s="24" t="s">
        <v>761</v>
      </c>
      <c r="K1178" s="24" t="s">
        <v>1146</v>
      </c>
      <c r="L1178" s="25">
        <v>1070</v>
      </c>
      <c r="M1178" s="26">
        <v>1.7859</v>
      </c>
      <c r="N1178" s="27">
        <v>1.7859</v>
      </c>
      <c r="O1178" s="28">
        <v>1.6235454545454546E-3</v>
      </c>
      <c r="P1178" s="28">
        <v>1.6910734513274337</v>
      </c>
    </row>
    <row r="1179" spans="1:16" x14ac:dyDescent="0.3">
      <c r="A1179" t="s">
        <v>4075</v>
      </c>
      <c r="B1179" s="24">
        <v>102470</v>
      </c>
      <c r="C1179" s="24" t="s">
        <v>1247</v>
      </c>
      <c r="D1179" s="24" t="s">
        <v>1102</v>
      </c>
      <c r="E1179" s="24" t="s">
        <v>402</v>
      </c>
      <c r="F1179" s="24" t="s">
        <v>1142</v>
      </c>
      <c r="G1179" s="24" t="s">
        <v>1244</v>
      </c>
      <c r="H1179" s="24" t="s">
        <v>473</v>
      </c>
      <c r="I1179" s="24" t="s">
        <v>1334</v>
      </c>
      <c r="J1179" s="24" t="s">
        <v>761</v>
      </c>
      <c r="K1179" s="24" t="s">
        <v>1146</v>
      </c>
      <c r="L1179" s="25">
        <v>1070</v>
      </c>
      <c r="M1179" s="26">
        <v>2.7951000000000001</v>
      </c>
      <c r="N1179" s="27">
        <v>2.7951000000000001</v>
      </c>
      <c r="O1179" s="28">
        <v>2.5410000000000003E-3</v>
      </c>
      <c r="P1179" s="28">
        <v>2.6466876106194692</v>
      </c>
    </row>
    <row r="1180" spans="1:16" x14ac:dyDescent="0.3">
      <c r="A1180" t="s">
        <v>4076</v>
      </c>
      <c r="B1180" s="24">
        <v>114635</v>
      </c>
      <c r="C1180" s="24" t="s">
        <v>1243</v>
      </c>
      <c r="D1180" s="24" t="s">
        <v>1102</v>
      </c>
      <c r="E1180" s="24" t="s">
        <v>402</v>
      </c>
      <c r="F1180" s="24" t="s">
        <v>1142</v>
      </c>
      <c r="G1180" s="24" t="s">
        <v>1244</v>
      </c>
      <c r="H1180" s="24" t="s">
        <v>473</v>
      </c>
      <c r="I1180" s="24" t="s">
        <v>1334</v>
      </c>
      <c r="J1180" s="24" t="s">
        <v>761</v>
      </c>
      <c r="K1180" s="24" t="s">
        <v>1146</v>
      </c>
      <c r="L1180" s="25">
        <v>1070</v>
      </c>
      <c r="M1180" s="26">
        <v>2.7951000000000001</v>
      </c>
      <c r="N1180" s="27">
        <v>2.7951000000000001</v>
      </c>
      <c r="O1180" s="28">
        <v>2.5410000000000003E-3</v>
      </c>
      <c r="P1180" s="28">
        <v>2.6466876106194692</v>
      </c>
    </row>
    <row r="1181" spans="1:16" x14ac:dyDescent="0.3">
      <c r="A1181" t="s">
        <v>4077</v>
      </c>
      <c r="B1181" s="24">
        <v>142363</v>
      </c>
      <c r="C1181" s="24" t="s">
        <v>1246</v>
      </c>
      <c r="D1181" s="24" t="s">
        <v>1102</v>
      </c>
      <c r="E1181" s="24" t="s">
        <v>402</v>
      </c>
      <c r="F1181" s="24" t="s">
        <v>1142</v>
      </c>
      <c r="G1181" s="24" t="s">
        <v>1244</v>
      </c>
      <c r="H1181" s="24" t="s">
        <v>473</v>
      </c>
      <c r="I1181" s="24" t="s">
        <v>1334</v>
      </c>
      <c r="J1181" s="24" t="s">
        <v>761</v>
      </c>
      <c r="K1181" s="24" t="s">
        <v>1146</v>
      </c>
      <c r="L1181" s="25">
        <v>1070</v>
      </c>
      <c r="M1181" s="26">
        <v>2.7951000000000001</v>
      </c>
      <c r="N1181" s="27">
        <v>2.7951000000000001</v>
      </c>
      <c r="O1181" s="28">
        <v>2.5410000000000003E-3</v>
      </c>
      <c r="P1181" s="28">
        <v>2.6466876106194692</v>
      </c>
    </row>
    <row r="1182" spans="1:16" x14ac:dyDescent="0.3">
      <c r="A1182" t="s">
        <v>4078</v>
      </c>
      <c r="B1182" s="24">
        <v>400278</v>
      </c>
      <c r="C1182" s="24" t="s">
        <v>1329</v>
      </c>
      <c r="D1182" s="24" t="s">
        <v>1102</v>
      </c>
      <c r="E1182" s="24" t="s">
        <v>402</v>
      </c>
      <c r="F1182" s="24" t="s">
        <v>1142</v>
      </c>
      <c r="G1182" s="24" t="s">
        <v>1244</v>
      </c>
      <c r="H1182" s="24" t="s">
        <v>473</v>
      </c>
      <c r="I1182" s="24" t="s">
        <v>1334</v>
      </c>
      <c r="J1182" s="24" t="s">
        <v>761</v>
      </c>
      <c r="K1182" s="24" t="s">
        <v>1146</v>
      </c>
      <c r="L1182" s="25">
        <v>1070</v>
      </c>
      <c r="M1182" s="26">
        <v>2.7951000000000001</v>
      </c>
      <c r="N1182" s="27">
        <v>2.7951000000000001</v>
      </c>
      <c r="O1182" s="28">
        <v>2.5410000000000003E-3</v>
      </c>
      <c r="P1182" s="28">
        <v>2.6466876106194692</v>
      </c>
    </row>
    <row r="1183" spans="1:16" x14ac:dyDescent="0.3">
      <c r="A1183" t="s">
        <v>4079</v>
      </c>
      <c r="B1183" s="24">
        <v>114635</v>
      </c>
      <c r="C1183" s="24" t="s">
        <v>1243</v>
      </c>
      <c r="D1183" s="24" t="s">
        <v>1102</v>
      </c>
      <c r="E1183" s="24" t="s">
        <v>402</v>
      </c>
      <c r="F1183" s="24" t="s">
        <v>1142</v>
      </c>
      <c r="G1183" s="24" t="s">
        <v>1244</v>
      </c>
      <c r="H1183" s="24" t="s">
        <v>487</v>
      </c>
      <c r="I1183" s="24" t="s">
        <v>1334</v>
      </c>
      <c r="J1183" s="24" t="s">
        <v>761</v>
      </c>
      <c r="K1183" s="24" t="s">
        <v>1146</v>
      </c>
      <c r="L1183" s="25">
        <v>1070</v>
      </c>
      <c r="M1183" s="26">
        <v>2.8879000000000001</v>
      </c>
      <c r="N1183" s="27">
        <v>2.8879000000000001</v>
      </c>
      <c r="O1183" s="28">
        <v>2.6253636363636366E-3</v>
      </c>
      <c r="P1183" s="28">
        <v>2.7345601769911507</v>
      </c>
    </row>
    <row r="1184" spans="1:16" x14ac:dyDescent="0.3">
      <c r="A1184" t="s">
        <v>4080</v>
      </c>
      <c r="B1184" s="24">
        <v>142363</v>
      </c>
      <c r="C1184" s="24" t="s">
        <v>1246</v>
      </c>
      <c r="D1184" s="24" t="s">
        <v>1102</v>
      </c>
      <c r="E1184" s="24" t="s">
        <v>402</v>
      </c>
      <c r="F1184" s="24" t="s">
        <v>1142</v>
      </c>
      <c r="G1184" s="24" t="s">
        <v>1244</v>
      </c>
      <c r="H1184" s="24" t="s">
        <v>487</v>
      </c>
      <c r="I1184" s="24" t="s">
        <v>1334</v>
      </c>
      <c r="J1184" s="24" t="s">
        <v>761</v>
      </c>
      <c r="K1184" s="24" t="s">
        <v>1146</v>
      </c>
      <c r="L1184" s="25">
        <v>1070</v>
      </c>
      <c r="M1184" s="26">
        <v>2.8879000000000001</v>
      </c>
      <c r="N1184" s="27">
        <v>2.8879000000000001</v>
      </c>
      <c r="O1184" s="28">
        <v>2.6253636363636366E-3</v>
      </c>
      <c r="P1184" s="28">
        <v>2.7345601769911507</v>
      </c>
    </row>
    <row r="1185" spans="1:16" x14ac:dyDescent="0.3">
      <c r="A1185" t="s">
        <v>4081</v>
      </c>
      <c r="B1185" s="24">
        <v>101554</v>
      </c>
      <c r="C1185" s="24" t="s">
        <v>1202</v>
      </c>
      <c r="D1185" s="24" t="s">
        <v>1102</v>
      </c>
      <c r="E1185" s="24" t="s">
        <v>402</v>
      </c>
      <c r="F1185" s="24" t="s">
        <v>1142</v>
      </c>
      <c r="G1185" s="24" t="s">
        <v>1244</v>
      </c>
      <c r="H1185" s="24" t="s">
        <v>473</v>
      </c>
      <c r="I1185" s="24" t="s">
        <v>1334</v>
      </c>
      <c r="J1185" s="24" t="s">
        <v>761</v>
      </c>
      <c r="K1185" s="24" t="s">
        <v>1146</v>
      </c>
      <c r="L1185" s="25">
        <v>1070</v>
      </c>
      <c r="M1185" s="26">
        <v>2.7951000000000001</v>
      </c>
      <c r="N1185" s="27">
        <v>2.7951000000000001</v>
      </c>
      <c r="O1185" s="28">
        <v>2.5410000000000003E-3</v>
      </c>
      <c r="P1185" s="28">
        <v>2.6466876106194692</v>
      </c>
    </row>
    <row r="1186" spans="1:16" x14ac:dyDescent="0.3">
      <c r="A1186" t="s">
        <v>4082</v>
      </c>
      <c r="B1186" s="24">
        <v>114635</v>
      </c>
      <c r="C1186" s="24" t="s">
        <v>1243</v>
      </c>
      <c r="D1186" s="24" t="s">
        <v>1102</v>
      </c>
      <c r="E1186" s="24" t="s">
        <v>402</v>
      </c>
      <c r="F1186" s="24" t="s">
        <v>1142</v>
      </c>
      <c r="G1186" s="24" t="s">
        <v>1244</v>
      </c>
      <c r="H1186" s="24" t="s">
        <v>474</v>
      </c>
      <c r="I1186" s="24" t="s">
        <v>1332</v>
      </c>
      <c r="J1186" s="24" t="s">
        <v>761</v>
      </c>
      <c r="K1186" s="24" t="s">
        <v>1146</v>
      </c>
      <c r="L1186" s="25">
        <v>1070</v>
      </c>
      <c r="M1186" s="26">
        <v>1.8864000000000001</v>
      </c>
      <c r="N1186" s="27">
        <v>1.8864000000000001</v>
      </c>
      <c r="O1186" s="28">
        <v>1.7149090909090909E-3</v>
      </c>
      <c r="P1186" s="28">
        <v>1.7862371681415929</v>
      </c>
    </row>
    <row r="1187" spans="1:16" x14ac:dyDescent="0.3">
      <c r="A1187" t="s">
        <v>4083</v>
      </c>
      <c r="B1187" s="24">
        <v>142363</v>
      </c>
      <c r="C1187" s="24" t="s">
        <v>1246</v>
      </c>
      <c r="D1187" s="24" t="s">
        <v>1102</v>
      </c>
      <c r="E1187" s="24" t="s">
        <v>402</v>
      </c>
      <c r="F1187" s="24" t="s">
        <v>1142</v>
      </c>
      <c r="G1187" s="24" t="s">
        <v>1244</v>
      </c>
      <c r="H1187" s="24" t="s">
        <v>474</v>
      </c>
      <c r="I1187" s="24" t="s">
        <v>1332</v>
      </c>
      <c r="J1187" s="24" t="s">
        <v>761</v>
      </c>
      <c r="K1187" s="24" t="s">
        <v>1146</v>
      </c>
      <c r="L1187" s="25">
        <v>1070</v>
      </c>
      <c r="M1187" s="26">
        <v>1.8864000000000001</v>
      </c>
      <c r="N1187" s="27">
        <v>1.8864000000000001</v>
      </c>
      <c r="O1187" s="28">
        <v>1.7149090909090909E-3</v>
      </c>
      <c r="P1187" s="28">
        <v>1.7862371681415929</v>
      </c>
    </row>
    <row r="1188" spans="1:16" x14ac:dyDescent="0.3">
      <c r="A1188" t="s">
        <v>4084</v>
      </c>
      <c r="B1188" s="24">
        <v>101554</v>
      </c>
      <c r="C1188" s="24" t="s">
        <v>1202</v>
      </c>
      <c r="D1188" s="24" t="s">
        <v>1102</v>
      </c>
      <c r="E1188" s="24" t="s">
        <v>402</v>
      </c>
      <c r="F1188" s="24" t="s">
        <v>1142</v>
      </c>
      <c r="G1188" s="24" t="s">
        <v>1244</v>
      </c>
      <c r="H1188" s="24" t="s">
        <v>488</v>
      </c>
      <c r="I1188" s="24" t="s">
        <v>1332</v>
      </c>
      <c r="J1188" s="24" t="s">
        <v>761</v>
      </c>
      <c r="K1188" s="24" t="s">
        <v>1146</v>
      </c>
      <c r="L1188" s="25">
        <v>1070</v>
      </c>
      <c r="M1188" s="26">
        <v>1.9463999999999999</v>
      </c>
      <c r="N1188" s="27">
        <v>1.9463999999999999</v>
      </c>
      <c r="O1188" s="28">
        <v>1.7694545454545454E-3</v>
      </c>
      <c r="P1188" s="28">
        <v>1.843051327433628</v>
      </c>
    </row>
    <row r="1189" spans="1:16" x14ac:dyDescent="0.3">
      <c r="A1189" t="s">
        <v>4085</v>
      </c>
      <c r="B1189" s="24">
        <v>114635</v>
      </c>
      <c r="C1189" s="24" t="s">
        <v>1243</v>
      </c>
      <c r="D1189" s="24" t="s">
        <v>1102</v>
      </c>
      <c r="E1189" s="24" t="s">
        <v>402</v>
      </c>
      <c r="F1189" s="24" t="s">
        <v>1142</v>
      </c>
      <c r="G1189" s="24" t="s">
        <v>1244</v>
      </c>
      <c r="H1189" s="24" t="s">
        <v>488</v>
      </c>
      <c r="I1189" s="24" t="s">
        <v>1332</v>
      </c>
      <c r="J1189" s="24" t="s">
        <v>761</v>
      </c>
      <c r="K1189" s="24" t="s">
        <v>1146</v>
      </c>
      <c r="L1189" s="25">
        <v>1070</v>
      </c>
      <c r="M1189" s="26">
        <v>1.9463999999999999</v>
      </c>
      <c r="N1189" s="27">
        <v>1.9463999999999999</v>
      </c>
      <c r="O1189" s="28">
        <v>1.7694545454545454E-3</v>
      </c>
      <c r="P1189" s="28">
        <v>1.843051327433628</v>
      </c>
    </row>
    <row r="1190" spans="1:16" x14ac:dyDescent="0.3">
      <c r="A1190" t="s">
        <v>4086</v>
      </c>
      <c r="B1190" s="24">
        <v>142363</v>
      </c>
      <c r="C1190" s="24" t="s">
        <v>1246</v>
      </c>
      <c r="D1190" s="24" t="s">
        <v>1102</v>
      </c>
      <c r="E1190" s="24" t="s">
        <v>402</v>
      </c>
      <c r="F1190" s="24" t="s">
        <v>1142</v>
      </c>
      <c r="G1190" s="24" t="s">
        <v>1244</v>
      </c>
      <c r="H1190" s="24" t="s">
        <v>488</v>
      </c>
      <c r="I1190" s="24" t="s">
        <v>1332</v>
      </c>
      <c r="J1190" s="24" t="s">
        <v>761</v>
      </c>
      <c r="K1190" s="24" t="s">
        <v>1146</v>
      </c>
      <c r="L1190" s="25">
        <v>1070</v>
      </c>
      <c r="M1190" s="26">
        <v>1.9463999999999999</v>
      </c>
      <c r="N1190" s="27">
        <v>1.9463999999999999</v>
      </c>
      <c r="O1190" s="28">
        <v>1.7694545454545454E-3</v>
      </c>
      <c r="P1190" s="28">
        <v>1.843051327433628</v>
      </c>
    </row>
    <row r="1191" spans="1:16" x14ac:dyDescent="0.3">
      <c r="A1191" t="s">
        <v>4087</v>
      </c>
      <c r="B1191" s="24">
        <v>102470</v>
      </c>
      <c r="C1191" s="24" t="s">
        <v>1247</v>
      </c>
      <c r="D1191" s="24" t="s">
        <v>1102</v>
      </c>
      <c r="E1191" s="24" t="s">
        <v>402</v>
      </c>
      <c r="F1191" s="24" t="s">
        <v>1142</v>
      </c>
      <c r="G1191" s="24" t="s">
        <v>1244</v>
      </c>
      <c r="H1191" s="24" t="s">
        <v>475</v>
      </c>
      <c r="I1191" s="24" t="s">
        <v>1335</v>
      </c>
      <c r="J1191" s="24" t="s">
        <v>761</v>
      </c>
      <c r="K1191" s="24" t="s">
        <v>1146</v>
      </c>
      <c r="L1191" s="25">
        <v>1070</v>
      </c>
      <c r="M1191" s="26">
        <v>2.5636000000000001</v>
      </c>
      <c r="N1191" s="27">
        <v>2.5636000000000001</v>
      </c>
      <c r="O1191" s="28">
        <v>2.3305454545454545E-3</v>
      </c>
      <c r="P1191" s="28">
        <v>2.4274796460176993</v>
      </c>
    </row>
    <row r="1192" spans="1:16" x14ac:dyDescent="0.3">
      <c r="A1192" t="s">
        <v>4088</v>
      </c>
      <c r="B1192" s="24">
        <v>114635</v>
      </c>
      <c r="C1192" s="24" t="s">
        <v>1243</v>
      </c>
      <c r="D1192" s="24" t="s">
        <v>1102</v>
      </c>
      <c r="E1192" s="24" t="s">
        <v>402</v>
      </c>
      <c r="F1192" s="24" t="s">
        <v>1142</v>
      </c>
      <c r="G1192" s="24" t="s">
        <v>1244</v>
      </c>
      <c r="H1192" s="24" t="s">
        <v>475</v>
      </c>
      <c r="I1192" s="24" t="s">
        <v>1335</v>
      </c>
      <c r="J1192" s="24" t="s">
        <v>761</v>
      </c>
      <c r="K1192" s="24" t="s">
        <v>1146</v>
      </c>
      <c r="L1192" s="25">
        <v>1070</v>
      </c>
      <c r="M1192" s="26">
        <v>2.5636000000000001</v>
      </c>
      <c r="N1192" s="27">
        <v>2.5636000000000001</v>
      </c>
      <c r="O1192" s="28">
        <v>2.3305454545454545E-3</v>
      </c>
      <c r="P1192" s="28">
        <v>2.4274796460176993</v>
      </c>
    </row>
    <row r="1193" spans="1:16" x14ac:dyDescent="0.3">
      <c r="A1193" t="s">
        <v>4089</v>
      </c>
      <c r="B1193" s="24">
        <v>142363</v>
      </c>
      <c r="C1193" s="24" t="s">
        <v>1246</v>
      </c>
      <c r="D1193" s="24" t="s">
        <v>1102</v>
      </c>
      <c r="E1193" s="24" t="s">
        <v>402</v>
      </c>
      <c r="F1193" s="24" t="s">
        <v>1142</v>
      </c>
      <c r="G1193" s="24" t="s">
        <v>1244</v>
      </c>
      <c r="H1193" s="24" t="s">
        <v>475</v>
      </c>
      <c r="I1193" s="24" t="s">
        <v>1335</v>
      </c>
      <c r="J1193" s="24" t="s">
        <v>761</v>
      </c>
      <c r="K1193" s="24" t="s">
        <v>1146</v>
      </c>
      <c r="L1193" s="25">
        <v>1070</v>
      </c>
      <c r="M1193" s="26">
        <v>2.5636000000000001</v>
      </c>
      <c r="N1193" s="27">
        <v>2.5636000000000001</v>
      </c>
      <c r="O1193" s="28">
        <v>2.3305454545454545E-3</v>
      </c>
      <c r="P1193" s="28">
        <v>2.4274796460176993</v>
      </c>
    </row>
    <row r="1194" spans="1:16" x14ac:dyDescent="0.3">
      <c r="A1194" t="s">
        <v>4090</v>
      </c>
      <c r="B1194" s="24">
        <v>400278</v>
      </c>
      <c r="C1194" s="24" t="s">
        <v>1329</v>
      </c>
      <c r="D1194" s="24" t="s">
        <v>1102</v>
      </c>
      <c r="E1194" s="24" t="s">
        <v>402</v>
      </c>
      <c r="F1194" s="24" t="s">
        <v>1142</v>
      </c>
      <c r="G1194" s="24" t="s">
        <v>1244</v>
      </c>
      <c r="H1194" s="24" t="s">
        <v>475</v>
      </c>
      <c r="I1194" s="24" t="s">
        <v>1335</v>
      </c>
      <c r="J1194" s="24" t="s">
        <v>761</v>
      </c>
      <c r="K1194" s="24" t="s">
        <v>1146</v>
      </c>
      <c r="L1194" s="25">
        <v>1070</v>
      </c>
      <c r="M1194" s="26">
        <v>2.5636000000000001</v>
      </c>
      <c r="N1194" s="27">
        <v>2.5636000000000001</v>
      </c>
      <c r="O1194" s="28">
        <v>2.3305454545454545E-3</v>
      </c>
      <c r="P1194" s="28">
        <v>2.4274796460176993</v>
      </c>
    </row>
    <row r="1195" spans="1:16" x14ac:dyDescent="0.3">
      <c r="A1195" t="s">
        <v>4091</v>
      </c>
      <c r="B1195" s="24">
        <v>114635</v>
      </c>
      <c r="C1195" s="24" t="s">
        <v>1243</v>
      </c>
      <c r="D1195" s="24" t="s">
        <v>1102</v>
      </c>
      <c r="E1195" s="24" t="s">
        <v>402</v>
      </c>
      <c r="F1195" s="24" t="s">
        <v>1142</v>
      </c>
      <c r="G1195" s="24" t="s">
        <v>1244</v>
      </c>
      <c r="H1195" s="24" t="s">
        <v>489</v>
      </c>
      <c r="I1195" s="24" t="s">
        <v>1335</v>
      </c>
      <c r="J1195" s="24" t="s">
        <v>761</v>
      </c>
      <c r="K1195" s="24" t="s">
        <v>1146</v>
      </c>
      <c r="L1195" s="25">
        <v>1070</v>
      </c>
      <c r="M1195" s="26">
        <v>2.6236000000000002</v>
      </c>
      <c r="N1195" s="27">
        <v>2.6236000000000002</v>
      </c>
      <c r="O1195" s="28">
        <v>2.3850909090909092E-3</v>
      </c>
      <c r="P1195" s="28">
        <v>2.4842938053097345</v>
      </c>
    </row>
    <row r="1196" spans="1:16" x14ac:dyDescent="0.3">
      <c r="A1196" t="s">
        <v>4092</v>
      </c>
      <c r="B1196" s="24">
        <v>142363</v>
      </c>
      <c r="C1196" s="24" t="s">
        <v>1246</v>
      </c>
      <c r="D1196" s="24" t="s">
        <v>1102</v>
      </c>
      <c r="E1196" s="24" t="s">
        <v>402</v>
      </c>
      <c r="F1196" s="24" t="s">
        <v>1142</v>
      </c>
      <c r="G1196" s="24" t="s">
        <v>1244</v>
      </c>
      <c r="H1196" s="24" t="s">
        <v>489</v>
      </c>
      <c r="I1196" s="24" t="s">
        <v>1335</v>
      </c>
      <c r="J1196" s="24" t="s">
        <v>761</v>
      </c>
      <c r="K1196" s="24" t="s">
        <v>1146</v>
      </c>
      <c r="L1196" s="25">
        <v>1070</v>
      </c>
      <c r="M1196" s="26">
        <v>2.6236000000000002</v>
      </c>
      <c r="N1196" s="27">
        <v>2.6236000000000002</v>
      </c>
      <c r="O1196" s="28">
        <v>2.3850909090909092E-3</v>
      </c>
      <c r="P1196" s="28">
        <v>2.4842938053097345</v>
      </c>
    </row>
    <row r="1197" spans="1:16" x14ac:dyDescent="0.3">
      <c r="A1197" t="s">
        <v>4093</v>
      </c>
      <c r="B1197" s="24">
        <v>102470</v>
      </c>
      <c r="C1197" s="24" t="s">
        <v>1247</v>
      </c>
      <c r="D1197" s="24" t="s">
        <v>1102</v>
      </c>
      <c r="E1197" s="24" t="s">
        <v>402</v>
      </c>
      <c r="F1197" s="24" t="s">
        <v>1142</v>
      </c>
      <c r="G1197" s="24" t="s">
        <v>1244</v>
      </c>
      <c r="H1197" s="24" t="s">
        <v>476</v>
      </c>
      <c r="I1197" s="24" t="s">
        <v>1336</v>
      </c>
      <c r="J1197" s="24" t="s">
        <v>761</v>
      </c>
      <c r="K1197" s="24" t="s">
        <v>1146</v>
      </c>
      <c r="L1197" s="25">
        <v>1070</v>
      </c>
      <c r="M1197" s="26">
        <v>1.9293</v>
      </c>
      <c r="N1197" s="27">
        <v>1.9293</v>
      </c>
      <c r="O1197" s="28">
        <v>1.7539090909090909E-3</v>
      </c>
      <c r="P1197" s="28">
        <v>1.8268592920353983</v>
      </c>
    </row>
    <row r="1198" spans="1:16" x14ac:dyDescent="0.3">
      <c r="A1198" t="s">
        <v>4094</v>
      </c>
      <c r="B1198" s="24">
        <v>114635</v>
      </c>
      <c r="C1198" s="24" t="s">
        <v>1243</v>
      </c>
      <c r="D1198" s="24" t="s">
        <v>1102</v>
      </c>
      <c r="E1198" s="24" t="s">
        <v>402</v>
      </c>
      <c r="F1198" s="24" t="s">
        <v>1142</v>
      </c>
      <c r="G1198" s="24" t="s">
        <v>1244</v>
      </c>
      <c r="H1198" s="24" t="s">
        <v>476</v>
      </c>
      <c r="I1198" s="24" t="s">
        <v>1336</v>
      </c>
      <c r="J1198" s="24" t="s">
        <v>761</v>
      </c>
      <c r="K1198" s="24" t="s">
        <v>1146</v>
      </c>
      <c r="L1198" s="25">
        <v>1070</v>
      </c>
      <c r="M1198" s="26">
        <v>1.9293</v>
      </c>
      <c r="N1198" s="27">
        <v>1.9293</v>
      </c>
      <c r="O1198" s="28">
        <v>1.7539090909090909E-3</v>
      </c>
      <c r="P1198" s="28">
        <v>1.8268592920353983</v>
      </c>
    </row>
    <row r="1199" spans="1:16" x14ac:dyDescent="0.3">
      <c r="A1199" t="s">
        <v>4095</v>
      </c>
      <c r="B1199" s="24">
        <v>141365</v>
      </c>
      <c r="C1199" s="24" t="s">
        <v>1262</v>
      </c>
      <c r="D1199" s="24" t="s">
        <v>1102</v>
      </c>
      <c r="E1199" s="24" t="s">
        <v>402</v>
      </c>
      <c r="F1199" s="24" t="s">
        <v>1142</v>
      </c>
      <c r="G1199" s="24" t="s">
        <v>1244</v>
      </c>
      <c r="H1199" s="24" t="s">
        <v>476</v>
      </c>
      <c r="I1199" s="24" t="s">
        <v>1336</v>
      </c>
      <c r="J1199" s="24" t="s">
        <v>761</v>
      </c>
      <c r="K1199" s="24" t="s">
        <v>1146</v>
      </c>
      <c r="L1199" s="25">
        <v>1070</v>
      </c>
      <c r="M1199" s="26">
        <v>1.9293</v>
      </c>
      <c r="N1199" s="27">
        <v>1.9293</v>
      </c>
      <c r="O1199" s="28">
        <v>1.7539090909090909E-3</v>
      </c>
      <c r="P1199" s="28">
        <v>1.8268592920353983</v>
      </c>
    </row>
    <row r="1200" spans="1:16" x14ac:dyDescent="0.3">
      <c r="A1200" t="s">
        <v>4096</v>
      </c>
      <c r="B1200" s="24">
        <v>400278</v>
      </c>
      <c r="C1200" s="24" t="s">
        <v>1329</v>
      </c>
      <c r="D1200" s="24" t="s">
        <v>1102</v>
      </c>
      <c r="E1200" s="24" t="s">
        <v>402</v>
      </c>
      <c r="F1200" s="24" t="s">
        <v>1142</v>
      </c>
      <c r="G1200" s="24" t="s">
        <v>1244</v>
      </c>
      <c r="H1200" s="24" t="s">
        <v>476</v>
      </c>
      <c r="I1200" s="24" t="s">
        <v>1336</v>
      </c>
      <c r="J1200" s="24" t="s">
        <v>761</v>
      </c>
      <c r="K1200" s="24" t="s">
        <v>1146</v>
      </c>
      <c r="L1200" s="25">
        <v>1070</v>
      </c>
      <c r="M1200" s="26">
        <v>1.9293</v>
      </c>
      <c r="N1200" s="27">
        <v>1.9293</v>
      </c>
      <c r="O1200" s="28">
        <v>1.7539090909090909E-3</v>
      </c>
      <c r="P1200" s="28">
        <v>1.8268592920353983</v>
      </c>
    </row>
    <row r="1201" spans="1:16" x14ac:dyDescent="0.3">
      <c r="A1201" t="s">
        <v>4097</v>
      </c>
      <c r="B1201" s="24">
        <v>102470</v>
      </c>
      <c r="C1201" s="24" t="s">
        <v>1247</v>
      </c>
      <c r="D1201" s="24" t="s">
        <v>1102</v>
      </c>
      <c r="E1201" s="24" t="s">
        <v>402</v>
      </c>
      <c r="F1201" s="24" t="s">
        <v>1142</v>
      </c>
      <c r="G1201" s="24" t="s">
        <v>1244</v>
      </c>
      <c r="H1201" s="24" t="s">
        <v>490</v>
      </c>
      <c r="I1201" s="24" t="s">
        <v>1336</v>
      </c>
      <c r="J1201" s="24" t="s">
        <v>761</v>
      </c>
      <c r="K1201" s="24" t="s">
        <v>1146</v>
      </c>
      <c r="L1201" s="25">
        <v>1070</v>
      </c>
      <c r="M1201" s="26">
        <v>1.9893000000000001</v>
      </c>
      <c r="N1201" s="27">
        <v>1.9893000000000001</v>
      </c>
      <c r="O1201" s="28">
        <v>1.8084545454545456E-3</v>
      </c>
      <c r="P1201" s="28">
        <v>1.8836734513274336</v>
      </c>
    </row>
    <row r="1202" spans="1:16" x14ac:dyDescent="0.3">
      <c r="A1202" t="s">
        <v>4098</v>
      </c>
      <c r="B1202" s="24">
        <v>114635</v>
      </c>
      <c r="C1202" s="24" t="s">
        <v>1243</v>
      </c>
      <c r="D1202" s="24" t="s">
        <v>1102</v>
      </c>
      <c r="E1202" s="24" t="s">
        <v>402</v>
      </c>
      <c r="F1202" s="24" t="s">
        <v>1142</v>
      </c>
      <c r="G1202" s="24" t="s">
        <v>1244</v>
      </c>
      <c r="H1202" s="24" t="s">
        <v>477</v>
      </c>
      <c r="I1202" s="24" t="s">
        <v>1337</v>
      </c>
      <c r="J1202" s="24" t="s">
        <v>761</v>
      </c>
      <c r="K1202" s="24" t="s">
        <v>1146</v>
      </c>
      <c r="L1202" s="25">
        <v>1070</v>
      </c>
      <c r="M1202" s="26">
        <v>2.7162000000000002</v>
      </c>
      <c r="N1202" s="27">
        <v>2.7162000000000002</v>
      </c>
      <c r="O1202" s="28">
        <v>2.4692727272727275E-3</v>
      </c>
      <c r="P1202" s="28">
        <v>2.5719769911504429</v>
      </c>
    </row>
    <row r="1203" spans="1:16" x14ac:dyDescent="0.3">
      <c r="A1203" t="s">
        <v>4099</v>
      </c>
      <c r="B1203" s="24">
        <v>142363</v>
      </c>
      <c r="C1203" s="24" t="s">
        <v>1246</v>
      </c>
      <c r="D1203" s="24" t="s">
        <v>1102</v>
      </c>
      <c r="E1203" s="24" t="s">
        <v>402</v>
      </c>
      <c r="F1203" s="24" t="s">
        <v>1142</v>
      </c>
      <c r="G1203" s="24" t="s">
        <v>1244</v>
      </c>
      <c r="H1203" s="24" t="s">
        <v>477</v>
      </c>
      <c r="I1203" s="24" t="s">
        <v>1337</v>
      </c>
      <c r="J1203" s="24" t="s">
        <v>761</v>
      </c>
      <c r="K1203" s="24" t="s">
        <v>1146</v>
      </c>
      <c r="L1203" s="25">
        <v>1070</v>
      </c>
      <c r="M1203" s="26">
        <v>2.7162000000000002</v>
      </c>
      <c r="N1203" s="27">
        <v>2.7162000000000002</v>
      </c>
      <c r="O1203" s="28">
        <v>2.4692727272727275E-3</v>
      </c>
      <c r="P1203" s="28">
        <v>2.5719769911504429</v>
      </c>
    </row>
    <row r="1204" spans="1:16" x14ac:dyDescent="0.3">
      <c r="A1204" t="s">
        <v>4100</v>
      </c>
      <c r="B1204" s="24">
        <v>400278</v>
      </c>
      <c r="C1204" s="24" t="s">
        <v>1329</v>
      </c>
      <c r="D1204" s="24" t="s">
        <v>1102</v>
      </c>
      <c r="E1204" s="24" t="s">
        <v>402</v>
      </c>
      <c r="F1204" s="24" t="s">
        <v>1142</v>
      </c>
      <c r="G1204" s="24" t="s">
        <v>1244</v>
      </c>
      <c r="H1204" s="24" t="s">
        <v>477</v>
      </c>
      <c r="I1204" s="24" t="s">
        <v>1337</v>
      </c>
      <c r="J1204" s="24" t="s">
        <v>761</v>
      </c>
      <c r="K1204" s="24" t="s">
        <v>1146</v>
      </c>
      <c r="L1204" s="25">
        <v>1070</v>
      </c>
      <c r="M1204" s="26">
        <v>2.7162000000000002</v>
      </c>
      <c r="N1204" s="27">
        <v>2.7162000000000002</v>
      </c>
      <c r="O1204" s="28">
        <v>2.4692727272727275E-3</v>
      </c>
      <c r="P1204" s="28">
        <v>2.5719769911504429</v>
      </c>
    </row>
    <row r="1205" spans="1:16" x14ac:dyDescent="0.3">
      <c r="A1205" t="s">
        <v>4101</v>
      </c>
      <c r="B1205" s="24">
        <v>114635</v>
      </c>
      <c r="C1205" s="24" t="s">
        <v>1243</v>
      </c>
      <c r="D1205" s="24" t="s">
        <v>1102</v>
      </c>
      <c r="E1205" s="24" t="s">
        <v>402</v>
      </c>
      <c r="F1205" s="24" t="s">
        <v>1142</v>
      </c>
      <c r="G1205" s="24" t="s">
        <v>1244</v>
      </c>
      <c r="H1205" s="24" t="s">
        <v>491</v>
      </c>
      <c r="I1205" s="24" t="s">
        <v>1337</v>
      </c>
      <c r="J1205" s="24" t="s">
        <v>761</v>
      </c>
      <c r="K1205" s="24" t="s">
        <v>1146</v>
      </c>
      <c r="L1205" s="25">
        <v>1070</v>
      </c>
      <c r="M1205" s="26">
        <v>2.7761999999999998</v>
      </c>
      <c r="N1205" s="27">
        <v>2.7761999999999998</v>
      </c>
      <c r="O1205" s="28">
        <v>2.5238181818181818E-3</v>
      </c>
      <c r="P1205" s="28">
        <v>2.6287911504424777</v>
      </c>
    </row>
    <row r="1206" spans="1:16" x14ac:dyDescent="0.3">
      <c r="A1206" t="s">
        <v>4102</v>
      </c>
      <c r="B1206" s="24">
        <v>142363</v>
      </c>
      <c r="C1206" s="24" t="s">
        <v>1246</v>
      </c>
      <c r="D1206" s="24" t="s">
        <v>1102</v>
      </c>
      <c r="E1206" s="24" t="s">
        <v>402</v>
      </c>
      <c r="F1206" s="24" t="s">
        <v>1142</v>
      </c>
      <c r="G1206" s="24" t="s">
        <v>1244</v>
      </c>
      <c r="H1206" s="24" t="s">
        <v>491</v>
      </c>
      <c r="I1206" s="24" t="s">
        <v>1337</v>
      </c>
      <c r="J1206" s="24" t="s">
        <v>761</v>
      </c>
      <c r="K1206" s="24" t="s">
        <v>1146</v>
      </c>
      <c r="L1206" s="25">
        <v>1070</v>
      </c>
      <c r="M1206" s="26">
        <v>2.7761999999999998</v>
      </c>
      <c r="N1206" s="27">
        <v>2.7761999999999998</v>
      </c>
      <c r="O1206" s="28">
        <v>2.5238181818181818E-3</v>
      </c>
      <c r="P1206" s="28">
        <v>2.6287911504424777</v>
      </c>
    </row>
    <row r="1207" spans="1:16" x14ac:dyDescent="0.3">
      <c r="A1207" t="s">
        <v>4103</v>
      </c>
      <c r="B1207" s="24">
        <v>101554</v>
      </c>
      <c r="C1207" s="24" t="s">
        <v>1202</v>
      </c>
      <c r="D1207" s="24" t="s">
        <v>1102</v>
      </c>
      <c r="E1207" s="24" t="s">
        <v>402</v>
      </c>
      <c r="F1207" s="24" t="s">
        <v>1142</v>
      </c>
      <c r="G1207" s="24" t="s">
        <v>1244</v>
      </c>
      <c r="H1207" s="24" t="s">
        <v>492</v>
      </c>
      <c r="I1207" s="24" t="s">
        <v>1338</v>
      </c>
      <c r="J1207" s="24" t="s">
        <v>761</v>
      </c>
      <c r="K1207" s="24" t="s">
        <v>1146</v>
      </c>
      <c r="L1207" s="25">
        <v>1070</v>
      </c>
      <c r="M1207" s="26">
        <v>2.6381999999999999</v>
      </c>
      <c r="N1207" s="27">
        <v>2.6381999999999999</v>
      </c>
      <c r="O1207" s="28">
        <v>2.3983636363636364E-3</v>
      </c>
      <c r="P1207" s="28">
        <v>2.4981185840707965</v>
      </c>
    </row>
    <row r="1208" spans="1:16" x14ac:dyDescent="0.3">
      <c r="A1208" t="s">
        <v>4104</v>
      </c>
      <c r="B1208" s="24">
        <v>101554</v>
      </c>
      <c r="C1208" s="24" t="s">
        <v>1202</v>
      </c>
      <c r="D1208" s="24" t="s">
        <v>1102</v>
      </c>
      <c r="E1208" s="24" t="s">
        <v>402</v>
      </c>
      <c r="F1208" s="24" t="s">
        <v>1142</v>
      </c>
      <c r="G1208" s="24" t="s">
        <v>1244</v>
      </c>
      <c r="H1208" s="24" t="s">
        <v>478</v>
      </c>
      <c r="I1208" s="24" t="s">
        <v>1338</v>
      </c>
      <c r="J1208" s="24" t="s">
        <v>761</v>
      </c>
      <c r="K1208" s="24" t="s">
        <v>1146</v>
      </c>
      <c r="L1208" s="25">
        <v>1070</v>
      </c>
      <c r="M1208" s="26">
        <v>2.5781999999999998</v>
      </c>
      <c r="N1208" s="27">
        <v>2.5781999999999998</v>
      </c>
      <c r="O1208" s="28">
        <v>2.3438181818181817E-3</v>
      </c>
      <c r="P1208" s="28">
        <v>2.4413044247787612</v>
      </c>
    </row>
    <row r="1209" spans="1:16" x14ac:dyDescent="0.3">
      <c r="A1209" t="s">
        <v>4105</v>
      </c>
      <c r="B1209" s="24">
        <v>101554</v>
      </c>
      <c r="C1209" s="24" t="s">
        <v>1202</v>
      </c>
      <c r="D1209" s="24" t="s">
        <v>1102</v>
      </c>
      <c r="E1209" s="24" t="s">
        <v>402</v>
      </c>
      <c r="F1209" s="24" t="s">
        <v>1142</v>
      </c>
      <c r="G1209" s="24" t="s">
        <v>1244</v>
      </c>
      <c r="H1209" s="24" t="s">
        <v>493</v>
      </c>
      <c r="I1209" s="24" t="s">
        <v>1339</v>
      </c>
      <c r="J1209" s="24" t="s">
        <v>761</v>
      </c>
      <c r="K1209" s="24" t="s">
        <v>1146</v>
      </c>
      <c r="L1209" s="25">
        <v>1070</v>
      </c>
      <c r="M1209" s="26">
        <v>2.0356999999999998</v>
      </c>
      <c r="N1209" s="27">
        <v>2.0356999999999998</v>
      </c>
      <c r="O1209" s="28">
        <v>1.8506363636363635E-3</v>
      </c>
      <c r="P1209" s="28">
        <v>1.9276097345132739</v>
      </c>
    </row>
    <row r="1210" spans="1:16" x14ac:dyDescent="0.3">
      <c r="A1210" t="s">
        <v>4106</v>
      </c>
      <c r="B1210" s="24">
        <v>101554</v>
      </c>
      <c r="C1210" s="24" t="s">
        <v>1202</v>
      </c>
      <c r="D1210" s="24" t="s">
        <v>1102</v>
      </c>
      <c r="E1210" s="24" t="s">
        <v>402</v>
      </c>
      <c r="F1210" s="24" t="s">
        <v>1142</v>
      </c>
      <c r="G1210" s="24" t="s">
        <v>1244</v>
      </c>
      <c r="H1210" s="24" t="s">
        <v>479</v>
      </c>
      <c r="I1210" s="24" t="s">
        <v>1339</v>
      </c>
      <c r="J1210" s="24" t="s">
        <v>761</v>
      </c>
      <c r="K1210" s="24" t="s">
        <v>1146</v>
      </c>
      <c r="L1210" s="25">
        <v>1070</v>
      </c>
      <c r="M1210" s="26">
        <v>1.9757</v>
      </c>
      <c r="N1210" s="27">
        <v>1.9757</v>
      </c>
      <c r="O1210" s="28">
        <v>1.7960909090909091E-3</v>
      </c>
      <c r="P1210" s="28">
        <v>1.8707955752212388</v>
      </c>
    </row>
    <row r="1211" spans="1:16" x14ac:dyDescent="0.3">
      <c r="A1211" t="s">
        <v>4107</v>
      </c>
      <c r="B1211" s="24">
        <v>114635</v>
      </c>
      <c r="C1211" s="24" t="s">
        <v>1243</v>
      </c>
      <c r="D1211" s="24" t="s">
        <v>1102</v>
      </c>
      <c r="E1211" s="24" t="s">
        <v>402</v>
      </c>
      <c r="F1211" s="24" t="s">
        <v>1142</v>
      </c>
      <c r="G1211" s="24" t="s">
        <v>1244</v>
      </c>
      <c r="H1211" s="24" t="s">
        <v>480</v>
      </c>
      <c r="I1211" s="24" t="s">
        <v>1340</v>
      </c>
      <c r="J1211" s="24" t="s">
        <v>761</v>
      </c>
      <c r="K1211" s="24" t="s">
        <v>1146</v>
      </c>
      <c r="L1211" s="25">
        <v>1070</v>
      </c>
      <c r="M1211" s="26">
        <v>2.8102999999999998</v>
      </c>
      <c r="N1211" s="27">
        <v>2.8102999999999998</v>
      </c>
      <c r="O1211" s="28">
        <v>2.5548181818181815E-3</v>
      </c>
      <c r="P1211" s="28">
        <v>2.6610805309734511</v>
      </c>
    </row>
    <row r="1212" spans="1:16" x14ac:dyDescent="0.3">
      <c r="A1212" t="s">
        <v>4108</v>
      </c>
      <c r="B1212" s="24">
        <v>142363</v>
      </c>
      <c r="C1212" s="24" t="s">
        <v>1246</v>
      </c>
      <c r="D1212" s="24" t="s">
        <v>1102</v>
      </c>
      <c r="E1212" s="24" t="s">
        <v>402</v>
      </c>
      <c r="F1212" s="24" t="s">
        <v>1142</v>
      </c>
      <c r="G1212" s="24" t="s">
        <v>1244</v>
      </c>
      <c r="H1212" s="24" t="s">
        <v>480</v>
      </c>
      <c r="I1212" s="24" t="s">
        <v>1340</v>
      </c>
      <c r="J1212" s="24" t="s">
        <v>761</v>
      </c>
      <c r="K1212" s="24" t="s">
        <v>1146</v>
      </c>
      <c r="L1212" s="25">
        <v>1070</v>
      </c>
      <c r="M1212" s="26">
        <v>2.8102999999999998</v>
      </c>
      <c r="N1212" s="27">
        <v>2.8102999999999998</v>
      </c>
      <c r="O1212" s="28">
        <v>2.5548181818181815E-3</v>
      </c>
      <c r="P1212" s="28">
        <v>2.6610805309734511</v>
      </c>
    </row>
    <row r="1213" spans="1:16" x14ac:dyDescent="0.3">
      <c r="A1213" t="s">
        <v>4109</v>
      </c>
      <c r="B1213" s="24">
        <v>106916</v>
      </c>
      <c r="C1213" s="24" t="s">
        <v>1216</v>
      </c>
      <c r="D1213" s="24" t="s">
        <v>1102</v>
      </c>
      <c r="E1213" s="24" t="s">
        <v>402</v>
      </c>
      <c r="F1213" s="24" t="s">
        <v>1142</v>
      </c>
      <c r="G1213" s="24" t="s">
        <v>1244</v>
      </c>
      <c r="H1213" s="24" t="s">
        <v>494</v>
      </c>
      <c r="I1213" s="24" t="s">
        <v>1340</v>
      </c>
      <c r="J1213" s="24" t="s">
        <v>761</v>
      </c>
      <c r="K1213" s="24" t="s">
        <v>1146</v>
      </c>
      <c r="L1213" s="25">
        <v>1070</v>
      </c>
      <c r="M1213" s="26">
        <v>2.8702999999999999</v>
      </c>
      <c r="N1213" s="27">
        <v>2.8702999999999999</v>
      </c>
      <c r="O1213" s="28">
        <v>2.6093636363636362E-3</v>
      </c>
      <c r="P1213" s="28">
        <v>2.7178946902654868</v>
      </c>
    </row>
    <row r="1214" spans="1:16" x14ac:dyDescent="0.3">
      <c r="A1214" t="s">
        <v>4110</v>
      </c>
      <c r="B1214" s="24">
        <v>600043</v>
      </c>
      <c r="C1214" s="24" t="s">
        <v>1333</v>
      </c>
      <c r="D1214" s="24" t="s">
        <v>1102</v>
      </c>
      <c r="E1214" s="24" t="s">
        <v>402</v>
      </c>
      <c r="F1214" s="24" t="s">
        <v>1142</v>
      </c>
      <c r="G1214" s="24" t="s">
        <v>1244</v>
      </c>
      <c r="H1214" s="24" t="s">
        <v>494</v>
      </c>
      <c r="I1214" s="24" t="s">
        <v>1340</v>
      </c>
      <c r="J1214" s="24" t="s">
        <v>761</v>
      </c>
      <c r="K1214" s="24" t="s">
        <v>1146</v>
      </c>
      <c r="L1214" s="25">
        <v>1070</v>
      </c>
      <c r="M1214" s="26">
        <v>2.8702999999999999</v>
      </c>
      <c r="N1214" s="27">
        <v>2.8702999999999999</v>
      </c>
      <c r="O1214" s="28">
        <v>2.6093636363636362E-3</v>
      </c>
      <c r="P1214" s="28">
        <v>2.7178946902654868</v>
      </c>
    </row>
    <row r="1215" spans="1:16" x14ac:dyDescent="0.3">
      <c r="A1215" t="s">
        <v>4111</v>
      </c>
      <c r="B1215" s="24">
        <v>101554</v>
      </c>
      <c r="C1215" s="24" t="s">
        <v>1202</v>
      </c>
      <c r="D1215" s="24" t="s">
        <v>1102</v>
      </c>
      <c r="E1215" s="24" t="s">
        <v>402</v>
      </c>
      <c r="F1215" s="24" t="s">
        <v>1142</v>
      </c>
      <c r="G1215" s="24" t="s">
        <v>1244</v>
      </c>
      <c r="H1215" s="24" t="s">
        <v>480</v>
      </c>
      <c r="I1215" s="24" t="s">
        <v>1340</v>
      </c>
      <c r="J1215" s="24" t="s">
        <v>761</v>
      </c>
      <c r="K1215" s="24" t="s">
        <v>1146</v>
      </c>
      <c r="L1215" s="25">
        <v>1070</v>
      </c>
      <c r="M1215" s="26">
        <v>2.8102999999999998</v>
      </c>
      <c r="N1215" s="27">
        <v>2.8102999999999998</v>
      </c>
      <c r="O1215" s="28">
        <v>2.5548181818181815E-3</v>
      </c>
      <c r="P1215" s="28">
        <v>2.6610805309734511</v>
      </c>
    </row>
    <row r="1216" spans="1:16" x14ac:dyDescent="0.3">
      <c r="A1216" t="s">
        <v>4112</v>
      </c>
      <c r="B1216" s="24">
        <v>106916</v>
      </c>
      <c r="C1216" s="24" t="s">
        <v>1216</v>
      </c>
      <c r="D1216" s="24" t="s">
        <v>1102</v>
      </c>
      <c r="E1216" s="24" t="s">
        <v>402</v>
      </c>
      <c r="F1216" s="24" t="s">
        <v>1142</v>
      </c>
      <c r="G1216" s="24" t="s">
        <v>1244</v>
      </c>
      <c r="H1216" s="24" t="s">
        <v>480</v>
      </c>
      <c r="I1216" s="24" t="s">
        <v>1340</v>
      </c>
      <c r="J1216" s="24" t="s">
        <v>761</v>
      </c>
      <c r="K1216" s="24" t="s">
        <v>1146</v>
      </c>
      <c r="L1216" s="25">
        <v>1070</v>
      </c>
      <c r="M1216" s="26">
        <v>2.8102999999999998</v>
      </c>
      <c r="N1216" s="27">
        <v>2.8102999999999998</v>
      </c>
      <c r="O1216" s="28">
        <v>2.5548181818181815E-3</v>
      </c>
      <c r="P1216" s="28">
        <v>2.6610805309734511</v>
      </c>
    </row>
    <row r="1217" spans="1:16" x14ac:dyDescent="0.3">
      <c r="A1217" t="s">
        <v>4113</v>
      </c>
      <c r="B1217" s="24">
        <v>400278</v>
      </c>
      <c r="C1217" s="24" t="s">
        <v>1329</v>
      </c>
      <c r="D1217" s="24" t="s">
        <v>1102</v>
      </c>
      <c r="E1217" s="24" t="s">
        <v>402</v>
      </c>
      <c r="F1217" s="24" t="s">
        <v>1142</v>
      </c>
      <c r="G1217" s="24" t="s">
        <v>1244</v>
      </c>
      <c r="H1217" s="24" t="s">
        <v>480</v>
      </c>
      <c r="I1217" s="24" t="s">
        <v>1340</v>
      </c>
      <c r="J1217" s="24" t="s">
        <v>761</v>
      </c>
      <c r="K1217" s="24" t="s">
        <v>1146</v>
      </c>
      <c r="L1217" s="25">
        <v>1070</v>
      </c>
      <c r="M1217" s="26">
        <v>2.8102999999999998</v>
      </c>
      <c r="N1217" s="27">
        <v>2.8102999999999998</v>
      </c>
      <c r="O1217" s="28">
        <v>2.5548181818181815E-3</v>
      </c>
      <c r="P1217" s="28">
        <v>2.6610805309734511</v>
      </c>
    </row>
    <row r="1218" spans="1:16" x14ac:dyDescent="0.3">
      <c r="A1218" t="s">
        <v>4114</v>
      </c>
      <c r="B1218" s="24">
        <v>102470</v>
      </c>
      <c r="C1218" s="24" t="s">
        <v>1247</v>
      </c>
      <c r="D1218" s="24" t="s">
        <v>1102</v>
      </c>
      <c r="E1218" s="24" t="s">
        <v>402</v>
      </c>
      <c r="F1218" s="24" t="s">
        <v>1142</v>
      </c>
      <c r="G1218" s="24" t="s">
        <v>1244</v>
      </c>
      <c r="H1218" s="24" t="s">
        <v>481</v>
      </c>
      <c r="I1218" s="24" t="s">
        <v>1334</v>
      </c>
      <c r="J1218" s="24" t="s">
        <v>761</v>
      </c>
      <c r="K1218" s="24" t="s">
        <v>1146</v>
      </c>
      <c r="L1218" s="25">
        <v>1070</v>
      </c>
      <c r="M1218" s="26">
        <v>2.4165999999999999</v>
      </c>
      <c r="N1218" s="27">
        <v>2.4165999999999999</v>
      </c>
      <c r="O1218" s="28">
        <v>2.1969090909090909E-3</v>
      </c>
      <c r="P1218" s="28">
        <v>2.288284955752212</v>
      </c>
    </row>
    <row r="1219" spans="1:16" x14ac:dyDescent="0.3">
      <c r="A1219" t="s">
        <v>4115</v>
      </c>
      <c r="B1219" s="24">
        <v>114635</v>
      </c>
      <c r="C1219" s="24" t="s">
        <v>1243</v>
      </c>
      <c r="D1219" s="24" t="s">
        <v>1102</v>
      </c>
      <c r="E1219" s="24" t="s">
        <v>402</v>
      </c>
      <c r="F1219" s="24" t="s">
        <v>1142</v>
      </c>
      <c r="G1219" s="24" t="s">
        <v>1244</v>
      </c>
      <c r="H1219" s="24" t="s">
        <v>481</v>
      </c>
      <c r="I1219" s="24" t="s">
        <v>1334</v>
      </c>
      <c r="J1219" s="24" t="s">
        <v>761</v>
      </c>
      <c r="K1219" s="24" t="s">
        <v>1146</v>
      </c>
      <c r="L1219" s="25">
        <v>1070</v>
      </c>
      <c r="M1219" s="26">
        <v>2.4165999999999999</v>
      </c>
      <c r="N1219" s="27">
        <v>2.4165999999999999</v>
      </c>
      <c r="O1219" s="28">
        <v>2.1969090909090909E-3</v>
      </c>
      <c r="P1219" s="28">
        <v>2.288284955752212</v>
      </c>
    </row>
    <row r="1220" spans="1:16" x14ac:dyDescent="0.3">
      <c r="A1220" t="s">
        <v>4116</v>
      </c>
      <c r="B1220" s="24">
        <v>142363</v>
      </c>
      <c r="C1220" s="24" t="s">
        <v>1246</v>
      </c>
      <c r="D1220" s="24" t="s">
        <v>1102</v>
      </c>
      <c r="E1220" s="24" t="s">
        <v>402</v>
      </c>
      <c r="F1220" s="24" t="s">
        <v>1142</v>
      </c>
      <c r="G1220" s="24" t="s">
        <v>1244</v>
      </c>
      <c r="H1220" s="24" t="s">
        <v>481</v>
      </c>
      <c r="I1220" s="24" t="s">
        <v>1334</v>
      </c>
      <c r="J1220" s="24" t="s">
        <v>761</v>
      </c>
      <c r="K1220" s="24" t="s">
        <v>1146</v>
      </c>
      <c r="L1220" s="25">
        <v>1070</v>
      </c>
      <c r="M1220" s="26">
        <v>2.4165999999999999</v>
      </c>
      <c r="N1220" s="27">
        <v>2.4165999999999999</v>
      </c>
      <c r="O1220" s="28">
        <v>2.1969090909090909E-3</v>
      </c>
      <c r="P1220" s="28">
        <v>2.288284955752212</v>
      </c>
    </row>
    <row r="1221" spans="1:16" x14ac:dyDescent="0.3">
      <c r="A1221" t="s">
        <v>4117</v>
      </c>
      <c r="B1221" s="24">
        <v>400278</v>
      </c>
      <c r="C1221" s="24" t="s">
        <v>1329</v>
      </c>
      <c r="D1221" s="24" t="s">
        <v>1102</v>
      </c>
      <c r="E1221" s="24" t="s">
        <v>402</v>
      </c>
      <c r="F1221" s="24" t="s">
        <v>1142</v>
      </c>
      <c r="G1221" s="24" t="s">
        <v>1244</v>
      </c>
      <c r="H1221" s="24" t="s">
        <v>481</v>
      </c>
      <c r="I1221" s="24" t="s">
        <v>1334</v>
      </c>
      <c r="J1221" s="24" t="s">
        <v>761</v>
      </c>
      <c r="K1221" s="24" t="s">
        <v>1146</v>
      </c>
      <c r="L1221" s="25">
        <v>1070</v>
      </c>
      <c r="M1221" s="26">
        <v>2.4165999999999999</v>
      </c>
      <c r="N1221" s="27">
        <v>2.4165999999999999</v>
      </c>
      <c r="O1221" s="28">
        <v>2.1969090909090909E-3</v>
      </c>
      <c r="P1221" s="28">
        <v>2.288284955752212</v>
      </c>
    </row>
    <row r="1222" spans="1:16" x14ac:dyDescent="0.3">
      <c r="A1222" t="s">
        <v>4118</v>
      </c>
      <c r="B1222" s="24">
        <v>114635</v>
      </c>
      <c r="C1222" s="24" t="s">
        <v>1243</v>
      </c>
      <c r="D1222" s="24" t="s">
        <v>1102</v>
      </c>
      <c r="E1222" s="24" t="s">
        <v>402</v>
      </c>
      <c r="F1222" s="24" t="s">
        <v>1142</v>
      </c>
      <c r="G1222" s="24" t="s">
        <v>1244</v>
      </c>
      <c r="H1222" s="24" t="s">
        <v>495</v>
      </c>
      <c r="I1222" s="24" t="s">
        <v>1334</v>
      </c>
      <c r="J1222" s="24" t="s">
        <v>761</v>
      </c>
      <c r="K1222" s="24" t="s">
        <v>1146</v>
      </c>
      <c r="L1222" s="25">
        <v>1070</v>
      </c>
      <c r="M1222" s="26">
        <v>2.4765999999999999</v>
      </c>
      <c r="N1222" s="27">
        <v>2.4765999999999999</v>
      </c>
      <c r="O1222" s="28">
        <v>2.2514545454545452E-3</v>
      </c>
      <c r="P1222" s="28">
        <v>2.3450991150442477</v>
      </c>
    </row>
    <row r="1223" spans="1:16" x14ac:dyDescent="0.3">
      <c r="A1223" t="s">
        <v>4119</v>
      </c>
      <c r="B1223" s="24">
        <v>142363</v>
      </c>
      <c r="C1223" s="24" t="s">
        <v>1246</v>
      </c>
      <c r="D1223" s="24" t="s">
        <v>1102</v>
      </c>
      <c r="E1223" s="24" t="s">
        <v>402</v>
      </c>
      <c r="F1223" s="24" t="s">
        <v>1142</v>
      </c>
      <c r="G1223" s="24" t="s">
        <v>1244</v>
      </c>
      <c r="H1223" s="24" t="s">
        <v>495</v>
      </c>
      <c r="I1223" s="24" t="s">
        <v>1334</v>
      </c>
      <c r="J1223" s="24" t="s">
        <v>761</v>
      </c>
      <c r="K1223" s="24" t="s">
        <v>1146</v>
      </c>
      <c r="L1223" s="25">
        <v>1070</v>
      </c>
      <c r="M1223" s="26">
        <v>2.4765999999999999</v>
      </c>
      <c r="N1223" s="27">
        <v>2.4765999999999999</v>
      </c>
      <c r="O1223" s="28">
        <v>2.2514545454545452E-3</v>
      </c>
      <c r="P1223" s="28">
        <v>2.3450991150442477</v>
      </c>
    </row>
    <row r="1224" spans="1:16" x14ac:dyDescent="0.3">
      <c r="A1224" t="s">
        <v>4120</v>
      </c>
      <c r="B1224" s="24">
        <v>101554</v>
      </c>
      <c r="C1224" s="24" t="s">
        <v>1202</v>
      </c>
      <c r="D1224" s="24" t="s">
        <v>1102</v>
      </c>
      <c r="E1224" s="24" t="s">
        <v>402</v>
      </c>
      <c r="F1224" s="24" t="s">
        <v>1142</v>
      </c>
      <c r="G1224" s="24" t="s">
        <v>1244</v>
      </c>
      <c r="H1224" s="24" t="s">
        <v>481</v>
      </c>
      <c r="I1224" s="24" t="s">
        <v>1334</v>
      </c>
      <c r="J1224" s="24" t="s">
        <v>761</v>
      </c>
      <c r="K1224" s="24" t="s">
        <v>1146</v>
      </c>
      <c r="L1224" s="25">
        <v>1070</v>
      </c>
      <c r="M1224" s="26">
        <v>2.4165999999999999</v>
      </c>
      <c r="N1224" s="27">
        <v>2.4165999999999999</v>
      </c>
      <c r="O1224" s="28">
        <v>2.1969090909090909E-3</v>
      </c>
      <c r="P1224" s="28">
        <v>2.288284955752212</v>
      </c>
    </row>
    <row r="1225" spans="1:16" x14ac:dyDescent="0.3">
      <c r="A1225" t="s">
        <v>4121</v>
      </c>
      <c r="B1225" s="24">
        <v>114635</v>
      </c>
      <c r="C1225" s="24" t="s">
        <v>1243</v>
      </c>
      <c r="D1225" s="24" t="s">
        <v>1102</v>
      </c>
      <c r="E1225" s="24" t="s">
        <v>402</v>
      </c>
      <c r="F1225" s="24" t="s">
        <v>1142</v>
      </c>
      <c r="G1225" s="24" t="s">
        <v>1244</v>
      </c>
      <c r="H1225" s="24" t="s">
        <v>496</v>
      </c>
      <c r="I1225" s="24" t="s">
        <v>1334</v>
      </c>
      <c r="J1225" s="24" t="s">
        <v>761</v>
      </c>
      <c r="K1225" s="24" t="s">
        <v>1146</v>
      </c>
      <c r="L1225" s="25">
        <v>1070</v>
      </c>
      <c r="M1225" s="26">
        <v>2.4765999999999999</v>
      </c>
      <c r="N1225" s="27">
        <v>2.4765999999999999</v>
      </c>
      <c r="O1225" s="28">
        <v>2.2514545454545452E-3</v>
      </c>
      <c r="P1225" s="28">
        <v>2.3450991150442477</v>
      </c>
    </row>
    <row r="1226" spans="1:16" x14ac:dyDescent="0.3">
      <c r="A1226" t="s">
        <v>4122</v>
      </c>
      <c r="B1226" s="24">
        <v>142363</v>
      </c>
      <c r="C1226" s="24" t="s">
        <v>1246</v>
      </c>
      <c r="D1226" s="24" t="s">
        <v>1102</v>
      </c>
      <c r="E1226" s="24" t="s">
        <v>402</v>
      </c>
      <c r="F1226" s="24" t="s">
        <v>1142</v>
      </c>
      <c r="G1226" s="24" t="s">
        <v>1244</v>
      </c>
      <c r="H1226" s="24" t="s">
        <v>496</v>
      </c>
      <c r="I1226" s="24" t="s">
        <v>1334</v>
      </c>
      <c r="J1226" s="24" t="s">
        <v>761</v>
      </c>
      <c r="K1226" s="24" t="s">
        <v>1146</v>
      </c>
      <c r="L1226" s="25">
        <v>1070</v>
      </c>
      <c r="M1226" s="26">
        <v>2.4765999999999999</v>
      </c>
      <c r="N1226" s="27">
        <v>2.4765999999999999</v>
      </c>
      <c r="O1226" s="28">
        <v>2.2514545454545452E-3</v>
      </c>
      <c r="P1226" s="28">
        <v>2.3450991150442477</v>
      </c>
    </row>
    <row r="1227" spans="1:16" x14ac:dyDescent="0.3">
      <c r="A1227" t="s">
        <v>4123</v>
      </c>
      <c r="B1227" s="24">
        <v>101554</v>
      </c>
      <c r="C1227" s="24" t="s">
        <v>1202</v>
      </c>
      <c r="D1227" s="24" t="s">
        <v>1102</v>
      </c>
      <c r="E1227" s="24" t="s">
        <v>402</v>
      </c>
      <c r="F1227" s="24" t="s">
        <v>1142</v>
      </c>
      <c r="G1227" s="24" t="s">
        <v>1244</v>
      </c>
      <c r="H1227" s="24" t="s">
        <v>498</v>
      </c>
      <c r="I1227" s="24" t="s">
        <v>1341</v>
      </c>
      <c r="J1227" s="24" t="s">
        <v>761</v>
      </c>
      <c r="K1227" s="24" t="s">
        <v>1146</v>
      </c>
      <c r="L1227" s="25">
        <v>1070</v>
      </c>
      <c r="M1227" s="26">
        <v>4.3929999999999998</v>
      </c>
      <c r="N1227" s="27">
        <v>4.3929999999999998</v>
      </c>
      <c r="O1227" s="28">
        <v>3.9936363636363633E-3</v>
      </c>
      <c r="P1227" s="28">
        <v>4.1597433628318585</v>
      </c>
    </row>
    <row r="1228" spans="1:16" x14ac:dyDescent="0.3">
      <c r="A1228" t="s">
        <v>4124</v>
      </c>
      <c r="B1228" s="24">
        <v>114635</v>
      </c>
      <c r="C1228" s="24" t="s">
        <v>1243</v>
      </c>
      <c r="D1228" s="24" t="s">
        <v>1102</v>
      </c>
      <c r="E1228" s="24" t="s">
        <v>402</v>
      </c>
      <c r="F1228" s="24" t="s">
        <v>1142</v>
      </c>
      <c r="G1228" s="24" t="s">
        <v>1244</v>
      </c>
      <c r="H1228" s="24" t="s">
        <v>497</v>
      </c>
      <c r="I1228" s="24" t="s">
        <v>1332</v>
      </c>
      <c r="J1228" s="24" t="s">
        <v>761</v>
      </c>
      <c r="K1228" s="24" t="s">
        <v>1146</v>
      </c>
      <c r="L1228" s="25">
        <v>1070</v>
      </c>
      <c r="M1228" s="26">
        <v>1.9563999999999999</v>
      </c>
      <c r="N1228" s="27">
        <v>1.9563999999999999</v>
      </c>
      <c r="O1228" s="28">
        <v>1.7785454545454545E-3</v>
      </c>
      <c r="P1228" s="28">
        <v>1.8525203539823007</v>
      </c>
    </row>
    <row r="1229" spans="1:16" x14ac:dyDescent="0.3">
      <c r="A1229" t="s">
        <v>4125</v>
      </c>
      <c r="B1229" s="24">
        <v>142363</v>
      </c>
      <c r="C1229" s="24" t="s">
        <v>1246</v>
      </c>
      <c r="D1229" s="24" t="s">
        <v>1102</v>
      </c>
      <c r="E1229" s="24" t="s">
        <v>402</v>
      </c>
      <c r="F1229" s="24" t="s">
        <v>1142</v>
      </c>
      <c r="G1229" s="24" t="s">
        <v>1244</v>
      </c>
      <c r="H1229" s="24" t="s">
        <v>497</v>
      </c>
      <c r="I1229" s="24" t="s">
        <v>1332</v>
      </c>
      <c r="J1229" s="24" t="s">
        <v>761</v>
      </c>
      <c r="K1229" s="24" t="s">
        <v>1146</v>
      </c>
      <c r="L1229" s="25">
        <v>1070</v>
      </c>
      <c r="M1229" s="26">
        <v>1.9563999999999999</v>
      </c>
      <c r="N1229" s="27">
        <v>1.9563999999999999</v>
      </c>
      <c r="O1229" s="28">
        <v>1.7785454545454545E-3</v>
      </c>
      <c r="P1229" s="28">
        <v>1.8525203539823007</v>
      </c>
    </row>
    <row r="1230" spans="1:16" x14ac:dyDescent="0.3">
      <c r="A1230" t="s">
        <v>4126</v>
      </c>
      <c r="B1230" s="24">
        <v>101554</v>
      </c>
      <c r="C1230" s="24" t="s">
        <v>1202</v>
      </c>
      <c r="D1230" s="24" t="s">
        <v>1102</v>
      </c>
      <c r="E1230" s="24" t="s">
        <v>402</v>
      </c>
      <c r="F1230" s="24" t="s">
        <v>1142</v>
      </c>
      <c r="G1230" s="24" t="s">
        <v>1244</v>
      </c>
      <c r="H1230" s="24" t="s">
        <v>2843</v>
      </c>
      <c r="I1230" s="24" t="s">
        <v>1337</v>
      </c>
      <c r="J1230" s="24" t="s">
        <v>761</v>
      </c>
      <c r="K1230" s="24" t="s">
        <v>1146</v>
      </c>
      <c r="L1230" s="25">
        <v>1070</v>
      </c>
      <c r="M1230" s="26">
        <v>5.5350000000000001</v>
      </c>
      <c r="N1230" s="27">
        <v>5.5350000000000001</v>
      </c>
      <c r="O1230" s="28">
        <v>5.0318181818181816E-3</v>
      </c>
      <c r="P1230" s="28">
        <v>5.2411061946902651</v>
      </c>
    </row>
    <row r="1231" spans="1:16" x14ac:dyDescent="0.3">
      <c r="A1231" t="s">
        <v>4127</v>
      </c>
      <c r="B1231" s="24">
        <v>101554</v>
      </c>
      <c r="C1231" s="24" t="s">
        <v>1202</v>
      </c>
      <c r="D1231" s="24" t="s">
        <v>1102</v>
      </c>
      <c r="E1231" s="24" t="s">
        <v>402</v>
      </c>
      <c r="F1231" s="24" t="s">
        <v>1142</v>
      </c>
      <c r="G1231" s="24" t="s">
        <v>1244</v>
      </c>
      <c r="H1231" s="24" t="s">
        <v>499</v>
      </c>
      <c r="I1231" s="24" t="s">
        <v>1332</v>
      </c>
      <c r="J1231" s="24" t="s">
        <v>761</v>
      </c>
      <c r="K1231" s="24" t="s">
        <v>1146</v>
      </c>
      <c r="L1231" s="25">
        <v>1070</v>
      </c>
      <c r="M1231" s="26">
        <v>4.3929999999999998</v>
      </c>
      <c r="N1231" s="27">
        <v>4.3929999999999998</v>
      </c>
      <c r="O1231" s="28">
        <v>3.9936363636363633E-3</v>
      </c>
      <c r="P1231" s="28">
        <v>4.1597433628318585</v>
      </c>
    </row>
    <row r="1232" spans="1:16" x14ac:dyDescent="0.3">
      <c r="A1232" t="s">
        <v>4128</v>
      </c>
      <c r="B1232" s="24">
        <v>101554</v>
      </c>
      <c r="C1232" s="24" t="s">
        <v>1202</v>
      </c>
      <c r="D1232" s="24" t="s">
        <v>1102</v>
      </c>
      <c r="E1232" s="24" t="s">
        <v>402</v>
      </c>
      <c r="F1232" s="24" t="s">
        <v>1142</v>
      </c>
      <c r="G1232" s="24" t="s">
        <v>1244</v>
      </c>
      <c r="H1232" s="24" t="s">
        <v>500</v>
      </c>
      <c r="I1232" s="24" t="s">
        <v>1340</v>
      </c>
      <c r="J1232" s="24" t="s">
        <v>761</v>
      </c>
      <c r="K1232" s="24" t="s">
        <v>1146</v>
      </c>
      <c r="L1232" s="25">
        <v>1070</v>
      </c>
      <c r="M1232" s="26">
        <v>5.6829999999999998</v>
      </c>
      <c r="N1232" s="27">
        <v>5.6829999999999998</v>
      </c>
      <c r="O1232" s="28">
        <v>5.1663636363636365E-3</v>
      </c>
      <c r="P1232" s="28">
        <v>5.3812477876106186</v>
      </c>
    </row>
    <row r="1233" spans="1:16" x14ac:dyDescent="0.3">
      <c r="A1233" t="s">
        <v>4129</v>
      </c>
      <c r="B1233" s="24">
        <v>101554</v>
      </c>
      <c r="C1233" s="24" t="s">
        <v>1202</v>
      </c>
      <c r="D1233" s="24" t="s">
        <v>1102</v>
      </c>
      <c r="E1233" s="24" t="s">
        <v>402</v>
      </c>
      <c r="F1233" s="24" t="s">
        <v>1142</v>
      </c>
      <c r="G1233" s="24" t="s">
        <v>1244</v>
      </c>
      <c r="H1233" s="24" t="s">
        <v>501</v>
      </c>
      <c r="I1233" s="24" t="s">
        <v>1342</v>
      </c>
      <c r="J1233" s="24" t="s">
        <v>761</v>
      </c>
      <c r="K1233" s="24" t="s">
        <v>1146</v>
      </c>
      <c r="L1233" s="25">
        <v>1070</v>
      </c>
      <c r="M1233" s="26">
        <v>5.1760000000000002</v>
      </c>
      <c r="N1233" s="27">
        <v>5.1760000000000002</v>
      </c>
      <c r="O1233" s="28">
        <v>4.7054545454545457E-3</v>
      </c>
      <c r="P1233" s="28">
        <v>4.9011681415929207</v>
      </c>
    </row>
    <row r="1234" spans="1:16" x14ac:dyDescent="0.3">
      <c r="A1234" t="s">
        <v>4130</v>
      </c>
      <c r="B1234" s="24">
        <v>101554</v>
      </c>
      <c r="C1234" s="24" t="s">
        <v>1202</v>
      </c>
      <c r="D1234" s="24" t="s">
        <v>1102</v>
      </c>
      <c r="E1234" s="24" t="s">
        <v>402</v>
      </c>
      <c r="F1234" s="24" t="s">
        <v>1142</v>
      </c>
      <c r="G1234" s="24" t="s">
        <v>1244</v>
      </c>
      <c r="H1234" s="24" t="s">
        <v>502</v>
      </c>
      <c r="I1234" s="24" t="s">
        <v>1328</v>
      </c>
      <c r="J1234" s="24" t="s">
        <v>761</v>
      </c>
      <c r="K1234" s="24" t="s">
        <v>1146</v>
      </c>
      <c r="L1234" s="25">
        <v>1070</v>
      </c>
      <c r="M1234" s="26">
        <v>4.5789999999999997</v>
      </c>
      <c r="N1234" s="27">
        <v>4.5789999999999997</v>
      </c>
      <c r="O1234" s="28">
        <v>4.1627272727272728E-3</v>
      </c>
      <c r="P1234" s="28">
        <v>4.3358672566371679</v>
      </c>
    </row>
    <row r="1235" spans="1:16" x14ac:dyDescent="0.3">
      <c r="A1235" t="s">
        <v>4131</v>
      </c>
      <c r="B1235" s="24">
        <v>101554</v>
      </c>
      <c r="C1235" s="24" t="s">
        <v>1202</v>
      </c>
      <c r="D1235" s="24" t="s">
        <v>1102</v>
      </c>
      <c r="E1235" s="24" t="s">
        <v>402</v>
      </c>
      <c r="F1235" s="24" t="s">
        <v>1142</v>
      </c>
      <c r="G1235" s="24" t="s">
        <v>1244</v>
      </c>
      <c r="H1235" s="24" t="s">
        <v>503</v>
      </c>
      <c r="I1235" s="24" t="s">
        <v>1331</v>
      </c>
      <c r="J1235" s="24" t="s">
        <v>761</v>
      </c>
      <c r="K1235" s="24" t="s">
        <v>1146</v>
      </c>
      <c r="L1235" s="25">
        <v>1070</v>
      </c>
      <c r="M1235" s="26">
        <v>4.7119999999999997</v>
      </c>
      <c r="N1235" s="27">
        <v>4.7119999999999997</v>
      </c>
      <c r="O1235" s="28">
        <v>4.2836363636363636E-3</v>
      </c>
      <c r="P1235" s="28">
        <v>4.4618053097345136</v>
      </c>
    </row>
    <row r="1236" spans="1:16" x14ac:dyDescent="0.3">
      <c r="A1236" t="s">
        <v>4132</v>
      </c>
      <c r="B1236" s="24">
        <v>101554</v>
      </c>
      <c r="C1236" s="24" t="s">
        <v>1202</v>
      </c>
      <c r="D1236" s="24" t="s">
        <v>1102</v>
      </c>
      <c r="E1236" s="24" t="s">
        <v>402</v>
      </c>
      <c r="F1236" s="24" t="s">
        <v>1142</v>
      </c>
      <c r="G1236" s="24" t="s">
        <v>1244</v>
      </c>
      <c r="H1236" s="24" t="s">
        <v>504</v>
      </c>
      <c r="I1236" s="24" t="s">
        <v>1343</v>
      </c>
      <c r="J1236" s="24" t="s">
        <v>761</v>
      </c>
      <c r="K1236" s="24" t="s">
        <v>1146</v>
      </c>
      <c r="L1236" s="25">
        <v>1070</v>
      </c>
      <c r="M1236" s="26">
        <v>5.6269999999999998</v>
      </c>
      <c r="N1236" s="27">
        <v>5.6269999999999998</v>
      </c>
      <c r="O1236" s="28">
        <v>5.1154545454545454E-3</v>
      </c>
      <c r="P1236" s="28">
        <v>5.3282212389380526</v>
      </c>
    </row>
    <row r="1237" spans="1:16" x14ac:dyDescent="0.3">
      <c r="A1237" t="s">
        <v>4133</v>
      </c>
      <c r="B1237" s="24">
        <v>101554</v>
      </c>
      <c r="C1237" s="24" t="s">
        <v>1202</v>
      </c>
      <c r="D1237" s="24" t="s">
        <v>1102</v>
      </c>
      <c r="E1237" s="24" t="s">
        <v>402</v>
      </c>
      <c r="F1237" s="24" t="s">
        <v>1142</v>
      </c>
      <c r="G1237" s="24" t="s">
        <v>1244</v>
      </c>
      <c r="H1237" s="24" t="s">
        <v>441</v>
      </c>
      <c r="I1237" s="24" t="s">
        <v>1344</v>
      </c>
      <c r="J1237" s="24" t="s">
        <v>761</v>
      </c>
      <c r="K1237" s="24" t="s">
        <v>1146</v>
      </c>
      <c r="L1237" s="25">
        <v>1070</v>
      </c>
      <c r="M1237" s="26">
        <v>4.258</v>
      </c>
      <c r="N1237" s="27">
        <v>4.258</v>
      </c>
      <c r="O1237" s="28">
        <v>3.8709090909090911E-3</v>
      </c>
      <c r="P1237" s="28">
        <v>4.0319115044247793</v>
      </c>
    </row>
    <row r="1238" spans="1:16" x14ac:dyDescent="0.3">
      <c r="A1238" t="s">
        <v>4134</v>
      </c>
      <c r="B1238" s="24">
        <v>101554</v>
      </c>
      <c r="C1238" s="24" t="s">
        <v>1202</v>
      </c>
      <c r="D1238" s="24" t="s">
        <v>1102</v>
      </c>
      <c r="E1238" s="24" t="s">
        <v>402</v>
      </c>
      <c r="F1238" s="24" t="s">
        <v>1142</v>
      </c>
      <c r="G1238" s="24" t="s">
        <v>1244</v>
      </c>
      <c r="H1238" s="24" t="s">
        <v>505</v>
      </c>
      <c r="I1238" s="24" t="s">
        <v>1345</v>
      </c>
      <c r="J1238" s="24" t="s">
        <v>761</v>
      </c>
      <c r="K1238" s="24" t="s">
        <v>1146</v>
      </c>
      <c r="L1238" s="25">
        <v>1070</v>
      </c>
      <c r="M1238" s="26">
        <v>4.75</v>
      </c>
      <c r="N1238" s="27">
        <v>4.75</v>
      </c>
      <c r="O1238" s="28">
        <v>4.3181818181818182E-3</v>
      </c>
      <c r="P1238" s="28">
        <v>4.4977876106194694</v>
      </c>
    </row>
    <row r="1239" spans="1:16" x14ac:dyDescent="0.3">
      <c r="A1239" t="s">
        <v>4135</v>
      </c>
      <c r="B1239" s="24">
        <v>101554</v>
      </c>
      <c r="C1239" s="24" t="s">
        <v>1202</v>
      </c>
      <c r="D1239" s="24" t="s">
        <v>1102</v>
      </c>
      <c r="E1239" s="24" t="s">
        <v>402</v>
      </c>
      <c r="F1239" s="24" t="s">
        <v>1142</v>
      </c>
      <c r="G1239" s="24" t="s">
        <v>1244</v>
      </c>
      <c r="H1239" s="24" t="s">
        <v>506</v>
      </c>
      <c r="I1239" s="24" t="s">
        <v>1346</v>
      </c>
      <c r="J1239" s="24" t="s">
        <v>761</v>
      </c>
      <c r="K1239" s="24" t="s">
        <v>1146</v>
      </c>
      <c r="L1239" s="25">
        <v>1070</v>
      </c>
      <c r="M1239" s="26">
        <v>4.75</v>
      </c>
      <c r="N1239" s="27">
        <v>4.75</v>
      </c>
      <c r="O1239" s="28">
        <v>4.3181818181818182E-3</v>
      </c>
      <c r="P1239" s="28">
        <v>4.4977876106194694</v>
      </c>
    </row>
    <row r="1240" spans="1:16" x14ac:dyDescent="0.3">
      <c r="A1240" t="s">
        <v>4136</v>
      </c>
      <c r="B1240" s="24">
        <v>100587</v>
      </c>
      <c r="C1240" s="24" t="s">
        <v>1347</v>
      </c>
      <c r="D1240" s="24" t="s">
        <v>1102</v>
      </c>
      <c r="E1240" s="24" t="s">
        <v>1348</v>
      </c>
      <c r="F1240" s="24" t="s">
        <v>1349</v>
      </c>
      <c r="G1240" s="24" t="s">
        <v>1350</v>
      </c>
      <c r="H1240" s="24" t="s">
        <v>552</v>
      </c>
      <c r="I1240" s="24" t="s">
        <v>1351</v>
      </c>
      <c r="J1240" s="24" t="s">
        <v>761</v>
      </c>
      <c r="K1240" s="24" t="s">
        <v>1352</v>
      </c>
      <c r="L1240" s="25">
        <v>1</v>
      </c>
      <c r="M1240" s="26">
        <v>10000</v>
      </c>
      <c r="N1240" s="27">
        <v>9.0909090909090917</v>
      </c>
      <c r="O1240" s="28">
        <v>9.0909090909090917</v>
      </c>
      <c r="P1240" s="28">
        <v>8.8495575221238933</v>
      </c>
    </row>
    <row r="1241" spans="1:16" x14ac:dyDescent="0.3">
      <c r="A1241" t="s">
        <v>4137</v>
      </c>
      <c r="B1241" s="24">
        <v>100587</v>
      </c>
      <c r="C1241" s="24" t="s">
        <v>1347</v>
      </c>
      <c r="D1241" s="24" t="s">
        <v>1102</v>
      </c>
      <c r="E1241" s="24" t="s">
        <v>1348</v>
      </c>
      <c r="F1241" s="24" t="s">
        <v>1349</v>
      </c>
      <c r="G1241" s="24" t="s">
        <v>1350</v>
      </c>
      <c r="H1241" s="24" t="s">
        <v>553</v>
      </c>
      <c r="I1241" s="24" t="s">
        <v>1353</v>
      </c>
      <c r="J1241" s="24" t="s">
        <v>761</v>
      </c>
      <c r="K1241" s="24" t="s">
        <v>1352</v>
      </c>
      <c r="L1241" s="25">
        <v>1</v>
      </c>
      <c r="M1241" s="26">
        <v>10000</v>
      </c>
      <c r="N1241" s="27">
        <v>9.0909090909090917</v>
      </c>
      <c r="O1241" s="28">
        <v>9.0909090909090917</v>
      </c>
      <c r="P1241" s="28">
        <v>8.8495575221238933</v>
      </c>
    </row>
    <row r="1242" spans="1:16" x14ac:dyDescent="0.3">
      <c r="A1242" t="s">
        <v>4138</v>
      </c>
      <c r="B1242" s="24">
        <v>100587</v>
      </c>
      <c r="C1242" s="24" t="s">
        <v>1347</v>
      </c>
      <c r="D1242" s="24" t="s">
        <v>1102</v>
      </c>
      <c r="E1242" s="24" t="s">
        <v>1348</v>
      </c>
      <c r="F1242" s="24" t="s">
        <v>1349</v>
      </c>
      <c r="G1242" s="24" t="s">
        <v>1350</v>
      </c>
      <c r="H1242" s="24" t="s">
        <v>554</v>
      </c>
      <c r="I1242" s="24" t="s">
        <v>1354</v>
      </c>
      <c r="J1242" s="24" t="s">
        <v>761</v>
      </c>
      <c r="K1242" s="24" t="s">
        <v>1352</v>
      </c>
      <c r="L1242" s="25">
        <v>1</v>
      </c>
      <c r="M1242" s="26">
        <v>10000</v>
      </c>
      <c r="N1242" s="27">
        <v>9.0909090909090917</v>
      </c>
      <c r="O1242" s="28">
        <v>9.0909090909090917</v>
      </c>
      <c r="P1242" s="28">
        <v>8.8495575221238933</v>
      </c>
    </row>
    <row r="1243" spans="1:16" x14ac:dyDescent="0.3">
      <c r="A1243" t="s">
        <v>4139</v>
      </c>
      <c r="B1243" s="24">
        <v>100587</v>
      </c>
      <c r="C1243" s="24" t="s">
        <v>1347</v>
      </c>
      <c r="D1243" s="24" t="s">
        <v>1102</v>
      </c>
      <c r="E1243" s="24" t="s">
        <v>1348</v>
      </c>
      <c r="F1243" s="24" t="s">
        <v>1349</v>
      </c>
      <c r="G1243" s="24" t="s">
        <v>1350</v>
      </c>
      <c r="H1243" s="24" t="s">
        <v>555</v>
      </c>
      <c r="I1243" s="24" t="s">
        <v>1355</v>
      </c>
      <c r="J1243" s="24" t="s">
        <v>761</v>
      </c>
      <c r="K1243" s="24" t="s">
        <v>1352</v>
      </c>
      <c r="L1243" s="25">
        <v>1</v>
      </c>
      <c r="M1243" s="26">
        <v>10000</v>
      </c>
      <c r="N1243" s="27">
        <v>9.0909090909090917</v>
      </c>
      <c r="O1243" s="28">
        <v>9.0909090909090917</v>
      </c>
      <c r="P1243" s="28">
        <v>8.8495575221238933</v>
      </c>
    </row>
    <row r="1244" spans="1:16" x14ac:dyDescent="0.3">
      <c r="A1244" t="s">
        <v>4140</v>
      </c>
      <c r="B1244" s="24">
        <v>100587</v>
      </c>
      <c r="C1244" s="24" t="s">
        <v>1347</v>
      </c>
      <c r="D1244" s="24" t="s">
        <v>1102</v>
      </c>
      <c r="E1244" s="24" t="s">
        <v>1348</v>
      </c>
      <c r="F1244" s="24" t="s">
        <v>1349</v>
      </c>
      <c r="G1244" s="24" t="s">
        <v>1350</v>
      </c>
      <c r="H1244" s="24" t="s">
        <v>556</v>
      </c>
      <c r="I1244" s="24" t="s">
        <v>1356</v>
      </c>
      <c r="J1244" s="24" t="s">
        <v>761</v>
      </c>
      <c r="K1244" s="24" t="s">
        <v>1352</v>
      </c>
      <c r="L1244" s="25">
        <v>1</v>
      </c>
      <c r="M1244" s="26">
        <v>10000</v>
      </c>
      <c r="N1244" s="27">
        <v>9.0909090909090917</v>
      </c>
      <c r="O1244" s="28">
        <v>9.0909090909090917</v>
      </c>
      <c r="P1244" s="28">
        <v>8.8495575221238933</v>
      </c>
    </row>
    <row r="1245" spans="1:16" x14ac:dyDescent="0.3">
      <c r="A1245" t="s">
        <v>4141</v>
      </c>
      <c r="B1245" s="24">
        <v>100702</v>
      </c>
      <c r="C1245" s="24" t="s">
        <v>1357</v>
      </c>
      <c r="D1245" s="24" t="s">
        <v>1102</v>
      </c>
      <c r="E1245" s="24" t="s">
        <v>402</v>
      </c>
      <c r="F1245" s="24" t="s">
        <v>1237</v>
      </c>
      <c r="G1245" s="24" t="s">
        <v>1358</v>
      </c>
      <c r="H1245" s="24" t="s">
        <v>557</v>
      </c>
      <c r="I1245" s="24" t="s">
        <v>1359</v>
      </c>
      <c r="J1245" s="24" t="s">
        <v>761</v>
      </c>
      <c r="K1245" s="24" t="s">
        <v>1352</v>
      </c>
      <c r="L1245" s="25">
        <v>1</v>
      </c>
      <c r="M1245" s="26">
        <v>10000</v>
      </c>
      <c r="N1245" s="27">
        <v>9.0909090909090917</v>
      </c>
      <c r="O1245" s="28">
        <v>9.0909090909090917</v>
      </c>
      <c r="P1245" s="28">
        <v>8.8495575221238933</v>
      </c>
    </row>
    <row r="1246" spans="1:16" x14ac:dyDescent="0.3">
      <c r="A1246" t="s">
        <v>4142</v>
      </c>
      <c r="B1246" s="24">
        <v>400144</v>
      </c>
      <c r="C1246" s="24" t="s">
        <v>1250</v>
      </c>
      <c r="D1246" s="24" t="s">
        <v>1102</v>
      </c>
      <c r="E1246" s="24" t="s">
        <v>402</v>
      </c>
      <c r="F1246" s="24" t="s">
        <v>1237</v>
      </c>
      <c r="G1246" s="24" t="s">
        <v>1360</v>
      </c>
      <c r="H1246" s="24" t="s">
        <v>557</v>
      </c>
      <c r="I1246" s="24" t="s">
        <v>1359</v>
      </c>
      <c r="J1246" s="24" t="s">
        <v>761</v>
      </c>
      <c r="K1246" s="24" t="s">
        <v>1146</v>
      </c>
      <c r="L1246" s="25">
        <v>1070</v>
      </c>
      <c r="M1246" s="26">
        <v>8.3000000000000007</v>
      </c>
      <c r="N1246" s="27">
        <v>8.3000000000000007</v>
      </c>
      <c r="O1246" s="28">
        <v>7.5454545454545462E-3</v>
      </c>
      <c r="P1246" s="28">
        <v>7.8592920353982301</v>
      </c>
    </row>
    <row r="1247" spans="1:16" x14ac:dyDescent="0.3">
      <c r="A1247" t="s">
        <v>4143</v>
      </c>
      <c r="B1247" s="24">
        <v>100702</v>
      </c>
      <c r="C1247" s="24" t="s">
        <v>1357</v>
      </c>
      <c r="D1247" s="24" t="s">
        <v>1102</v>
      </c>
      <c r="E1247" s="24" t="s">
        <v>1348</v>
      </c>
      <c r="F1247" s="24" t="s">
        <v>1237</v>
      </c>
      <c r="G1247" s="24" t="s">
        <v>1358</v>
      </c>
      <c r="H1247" s="24" t="s">
        <v>558</v>
      </c>
      <c r="I1247" s="24" t="s">
        <v>1361</v>
      </c>
      <c r="J1247" s="24" t="s">
        <v>761</v>
      </c>
      <c r="K1247" s="24" t="s">
        <v>1352</v>
      </c>
      <c r="L1247" s="25">
        <v>1</v>
      </c>
      <c r="M1247" s="26">
        <v>10000</v>
      </c>
      <c r="N1247" s="27">
        <v>9.0909090909090917</v>
      </c>
      <c r="O1247" s="28">
        <v>9.0909090909090917</v>
      </c>
      <c r="P1247" s="28">
        <v>8.8495575221238933</v>
      </c>
    </row>
    <row r="1248" spans="1:16" x14ac:dyDescent="0.3">
      <c r="A1248" t="s">
        <v>4144</v>
      </c>
      <c r="B1248" s="24">
        <v>400144</v>
      </c>
      <c r="C1248" s="24" t="s">
        <v>1250</v>
      </c>
      <c r="D1248" s="24" t="s">
        <v>1102</v>
      </c>
      <c r="E1248" s="24" t="s">
        <v>1348</v>
      </c>
      <c r="F1248" s="24" t="s">
        <v>1237</v>
      </c>
      <c r="G1248" s="24" t="s">
        <v>1360</v>
      </c>
      <c r="H1248" s="24" t="s">
        <v>558</v>
      </c>
      <c r="I1248" s="24" t="s">
        <v>1361</v>
      </c>
      <c r="J1248" s="24" t="s">
        <v>761</v>
      </c>
      <c r="K1248" s="24" t="s">
        <v>1146</v>
      </c>
      <c r="L1248" s="25">
        <v>1070</v>
      </c>
      <c r="M1248" s="26">
        <v>8.3000000000000007</v>
      </c>
      <c r="N1248" s="27">
        <v>8.3000000000000007</v>
      </c>
      <c r="O1248" s="28">
        <v>7.5454545454545462E-3</v>
      </c>
      <c r="P1248" s="28">
        <v>7.8592920353982301</v>
      </c>
    </row>
    <row r="1249" spans="1:16" x14ac:dyDescent="0.3">
      <c r="A1249" t="s">
        <v>4145</v>
      </c>
      <c r="B1249" s="24">
        <v>100702</v>
      </c>
      <c r="C1249" s="24" t="s">
        <v>1357</v>
      </c>
      <c r="D1249" s="24" t="s">
        <v>1102</v>
      </c>
      <c r="E1249" s="24" t="s">
        <v>402</v>
      </c>
      <c r="F1249" s="24" t="s">
        <v>1237</v>
      </c>
      <c r="G1249" s="24" t="s">
        <v>1358</v>
      </c>
      <c r="H1249" s="24" t="s">
        <v>559</v>
      </c>
      <c r="I1249" s="24" t="s">
        <v>1362</v>
      </c>
      <c r="J1249" s="24" t="s">
        <v>761</v>
      </c>
      <c r="K1249" s="24" t="s">
        <v>1352</v>
      </c>
      <c r="L1249" s="25">
        <v>1</v>
      </c>
      <c r="M1249" s="26">
        <v>10000</v>
      </c>
      <c r="N1249" s="27">
        <v>9.0909090909090917</v>
      </c>
      <c r="O1249" s="28">
        <v>9.0909090909090917</v>
      </c>
      <c r="P1249" s="28">
        <v>8.8495575221238933</v>
      </c>
    </row>
    <row r="1250" spans="1:16" x14ac:dyDescent="0.3">
      <c r="A1250" t="s">
        <v>4146</v>
      </c>
      <c r="B1250" s="24">
        <v>400144</v>
      </c>
      <c r="C1250" s="24" t="s">
        <v>1250</v>
      </c>
      <c r="D1250" s="24" t="s">
        <v>1102</v>
      </c>
      <c r="E1250" s="24" t="s">
        <v>402</v>
      </c>
      <c r="F1250" s="24" t="s">
        <v>1237</v>
      </c>
      <c r="G1250" s="24" t="s">
        <v>1360</v>
      </c>
      <c r="H1250" s="24" t="s">
        <v>559</v>
      </c>
      <c r="I1250" s="24" t="s">
        <v>1362</v>
      </c>
      <c r="J1250" s="24" t="s">
        <v>761</v>
      </c>
      <c r="K1250" s="24" t="s">
        <v>1146</v>
      </c>
      <c r="L1250" s="25">
        <v>1070</v>
      </c>
      <c r="M1250" s="26">
        <v>8.3000000000000007</v>
      </c>
      <c r="N1250" s="27">
        <v>8.3000000000000007</v>
      </c>
      <c r="O1250" s="28">
        <v>7.5454545454545462E-3</v>
      </c>
      <c r="P1250" s="28">
        <v>7.8592920353982301</v>
      </c>
    </row>
    <row r="1251" spans="1:16" x14ac:dyDescent="0.3">
      <c r="A1251" t="s">
        <v>4147</v>
      </c>
      <c r="B1251" s="24">
        <v>100702</v>
      </c>
      <c r="C1251" s="24" t="s">
        <v>1357</v>
      </c>
      <c r="D1251" s="24" t="s">
        <v>1102</v>
      </c>
      <c r="E1251" s="24" t="s">
        <v>402</v>
      </c>
      <c r="F1251" s="24" t="s">
        <v>1237</v>
      </c>
      <c r="G1251" s="24" t="s">
        <v>1358</v>
      </c>
      <c r="H1251" s="24" t="s">
        <v>560</v>
      </c>
      <c r="I1251" s="24" t="s">
        <v>1363</v>
      </c>
      <c r="J1251" s="24" t="s">
        <v>761</v>
      </c>
      <c r="K1251" s="24" t="s">
        <v>1352</v>
      </c>
      <c r="L1251" s="25">
        <v>1</v>
      </c>
      <c r="M1251" s="26">
        <v>10000</v>
      </c>
      <c r="N1251" s="27">
        <v>9.0909090909090917</v>
      </c>
      <c r="O1251" s="28">
        <v>9.0909090909090917</v>
      </c>
      <c r="P1251" s="28">
        <v>8.8495575221238933</v>
      </c>
    </row>
    <row r="1252" spans="1:16" x14ac:dyDescent="0.3">
      <c r="A1252" t="s">
        <v>4148</v>
      </c>
      <c r="B1252" s="24">
        <v>400144</v>
      </c>
      <c r="C1252" s="24" t="s">
        <v>1250</v>
      </c>
      <c r="D1252" s="24" t="s">
        <v>1102</v>
      </c>
      <c r="E1252" s="24" t="s">
        <v>402</v>
      </c>
      <c r="F1252" s="24" t="s">
        <v>1237</v>
      </c>
      <c r="G1252" s="24" t="s">
        <v>1360</v>
      </c>
      <c r="H1252" s="24" t="s">
        <v>560</v>
      </c>
      <c r="I1252" s="24" t="s">
        <v>1363</v>
      </c>
      <c r="J1252" s="24" t="s">
        <v>761</v>
      </c>
      <c r="K1252" s="24" t="s">
        <v>1146</v>
      </c>
      <c r="L1252" s="25">
        <v>1070</v>
      </c>
      <c r="M1252" s="26">
        <v>8.3000000000000007</v>
      </c>
      <c r="N1252" s="27">
        <v>8.3000000000000007</v>
      </c>
      <c r="O1252" s="28">
        <v>7.5454545454545462E-3</v>
      </c>
      <c r="P1252" s="28">
        <v>7.8592920353982301</v>
      </c>
    </row>
    <row r="1253" spans="1:16" x14ac:dyDescent="0.3">
      <c r="A1253" t="s">
        <v>4149</v>
      </c>
      <c r="B1253" s="24">
        <v>100702</v>
      </c>
      <c r="C1253" s="24" t="s">
        <v>1357</v>
      </c>
      <c r="D1253" s="24" t="s">
        <v>1102</v>
      </c>
      <c r="E1253" s="24" t="s">
        <v>402</v>
      </c>
      <c r="F1253" s="24" t="s">
        <v>1237</v>
      </c>
      <c r="G1253" s="24" t="s">
        <v>1358</v>
      </c>
      <c r="H1253" s="24" t="s">
        <v>561</v>
      </c>
      <c r="I1253" s="24" t="s">
        <v>1364</v>
      </c>
      <c r="J1253" s="24" t="s">
        <v>761</v>
      </c>
      <c r="K1253" s="24" t="s">
        <v>1352</v>
      </c>
      <c r="L1253" s="25">
        <v>1</v>
      </c>
      <c r="M1253" s="26">
        <v>10000</v>
      </c>
      <c r="N1253" s="27">
        <v>9.0909090909090917</v>
      </c>
      <c r="O1253" s="28">
        <v>9.0909090909090917</v>
      </c>
      <c r="P1253" s="28">
        <v>8.8495575221238933</v>
      </c>
    </row>
    <row r="1254" spans="1:16" x14ac:dyDescent="0.3">
      <c r="A1254" t="s">
        <v>4150</v>
      </c>
      <c r="B1254" s="24">
        <v>400144</v>
      </c>
      <c r="C1254" s="24" t="s">
        <v>1250</v>
      </c>
      <c r="D1254" s="24" t="s">
        <v>1102</v>
      </c>
      <c r="E1254" s="24" t="s">
        <v>402</v>
      </c>
      <c r="F1254" s="24" t="s">
        <v>1237</v>
      </c>
      <c r="G1254" s="24" t="s">
        <v>1360</v>
      </c>
      <c r="H1254" s="24" t="s">
        <v>561</v>
      </c>
      <c r="I1254" s="24" t="s">
        <v>1364</v>
      </c>
      <c r="J1254" s="24" t="s">
        <v>761</v>
      </c>
      <c r="K1254" s="24" t="s">
        <v>1146</v>
      </c>
      <c r="L1254" s="25">
        <v>1070</v>
      </c>
      <c r="M1254" s="26">
        <v>8.3000000000000007</v>
      </c>
      <c r="N1254" s="27">
        <v>8.3000000000000007</v>
      </c>
      <c r="O1254" s="28">
        <v>7.5454545454545462E-3</v>
      </c>
      <c r="P1254" s="28">
        <v>7.8592920353982301</v>
      </c>
    </row>
    <row r="1255" spans="1:16" x14ac:dyDescent="0.3">
      <c r="A1255" t="s">
        <v>4151</v>
      </c>
      <c r="B1255" s="24">
        <v>100702</v>
      </c>
      <c r="C1255" s="24" t="s">
        <v>1357</v>
      </c>
      <c r="D1255" s="24" t="s">
        <v>1102</v>
      </c>
      <c r="E1255" s="24" t="s">
        <v>402</v>
      </c>
      <c r="F1255" s="24" t="s">
        <v>1237</v>
      </c>
      <c r="G1255" s="24" t="s">
        <v>1358</v>
      </c>
      <c r="H1255" s="24" t="s">
        <v>562</v>
      </c>
      <c r="I1255" s="24" t="s">
        <v>1365</v>
      </c>
      <c r="J1255" s="24" t="s">
        <v>761</v>
      </c>
      <c r="K1255" s="24" t="s">
        <v>1352</v>
      </c>
      <c r="L1255" s="25">
        <v>1</v>
      </c>
      <c r="M1255" s="26">
        <v>10000</v>
      </c>
      <c r="N1255" s="27">
        <v>9.0909090909090917</v>
      </c>
      <c r="O1255" s="28">
        <v>9.0909090909090917</v>
      </c>
      <c r="P1255" s="28">
        <v>8.8495575221238933</v>
      </c>
    </row>
    <row r="1256" spans="1:16" x14ac:dyDescent="0.3">
      <c r="A1256" t="s">
        <v>4152</v>
      </c>
      <c r="B1256" s="24">
        <v>100702</v>
      </c>
      <c r="C1256" s="24" t="s">
        <v>1357</v>
      </c>
      <c r="D1256" s="24" t="s">
        <v>1102</v>
      </c>
      <c r="E1256" s="24" t="s">
        <v>402</v>
      </c>
      <c r="F1256" s="24" t="s">
        <v>1237</v>
      </c>
      <c r="G1256" s="24" t="s">
        <v>1358</v>
      </c>
      <c r="H1256" s="24" t="s">
        <v>563</v>
      </c>
      <c r="I1256" s="24" t="s">
        <v>1366</v>
      </c>
      <c r="J1256" s="24" t="s">
        <v>761</v>
      </c>
      <c r="K1256" s="24" t="s">
        <v>1352</v>
      </c>
      <c r="L1256" s="25">
        <v>1</v>
      </c>
      <c r="M1256" s="26">
        <v>10000</v>
      </c>
      <c r="N1256" s="27">
        <v>9.0909090909090917</v>
      </c>
      <c r="O1256" s="28">
        <v>9.0909090909090917</v>
      </c>
      <c r="P1256" s="28">
        <v>8.8495575221238933</v>
      </c>
    </row>
    <row r="1257" spans="1:16" x14ac:dyDescent="0.3">
      <c r="A1257" t="s">
        <v>4153</v>
      </c>
      <c r="B1257" s="24">
        <v>100702</v>
      </c>
      <c r="C1257" s="24" t="s">
        <v>1357</v>
      </c>
      <c r="D1257" s="24" t="s">
        <v>1102</v>
      </c>
      <c r="E1257" s="24" t="s">
        <v>402</v>
      </c>
      <c r="F1257" s="24" t="s">
        <v>1237</v>
      </c>
      <c r="G1257" s="24" t="s">
        <v>1358</v>
      </c>
      <c r="H1257" s="24" t="s">
        <v>564</v>
      </c>
      <c r="I1257" s="24" t="s">
        <v>1367</v>
      </c>
      <c r="J1257" s="24" t="s">
        <v>761</v>
      </c>
      <c r="K1257" s="24" t="s">
        <v>1352</v>
      </c>
      <c r="L1257" s="25">
        <v>1</v>
      </c>
      <c r="M1257" s="26">
        <v>10000</v>
      </c>
      <c r="N1257" s="27">
        <v>9.0909090909090917</v>
      </c>
      <c r="O1257" s="28">
        <v>9.0909090909090917</v>
      </c>
      <c r="P1257" s="28">
        <v>8.8495575221238933</v>
      </c>
    </row>
    <row r="1258" spans="1:16" x14ac:dyDescent="0.3">
      <c r="A1258" t="s">
        <v>4154</v>
      </c>
      <c r="B1258" s="24">
        <v>100702</v>
      </c>
      <c r="C1258" s="24" t="s">
        <v>1357</v>
      </c>
      <c r="D1258" s="24" t="s">
        <v>1102</v>
      </c>
      <c r="E1258" s="24" t="s">
        <v>402</v>
      </c>
      <c r="F1258" s="24" t="s">
        <v>1237</v>
      </c>
      <c r="G1258" s="24" t="s">
        <v>1358</v>
      </c>
      <c r="H1258" s="24" t="s">
        <v>565</v>
      </c>
      <c r="I1258" s="24" t="s">
        <v>1368</v>
      </c>
      <c r="J1258" s="24" t="s">
        <v>761</v>
      </c>
      <c r="K1258" s="24" t="s">
        <v>1352</v>
      </c>
      <c r="L1258" s="25">
        <v>1</v>
      </c>
      <c r="M1258" s="26">
        <v>10000</v>
      </c>
      <c r="N1258" s="27">
        <v>9.0909090909090917</v>
      </c>
      <c r="O1258" s="28">
        <v>9.0909090909090917</v>
      </c>
      <c r="P1258" s="28">
        <v>8.8495575221238933</v>
      </c>
    </row>
    <row r="1259" spans="1:16" x14ac:dyDescent="0.3">
      <c r="A1259" t="s">
        <v>4155</v>
      </c>
      <c r="B1259" s="24">
        <v>100702</v>
      </c>
      <c r="C1259" s="24" t="s">
        <v>1357</v>
      </c>
      <c r="D1259" s="24" t="s">
        <v>1102</v>
      </c>
      <c r="E1259" s="24" t="s">
        <v>402</v>
      </c>
      <c r="F1259" s="24" t="s">
        <v>1237</v>
      </c>
      <c r="G1259" s="24" t="s">
        <v>1358</v>
      </c>
      <c r="H1259" s="24" t="s">
        <v>566</v>
      </c>
      <c r="I1259" s="24" t="s">
        <v>1369</v>
      </c>
      <c r="J1259" s="24" t="s">
        <v>761</v>
      </c>
      <c r="K1259" s="24" t="s">
        <v>1352</v>
      </c>
      <c r="L1259" s="25">
        <v>1</v>
      </c>
      <c r="M1259" s="26">
        <v>10000</v>
      </c>
      <c r="N1259" s="27">
        <v>9.0909090909090917</v>
      </c>
      <c r="O1259" s="28">
        <v>9.0909090909090917</v>
      </c>
      <c r="P1259" s="28">
        <v>8.8495575221238933</v>
      </c>
    </row>
    <row r="1260" spans="1:16" x14ac:dyDescent="0.3">
      <c r="A1260" t="s">
        <v>4156</v>
      </c>
      <c r="B1260" s="24">
        <v>100702</v>
      </c>
      <c r="C1260" s="24" t="s">
        <v>1357</v>
      </c>
      <c r="D1260" s="24" t="s">
        <v>1102</v>
      </c>
      <c r="E1260" s="24" t="s">
        <v>1348</v>
      </c>
      <c r="F1260" s="24" t="s">
        <v>1237</v>
      </c>
      <c r="G1260" s="24" t="s">
        <v>1358</v>
      </c>
      <c r="H1260" s="24" t="s">
        <v>567</v>
      </c>
      <c r="I1260" s="24" t="s">
        <v>1370</v>
      </c>
      <c r="J1260" s="24" t="s">
        <v>761</v>
      </c>
      <c r="K1260" s="24" t="s">
        <v>1352</v>
      </c>
      <c r="L1260" s="25">
        <v>1</v>
      </c>
      <c r="M1260" s="26">
        <v>10000</v>
      </c>
      <c r="N1260" s="27">
        <v>9.0909090909090917</v>
      </c>
      <c r="O1260" s="28">
        <v>9.0909090909090917</v>
      </c>
      <c r="P1260" s="28">
        <v>8.8495575221238933</v>
      </c>
    </row>
    <row r="1261" spans="1:16" x14ac:dyDescent="0.3">
      <c r="A1261" t="s">
        <v>4157</v>
      </c>
      <c r="B1261" s="24">
        <v>100702</v>
      </c>
      <c r="C1261" s="24" t="s">
        <v>1357</v>
      </c>
      <c r="D1261" s="24" t="s">
        <v>1102</v>
      </c>
      <c r="E1261" s="24" t="s">
        <v>1348</v>
      </c>
      <c r="F1261" s="24" t="s">
        <v>1237</v>
      </c>
      <c r="G1261" s="24" t="s">
        <v>1358</v>
      </c>
      <c r="H1261" s="24" t="s">
        <v>568</v>
      </c>
      <c r="I1261" s="24" t="s">
        <v>1371</v>
      </c>
      <c r="J1261" s="24" t="s">
        <v>761</v>
      </c>
      <c r="K1261" s="24" t="s">
        <v>1352</v>
      </c>
      <c r="L1261" s="25">
        <v>1</v>
      </c>
      <c r="M1261" s="26">
        <v>10000</v>
      </c>
      <c r="N1261" s="27">
        <v>9.0909090909090917</v>
      </c>
      <c r="O1261" s="28">
        <v>9.0909090909090917</v>
      </c>
      <c r="P1261" s="28">
        <v>8.8495575221238933</v>
      </c>
    </row>
    <row r="1262" spans="1:16" x14ac:dyDescent="0.3">
      <c r="A1262" t="s">
        <v>4158</v>
      </c>
      <c r="B1262" s="24">
        <v>100702</v>
      </c>
      <c r="C1262" s="24" t="s">
        <v>1357</v>
      </c>
      <c r="D1262" s="24" t="s">
        <v>1102</v>
      </c>
      <c r="E1262" s="24" t="s">
        <v>1348</v>
      </c>
      <c r="F1262" s="24" t="s">
        <v>1237</v>
      </c>
      <c r="G1262" s="24" t="s">
        <v>1358</v>
      </c>
      <c r="H1262" s="24" t="s">
        <v>569</v>
      </c>
      <c r="I1262" s="24" t="s">
        <v>1372</v>
      </c>
      <c r="J1262" s="24" t="s">
        <v>761</v>
      </c>
      <c r="K1262" s="24" t="s">
        <v>1352</v>
      </c>
      <c r="L1262" s="25">
        <v>1</v>
      </c>
      <c r="M1262" s="26">
        <v>10000</v>
      </c>
      <c r="N1262" s="27">
        <v>9.0909090909090917</v>
      </c>
      <c r="O1262" s="28">
        <v>9.0909090909090917</v>
      </c>
      <c r="P1262" s="28">
        <v>8.8495575221238933</v>
      </c>
    </row>
    <row r="1263" spans="1:16" x14ac:dyDescent="0.3">
      <c r="A1263" t="s">
        <v>4159</v>
      </c>
      <c r="B1263" s="24">
        <v>100702</v>
      </c>
      <c r="C1263" s="24" t="s">
        <v>1357</v>
      </c>
      <c r="D1263" s="24" t="s">
        <v>1102</v>
      </c>
      <c r="E1263" s="24" t="s">
        <v>1348</v>
      </c>
      <c r="F1263" s="24" t="s">
        <v>1237</v>
      </c>
      <c r="G1263" s="24" t="s">
        <v>1358</v>
      </c>
      <c r="H1263" s="24" t="s">
        <v>570</v>
      </c>
      <c r="I1263" s="24" t="s">
        <v>1373</v>
      </c>
      <c r="J1263" s="24" t="s">
        <v>761</v>
      </c>
      <c r="K1263" s="24" t="s">
        <v>1352</v>
      </c>
      <c r="L1263" s="25">
        <v>1</v>
      </c>
      <c r="M1263" s="26">
        <v>10000</v>
      </c>
      <c r="N1263" s="27">
        <v>9.0909090909090917</v>
      </c>
      <c r="O1263" s="28">
        <v>9.0909090909090917</v>
      </c>
      <c r="P1263" s="28">
        <v>8.8495575221238933</v>
      </c>
    </row>
    <row r="1264" spans="1:16" x14ac:dyDescent="0.3">
      <c r="A1264" t="s">
        <v>4160</v>
      </c>
      <c r="B1264" s="24">
        <v>100702</v>
      </c>
      <c r="C1264" s="24" t="s">
        <v>1357</v>
      </c>
      <c r="D1264" s="24" t="s">
        <v>1102</v>
      </c>
      <c r="E1264" s="24" t="s">
        <v>1348</v>
      </c>
      <c r="F1264" s="24" t="s">
        <v>1237</v>
      </c>
      <c r="G1264" s="24" t="s">
        <v>1358</v>
      </c>
      <c r="H1264" s="24" t="s">
        <v>571</v>
      </c>
      <c r="I1264" s="24" t="s">
        <v>1374</v>
      </c>
      <c r="J1264" s="24" t="s">
        <v>761</v>
      </c>
      <c r="K1264" s="24" t="s">
        <v>1352</v>
      </c>
      <c r="L1264" s="25">
        <v>1</v>
      </c>
      <c r="M1264" s="26">
        <v>10000</v>
      </c>
      <c r="N1264" s="27">
        <v>9.0909090909090917</v>
      </c>
      <c r="O1264" s="28">
        <v>9.0909090909090917</v>
      </c>
      <c r="P1264" s="28">
        <v>8.8495575221238933</v>
      </c>
    </row>
    <row r="1265" spans="1:16" x14ac:dyDescent="0.3">
      <c r="A1265" t="s">
        <v>4161</v>
      </c>
      <c r="B1265" s="24">
        <v>100587</v>
      </c>
      <c r="C1265" s="24" t="s">
        <v>1347</v>
      </c>
      <c r="D1265" s="24" t="s">
        <v>1102</v>
      </c>
      <c r="E1265" s="24" t="s">
        <v>402</v>
      </c>
      <c r="F1265" s="24" t="s">
        <v>1349</v>
      </c>
      <c r="G1265" s="24" t="s">
        <v>1350</v>
      </c>
      <c r="H1265" s="24" t="s">
        <v>1083</v>
      </c>
      <c r="I1265" s="24" t="s">
        <v>1375</v>
      </c>
      <c r="J1265" s="24" t="s">
        <v>761</v>
      </c>
      <c r="K1265" s="24" t="s">
        <v>1352</v>
      </c>
      <c r="L1265" s="25">
        <v>1</v>
      </c>
      <c r="M1265" s="26">
        <v>1</v>
      </c>
      <c r="N1265" s="27">
        <v>9.0909090909090909E-4</v>
      </c>
      <c r="O1265" s="28">
        <v>9.0909090909090909E-4</v>
      </c>
      <c r="P1265" s="28">
        <v>8.8495575221238937E-4</v>
      </c>
    </row>
    <row r="1266" spans="1:16" x14ac:dyDescent="0.3">
      <c r="A1266" t="s">
        <v>4162</v>
      </c>
      <c r="B1266" s="24">
        <v>101554</v>
      </c>
      <c r="C1266" s="24" t="s">
        <v>1202</v>
      </c>
      <c r="D1266" s="24" t="s">
        <v>1102</v>
      </c>
      <c r="E1266" s="24" t="s">
        <v>402</v>
      </c>
      <c r="F1266" s="24" t="s">
        <v>1142</v>
      </c>
      <c r="G1266" s="24" t="s">
        <v>1244</v>
      </c>
      <c r="H1266" s="24" t="s">
        <v>507</v>
      </c>
      <c r="I1266" s="24" t="s">
        <v>1376</v>
      </c>
      <c r="J1266" s="24" t="s">
        <v>761</v>
      </c>
      <c r="K1266" s="24" t="s">
        <v>1146</v>
      </c>
      <c r="L1266" s="25">
        <v>1070</v>
      </c>
      <c r="M1266" s="26">
        <v>6.3789999999999996</v>
      </c>
      <c r="N1266" s="27">
        <v>6.3789999999999996</v>
      </c>
      <c r="O1266" s="28">
        <v>5.7990909090909091E-3</v>
      </c>
      <c r="P1266" s="28">
        <v>6.0402920353982301</v>
      </c>
    </row>
    <row r="1267" spans="1:16" x14ac:dyDescent="0.3">
      <c r="A1267" t="s">
        <v>4163</v>
      </c>
      <c r="B1267" s="24">
        <v>101554</v>
      </c>
      <c r="C1267" s="24" t="s">
        <v>1202</v>
      </c>
      <c r="D1267" s="24" t="s">
        <v>1102</v>
      </c>
      <c r="E1267" s="24" t="s">
        <v>402</v>
      </c>
      <c r="F1267" s="24" t="s">
        <v>1142</v>
      </c>
      <c r="G1267" s="24" t="s">
        <v>1244</v>
      </c>
      <c r="H1267" s="24" t="s">
        <v>508</v>
      </c>
      <c r="I1267" s="24" t="s">
        <v>1377</v>
      </c>
      <c r="J1267" s="24" t="s">
        <v>761</v>
      </c>
      <c r="K1267" s="24" t="s">
        <v>1146</v>
      </c>
      <c r="L1267" s="25">
        <v>1070</v>
      </c>
      <c r="M1267" s="26">
        <v>4.7119999999999997</v>
      </c>
      <c r="N1267" s="27">
        <v>4.7119999999999997</v>
      </c>
      <c r="O1267" s="28">
        <v>4.2836363636363636E-3</v>
      </c>
      <c r="P1267" s="28">
        <v>4.4618053097345136</v>
      </c>
    </row>
    <row r="1268" spans="1:16" x14ac:dyDescent="0.3">
      <c r="A1268" t="s">
        <v>4164</v>
      </c>
      <c r="B1268" s="24">
        <v>101554</v>
      </c>
      <c r="C1268" s="24" t="s">
        <v>1202</v>
      </c>
      <c r="D1268" s="24" t="s">
        <v>1102</v>
      </c>
      <c r="E1268" s="24" t="s">
        <v>402</v>
      </c>
      <c r="F1268" s="24" t="s">
        <v>1142</v>
      </c>
      <c r="G1268" s="24" t="s">
        <v>1244</v>
      </c>
      <c r="H1268" s="24" t="s">
        <v>509</v>
      </c>
      <c r="I1268" s="24" t="s">
        <v>1378</v>
      </c>
      <c r="J1268" s="24" t="s">
        <v>761</v>
      </c>
      <c r="K1268" s="24" t="s">
        <v>1146</v>
      </c>
      <c r="L1268" s="25">
        <v>1070</v>
      </c>
      <c r="M1268" s="26">
        <v>4.7699999999999996</v>
      </c>
      <c r="N1268" s="27">
        <v>4.7699999999999996</v>
      </c>
      <c r="O1268" s="28">
        <v>4.3363636363636356E-3</v>
      </c>
      <c r="P1268" s="28">
        <v>4.5167256637168141</v>
      </c>
    </row>
    <row r="1269" spans="1:16" x14ac:dyDescent="0.3">
      <c r="A1269" t="s">
        <v>4165</v>
      </c>
      <c r="B1269" s="24">
        <v>101554</v>
      </c>
      <c r="C1269" s="24" t="s">
        <v>1202</v>
      </c>
      <c r="D1269" s="24" t="s">
        <v>1102</v>
      </c>
      <c r="E1269" s="24" t="s">
        <v>402</v>
      </c>
      <c r="F1269" s="24" t="s">
        <v>1142</v>
      </c>
      <c r="G1269" s="24" t="s">
        <v>1244</v>
      </c>
      <c r="H1269" s="24" t="s">
        <v>510</v>
      </c>
      <c r="I1269" s="24" t="s">
        <v>1379</v>
      </c>
      <c r="J1269" s="24" t="s">
        <v>761</v>
      </c>
      <c r="K1269" s="24" t="s">
        <v>1146</v>
      </c>
      <c r="L1269" s="25">
        <v>1070</v>
      </c>
      <c r="M1269" s="26">
        <v>5.6269999999999998</v>
      </c>
      <c r="N1269" s="27">
        <v>5.6269999999999998</v>
      </c>
      <c r="O1269" s="28">
        <v>5.1154545454545454E-3</v>
      </c>
      <c r="P1269" s="28">
        <v>5.3282212389380526</v>
      </c>
    </row>
    <row r="1270" spans="1:16" x14ac:dyDescent="0.3">
      <c r="A1270" t="s">
        <v>4166</v>
      </c>
      <c r="B1270" s="24">
        <v>101554</v>
      </c>
      <c r="C1270" s="24" t="s">
        <v>1202</v>
      </c>
      <c r="D1270" s="24" t="s">
        <v>1102</v>
      </c>
      <c r="E1270" s="24" t="s">
        <v>402</v>
      </c>
      <c r="F1270" s="24" t="s">
        <v>1142</v>
      </c>
      <c r="G1270" s="24" t="s">
        <v>1244</v>
      </c>
      <c r="H1270" s="24" t="s">
        <v>511</v>
      </c>
      <c r="I1270" s="24" t="s">
        <v>1380</v>
      </c>
      <c r="J1270" s="24" t="s">
        <v>761</v>
      </c>
      <c r="K1270" s="24" t="s">
        <v>1146</v>
      </c>
      <c r="L1270" s="25">
        <v>1070</v>
      </c>
      <c r="M1270" s="26">
        <v>4.7699999999999996</v>
      </c>
      <c r="N1270" s="27">
        <v>4.7699999999999996</v>
      </c>
      <c r="O1270" s="28">
        <v>4.3363636363636356E-3</v>
      </c>
      <c r="P1270" s="28">
        <v>4.5167256637168141</v>
      </c>
    </row>
    <row r="1271" spans="1:16" x14ac:dyDescent="0.3">
      <c r="A1271" t="s">
        <v>4167</v>
      </c>
      <c r="B1271" s="24">
        <v>101554</v>
      </c>
      <c r="C1271" s="24" t="s">
        <v>1202</v>
      </c>
      <c r="D1271" s="24" t="s">
        <v>1102</v>
      </c>
      <c r="E1271" s="24" t="s">
        <v>402</v>
      </c>
      <c r="F1271" s="24" t="s">
        <v>1142</v>
      </c>
      <c r="G1271" s="24" t="s">
        <v>1244</v>
      </c>
      <c r="H1271" s="24" t="s">
        <v>512</v>
      </c>
      <c r="I1271" s="24" t="s">
        <v>1381</v>
      </c>
      <c r="J1271" s="24" t="s">
        <v>761</v>
      </c>
      <c r="K1271" s="24" t="s">
        <v>1146</v>
      </c>
      <c r="L1271" s="25">
        <v>1070</v>
      </c>
      <c r="M1271" s="26">
        <v>5.6669999999999998</v>
      </c>
      <c r="N1271" s="27">
        <v>5.6669999999999998</v>
      </c>
      <c r="O1271" s="28">
        <v>5.1518181818181819E-3</v>
      </c>
      <c r="P1271" s="28">
        <v>5.3660973451327427</v>
      </c>
    </row>
    <row r="1272" spans="1:16" x14ac:dyDescent="0.3">
      <c r="A1272" t="s">
        <v>4168</v>
      </c>
      <c r="B1272" s="24">
        <v>101554</v>
      </c>
      <c r="C1272" s="24" t="s">
        <v>1202</v>
      </c>
      <c r="D1272" s="24" t="s">
        <v>1102</v>
      </c>
      <c r="E1272" s="24" t="s">
        <v>402</v>
      </c>
      <c r="F1272" s="24" t="s">
        <v>1142</v>
      </c>
      <c r="G1272" s="24" t="s">
        <v>1244</v>
      </c>
      <c r="H1272" s="24" t="s">
        <v>1056</v>
      </c>
      <c r="I1272" s="24" t="s">
        <v>1382</v>
      </c>
      <c r="J1272" s="24" t="s">
        <v>761</v>
      </c>
      <c r="K1272" s="24" t="s">
        <v>1146</v>
      </c>
      <c r="L1272" s="25">
        <v>1070</v>
      </c>
      <c r="M1272" s="26">
        <v>4.16</v>
      </c>
      <c r="N1272" s="27">
        <v>4.16</v>
      </c>
      <c r="O1272" s="28">
        <v>3.7818181818181818E-3</v>
      </c>
      <c r="P1272" s="28">
        <v>3.9391150442477874</v>
      </c>
    </row>
    <row r="1273" spans="1:16" x14ac:dyDescent="0.3">
      <c r="A1273" t="s">
        <v>4169</v>
      </c>
      <c r="B1273" s="24">
        <v>101554</v>
      </c>
      <c r="C1273" s="24" t="s">
        <v>1202</v>
      </c>
      <c r="D1273" s="24" t="s">
        <v>1102</v>
      </c>
      <c r="E1273" s="24" t="s">
        <v>402</v>
      </c>
      <c r="F1273" s="24" t="s">
        <v>1142</v>
      </c>
      <c r="G1273" s="24" t="s">
        <v>1244</v>
      </c>
      <c r="H1273" s="24" t="s">
        <v>1056</v>
      </c>
      <c r="I1273" s="24" t="s">
        <v>1382</v>
      </c>
      <c r="J1273" s="24" t="s">
        <v>761</v>
      </c>
      <c r="K1273" s="24" t="s">
        <v>1146</v>
      </c>
      <c r="L1273" s="25">
        <v>1070</v>
      </c>
      <c r="M1273" s="26">
        <v>4.16</v>
      </c>
      <c r="N1273" s="27">
        <v>4.16</v>
      </c>
      <c r="O1273" s="28">
        <v>3.7818181818181818E-3</v>
      </c>
      <c r="P1273" s="28">
        <v>3.9391150442477874</v>
      </c>
    </row>
    <row r="1274" spans="1:16" x14ac:dyDescent="0.3">
      <c r="A1274" t="s">
        <v>4170</v>
      </c>
      <c r="B1274" s="24">
        <v>101554</v>
      </c>
      <c r="C1274" s="24" t="s">
        <v>1202</v>
      </c>
      <c r="D1274" s="24" t="s">
        <v>1102</v>
      </c>
      <c r="E1274" s="24" t="s">
        <v>402</v>
      </c>
      <c r="F1274" s="24" t="s">
        <v>1142</v>
      </c>
      <c r="G1274" s="24" t="s">
        <v>1244</v>
      </c>
      <c r="H1274" s="24" t="s">
        <v>1057</v>
      </c>
      <c r="I1274" s="24" t="s">
        <v>1383</v>
      </c>
      <c r="J1274" s="24" t="s">
        <v>761</v>
      </c>
      <c r="K1274" s="24" t="s">
        <v>1146</v>
      </c>
      <c r="L1274" s="25">
        <v>1070</v>
      </c>
      <c r="M1274" s="26">
        <v>4.62</v>
      </c>
      <c r="N1274" s="27">
        <v>4.62</v>
      </c>
      <c r="O1274" s="28">
        <v>4.1999999999999997E-3</v>
      </c>
      <c r="P1274" s="28">
        <v>4.3746902654867261</v>
      </c>
    </row>
    <row r="1275" spans="1:16" x14ac:dyDescent="0.3">
      <c r="A1275" t="s">
        <v>4171</v>
      </c>
      <c r="B1275" s="24">
        <v>101554</v>
      </c>
      <c r="C1275" s="24" t="s">
        <v>1202</v>
      </c>
      <c r="D1275" s="24" t="s">
        <v>1102</v>
      </c>
      <c r="E1275" s="24" t="s">
        <v>402</v>
      </c>
      <c r="F1275" s="24" t="s">
        <v>1142</v>
      </c>
      <c r="G1275" s="24" t="s">
        <v>1244</v>
      </c>
      <c r="H1275" s="24" t="s">
        <v>1057</v>
      </c>
      <c r="I1275" s="24" t="s">
        <v>1383</v>
      </c>
      <c r="J1275" s="24" t="s">
        <v>761</v>
      </c>
      <c r="K1275" s="24" t="s">
        <v>1146</v>
      </c>
      <c r="L1275" s="25">
        <v>1070</v>
      </c>
      <c r="M1275" s="26">
        <v>4.62</v>
      </c>
      <c r="N1275" s="27">
        <v>4.62</v>
      </c>
      <c r="O1275" s="28">
        <v>4.1999999999999997E-3</v>
      </c>
      <c r="P1275" s="28">
        <v>4.3746902654867261</v>
      </c>
    </row>
    <row r="1276" spans="1:16" x14ac:dyDescent="0.3">
      <c r="A1276" t="s">
        <v>4172</v>
      </c>
      <c r="B1276" s="24">
        <v>101554</v>
      </c>
      <c r="C1276" s="24" t="s">
        <v>1202</v>
      </c>
      <c r="D1276" s="24" t="s">
        <v>1102</v>
      </c>
      <c r="E1276" s="24" t="s">
        <v>402</v>
      </c>
      <c r="F1276" s="24" t="s">
        <v>1142</v>
      </c>
      <c r="G1276" s="24" t="s">
        <v>1244</v>
      </c>
      <c r="H1276" s="24" t="s">
        <v>1058</v>
      </c>
      <c r="I1276" s="24" t="s">
        <v>1384</v>
      </c>
      <c r="J1276" s="24" t="s">
        <v>761</v>
      </c>
      <c r="K1276" s="24" t="s">
        <v>1146</v>
      </c>
      <c r="L1276" s="25">
        <v>1070</v>
      </c>
      <c r="M1276" s="26">
        <v>4.3929999999999998</v>
      </c>
      <c r="N1276" s="27">
        <v>4.3929999999999998</v>
      </c>
      <c r="O1276" s="28">
        <v>3.9936363636363633E-3</v>
      </c>
      <c r="P1276" s="28">
        <v>4.1597433628318585</v>
      </c>
    </row>
    <row r="1277" spans="1:16" x14ac:dyDescent="0.3">
      <c r="A1277" t="s">
        <v>4173</v>
      </c>
      <c r="B1277" s="24">
        <v>101554</v>
      </c>
      <c r="C1277" s="24" t="s">
        <v>1202</v>
      </c>
      <c r="D1277" s="24" t="s">
        <v>1102</v>
      </c>
      <c r="E1277" s="24" t="s">
        <v>402</v>
      </c>
      <c r="F1277" s="24" t="s">
        <v>1142</v>
      </c>
      <c r="G1277" s="24" t="s">
        <v>1244</v>
      </c>
      <c r="H1277" s="24" t="s">
        <v>1058</v>
      </c>
      <c r="I1277" s="24" t="s">
        <v>1384</v>
      </c>
      <c r="J1277" s="24" t="s">
        <v>761</v>
      </c>
      <c r="K1277" s="24" t="s">
        <v>1146</v>
      </c>
      <c r="L1277" s="25">
        <v>1070</v>
      </c>
      <c r="M1277" s="26">
        <v>4.3929999999999998</v>
      </c>
      <c r="N1277" s="27">
        <v>4.3929999999999998</v>
      </c>
      <c r="O1277" s="28">
        <v>3.9936363636363633E-3</v>
      </c>
      <c r="P1277" s="28">
        <v>4.1597433628318585</v>
      </c>
    </row>
    <row r="1278" spans="1:16" x14ac:dyDescent="0.3">
      <c r="A1278" t="s">
        <v>4174</v>
      </c>
      <c r="B1278" s="24">
        <v>300106</v>
      </c>
      <c r="C1278" s="24" t="s">
        <v>1385</v>
      </c>
      <c r="D1278" s="24" t="s">
        <v>1102</v>
      </c>
      <c r="E1278" s="24" t="s">
        <v>402</v>
      </c>
      <c r="F1278" s="24" t="s">
        <v>1386</v>
      </c>
      <c r="G1278" s="24" t="s">
        <v>1387</v>
      </c>
      <c r="H1278" s="24" t="s">
        <v>513</v>
      </c>
      <c r="I1278" s="24" t="s">
        <v>1388</v>
      </c>
      <c r="J1278" s="24" t="s">
        <v>761</v>
      </c>
      <c r="K1278" s="24" t="s">
        <v>1146</v>
      </c>
      <c r="L1278" s="25">
        <v>1070</v>
      </c>
      <c r="M1278" s="26">
        <v>3.22</v>
      </c>
      <c r="N1278" s="27">
        <v>3.22</v>
      </c>
      <c r="O1278" s="28">
        <v>2.9272727272727276E-3</v>
      </c>
      <c r="P1278" s="28">
        <v>3.0490265486725665</v>
      </c>
    </row>
    <row r="1279" spans="1:16" x14ac:dyDescent="0.3">
      <c r="A1279" t="s">
        <v>4175</v>
      </c>
      <c r="B1279" s="24">
        <v>300107</v>
      </c>
      <c r="C1279" s="24" t="s">
        <v>1389</v>
      </c>
      <c r="D1279" s="24" t="s">
        <v>1102</v>
      </c>
      <c r="E1279" s="24" t="s">
        <v>402</v>
      </c>
      <c r="F1279" s="24" t="s">
        <v>1386</v>
      </c>
      <c r="G1279" s="24" t="s">
        <v>1387</v>
      </c>
      <c r="H1279" s="24" t="s">
        <v>513</v>
      </c>
      <c r="I1279" s="24" t="s">
        <v>1388</v>
      </c>
      <c r="J1279" s="24" t="s">
        <v>761</v>
      </c>
      <c r="K1279" s="24" t="s">
        <v>1146</v>
      </c>
      <c r="L1279" s="25">
        <v>1070</v>
      </c>
      <c r="M1279" s="26">
        <v>3.02</v>
      </c>
      <c r="N1279" s="27">
        <v>3.02</v>
      </c>
      <c r="O1279" s="28">
        <v>2.7454545454545453E-3</v>
      </c>
      <c r="P1279" s="28">
        <v>2.8596460176991152</v>
      </c>
    </row>
    <row r="1280" spans="1:16" x14ac:dyDescent="0.3">
      <c r="A1280" t="s">
        <v>4176</v>
      </c>
      <c r="B1280" s="24">
        <v>300108</v>
      </c>
      <c r="C1280" s="24" t="s">
        <v>1390</v>
      </c>
      <c r="D1280" s="24" t="s">
        <v>1102</v>
      </c>
      <c r="E1280" s="24" t="s">
        <v>402</v>
      </c>
      <c r="F1280" s="24" t="s">
        <v>1386</v>
      </c>
      <c r="G1280" s="24" t="s">
        <v>1387</v>
      </c>
      <c r="H1280" s="24" t="s">
        <v>513</v>
      </c>
      <c r="I1280" s="24" t="s">
        <v>1388</v>
      </c>
      <c r="J1280" s="24" t="s">
        <v>761</v>
      </c>
      <c r="K1280" s="24" t="s">
        <v>1146</v>
      </c>
      <c r="L1280" s="25">
        <v>1070</v>
      </c>
      <c r="M1280" s="26">
        <v>3.02</v>
      </c>
      <c r="N1280" s="27">
        <v>3.02</v>
      </c>
      <c r="O1280" s="28">
        <v>2.7454545454545453E-3</v>
      </c>
      <c r="P1280" s="28">
        <v>2.8596460176991152</v>
      </c>
    </row>
    <row r="1281" spans="1:16" x14ac:dyDescent="0.3">
      <c r="A1281" t="s">
        <v>4177</v>
      </c>
      <c r="B1281" s="24">
        <v>300106</v>
      </c>
      <c r="C1281" s="24" t="s">
        <v>1385</v>
      </c>
      <c r="D1281" s="24" t="s">
        <v>1102</v>
      </c>
      <c r="E1281" s="24" t="s">
        <v>402</v>
      </c>
      <c r="F1281" s="24" t="s">
        <v>1386</v>
      </c>
      <c r="G1281" s="24" t="s">
        <v>1387</v>
      </c>
      <c r="H1281" s="24" t="s">
        <v>514</v>
      </c>
      <c r="I1281" s="24" t="s">
        <v>1391</v>
      </c>
      <c r="J1281" s="24" t="s">
        <v>761</v>
      </c>
      <c r="K1281" s="24" t="s">
        <v>1146</v>
      </c>
      <c r="L1281" s="25">
        <v>1070</v>
      </c>
      <c r="M1281" s="26">
        <v>3.22</v>
      </c>
      <c r="N1281" s="27">
        <v>3.22</v>
      </c>
      <c r="O1281" s="28">
        <v>2.9272727272727276E-3</v>
      </c>
      <c r="P1281" s="28">
        <v>3.0490265486725665</v>
      </c>
    </row>
    <row r="1282" spans="1:16" x14ac:dyDescent="0.3">
      <c r="A1282" t="s">
        <v>4178</v>
      </c>
      <c r="B1282" s="24">
        <v>300107</v>
      </c>
      <c r="C1282" s="24" t="s">
        <v>1389</v>
      </c>
      <c r="D1282" s="24" t="s">
        <v>1102</v>
      </c>
      <c r="E1282" s="24" t="s">
        <v>402</v>
      </c>
      <c r="F1282" s="24" t="s">
        <v>1386</v>
      </c>
      <c r="G1282" s="24" t="s">
        <v>1387</v>
      </c>
      <c r="H1282" s="24" t="s">
        <v>514</v>
      </c>
      <c r="I1282" s="24" t="s">
        <v>1391</v>
      </c>
      <c r="J1282" s="24" t="s">
        <v>761</v>
      </c>
      <c r="K1282" s="24" t="s">
        <v>1146</v>
      </c>
      <c r="L1282" s="25">
        <v>1070</v>
      </c>
      <c r="M1282" s="26">
        <v>3.02</v>
      </c>
      <c r="N1282" s="27">
        <v>3.02</v>
      </c>
      <c r="O1282" s="28">
        <v>2.7454545454545453E-3</v>
      </c>
      <c r="P1282" s="28">
        <v>2.8596460176991152</v>
      </c>
    </row>
    <row r="1283" spans="1:16" x14ac:dyDescent="0.3">
      <c r="A1283" t="s">
        <v>4179</v>
      </c>
      <c r="B1283" s="24">
        <v>300108</v>
      </c>
      <c r="C1283" s="24" t="s">
        <v>1390</v>
      </c>
      <c r="D1283" s="24" t="s">
        <v>1102</v>
      </c>
      <c r="E1283" s="24" t="s">
        <v>402</v>
      </c>
      <c r="F1283" s="24" t="s">
        <v>1386</v>
      </c>
      <c r="G1283" s="24" t="s">
        <v>1387</v>
      </c>
      <c r="H1283" s="24" t="s">
        <v>514</v>
      </c>
      <c r="I1283" s="24" t="s">
        <v>1391</v>
      </c>
      <c r="J1283" s="24" t="s">
        <v>761</v>
      </c>
      <c r="K1283" s="24" t="s">
        <v>1146</v>
      </c>
      <c r="L1283" s="25">
        <v>1070</v>
      </c>
      <c r="M1283" s="26">
        <v>3.02</v>
      </c>
      <c r="N1283" s="27">
        <v>3.02</v>
      </c>
      <c r="O1283" s="28">
        <v>2.7454545454545453E-3</v>
      </c>
      <c r="P1283" s="28">
        <v>2.8596460176991152</v>
      </c>
    </row>
    <row r="1284" spans="1:16" x14ac:dyDescent="0.3">
      <c r="A1284" t="s">
        <v>4180</v>
      </c>
      <c r="B1284" s="24">
        <v>300106</v>
      </c>
      <c r="C1284" s="24" t="s">
        <v>1385</v>
      </c>
      <c r="D1284" s="24" t="s">
        <v>1102</v>
      </c>
      <c r="E1284" s="24" t="s">
        <v>402</v>
      </c>
      <c r="F1284" s="24" t="s">
        <v>1386</v>
      </c>
      <c r="G1284" s="24" t="s">
        <v>1387</v>
      </c>
      <c r="H1284" s="24" t="s">
        <v>515</v>
      </c>
      <c r="I1284" s="24" t="s">
        <v>1392</v>
      </c>
      <c r="J1284" s="24" t="s">
        <v>761</v>
      </c>
      <c r="K1284" s="24" t="s">
        <v>1146</v>
      </c>
      <c r="L1284" s="25">
        <v>1070</v>
      </c>
      <c r="M1284" s="26">
        <v>3.22</v>
      </c>
      <c r="N1284" s="27">
        <v>3.22</v>
      </c>
      <c r="O1284" s="28">
        <v>2.9272727272727276E-3</v>
      </c>
      <c r="P1284" s="28">
        <v>3.0490265486725665</v>
      </c>
    </row>
    <row r="1285" spans="1:16" x14ac:dyDescent="0.3">
      <c r="A1285" t="s">
        <v>4181</v>
      </c>
      <c r="B1285" s="24">
        <v>300107</v>
      </c>
      <c r="C1285" s="24" t="s">
        <v>1389</v>
      </c>
      <c r="D1285" s="24" t="s">
        <v>1102</v>
      </c>
      <c r="E1285" s="24" t="s">
        <v>402</v>
      </c>
      <c r="F1285" s="24" t="s">
        <v>1386</v>
      </c>
      <c r="G1285" s="24" t="s">
        <v>1387</v>
      </c>
      <c r="H1285" s="24" t="s">
        <v>515</v>
      </c>
      <c r="I1285" s="24" t="s">
        <v>1392</v>
      </c>
      <c r="J1285" s="24" t="s">
        <v>761</v>
      </c>
      <c r="K1285" s="24" t="s">
        <v>1146</v>
      </c>
      <c r="L1285" s="25">
        <v>1070</v>
      </c>
      <c r="M1285" s="26">
        <v>3.02</v>
      </c>
      <c r="N1285" s="27">
        <v>3.02</v>
      </c>
      <c r="O1285" s="28">
        <v>2.7454545454545453E-3</v>
      </c>
      <c r="P1285" s="28">
        <v>2.8596460176991152</v>
      </c>
    </row>
    <row r="1286" spans="1:16" x14ac:dyDescent="0.3">
      <c r="A1286" t="s">
        <v>4182</v>
      </c>
      <c r="B1286" s="24">
        <v>300108</v>
      </c>
      <c r="C1286" s="24" t="s">
        <v>1390</v>
      </c>
      <c r="D1286" s="24" t="s">
        <v>1102</v>
      </c>
      <c r="E1286" s="24" t="s">
        <v>402</v>
      </c>
      <c r="F1286" s="24" t="s">
        <v>1386</v>
      </c>
      <c r="G1286" s="24" t="s">
        <v>1387</v>
      </c>
      <c r="H1286" s="24" t="s">
        <v>515</v>
      </c>
      <c r="I1286" s="24" t="s">
        <v>1392</v>
      </c>
      <c r="J1286" s="24" t="s">
        <v>761</v>
      </c>
      <c r="K1286" s="24" t="s">
        <v>1146</v>
      </c>
      <c r="L1286" s="25">
        <v>1070</v>
      </c>
      <c r="M1286" s="26">
        <v>3.02</v>
      </c>
      <c r="N1286" s="27">
        <v>3.02</v>
      </c>
      <c r="O1286" s="28">
        <v>2.7454545454545453E-3</v>
      </c>
      <c r="P1286" s="28">
        <v>2.8596460176991152</v>
      </c>
    </row>
    <row r="1287" spans="1:16" x14ac:dyDescent="0.3">
      <c r="A1287" t="s">
        <v>4183</v>
      </c>
      <c r="B1287" s="24">
        <v>142363</v>
      </c>
      <c r="C1287" s="24" t="s">
        <v>1246</v>
      </c>
      <c r="D1287" s="24" t="s">
        <v>1102</v>
      </c>
      <c r="E1287" s="24" t="s">
        <v>402</v>
      </c>
      <c r="F1287" s="24" t="s">
        <v>1142</v>
      </c>
      <c r="G1287" s="24" t="s">
        <v>1244</v>
      </c>
      <c r="H1287" s="24" t="s">
        <v>542</v>
      </c>
      <c r="I1287" s="24" t="s">
        <v>1393</v>
      </c>
      <c r="J1287" s="24" t="s">
        <v>761</v>
      </c>
      <c r="K1287" s="24" t="s">
        <v>1146</v>
      </c>
      <c r="L1287" s="25">
        <v>1070</v>
      </c>
      <c r="M1287" s="26">
        <v>2.3357000000000001</v>
      </c>
      <c r="N1287" s="27">
        <v>2.3357000000000001</v>
      </c>
      <c r="O1287" s="28">
        <v>2.1233636363636363E-3</v>
      </c>
      <c r="P1287" s="28">
        <v>2.2116805309734513</v>
      </c>
    </row>
    <row r="1288" spans="1:16" x14ac:dyDescent="0.3">
      <c r="A1288" t="s">
        <v>4184</v>
      </c>
      <c r="B1288" s="24">
        <v>142363</v>
      </c>
      <c r="C1288" s="24" t="s">
        <v>1246</v>
      </c>
      <c r="D1288" s="24" t="s">
        <v>1102</v>
      </c>
      <c r="E1288" s="24" t="s">
        <v>402</v>
      </c>
      <c r="F1288" s="24" t="s">
        <v>1142</v>
      </c>
      <c r="G1288" s="24" t="s">
        <v>1244</v>
      </c>
      <c r="H1288" s="24" t="s">
        <v>543</v>
      </c>
      <c r="I1288" s="24" t="s">
        <v>1393</v>
      </c>
      <c r="J1288" s="24" t="s">
        <v>761</v>
      </c>
      <c r="K1288" s="24" t="s">
        <v>1146</v>
      </c>
      <c r="L1288" s="25">
        <v>1070</v>
      </c>
      <c r="M1288" s="26">
        <v>2.3334000000000001</v>
      </c>
      <c r="N1288" s="27">
        <v>2.3334000000000001</v>
      </c>
      <c r="O1288" s="28">
        <v>2.1212727272727273E-3</v>
      </c>
      <c r="P1288" s="28">
        <v>2.2095026548672569</v>
      </c>
    </row>
    <row r="1289" spans="1:16" x14ac:dyDescent="0.3">
      <c r="A1289" t="s">
        <v>4185</v>
      </c>
      <c r="B1289" s="24">
        <v>101554</v>
      </c>
      <c r="C1289" s="24" t="s">
        <v>1202</v>
      </c>
      <c r="D1289" s="24" t="s">
        <v>1102</v>
      </c>
      <c r="E1289" s="24" t="s">
        <v>402</v>
      </c>
      <c r="F1289" s="24" t="s">
        <v>1142</v>
      </c>
      <c r="G1289" s="24" t="s">
        <v>1244</v>
      </c>
      <c r="H1289" s="24" t="s">
        <v>543</v>
      </c>
      <c r="I1289" s="24" t="s">
        <v>1393</v>
      </c>
      <c r="J1289" s="24" t="s">
        <v>761</v>
      </c>
      <c r="K1289" s="24" t="s">
        <v>1146</v>
      </c>
      <c r="L1289" s="25">
        <v>1070</v>
      </c>
      <c r="M1289" s="26">
        <v>2.3334000000000001</v>
      </c>
      <c r="N1289" s="27">
        <v>2.3334000000000001</v>
      </c>
      <c r="O1289" s="28">
        <v>2.1212727272727273E-3</v>
      </c>
      <c r="P1289" s="28">
        <v>2.2095026548672569</v>
      </c>
    </row>
    <row r="1290" spans="1:16" x14ac:dyDescent="0.3">
      <c r="A1290" t="s">
        <v>4186</v>
      </c>
      <c r="B1290" s="24">
        <v>142363</v>
      </c>
      <c r="C1290" s="24" t="s">
        <v>1246</v>
      </c>
      <c r="D1290" s="24" t="s">
        <v>1102</v>
      </c>
      <c r="E1290" s="24" t="s">
        <v>402</v>
      </c>
      <c r="F1290" s="24" t="s">
        <v>1142</v>
      </c>
      <c r="G1290" s="24" t="s">
        <v>1244</v>
      </c>
      <c r="H1290" s="24" t="s">
        <v>1394</v>
      </c>
      <c r="I1290" s="24" t="s">
        <v>1393</v>
      </c>
      <c r="J1290" s="24" t="s">
        <v>761</v>
      </c>
      <c r="K1290" s="24" t="s">
        <v>1146</v>
      </c>
      <c r="L1290" s="25">
        <v>1070</v>
      </c>
      <c r="M1290" s="26">
        <v>2.3334000000000001</v>
      </c>
      <c r="N1290" s="27">
        <v>2.3334000000000001</v>
      </c>
      <c r="O1290" s="28">
        <v>2.1212727272727273E-3</v>
      </c>
      <c r="P1290" s="28">
        <v>2.2095026548672569</v>
      </c>
    </row>
    <row r="1291" spans="1:16" x14ac:dyDescent="0.3">
      <c r="A1291" t="s">
        <v>4187</v>
      </c>
      <c r="B1291" s="24">
        <v>142363</v>
      </c>
      <c r="C1291" s="24" t="s">
        <v>1246</v>
      </c>
      <c r="D1291" s="24" t="s">
        <v>1102</v>
      </c>
      <c r="E1291" s="24" t="s">
        <v>402</v>
      </c>
      <c r="F1291" s="24" t="s">
        <v>1142</v>
      </c>
      <c r="G1291" s="24" t="s">
        <v>1244</v>
      </c>
      <c r="H1291" s="24" t="s">
        <v>541</v>
      </c>
      <c r="I1291" s="24" t="s">
        <v>1393</v>
      </c>
      <c r="J1291" s="24" t="s">
        <v>761</v>
      </c>
      <c r="K1291" s="24" t="s">
        <v>1146</v>
      </c>
      <c r="L1291" s="25">
        <v>1070</v>
      </c>
      <c r="M1291" s="26">
        <v>2.3136000000000001</v>
      </c>
      <c r="N1291" s="27">
        <v>2.3136000000000001</v>
      </c>
      <c r="O1291" s="28">
        <v>2.1032727272727275E-3</v>
      </c>
      <c r="P1291" s="28">
        <v>2.190753982300885</v>
      </c>
    </row>
    <row r="1292" spans="1:16" x14ac:dyDescent="0.3">
      <c r="A1292" t="s">
        <v>4188</v>
      </c>
      <c r="B1292" s="24">
        <v>101554</v>
      </c>
      <c r="C1292" s="24" t="s">
        <v>1202</v>
      </c>
      <c r="D1292" s="24" t="s">
        <v>1102</v>
      </c>
      <c r="E1292" s="24" t="s">
        <v>402</v>
      </c>
      <c r="F1292" s="24" t="s">
        <v>1142</v>
      </c>
      <c r="G1292" s="24" t="s">
        <v>1244</v>
      </c>
      <c r="H1292" s="24" t="s">
        <v>541</v>
      </c>
      <c r="I1292" s="24" t="s">
        <v>1393</v>
      </c>
      <c r="J1292" s="24" t="s">
        <v>761</v>
      </c>
      <c r="K1292" s="24" t="s">
        <v>1146</v>
      </c>
      <c r="L1292" s="25">
        <v>1070</v>
      </c>
      <c r="M1292" s="26">
        <v>2.3136000000000001</v>
      </c>
      <c r="N1292" s="27">
        <v>2.3136000000000001</v>
      </c>
      <c r="O1292" s="28">
        <v>2.1032727272727275E-3</v>
      </c>
      <c r="P1292" s="28">
        <v>2.190753982300885</v>
      </c>
    </row>
    <row r="1293" spans="1:16" x14ac:dyDescent="0.3">
      <c r="A1293" t="s">
        <v>4189</v>
      </c>
      <c r="B1293" s="24">
        <v>142363</v>
      </c>
      <c r="C1293" s="24" t="s">
        <v>1246</v>
      </c>
      <c r="D1293" s="24" t="s">
        <v>1102</v>
      </c>
      <c r="E1293" s="24" t="s">
        <v>402</v>
      </c>
      <c r="F1293" s="24" t="s">
        <v>1142</v>
      </c>
      <c r="G1293" s="24" t="s">
        <v>1244</v>
      </c>
      <c r="H1293" s="24" t="s">
        <v>544</v>
      </c>
      <c r="I1293" s="24" t="s">
        <v>1393</v>
      </c>
      <c r="J1293" s="24" t="s">
        <v>761</v>
      </c>
      <c r="K1293" s="24" t="s">
        <v>1146</v>
      </c>
      <c r="L1293" s="25">
        <v>1070</v>
      </c>
      <c r="M1293" s="26">
        <v>2.4184000000000001</v>
      </c>
      <c r="N1293" s="27">
        <v>2.4184000000000001</v>
      </c>
      <c r="O1293" s="28">
        <v>2.1985454545454548E-3</v>
      </c>
      <c r="P1293" s="28">
        <v>2.2899893805309737</v>
      </c>
    </row>
    <row r="1294" spans="1:16" x14ac:dyDescent="0.3">
      <c r="A1294" t="s">
        <v>4190</v>
      </c>
      <c r="B1294" s="24">
        <v>142363</v>
      </c>
      <c r="C1294" s="24" t="s">
        <v>1246</v>
      </c>
      <c r="D1294" s="24" t="s">
        <v>1102</v>
      </c>
      <c r="E1294" s="24" t="s">
        <v>402</v>
      </c>
      <c r="F1294" s="24" t="s">
        <v>1142</v>
      </c>
      <c r="G1294" s="24" t="s">
        <v>1244</v>
      </c>
      <c r="H1294" s="24" t="s">
        <v>545</v>
      </c>
      <c r="I1294" s="24" t="s">
        <v>1393</v>
      </c>
      <c r="J1294" s="24" t="s">
        <v>761</v>
      </c>
      <c r="K1294" s="24" t="s">
        <v>1146</v>
      </c>
      <c r="L1294" s="25">
        <v>1070</v>
      </c>
      <c r="M1294" s="26">
        <v>2.3334000000000001</v>
      </c>
      <c r="N1294" s="27">
        <v>2.3334000000000001</v>
      </c>
      <c r="O1294" s="28">
        <v>2.1212727272727273E-3</v>
      </c>
      <c r="P1294" s="28">
        <v>2.2095026548672569</v>
      </c>
    </row>
    <row r="1295" spans="1:16" x14ac:dyDescent="0.3">
      <c r="A1295" t="s">
        <v>4191</v>
      </c>
      <c r="B1295" s="24">
        <v>141365</v>
      </c>
      <c r="C1295" s="24" t="s">
        <v>1262</v>
      </c>
      <c r="D1295" s="24" t="s">
        <v>1102</v>
      </c>
      <c r="E1295" s="24" t="s">
        <v>402</v>
      </c>
      <c r="F1295" s="24" t="s">
        <v>1142</v>
      </c>
      <c r="G1295" s="24" t="s">
        <v>1244</v>
      </c>
      <c r="H1295" s="24" t="s">
        <v>546</v>
      </c>
      <c r="I1295" s="24" t="s">
        <v>1393</v>
      </c>
      <c r="J1295" s="24" t="s">
        <v>761</v>
      </c>
      <c r="K1295" s="24" t="s">
        <v>1146</v>
      </c>
      <c r="L1295" s="25">
        <v>1070</v>
      </c>
      <c r="M1295" s="26">
        <v>2.3380000000000001</v>
      </c>
      <c r="N1295" s="27">
        <v>2.3380000000000001</v>
      </c>
      <c r="O1295" s="28">
        <v>2.1254545454545454E-3</v>
      </c>
      <c r="P1295" s="28">
        <v>2.2138584070796461</v>
      </c>
    </row>
    <row r="1296" spans="1:16" x14ac:dyDescent="0.3">
      <c r="A1296" t="s">
        <v>4192</v>
      </c>
      <c r="B1296" s="24">
        <v>142363</v>
      </c>
      <c r="C1296" s="24" t="s">
        <v>1246</v>
      </c>
      <c r="D1296" s="24" t="s">
        <v>1102</v>
      </c>
      <c r="E1296" s="24" t="s">
        <v>402</v>
      </c>
      <c r="F1296" s="24" t="s">
        <v>1142</v>
      </c>
      <c r="G1296" s="24" t="s">
        <v>1244</v>
      </c>
      <c r="H1296" s="24" t="s">
        <v>546</v>
      </c>
      <c r="I1296" s="24" t="s">
        <v>1393</v>
      </c>
      <c r="J1296" s="24" t="s">
        <v>761</v>
      </c>
      <c r="K1296" s="24" t="s">
        <v>1146</v>
      </c>
      <c r="L1296" s="25">
        <v>1070</v>
      </c>
      <c r="M1296" s="26">
        <v>2.3380000000000001</v>
      </c>
      <c r="N1296" s="27">
        <v>2.3380000000000001</v>
      </c>
      <c r="O1296" s="28">
        <v>2.1254545454545454E-3</v>
      </c>
      <c r="P1296" s="28">
        <v>2.2138584070796461</v>
      </c>
    </row>
    <row r="1297" spans="1:16" x14ac:dyDescent="0.3">
      <c r="A1297" t="s">
        <v>4193</v>
      </c>
      <c r="B1297" s="24">
        <v>142363</v>
      </c>
      <c r="C1297" s="24" t="s">
        <v>1246</v>
      </c>
      <c r="D1297" s="24" t="s">
        <v>1102</v>
      </c>
      <c r="E1297" s="24" t="s">
        <v>402</v>
      </c>
      <c r="F1297" s="24" t="s">
        <v>1142</v>
      </c>
      <c r="G1297" s="24" t="s">
        <v>1244</v>
      </c>
      <c r="H1297" s="24" t="s">
        <v>547</v>
      </c>
      <c r="I1297" s="24" t="s">
        <v>1393</v>
      </c>
      <c r="J1297" s="24" t="s">
        <v>761</v>
      </c>
      <c r="K1297" s="24" t="s">
        <v>1146</v>
      </c>
      <c r="L1297" s="25">
        <v>1070</v>
      </c>
      <c r="M1297" s="26">
        <v>2.3403999999999998</v>
      </c>
      <c r="N1297" s="27">
        <v>2.3403999999999998</v>
      </c>
      <c r="O1297" s="28">
        <v>2.1276363636363637E-3</v>
      </c>
      <c r="P1297" s="28">
        <v>2.2161309734513273</v>
      </c>
    </row>
    <row r="1298" spans="1:16" x14ac:dyDescent="0.3">
      <c r="A1298" t="s">
        <v>4194</v>
      </c>
      <c r="B1298" s="24">
        <v>142363</v>
      </c>
      <c r="C1298" s="24" t="s">
        <v>1246</v>
      </c>
      <c r="D1298" s="24" t="s">
        <v>1102</v>
      </c>
      <c r="E1298" s="24" t="s">
        <v>402</v>
      </c>
      <c r="F1298" s="24" t="s">
        <v>1142</v>
      </c>
      <c r="G1298" s="24" t="s">
        <v>1244</v>
      </c>
      <c r="H1298" s="24" t="s">
        <v>548</v>
      </c>
      <c r="I1298" s="24" t="s">
        <v>1393</v>
      </c>
      <c r="J1298" s="24" t="s">
        <v>761</v>
      </c>
      <c r="K1298" s="24" t="s">
        <v>1146</v>
      </c>
      <c r="L1298" s="25">
        <v>1070</v>
      </c>
      <c r="M1298" s="26">
        <v>2.7530999999999999</v>
      </c>
      <c r="N1298" s="27">
        <v>2.7530999999999999</v>
      </c>
      <c r="O1298" s="28">
        <v>2.5028181818181816E-3</v>
      </c>
      <c r="P1298" s="28">
        <v>2.6069176991150442</v>
      </c>
    </row>
    <row r="1299" spans="1:16" x14ac:dyDescent="0.3">
      <c r="A1299" t="s">
        <v>4195</v>
      </c>
      <c r="B1299" s="24">
        <v>101554</v>
      </c>
      <c r="C1299" s="24" t="s">
        <v>1202</v>
      </c>
      <c r="D1299" s="24" t="s">
        <v>1102</v>
      </c>
      <c r="E1299" s="24" t="s">
        <v>402</v>
      </c>
      <c r="F1299" s="24" t="s">
        <v>1142</v>
      </c>
      <c r="G1299" s="24" t="s">
        <v>1244</v>
      </c>
      <c r="H1299" s="24" t="s">
        <v>548</v>
      </c>
      <c r="I1299" s="24" t="s">
        <v>1393</v>
      </c>
      <c r="J1299" s="24" t="s">
        <v>761</v>
      </c>
      <c r="K1299" s="24" t="s">
        <v>1146</v>
      </c>
      <c r="L1299" s="25">
        <v>1070</v>
      </c>
      <c r="M1299" s="26">
        <v>2.7530999999999999</v>
      </c>
      <c r="N1299" s="27">
        <v>2.7530999999999999</v>
      </c>
      <c r="O1299" s="28">
        <v>2.5028181818181816E-3</v>
      </c>
      <c r="P1299" s="28">
        <v>2.6069176991150442</v>
      </c>
    </row>
    <row r="1300" spans="1:16" x14ac:dyDescent="0.3">
      <c r="A1300" t="s">
        <v>4196</v>
      </c>
      <c r="B1300" s="24">
        <v>142363</v>
      </c>
      <c r="C1300" s="24" t="s">
        <v>1246</v>
      </c>
      <c r="D1300" s="24" t="s">
        <v>1102</v>
      </c>
      <c r="E1300" s="24" t="s">
        <v>402</v>
      </c>
      <c r="F1300" s="24" t="s">
        <v>1142</v>
      </c>
      <c r="G1300" s="24" t="s">
        <v>1244</v>
      </c>
      <c r="H1300" s="24" t="s">
        <v>548</v>
      </c>
      <c r="I1300" s="24" t="s">
        <v>1393</v>
      </c>
      <c r="J1300" s="24" t="s">
        <v>761</v>
      </c>
      <c r="K1300" s="24" t="s">
        <v>1146</v>
      </c>
      <c r="L1300" s="25">
        <v>1070</v>
      </c>
      <c r="M1300" s="26">
        <v>2.7530999999999999</v>
      </c>
      <c r="N1300" s="27">
        <v>2.7530999999999999</v>
      </c>
      <c r="O1300" s="28">
        <v>2.5028181818181816E-3</v>
      </c>
      <c r="P1300" s="28">
        <v>2.6069176991150442</v>
      </c>
    </row>
    <row r="1301" spans="1:16" x14ac:dyDescent="0.3">
      <c r="A1301" t="s">
        <v>4197</v>
      </c>
      <c r="B1301" s="24">
        <v>142363</v>
      </c>
      <c r="C1301" s="24" t="s">
        <v>1246</v>
      </c>
      <c r="D1301" s="24" t="s">
        <v>1102</v>
      </c>
      <c r="E1301" s="24" t="s">
        <v>402</v>
      </c>
      <c r="F1301" s="24" t="s">
        <v>1142</v>
      </c>
      <c r="G1301" s="24" t="s">
        <v>1244</v>
      </c>
      <c r="H1301" s="24" t="s">
        <v>549</v>
      </c>
      <c r="I1301" s="24" t="s">
        <v>1393</v>
      </c>
      <c r="J1301" s="24" t="s">
        <v>761</v>
      </c>
      <c r="K1301" s="24" t="s">
        <v>1146</v>
      </c>
      <c r="L1301" s="25">
        <v>1070</v>
      </c>
      <c r="M1301" s="26">
        <v>2.7783000000000002</v>
      </c>
      <c r="N1301" s="27">
        <v>2.7783000000000002</v>
      </c>
      <c r="O1301" s="28">
        <v>2.5257272727272728E-3</v>
      </c>
      <c r="P1301" s="28">
        <v>2.6307796460176993</v>
      </c>
    </row>
    <row r="1302" spans="1:16" x14ac:dyDescent="0.3">
      <c r="A1302" t="s">
        <v>4198</v>
      </c>
      <c r="B1302" s="24">
        <v>142363</v>
      </c>
      <c r="C1302" s="24" t="s">
        <v>1246</v>
      </c>
      <c r="D1302" s="24" t="s">
        <v>1102</v>
      </c>
      <c r="E1302" s="24" t="s">
        <v>402</v>
      </c>
      <c r="F1302" s="24" t="s">
        <v>1142</v>
      </c>
      <c r="G1302" s="24" t="s">
        <v>1244</v>
      </c>
      <c r="H1302" s="24" t="s">
        <v>1395</v>
      </c>
      <c r="I1302" s="24" t="s">
        <v>1393</v>
      </c>
      <c r="J1302" s="24" t="s">
        <v>761</v>
      </c>
      <c r="K1302" s="24" t="s">
        <v>1146</v>
      </c>
      <c r="L1302" s="25">
        <v>1070</v>
      </c>
      <c r="M1302" s="26">
        <v>2.3382999999999998</v>
      </c>
      <c r="N1302" s="27">
        <v>2.3382999999999998</v>
      </c>
      <c r="O1302" s="28">
        <v>2.1257272727272726E-3</v>
      </c>
      <c r="P1302" s="28">
        <v>2.2141424778761061</v>
      </c>
    </row>
    <row r="1303" spans="1:16" x14ac:dyDescent="0.3">
      <c r="A1303" t="s">
        <v>4199</v>
      </c>
      <c r="B1303" s="24">
        <v>142363</v>
      </c>
      <c r="C1303" s="24" t="s">
        <v>1246</v>
      </c>
      <c r="D1303" s="24" t="s">
        <v>1102</v>
      </c>
      <c r="E1303" s="24" t="s">
        <v>402</v>
      </c>
      <c r="F1303" s="24" t="s">
        <v>1142</v>
      </c>
      <c r="G1303" s="24" t="s">
        <v>1244</v>
      </c>
      <c r="H1303" s="24" t="s">
        <v>550</v>
      </c>
      <c r="I1303" s="24" t="s">
        <v>1396</v>
      </c>
      <c r="J1303" s="24" t="s">
        <v>761</v>
      </c>
      <c r="K1303" s="24" t="s">
        <v>1146</v>
      </c>
      <c r="L1303" s="25">
        <v>1070</v>
      </c>
      <c r="M1303" s="26">
        <v>2.3334999999999999</v>
      </c>
      <c r="N1303" s="27">
        <v>2.3334999999999999</v>
      </c>
      <c r="O1303" s="28">
        <v>2.1213636363636361E-3</v>
      </c>
      <c r="P1303" s="28">
        <v>2.2095973451327433</v>
      </c>
    </row>
    <row r="1304" spans="1:16" x14ac:dyDescent="0.3">
      <c r="A1304" t="s">
        <v>4200</v>
      </c>
      <c r="B1304" s="24">
        <v>142363</v>
      </c>
      <c r="C1304" s="24" t="s">
        <v>1246</v>
      </c>
      <c r="D1304" s="24" t="s">
        <v>1102</v>
      </c>
      <c r="E1304" s="24" t="s">
        <v>402</v>
      </c>
      <c r="F1304" s="24" t="s">
        <v>1142</v>
      </c>
      <c r="G1304" s="24" t="s">
        <v>1244</v>
      </c>
      <c r="H1304" s="24" t="s">
        <v>550</v>
      </c>
      <c r="I1304" s="24" t="s">
        <v>1396</v>
      </c>
      <c r="J1304" s="24" t="s">
        <v>761</v>
      </c>
      <c r="K1304" s="24" t="s">
        <v>1146</v>
      </c>
      <c r="L1304" s="25">
        <v>1070</v>
      </c>
      <c r="M1304" s="26">
        <v>2.3334999999999999</v>
      </c>
      <c r="N1304" s="27">
        <v>2.3334999999999999</v>
      </c>
      <c r="O1304" s="28">
        <v>2.1213636363636361E-3</v>
      </c>
      <c r="P1304" s="28">
        <v>2.2095973451327433</v>
      </c>
    </row>
    <row r="1305" spans="1:16" x14ac:dyDescent="0.3">
      <c r="A1305" t="s">
        <v>4201</v>
      </c>
      <c r="B1305" s="24">
        <v>142363</v>
      </c>
      <c r="C1305" s="24" t="s">
        <v>1246</v>
      </c>
      <c r="D1305" s="24" t="s">
        <v>1102</v>
      </c>
      <c r="E1305" s="24" t="s">
        <v>402</v>
      </c>
      <c r="F1305" s="24" t="s">
        <v>1142</v>
      </c>
      <c r="G1305" s="24" t="s">
        <v>1244</v>
      </c>
      <c r="H1305" s="24" t="s">
        <v>551</v>
      </c>
      <c r="I1305" s="24" t="s">
        <v>1393</v>
      </c>
      <c r="J1305" s="24" t="s">
        <v>761</v>
      </c>
      <c r="K1305" s="24" t="s">
        <v>1146</v>
      </c>
      <c r="L1305" s="25">
        <v>1070</v>
      </c>
      <c r="M1305" s="26">
        <v>2.3456999999999999</v>
      </c>
      <c r="N1305" s="27">
        <v>2.3456999999999999</v>
      </c>
      <c r="O1305" s="28">
        <v>2.1324545454545455E-3</v>
      </c>
      <c r="P1305" s="28">
        <v>2.2211495575221236</v>
      </c>
    </row>
    <row r="1306" spans="1:16" x14ac:dyDescent="0.3">
      <c r="A1306" t="s">
        <v>4202</v>
      </c>
      <c r="B1306" s="24">
        <v>107603</v>
      </c>
      <c r="C1306" s="24" t="s">
        <v>1241</v>
      </c>
      <c r="D1306" s="24" t="s">
        <v>1102</v>
      </c>
      <c r="E1306" s="24" t="s">
        <v>402</v>
      </c>
      <c r="F1306" s="24" t="s">
        <v>1142</v>
      </c>
      <c r="G1306" s="24" t="s">
        <v>1200</v>
      </c>
      <c r="H1306" s="24" t="s">
        <v>585</v>
      </c>
      <c r="I1306" s="24" t="s">
        <v>1397</v>
      </c>
      <c r="J1306" s="24" t="s">
        <v>761</v>
      </c>
      <c r="K1306" s="24" t="s">
        <v>1146</v>
      </c>
      <c r="L1306" s="25">
        <v>1070</v>
      </c>
      <c r="M1306" s="26">
        <v>4.3099999999999996</v>
      </c>
      <c r="N1306" s="27">
        <v>4.3099999999999996</v>
      </c>
      <c r="O1306" s="28">
        <v>3.9181818181818181E-3</v>
      </c>
      <c r="P1306" s="28">
        <v>4.0811504424778757</v>
      </c>
    </row>
    <row r="1307" spans="1:16" x14ac:dyDescent="0.3">
      <c r="A1307" t="s">
        <v>4203</v>
      </c>
      <c r="B1307" s="24">
        <v>114635</v>
      </c>
      <c r="C1307" s="24" t="s">
        <v>1243</v>
      </c>
      <c r="D1307" s="24" t="s">
        <v>1102</v>
      </c>
      <c r="E1307" s="24" t="s">
        <v>402</v>
      </c>
      <c r="F1307" s="24" t="s">
        <v>1142</v>
      </c>
      <c r="G1307" s="24" t="s">
        <v>1200</v>
      </c>
      <c r="H1307" s="24" t="s">
        <v>585</v>
      </c>
      <c r="I1307" s="24" t="s">
        <v>1397</v>
      </c>
      <c r="J1307" s="24" t="s">
        <v>761</v>
      </c>
      <c r="K1307" s="24" t="s">
        <v>1146</v>
      </c>
      <c r="L1307" s="25">
        <v>1070</v>
      </c>
      <c r="M1307" s="26">
        <v>4.3099999999999996</v>
      </c>
      <c r="N1307" s="27">
        <v>4.3099999999999996</v>
      </c>
      <c r="O1307" s="28">
        <v>3.9181818181818181E-3</v>
      </c>
      <c r="P1307" s="28">
        <v>4.0811504424778757</v>
      </c>
    </row>
    <row r="1308" spans="1:16" x14ac:dyDescent="0.3">
      <c r="A1308" t="s">
        <v>4204</v>
      </c>
      <c r="B1308" s="24">
        <v>111844</v>
      </c>
      <c r="C1308" s="24" t="s">
        <v>1398</v>
      </c>
      <c r="D1308" s="24" t="s">
        <v>1102</v>
      </c>
      <c r="E1308" s="24" t="s">
        <v>402</v>
      </c>
      <c r="F1308" s="24" t="s">
        <v>1142</v>
      </c>
      <c r="G1308" s="24" t="s">
        <v>1399</v>
      </c>
      <c r="H1308" s="24" t="s">
        <v>584</v>
      </c>
      <c r="I1308" s="24" t="s">
        <v>1400</v>
      </c>
      <c r="J1308" s="24" t="s">
        <v>761</v>
      </c>
      <c r="K1308" s="24" t="s">
        <v>1146</v>
      </c>
      <c r="L1308" s="25">
        <v>1070</v>
      </c>
      <c r="M1308" s="26">
        <v>26</v>
      </c>
      <c r="N1308" s="27">
        <v>26</v>
      </c>
      <c r="O1308" s="28">
        <v>2.3636363636363636E-2</v>
      </c>
      <c r="P1308" s="28">
        <v>24.619469026548671</v>
      </c>
    </row>
    <row r="1309" spans="1:16" x14ac:dyDescent="0.3">
      <c r="A1309" t="s">
        <v>4205</v>
      </c>
      <c r="B1309" s="24">
        <v>101184</v>
      </c>
      <c r="C1309" s="24" t="s">
        <v>1401</v>
      </c>
      <c r="D1309" s="24" t="s">
        <v>1102</v>
      </c>
      <c r="E1309" s="24" t="s">
        <v>402</v>
      </c>
      <c r="F1309" s="24" t="s">
        <v>1142</v>
      </c>
      <c r="G1309" s="24" t="s">
        <v>1402</v>
      </c>
      <c r="H1309" s="24" t="s">
        <v>579</v>
      </c>
      <c r="I1309" s="24" t="s">
        <v>1403</v>
      </c>
      <c r="J1309" s="24" t="s">
        <v>761</v>
      </c>
      <c r="K1309" s="24" t="s">
        <v>1146</v>
      </c>
      <c r="L1309" s="25">
        <v>1070</v>
      </c>
      <c r="M1309" s="26">
        <v>3.1</v>
      </c>
      <c r="N1309" s="27">
        <v>3.1</v>
      </c>
      <c r="O1309" s="28">
        <v>2.8181818181818182E-3</v>
      </c>
      <c r="P1309" s="28">
        <v>2.9353982300884955</v>
      </c>
    </row>
    <row r="1310" spans="1:16" x14ac:dyDescent="0.3">
      <c r="A1310" t="s">
        <v>4206</v>
      </c>
      <c r="B1310" s="24">
        <v>101186</v>
      </c>
      <c r="C1310" s="24" t="s">
        <v>1273</v>
      </c>
      <c r="D1310" s="24" t="s">
        <v>1102</v>
      </c>
      <c r="E1310" s="24" t="s">
        <v>402</v>
      </c>
      <c r="F1310" s="24" t="s">
        <v>1142</v>
      </c>
      <c r="G1310" s="24" t="s">
        <v>1203</v>
      </c>
      <c r="H1310" s="24" t="s">
        <v>579</v>
      </c>
      <c r="I1310" s="24" t="s">
        <v>1403</v>
      </c>
      <c r="J1310" s="24" t="s">
        <v>761</v>
      </c>
      <c r="K1310" s="24" t="s">
        <v>1146</v>
      </c>
      <c r="L1310" s="25">
        <v>1070</v>
      </c>
      <c r="M1310" s="26">
        <v>3.1</v>
      </c>
      <c r="N1310" s="27">
        <v>3.1</v>
      </c>
      <c r="O1310" s="28">
        <v>2.8181818181818182E-3</v>
      </c>
      <c r="P1310" s="28">
        <v>2.9353982300884955</v>
      </c>
    </row>
    <row r="1311" spans="1:16" x14ac:dyDescent="0.3">
      <c r="A1311" t="s">
        <v>4207</v>
      </c>
      <c r="B1311" s="24">
        <v>101424</v>
      </c>
      <c r="C1311" s="24" t="s">
        <v>1278</v>
      </c>
      <c r="D1311" s="24" t="s">
        <v>1102</v>
      </c>
      <c r="E1311" s="24" t="s">
        <v>402</v>
      </c>
      <c r="F1311" s="24" t="s">
        <v>1142</v>
      </c>
      <c r="G1311" s="24" t="s">
        <v>1203</v>
      </c>
      <c r="H1311" s="24" t="s">
        <v>579</v>
      </c>
      <c r="I1311" s="24" t="s">
        <v>1403</v>
      </c>
      <c r="J1311" s="24" t="s">
        <v>761</v>
      </c>
      <c r="K1311" s="24" t="s">
        <v>1146</v>
      </c>
      <c r="L1311" s="25">
        <v>1070</v>
      </c>
      <c r="M1311" s="26">
        <v>3.1</v>
      </c>
      <c r="N1311" s="27">
        <v>3.1</v>
      </c>
      <c r="O1311" s="28">
        <v>2.8181818181818182E-3</v>
      </c>
      <c r="P1311" s="28">
        <v>2.9353982300884955</v>
      </c>
    </row>
    <row r="1312" spans="1:16" x14ac:dyDescent="0.3">
      <c r="A1312" t="s">
        <v>4208</v>
      </c>
      <c r="B1312" s="24">
        <v>101186</v>
      </c>
      <c r="C1312" s="24" t="s">
        <v>1273</v>
      </c>
      <c r="D1312" s="24" t="s">
        <v>1102</v>
      </c>
      <c r="E1312" s="24" t="s">
        <v>402</v>
      </c>
      <c r="F1312" s="24" t="s">
        <v>1142</v>
      </c>
      <c r="G1312" s="24" t="s">
        <v>1203</v>
      </c>
      <c r="H1312" s="24" t="s">
        <v>1404</v>
      </c>
      <c r="I1312" s="24" t="s">
        <v>1405</v>
      </c>
      <c r="J1312" s="24" t="s">
        <v>761</v>
      </c>
      <c r="K1312" s="24" t="s">
        <v>1146</v>
      </c>
      <c r="L1312" s="25">
        <v>1070</v>
      </c>
      <c r="M1312" s="26">
        <v>4.1500000000000004</v>
      </c>
      <c r="N1312" s="27">
        <v>4.1500000000000004</v>
      </c>
      <c r="O1312" s="28">
        <v>3.7727272727272731E-3</v>
      </c>
      <c r="P1312" s="28">
        <v>3.929646017699115</v>
      </c>
    </row>
    <row r="1313" spans="1:16" x14ac:dyDescent="0.3">
      <c r="A1313" t="s">
        <v>4209</v>
      </c>
      <c r="B1313" s="24">
        <v>107603</v>
      </c>
      <c r="C1313" s="24" t="s">
        <v>1241</v>
      </c>
      <c r="D1313" s="24" t="s">
        <v>1102</v>
      </c>
      <c r="E1313" s="24" t="s">
        <v>402</v>
      </c>
      <c r="F1313" s="24" t="s">
        <v>1142</v>
      </c>
      <c r="G1313" s="24" t="s">
        <v>1200</v>
      </c>
      <c r="H1313" s="24" t="s">
        <v>626</v>
      </c>
      <c r="I1313" s="24" t="s">
        <v>1406</v>
      </c>
      <c r="J1313" s="24" t="s">
        <v>761</v>
      </c>
      <c r="K1313" s="24" t="s">
        <v>1146</v>
      </c>
      <c r="L1313" s="25">
        <v>1070</v>
      </c>
      <c r="M1313" s="26">
        <v>5.7</v>
      </c>
      <c r="N1313" s="27">
        <v>5.7</v>
      </c>
      <c r="O1313" s="28">
        <v>5.1818181818181824E-3</v>
      </c>
      <c r="P1313" s="28">
        <v>5.3973451327433626</v>
      </c>
    </row>
    <row r="1314" spans="1:16" x14ac:dyDescent="0.3">
      <c r="A1314" t="s">
        <v>4210</v>
      </c>
      <c r="B1314" s="24">
        <v>107603</v>
      </c>
      <c r="C1314" s="24" t="s">
        <v>1241</v>
      </c>
      <c r="D1314" s="24" t="s">
        <v>1102</v>
      </c>
      <c r="E1314" s="24" t="s">
        <v>402</v>
      </c>
      <c r="F1314" s="24" t="s">
        <v>1142</v>
      </c>
      <c r="G1314" s="24" t="s">
        <v>1200</v>
      </c>
      <c r="H1314" s="24" t="s">
        <v>627</v>
      </c>
      <c r="I1314" s="24" t="s">
        <v>1407</v>
      </c>
      <c r="J1314" s="24" t="s">
        <v>761</v>
      </c>
      <c r="K1314" s="24" t="s">
        <v>1146</v>
      </c>
      <c r="L1314" s="25">
        <v>1070</v>
      </c>
      <c r="M1314" s="26">
        <v>4.6500000000000004</v>
      </c>
      <c r="N1314" s="27">
        <v>4.6500000000000004</v>
      </c>
      <c r="O1314" s="28">
        <v>4.227272727272728E-3</v>
      </c>
      <c r="P1314" s="28">
        <v>4.4030973451327435</v>
      </c>
    </row>
    <row r="1315" spans="1:16" x14ac:dyDescent="0.3">
      <c r="A1315" t="s">
        <v>4211</v>
      </c>
      <c r="B1315" s="24">
        <v>101186</v>
      </c>
      <c r="C1315" s="24" t="s">
        <v>1273</v>
      </c>
      <c r="D1315" s="24" t="s">
        <v>1102</v>
      </c>
      <c r="E1315" s="24" t="s">
        <v>402</v>
      </c>
      <c r="F1315" s="24" t="s">
        <v>1142</v>
      </c>
      <c r="G1315" s="24" t="s">
        <v>1203</v>
      </c>
      <c r="H1315" s="24" t="s">
        <v>586</v>
      </c>
      <c r="I1315" s="24" t="s">
        <v>1408</v>
      </c>
      <c r="J1315" s="24" t="s">
        <v>761</v>
      </c>
      <c r="K1315" s="24" t="s">
        <v>1146</v>
      </c>
      <c r="L1315" s="25">
        <v>1070</v>
      </c>
      <c r="M1315" s="26">
        <v>2.71</v>
      </c>
      <c r="N1315" s="27">
        <v>2.71</v>
      </c>
      <c r="O1315" s="28">
        <v>2.4636363636363636E-3</v>
      </c>
      <c r="P1315" s="28">
        <v>2.5661061946902652</v>
      </c>
    </row>
    <row r="1316" spans="1:16" x14ac:dyDescent="0.3">
      <c r="A1316" t="s">
        <v>4212</v>
      </c>
      <c r="B1316" s="24">
        <v>101424</v>
      </c>
      <c r="C1316" s="24" t="s">
        <v>1278</v>
      </c>
      <c r="D1316" s="24" t="s">
        <v>1102</v>
      </c>
      <c r="E1316" s="24" t="s">
        <v>402</v>
      </c>
      <c r="F1316" s="24" t="s">
        <v>1142</v>
      </c>
      <c r="G1316" s="24" t="s">
        <v>1203</v>
      </c>
      <c r="H1316" s="24" t="s">
        <v>586</v>
      </c>
      <c r="I1316" s="24" t="s">
        <v>1408</v>
      </c>
      <c r="J1316" s="24" t="s">
        <v>761</v>
      </c>
      <c r="K1316" s="24" t="s">
        <v>1146</v>
      </c>
      <c r="L1316" s="25">
        <v>1070</v>
      </c>
      <c r="M1316" s="26">
        <v>2.71</v>
      </c>
      <c r="N1316" s="27">
        <v>2.71</v>
      </c>
      <c r="O1316" s="28">
        <v>2.4636363636363636E-3</v>
      </c>
      <c r="P1316" s="28">
        <v>2.5661061946902652</v>
      </c>
    </row>
    <row r="1317" spans="1:16" x14ac:dyDescent="0.3">
      <c r="A1317" t="s">
        <v>4213</v>
      </c>
      <c r="B1317" s="24">
        <v>106916</v>
      </c>
      <c r="C1317" s="24" t="s">
        <v>1216</v>
      </c>
      <c r="D1317" s="24" t="s">
        <v>1102</v>
      </c>
      <c r="E1317" s="24" t="s">
        <v>402</v>
      </c>
      <c r="F1317" s="24" t="s">
        <v>1142</v>
      </c>
      <c r="G1317" s="24" t="s">
        <v>1203</v>
      </c>
      <c r="H1317" s="24" t="s">
        <v>586</v>
      </c>
      <c r="I1317" s="24" t="s">
        <v>1408</v>
      </c>
      <c r="J1317" s="24" t="s">
        <v>761</v>
      </c>
      <c r="K1317" s="24" t="s">
        <v>1146</v>
      </c>
      <c r="L1317" s="25">
        <v>1070</v>
      </c>
      <c r="M1317" s="26">
        <v>2.71</v>
      </c>
      <c r="N1317" s="27">
        <v>2.71</v>
      </c>
      <c r="O1317" s="28">
        <v>2.4636363636363636E-3</v>
      </c>
      <c r="P1317" s="28">
        <v>2.5661061946902652</v>
      </c>
    </row>
    <row r="1318" spans="1:16" x14ac:dyDescent="0.3">
      <c r="A1318" t="s">
        <v>4214</v>
      </c>
      <c r="B1318" s="24">
        <v>114501</v>
      </c>
      <c r="C1318" s="24" t="s">
        <v>1409</v>
      </c>
      <c r="D1318" s="24" t="s">
        <v>1102</v>
      </c>
      <c r="E1318" s="24" t="s">
        <v>402</v>
      </c>
      <c r="F1318" s="24" t="s">
        <v>1142</v>
      </c>
      <c r="G1318" s="24" t="s">
        <v>1402</v>
      </c>
      <c r="H1318" s="24" t="s">
        <v>586</v>
      </c>
      <c r="I1318" s="24" t="s">
        <v>1408</v>
      </c>
      <c r="J1318" s="24" t="s">
        <v>761</v>
      </c>
      <c r="K1318" s="24" t="s">
        <v>1146</v>
      </c>
      <c r="L1318" s="25">
        <v>1070</v>
      </c>
      <c r="M1318" s="26">
        <v>2.71</v>
      </c>
      <c r="N1318" s="27">
        <v>2.71</v>
      </c>
      <c r="O1318" s="28">
        <v>2.4636363636363636E-3</v>
      </c>
      <c r="P1318" s="28">
        <v>2.5661061946902652</v>
      </c>
    </row>
    <row r="1319" spans="1:16" x14ac:dyDescent="0.3">
      <c r="A1319" t="s">
        <v>4215</v>
      </c>
      <c r="B1319" s="24">
        <v>100581</v>
      </c>
      <c r="C1319" s="24" t="s">
        <v>1232</v>
      </c>
      <c r="D1319" s="24" t="s">
        <v>1102</v>
      </c>
      <c r="E1319" s="24" t="s">
        <v>402</v>
      </c>
      <c r="F1319" s="24" t="s">
        <v>1142</v>
      </c>
      <c r="G1319" s="24" t="s">
        <v>1233</v>
      </c>
      <c r="H1319" s="24" t="s">
        <v>587</v>
      </c>
      <c r="I1319" s="24" t="s">
        <v>1410</v>
      </c>
      <c r="J1319" s="24" t="s">
        <v>761</v>
      </c>
      <c r="K1319" s="24" t="s">
        <v>1146</v>
      </c>
      <c r="L1319" s="25">
        <v>1070</v>
      </c>
      <c r="M1319" s="26">
        <v>2.5</v>
      </c>
      <c r="N1319" s="27">
        <v>2.5</v>
      </c>
      <c r="O1319" s="28">
        <v>2.2727272727272726E-3</v>
      </c>
      <c r="P1319" s="28">
        <v>2.3672566371681416</v>
      </c>
    </row>
    <row r="1320" spans="1:16" x14ac:dyDescent="0.3">
      <c r="A1320" t="s">
        <v>4216</v>
      </c>
      <c r="B1320" s="24">
        <v>100603</v>
      </c>
      <c r="C1320" s="24" t="s">
        <v>1277</v>
      </c>
      <c r="D1320" s="24" t="s">
        <v>1102</v>
      </c>
      <c r="E1320" s="24" t="s">
        <v>402</v>
      </c>
      <c r="F1320" s="24" t="s">
        <v>1142</v>
      </c>
      <c r="G1320" s="24" t="s">
        <v>1082</v>
      </c>
      <c r="H1320" s="24" t="s">
        <v>587</v>
      </c>
      <c r="I1320" s="24" t="s">
        <v>1410</v>
      </c>
      <c r="J1320" s="24" t="s">
        <v>761</v>
      </c>
      <c r="K1320" s="24" t="s">
        <v>1146</v>
      </c>
      <c r="L1320" s="25">
        <v>1070</v>
      </c>
      <c r="M1320" s="26">
        <v>2.5</v>
      </c>
      <c r="N1320" s="27">
        <v>2.5</v>
      </c>
      <c r="O1320" s="28">
        <v>2.2727272727272726E-3</v>
      </c>
      <c r="P1320" s="28">
        <v>2.3672566371681416</v>
      </c>
    </row>
    <row r="1321" spans="1:16" x14ac:dyDescent="0.3">
      <c r="A1321" t="s">
        <v>4217</v>
      </c>
      <c r="B1321" s="24">
        <v>101116</v>
      </c>
      <c r="C1321" s="24" t="s">
        <v>1214</v>
      </c>
      <c r="D1321" s="24" t="s">
        <v>1102</v>
      </c>
      <c r="E1321" s="24" t="s">
        <v>402</v>
      </c>
      <c r="F1321" s="24" t="s">
        <v>1142</v>
      </c>
      <c r="G1321" s="24" t="s">
        <v>1203</v>
      </c>
      <c r="H1321" s="24" t="s">
        <v>587</v>
      </c>
      <c r="I1321" s="24" t="s">
        <v>1410</v>
      </c>
      <c r="J1321" s="24" t="s">
        <v>761</v>
      </c>
      <c r="K1321" s="24" t="s">
        <v>1146</v>
      </c>
      <c r="L1321" s="25">
        <v>1070</v>
      </c>
      <c r="M1321" s="26">
        <v>2.5</v>
      </c>
      <c r="N1321" s="27">
        <v>2.5</v>
      </c>
      <c r="O1321" s="28">
        <v>2.2727272727272726E-3</v>
      </c>
      <c r="P1321" s="28">
        <v>2.3672566371681416</v>
      </c>
    </row>
    <row r="1322" spans="1:16" x14ac:dyDescent="0.3">
      <c r="A1322" t="s">
        <v>4218</v>
      </c>
      <c r="B1322" s="24">
        <v>101186</v>
      </c>
      <c r="C1322" s="24" t="s">
        <v>1273</v>
      </c>
      <c r="D1322" s="24" t="s">
        <v>1102</v>
      </c>
      <c r="E1322" s="24" t="s">
        <v>402</v>
      </c>
      <c r="F1322" s="24" t="s">
        <v>1142</v>
      </c>
      <c r="G1322" s="24" t="s">
        <v>1203</v>
      </c>
      <c r="H1322" s="24" t="s">
        <v>587</v>
      </c>
      <c r="I1322" s="24" t="s">
        <v>1410</v>
      </c>
      <c r="J1322" s="24" t="s">
        <v>761</v>
      </c>
      <c r="K1322" s="24" t="s">
        <v>1146</v>
      </c>
      <c r="L1322" s="25">
        <v>1070</v>
      </c>
      <c r="M1322" s="26">
        <v>2.5</v>
      </c>
      <c r="N1322" s="27">
        <v>2.5</v>
      </c>
      <c r="O1322" s="28">
        <v>2.2727272727272726E-3</v>
      </c>
      <c r="P1322" s="28">
        <v>2.3672566371681416</v>
      </c>
    </row>
    <row r="1323" spans="1:16" x14ac:dyDescent="0.3">
      <c r="A1323" t="s">
        <v>4219</v>
      </c>
      <c r="B1323" s="24">
        <v>101206</v>
      </c>
      <c r="C1323" s="24" t="s">
        <v>1199</v>
      </c>
      <c r="D1323" s="24" t="s">
        <v>1102</v>
      </c>
      <c r="E1323" s="24" t="s">
        <v>402</v>
      </c>
      <c r="F1323" s="24" t="s">
        <v>1142</v>
      </c>
      <c r="G1323" s="24" t="s">
        <v>1200</v>
      </c>
      <c r="H1323" s="24" t="s">
        <v>587</v>
      </c>
      <c r="I1323" s="24" t="s">
        <v>1410</v>
      </c>
      <c r="J1323" s="24" t="s">
        <v>761</v>
      </c>
      <c r="K1323" s="24" t="s">
        <v>1146</v>
      </c>
      <c r="L1323" s="25">
        <v>1070</v>
      </c>
      <c r="M1323" s="26">
        <v>2.5</v>
      </c>
      <c r="N1323" s="27">
        <v>2.5</v>
      </c>
      <c r="O1323" s="28">
        <v>2.2727272727272726E-3</v>
      </c>
      <c r="P1323" s="28">
        <v>2.3672566371681416</v>
      </c>
    </row>
    <row r="1324" spans="1:16" x14ac:dyDescent="0.3">
      <c r="A1324" t="s">
        <v>4220</v>
      </c>
      <c r="B1324" s="24">
        <v>101424</v>
      </c>
      <c r="C1324" s="24" t="s">
        <v>1278</v>
      </c>
      <c r="D1324" s="24" t="s">
        <v>1102</v>
      </c>
      <c r="E1324" s="24" t="s">
        <v>402</v>
      </c>
      <c r="F1324" s="24" t="s">
        <v>1142</v>
      </c>
      <c r="G1324" s="24" t="s">
        <v>1203</v>
      </c>
      <c r="H1324" s="24" t="s">
        <v>587</v>
      </c>
      <c r="I1324" s="24" t="s">
        <v>1410</v>
      </c>
      <c r="J1324" s="24" t="s">
        <v>761</v>
      </c>
      <c r="K1324" s="24" t="s">
        <v>1146</v>
      </c>
      <c r="L1324" s="25">
        <v>1070</v>
      </c>
      <c r="M1324" s="26">
        <v>2.5</v>
      </c>
      <c r="N1324" s="27">
        <v>2.5</v>
      </c>
      <c r="O1324" s="28">
        <v>2.2727272727272726E-3</v>
      </c>
      <c r="P1324" s="28">
        <v>2.3672566371681416</v>
      </c>
    </row>
    <row r="1325" spans="1:16" x14ac:dyDescent="0.3">
      <c r="A1325" t="s">
        <v>4221</v>
      </c>
      <c r="B1325" s="24">
        <v>106916</v>
      </c>
      <c r="C1325" s="24" t="s">
        <v>1216</v>
      </c>
      <c r="D1325" s="24" t="s">
        <v>1102</v>
      </c>
      <c r="E1325" s="24" t="s">
        <v>402</v>
      </c>
      <c r="F1325" s="24" t="s">
        <v>1142</v>
      </c>
      <c r="G1325" s="24" t="s">
        <v>1203</v>
      </c>
      <c r="H1325" s="24" t="s">
        <v>587</v>
      </c>
      <c r="I1325" s="24" t="s">
        <v>1410</v>
      </c>
      <c r="J1325" s="24" t="s">
        <v>761</v>
      </c>
      <c r="K1325" s="24" t="s">
        <v>1146</v>
      </c>
      <c r="L1325" s="25">
        <v>1070</v>
      </c>
      <c r="M1325" s="26">
        <v>2.5</v>
      </c>
      <c r="N1325" s="27">
        <v>2.5</v>
      </c>
      <c r="O1325" s="28">
        <v>2.2727272727272726E-3</v>
      </c>
      <c r="P1325" s="28">
        <v>2.3672566371681416</v>
      </c>
    </row>
    <row r="1326" spans="1:16" x14ac:dyDescent="0.3">
      <c r="A1326" t="s">
        <v>4222</v>
      </c>
      <c r="B1326" s="24">
        <v>109171</v>
      </c>
      <c r="C1326" s="24" t="s">
        <v>1279</v>
      </c>
      <c r="D1326" s="24" t="s">
        <v>1102</v>
      </c>
      <c r="E1326" s="24" t="s">
        <v>402</v>
      </c>
      <c r="F1326" s="24" t="s">
        <v>1142</v>
      </c>
      <c r="G1326" s="24" t="s">
        <v>1203</v>
      </c>
      <c r="H1326" s="24" t="s">
        <v>587</v>
      </c>
      <c r="I1326" s="24" t="s">
        <v>1410</v>
      </c>
      <c r="J1326" s="24" t="s">
        <v>761</v>
      </c>
      <c r="K1326" s="24" t="s">
        <v>1146</v>
      </c>
      <c r="L1326" s="25">
        <v>1070</v>
      </c>
      <c r="M1326" s="26">
        <v>2.5</v>
      </c>
      <c r="N1326" s="27">
        <v>2.5</v>
      </c>
      <c r="O1326" s="28">
        <v>2.2727272727272726E-3</v>
      </c>
      <c r="P1326" s="28">
        <v>2.3672566371681416</v>
      </c>
    </row>
    <row r="1327" spans="1:16" x14ac:dyDescent="0.3">
      <c r="A1327" t="s">
        <v>4223</v>
      </c>
      <c r="B1327" s="24">
        <v>114501</v>
      </c>
      <c r="C1327" s="24" t="s">
        <v>1409</v>
      </c>
      <c r="D1327" s="24" t="s">
        <v>1102</v>
      </c>
      <c r="E1327" s="24" t="s">
        <v>402</v>
      </c>
      <c r="F1327" s="24" t="s">
        <v>1142</v>
      </c>
      <c r="G1327" s="24" t="s">
        <v>1402</v>
      </c>
      <c r="H1327" s="24" t="s">
        <v>587</v>
      </c>
      <c r="I1327" s="24" t="s">
        <v>1410</v>
      </c>
      <c r="J1327" s="24" t="s">
        <v>761</v>
      </c>
      <c r="K1327" s="24" t="s">
        <v>1146</v>
      </c>
      <c r="L1327" s="25">
        <v>1070</v>
      </c>
      <c r="M1327" s="26">
        <v>2.5</v>
      </c>
      <c r="N1327" s="27">
        <v>2.5</v>
      </c>
      <c r="O1327" s="28">
        <v>2.2727272727272726E-3</v>
      </c>
      <c r="P1327" s="28">
        <v>2.3672566371681416</v>
      </c>
    </row>
    <row r="1328" spans="1:16" x14ac:dyDescent="0.3">
      <c r="A1328" t="s">
        <v>4224</v>
      </c>
      <c r="B1328" s="24">
        <v>300043</v>
      </c>
      <c r="C1328" s="24" t="s">
        <v>1280</v>
      </c>
      <c r="D1328" s="24" t="s">
        <v>1102</v>
      </c>
      <c r="E1328" s="24" t="s">
        <v>402</v>
      </c>
      <c r="F1328" s="24" t="s">
        <v>1142</v>
      </c>
      <c r="G1328" s="24" t="s">
        <v>1203</v>
      </c>
      <c r="H1328" s="24" t="s">
        <v>587</v>
      </c>
      <c r="I1328" s="24" t="s">
        <v>1410</v>
      </c>
      <c r="J1328" s="24" t="s">
        <v>761</v>
      </c>
      <c r="K1328" s="24" t="s">
        <v>1146</v>
      </c>
      <c r="L1328" s="25">
        <v>1070</v>
      </c>
      <c r="M1328" s="26">
        <v>2.6</v>
      </c>
      <c r="N1328" s="27">
        <v>2.6</v>
      </c>
      <c r="O1328" s="28">
        <v>2.3636363636363638E-3</v>
      </c>
      <c r="P1328" s="28">
        <v>2.461946902654867</v>
      </c>
    </row>
    <row r="1329" spans="1:16" x14ac:dyDescent="0.3">
      <c r="A1329" t="s">
        <v>4220</v>
      </c>
      <c r="B1329" s="24">
        <v>101424</v>
      </c>
      <c r="C1329" s="24" t="s">
        <v>1278</v>
      </c>
      <c r="D1329" s="24" t="s">
        <v>1102</v>
      </c>
      <c r="E1329" s="24" t="s">
        <v>402</v>
      </c>
      <c r="F1329" s="24" t="s">
        <v>1142</v>
      </c>
      <c r="G1329" s="24" t="s">
        <v>1203</v>
      </c>
      <c r="H1329" s="24" t="s">
        <v>587</v>
      </c>
      <c r="I1329" s="24" t="s">
        <v>1411</v>
      </c>
      <c r="J1329" s="24" t="s">
        <v>761</v>
      </c>
      <c r="K1329" s="24" t="s">
        <v>1146</v>
      </c>
      <c r="L1329" s="25">
        <v>1070</v>
      </c>
      <c r="M1329" s="26">
        <v>2.5</v>
      </c>
      <c r="N1329" s="27">
        <v>2.5</v>
      </c>
      <c r="O1329" s="28">
        <v>2.2727272727272726E-3</v>
      </c>
      <c r="P1329" s="28">
        <v>2.3672566371681416</v>
      </c>
    </row>
    <row r="1330" spans="1:16" x14ac:dyDescent="0.3">
      <c r="A1330" t="s">
        <v>4225</v>
      </c>
      <c r="B1330" s="24">
        <v>100603</v>
      </c>
      <c r="C1330" s="24" t="s">
        <v>1277</v>
      </c>
      <c r="D1330" s="24" t="s">
        <v>1102</v>
      </c>
      <c r="E1330" s="24" t="s">
        <v>402</v>
      </c>
      <c r="F1330" s="24" t="s">
        <v>1142</v>
      </c>
      <c r="G1330" s="24" t="s">
        <v>1082</v>
      </c>
      <c r="H1330" s="24" t="s">
        <v>1105</v>
      </c>
      <c r="I1330" s="24" t="s">
        <v>1411</v>
      </c>
      <c r="J1330" s="24" t="s">
        <v>761</v>
      </c>
      <c r="K1330" s="24" t="s">
        <v>1146</v>
      </c>
      <c r="L1330" s="25">
        <v>1070</v>
      </c>
      <c r="M1330" s="26">
        <v>2.5</v>
      </c>
      <c r="N1330" s="27">
        <v>2.5</v>
      </c>
      <c r="O1330" s="28">
        <v>2.2727272727272726E-3</v>
      </c>
      <c r="P1330" s="28">
        <v>2.3672566371681416</v>
      </c>
    </row>
    <row r="1331" spans="1:16" x14ac:dyDescent="0.3">
      <c r="A1331" t="s">
        <v>4226</v>
      </c>
      <c r="B1331" s="24">
        <v>101424</v>
      </c>
      <c r="C1331" s="24" t="s">
        <v>1278</v>
      </c>
      <c r="D1331" s="24" t="s">
        <v>1102</v>
      </c>
      <c r="E1331" s="24" t="s">
        <v>402</v>
      </c>
      <c r="F1331" s="24" t="s">
        <v>1142</v>
      </c>
      <c r="G1331" s="24" t="s">
        <v>1082</v>
      </c>
      <c r="H1331" s="24" t="s">
        <v>1105</v>
      </c>
      <c r="I1331" s="24" t="s">
        <v>1411</v>
      </c>
      <c r="J1331" s="24" t="s">
        <v>761</v>
      </c>
      <c r="K1331" s="24" t="s">
        <v>1146</v>
      </c>
      <c r="L1331" s="25">
        <v>1070</v>
      </c>
      <c r="M1331" s="26">
        <v>2.5</v>
      </c>
      <c r="N1331" s="27">
        <v>2.5</v>
      </c>
      <c r="O1331" s="28">
        <v>2.2727272727272726E-3</v>
      </c>
      <c r="P1331" s="28">
        <v>2.3672566371681416</v>
      </c>
    </row>
    <row r="1332" spans="1:16" x14ac:dyDescent="0.3">
      <c r="A1332" t="s">
        <v>4227</v>
      </c>
      <c r="B1332" s="24">
        <v>114501</v>
      </c>
      <c r="C1332" s="24" t="s">
        <v>1409</v>
      </c>
      <c r="D1332" s="24" t="s">
        <v>1102</v>
      </c>
      <c r="E1332" s="24" t="s">
        <v>402</v>
      </c>
      <c r="F1332" s="24" t="s">
        <v>1142</v>
      </c>
      <c r="G1332" s="24" t="s">
        <v>1402</v>
      </c>
      <c r="H1332" s="24" t="s">
        <v>1105</v>
      </c>
      <c r="I1332" s="24" t="s">
        <v>1411</v>
      </c>
      <c r="J1332" s="24" t="s">
        <v>761</v>
      </c>
      <c r="K1332" s="24" t="s">
        <v>1146</v>
      </c>
      <c r="L1332" s="25">
        <v>1070</v>
      </c>
      <c r="M1332" s="26">
        <v>2.5</v>
      </c>
      <c r="N1332" s="27">
        <v>2.5</v>
      </c>
      <c r="O1332" s="28">
        <v>2.2727272727272726E-3</v>
      </c>
      <c r="P1332" s="28">
        <v>2.3672566371681416</v>
      </c>
    </row>
    <row r="1333" spans="1:16" x14ac:dyDescent="0.3">
      <c r="A1333" t="s">
        <v>4228</v>
      </c>
      <c r="B1333" s="24">
        <v>101116</v>
      </c>
      <c r="C1333" s="24" t="s">
        <v>1214</v>
      </c>
      <c r="D1333" s="24" t="s">
        <v>1102</v>
      </c>
      <c r="E1333" s="24" t="s">
        <v>402</v>
      </c>
      <c r="F1333" s="24" t="s">
        <v>1142</v>
      </c>
      <c r="G1333" s="24" t="s">
        <v>1203</v>
      </c>
      <c r="H1333" s="24" t="s">
        <v>589</v>
      </c>
      <c r="I1333" s="24" t="s">
        <v>1412</v>
      </c>
      <c r="J1333" s="24" t="s">
        <v>761</v>
      </c>
      <c r="K1333" s="24" t="s">
        <v>1146</v>
      </c>
      <c r="L1333" s="25">
        <v>1070</v>
      </c>
      <c r="M1333" s="26">
        <v>3.43</v>
      </c>
      <c r="N1333" s="27">
        <v>3.43</v>
      </c>
      <c r="O1333" s="28">
        <v>3.1181818181818181E-3</v>
      </c>
      <c r="P1333" s="28">
        <v>3.2478761061946906</v>
      </c>
    </row>
    <row r="1334" spans="1:16" x14ac:dyDescent="0.3">
      <c r="A1334" t="s">
        <v>4229</v>
      </c>
      <c r="B1334" s="24">
        <v>106916</v>
      </c>
      <c r="C1334" s="24" t="s">
        <v>1216</v>
      </c>
      <c r="D1334" s="24" t="s">
        <v>1102</v>
      </c>
      <c r="E1334" s="24" t="s">
        <v>402</v>
      </c>
      <c r="F1334" s="24" t="s">
        <v>1142</v>
      </c>
      <c r="G1334" s="24" t="s">
        <v>1203</v>
      </c>
      <c r="H1334" s="24" t="s">
        <v>589</v>
      </c>
      <c r="I1334" s="24" t="s">
        <v>1412</v>
      </c>
      <c r="J1334" s="24" t="s">
        <v>761</v>
      </c>
      <c r="K1334" s="24" t="s">
        <v>1146</v>
      </c>
      <c r="L1334" s="25">
        <v>1070</v>
      </c>
      <c r="M1334" s="26">
        <v>3.43</v>
      </c>
      <c r="N1334" s="27">
        <v>3.43</v>
      </c>
      <c r="O1334" s="28">
        <v>3.1181818181818181E-3</v>
      </c>
      <c r="P1334" s="28">
        <v>3.2478761061946906</v>
      </c>
    </row>
    <row r="1335" spans="1:16" x14ac:dyDescent="0.3">
      <c r="A1335" t="s">
        <v>4230</v>
      </c>
      <c r="B1335" s="24">
        <v>101116</v>
      </c>
      <c r="C1335" s="24" t="s">
        <v>1214</v>
      </c>
      <c r="D1335" s="24" t="s">
        <v>1102</v>
      </c>
      <c r="E1335" s="24" t="s">
        <v>402</v>
      </c>
      <c r="F1335" s="24" t="s">
        <v>1142</v>
      </c>
      <c r="G1335" s="24" t="s">
        <v>1203</v>
      </c>
      <c r="H1335" s="24" t="s">
        <v>590</v>
      </c>
      <c r="I1335" s="24" t="s">
        <v>1413</v>
      </c>
      <c r="J1335" s="24" t="s">
        <v>761</v>
      </c>
      <c r="K1335" s="24" t="s">
        <v>1146</v>
      </c>
      <c r="L1335" s="25">
        <v>1070</v>
      </c>
      <c r="M1335" s="26">
        <v>3.43</v>
      </c>
      <c r="N1335" s="27">
        <v>3.43</v>
      </c>
      <c r="O1335" s="28">
        <v>3.1181818181818181E-3</v>
      </c>
      <c r="P1335" s="28">
        <v>3.2478761061946906</v>
      </c>
    </row>
    <row r="1336" spans="1:16" x14ac:dyDescent="0.3">
      <c r="A1336" t="s">
        <v>4231</v>
      </c>
      <c r="B1336" s="24">
        <v>106916</v>
      </c>
      <c r="C1336" s="24" t="s">
        <v>1216</v>
      </c>
      <c r="D1336" s="24" t="s">
        <v>1102</v>
      </c>
      <c r="E1336" s="24" t="s">
        <v>402</v>
      </c>
      <c r="F1336" s="24" t="s">
        <v>1142</v>
      </c>
      <c r="G1336" s="24" t="s">
        <v>1203</v>
      </c>
      <c r="H1336" s="24" t="s">
        <v>590</v>
      </c>
      <c r="I1336" s="24" t="s">
        <v>1413</v>
      </c>
      <c r="J1336" s="24" t="s">
        <v>761</v>
      </c>
      <c r="K1336" s="24" t="s">
        <v>1146</v>
      </c>
      <c r="L1336" s="25">
        <v>1070</v>
      </c>
      <c r="M1336" s="26">
        <v>3.43</v>
      </c>
      <c r="N1336" s="27">
        <v>3.43</v>
      </c>
      <c r="O1336" s="28">
        <v>3.1181818181818181E-3</v>
      </c>
      <c r="P1336" s="28">
        <v>3.2478761061946906</v>
      </c>
    </row>
    <row r="1337" spans="1:16" x14ac:dyDescent="0.3">
      <c r="A1337" t="s">
        <v>4232</v>
      </c>
      <c r="B1337" s="24">
        <v>142141</v>
      </c>
      <c r="C1337" s="24" t="s">
        <v>1206</v>
      </c>
      <c r="D1337" s="24" t="s">
        <v>1102</v>
      </c>
      <c r="E1337" s="24" t="s">
        <v>402</v>
      </c>
      <c r="F1337" s="24" t="s">
        <v>1142</v>
      </c>
      <c r="G1337" s="24" t="s">
        <v>1203</v>
      </c>
      <c r="H1337" s="24" t="s">
        <v>588</v>
      </c>
      <c r="I1337" s="24" t="s">
        <v>1414</v>
      </c>
      <c r="J1337" s="24" t="s">
        <v>761</v>
      </c>
      <c r="K1337" s="24" t="s">
        <v>1146</v>
      </c>
      <c r="L1337" s="25">
        <v>1070</v>
      </c>
      <c r="M1337" s="26">
        <v>2.98</v>
      </c>
      <c r="N1337" s="27">
        <v>2.98</v>
      </c>
      <c r="O1337" s="28">
        <v>2.7090909090909093E-3</v>
      </c>
      <c r="P1337" s="28">
        <v>2.8217699115044246</v>
      </c>
    </row>
    <row r="1338" spans="1:16" x14ac:dyDescent="0.3">
      <c r="A1338" t="s">
        <v>4233</v>
      </c>
      <c r="B1338" s="24">
        <v>114635</v>
      </c>
      <c r="C1338" s="24" t="s">
        <v>1243</v>
      </c>
      <c r="D1338" s="24" t="s">
        <v>1102</v>
      </c>
      <c r="E1338" s="24" t="s">
        <v>402</v>
      </c>
      <c r="F1338" s="24" t="s">
        <v>1142</v>
      </c>
      <c r="G1338" s="24" t="s">
        <v>1244</v>
      </c>
      <c r="H1338" s="24" t="s">
        <v>516</v>
      </c>
      <c r="I1338" s="24" t="s">
        <v>1415</v>
      </c>
      <c r="J1338" s="24" t="s">
        <v>761</v>
      </c>
      <c r="K1338" s="24" t="s">
        <v>1146</v>
      </c>
      <c r="L1338" s="25">
        <v>1070</v>
      </c>
      <c r="M1338" s="26">
        <v>4.2114000000000003</v>
      </c>
      <c r="N1338" s="27">
        <v>4.2114000000000003</v>
      </c>
      <c r="O1338" s="28">
        <v>3.8285454545454547E-3</v>
      </c>
      <c r="P1338" s="28">
        <v>3.9877858407079647</v>
      </c>
    </row>
    <row r="1339" spans="1:16" x14ac:dyDescent="0.3">
      <c r="A1339" t="s">
        <v>4234</v>
      </c>
      <c r="B1339" s="24">
        <v>142363</v>
      </c>
      <c r="C1339" s="24" t="s">
        <v>1246</v>
      </c>
      <c r="D1339" s="24" t="s">
        <v>1102</v>
      </c>
      <c r="E1339" s="24" t="s">
        <v>402</v>
      </c>
      <c r="F1339" s="24" t="s">
        <v>1142</v>
      </c>
      <c r="G1339" s="24" t="s">
        <v>1244</v>
      </c>
      <c r="H1339" s="24" t="s">
        <v>516</v>
      </c>
      <c r="I1339" s="24" t="s">
        <v>1415</v>
      </c>
      <c r="J1339" s="24" t="s">
        <v>761</v>
      </c>
      <c r="K1339" s="24" t="s">
        <v>1146</v>
      </c>
      <c r="L1339" s="25">
        <v>1070</v>
      </c>
      <c r="M1339" s="26">
        <v>4.2114000000000003</v>
      </c>
      <c r="N1339" s="27">
        <v>4.2114000000000003</v>
      </c>
      <c r="O1339" s="28">
        <v>3.8285454545454547E-3</v>
      </c>
      <c r="P1339" s="28">
        <v>3.9877858407079647</v>
      </c>
    </row>
    <row r="1340" spans="1:16" x14ac:dyDescent="0.3">
      <c r="A1340" t="s">
        <v>4235</v>
      </c>
      <c r="B1340" s="24">
        <v>142363</v>
      </c>
      <c r="C1340" s="24" t="s">
        <v>1246</v>
      </c>
      <c r="D1340" s="24" t="s">
        <v>1102</v>
      </c>
      <c r="E1340" s="24" t="s">
        <v>402</v>
      </c>
      <c r="F1340" s="24" t="s">
        <v>1142</v>
      </c>
      <c r="G1340" s="24" t="s">
        <v>1244</v>
      </c>
      <c r="H1340" s="24" t="s">
        <v>517</v>
      </c>
      <c r="I1340" s="24" t="s">
        <v>1416</v>
      </c>
      <c r="J1340" s="24" t="s">
        <v>761</v>
      </c>
      <c r="K1340" s="24" t="s">
        <v>1146</v>
      </c>
      <c r="L1340" s="25">
        <v>1070</v>
      </c>
      <c r="M1340" s="26">
        <v>4.2016999999999998</v>
      </c>
      <c r="N1340" s="27">
        <v>4.2016999999999998</v>
      </c>
      <c r="O1340" s="28">
        <v>3.8197272727272724E-3</v>
      </c>
      <c r="P1340" s="28">
        <v>3.9786008849557519</v>
      </c>
    </row>
    <row r="1341" spans="1:16" x14ac:dyDescent="0.3">
      <c r="A1341" t="s">
        <v>4236</v>
      </c>
      <c r="B1341" s="24">
        <v>101554</v>
      </c>
      <c r="C1341" s="24" t="s">
        <v>1202</v>
      </c>
      <c r="D1341" s="24" t="s">
        <v>1102</v>
      </c>
      <c r="E1341" s="24" t="s">
        <v>402</v>
      </c>
      <c r="F1341" s="24" t="s">
        <v>1142</v>
      </c>
      <c r="G1341" s="24" t="s">
        <v>1244</v>
      </c>
      <c r="H1341" s="24" t="s">
        <v>518</v>
      </c>
      <c r="I1341" s="24" t="s">
        <v>1417</v>
      </c>
      <c r="J1341" s="24" t="s">
        <v>761</v>
      </c>
      <c r="K1341" s="24" t="s">
        <v>1146</v>
      </c>
      <c r="L1341" s="25">
        <v>1070</v>
      </c>
      <c r="M1341" s="26">
        <v>4.2053000000000003</v>
      </c>
      <c r="N1341" s="27">
        <v>4.2053000000000003</v>
      </c>
      <c r="O1341" s="28">
        <v>3.8230000000000004E-3</v>
      </c>
      <c r="P1341" s="28">
        <v>3.9820097345132748</v>
      </c>
    </row>
    <row r="1342" spans="1:16" x14ac:dyDescent="0.3">
      <c r="A1342" t="s">
        <v>4237</v>
      </c>
      <c r="B1342" s="24">
        <v>101554</v>
      </c>
      <c r="C1342" s="24" t="s">
        <v>1202</v>
      </c>
      <c r="D1342" s="24" t="s">
        <v>1102</v>
      </c>
      <c r="E1342" s="24" t="s">
        <v>402</v>
      </c>
      <c r="F1342" s="24" t="s">
        <v>1142</v>
      </c>
      <c r="G1342" s="24" t="s">
        <v>1244</v>
      </c>
      <c r="H1342" s="24" t="s">
        <v>1096</v>
      </c>
      <c r="I1342" s="24" t="s">
        <v>1417</v>
      </c>
      <c r="J1342" s="24" t="s">
        <v>761</v>
      </c>
      <c r="K1342" s="24" t="s">
        <v>1146</v>
      </c>
      <c r="L1342" s="25">
        <v>1070</v>
      </c>
      <c r="M1342" s="26">
        <v>4.2053000000000003</v>
      </c>
      <c r="N1342" s="27">
        <v>4.2053000000000003</v>
      </c>
      <c r="O1342" s="28">
        <v>3.8230000000000004E-3</v>
      </c>
      <c r="P1342" s="28">
        <v>3.9820097345132748</v>
      </c>
    </row>
    <row r="1343" spans="1:16" x14ac:dyDescent="0.3">
      <c r="A1343" t="s">
        <v>4238</v>
      </c>
      <c r="B1343" s="24">
        <v>142363</v>
      </c>
      <c r="C1343" s="24" t="s">
        <v>1246</v>
      </c>
      <c r="D1343" s="24" t="s">
        <v>1102</v>
      </c>
      <c r="E1343" s="24" t="s">
        <v>402</v>
      </c>
      <c r="F1343" s="24" t="s">
        <v>1142</v>
      </c>
      <c r="G1343" s="24" t="s">
        <v>1244</v>
      </c>
      <c r="H1343" s="24" t="s">
        <v>519</v>
      </c>
      <c r="I1343" s="24" t="s">
        <v>1418</v>
      </c>
      <c r="J1343" s="24" t="s">
        <v>761</v>
      </c>
      <c r="K1343" s="24" t="s">
        <v>1146</v>
      </c>
      <c r="L1343" s="25">
        <v>1070</v>
      </c>
      <c r="M1343" s="26">
        <v>4.2232000000000003</v>
      </c>
      <c r="N1343" s="27">
        <v>4.2232000000000003</v>
      </c>
      <c r="O1343" s="28">
        <v>3.8392727272727276E-3</v>
      </c>
      <c r="P1343" s="28">
        <v>3.9989592920353987</v>
      </c>
    </row>
    <row r="1344" spans="1:16" x14ac:dyDescent="0.3">
      <c r="A1344" t="s">
        <v>4239</v>
      </c>
      <c r="B1344" s="24">
        <v>142363</v>
      </c>
      <c r="C1344" s="24" t="s">
        <v>1246</v>
      </c>
      <c r="D1344" s="24" t="s">
        <v>1102</v>
      </c>
      <c r="E1344" s="24" t="s">
        <v>402</v>
      </c>
      <c r="F1344" s="24" t="s">
        <v>1142</v>
      </c>
      <c r="G1344" s="24" t="s">
        <v>1244</v>
      </c>
      <c r="H1344" s="24" t="s">
        <v>520</v>
      </c>
      <c r="I1344" s="24" t="s">
        <v>1419</v>
      </c>
      <c r="J1344" s="24" t="s">
        <v>761</v>
      </c>
      <c r="K1344" s="24" t="s">
        <v>1146</v>
      </c>
      <c r="L1344" s="25">
        <v>1070</v>
      </c>
      <c r="M1344" s="26">
        <v>4.2102000000000004</v>
      </c>
      <c r="N1344" s="27">
        <v>4.2102000000000004</v>
      </c>
      <c r="O1344" s="28">
        <v>3.8274545454545458E-3</v>
      </c>
      <c r="P1344" s="28">
        <v>3.9866495575221244</v>
      </c>
    </row>
    <row r="1345" spans="1:16" x14ac:dyDescent="0.3">
      <c r="A1345" t="s">
        <v>4240</v>
      </c>
      <c r="B1345" s="24">
        <v>102470</v>
      </c>
      <c r="C1345" s="24" t="s">
        <v>1247</v>
      </c>
      <c r="D1345" s="24" t="s">
        <v>1102</v>
      </c>
      <c r="E1345" s="24" t="s">
        <v>402</v>
      </c>
      <c r="F1345" s="24" t="s">
        <v>1142</v>
      </c>
      <c r="G1345" s="24" t="s">
        <v>1244</v>
      </c>
      <c r="H1345" s="24" t="s">
        <v>2860</v>
      </c>
      <c r="I1345" s="24" t="s">
        <v>1451</v>
      </c>
      <c r="J1345" s="24" t="s">
        <v>761</v>
      </c>
      <c r="K1345" s="24" t="s">
        <v>1146</v>
      </c>
      <c r="L1345" s="25">
        <v>1070</v>
      </c>
      <c r="M1345" s="26">
        <v>4.2016999999999998</v>
      </c>
      <c r="N1345" s="27">
        <v>4.2016999999999998</v>
      </c>
      <c r="O1345" s="28">
        <v>3.8197272727272724E-3</v>
      </c>
      <c r="P1345" s="28">
        <v>3.9786008849557519</v>
      </c>
    </row>
    <row r="1346" spans="1:16" x14ac:dyDescent="0.3">
      <c r="A1346" t="s">
        <v>4241</v>
      </c>
      <c r="B1346" s="24">
        <v>142363</v>
      </c>
      <c r="C1346" s="24" t="s">
        <v>1246</v>
      </c>
      <c r="D1346" s="24" t="s">
        <v>1102</v>
      </c>
      <c r="E1346" s="24" t="s">
        <v>402</v>
      </c>
      <c r="F1346" s="24" t="s">
        <v>1142</v>
      </c>
      <c r="G1346" s="24" t="s">
        <v>1244</v>
      </c>
      <c r="H1346" s="24" t="s">
        <v>521</v>
      </c>
      <c r="I1346" s="24" t="s">
        <v>1420</v>
      </c>
      <c r="J1346" s="24" t="s">
        <v>761</v>
      </c>
      <c r="K1346" s="24" t="s">
        <v>1146</v>
      </c>
      <c r="L1346" s="25">
        <v>1070</v>
      </c>
      <c r="M1346" s="26">
        <v>4.2267999999999999</v>
      </c>
      <c r="N1346" s="27">
        <v>4.2267999999999999</v>
      </c>
      <c r="O1346" s="28">
        <v>3.8425454545454544E-3</v>
      </c>
      <c r="P1346" s="28">
        <v>4.0023681415929202</v>
      </c>
    </row>
    <row r="1347" spans="1:16" x14ac:dyDescent="0.3">
      <c r="A1347" t="s">
        <v>4242</v>
      </c>
      <c r="B1347" s="24">
        <v>141365</v>
      </c>
      <c r="C1347" s="24" t="s">
        <v>1262</v>
      </c>
      <c r="D1347" s="24" t="s">
        <v>1102</v>
      </c>
      <c r="E1347" s="24" t="s">
        <v>402</v>
      </c>
      <c r="F1347" s="24" t="s">
        <v>1142</v>
      </c>
      <c r="G1347" s="24" t="s">
        <v>1244</v>
      </c>
      <c r="H1347" s="24" t="s">
        <v>522</v>
      </c>
      <c r="I1347" s="24" t="s">
        <v>1421</v>
      </c>
      <c r="J1347" s="24" t="s">
        <v>761</v>
      </c>
      <c r="K1347" s="24" t="s">
        <v>1146</v>
      </c>
      <c r="L1347" s="25">
        <v>1070</v>
      </c>
      <c r="M1347" s="26">
        <v>4.3357000000000001</v>
      </c>
      <c r="N1347" s="27">
        <v>4.3357000000000001</v>
      </c>
      <c r="O1347" s="28">
        <v>3.9415454545454545E-3</v>
      </c>
      <c r="P1347" s="28">
        <v>4.1054858407079653</v>
      </c>
    </row>
    <row r="1348" spans="1:16" x14ac:dyDescent="0.3">
      <c r="A1348" t="s">
        <v>4243</v>
      </c>
      <c r="B1348" s="24">
        <v>102470</v>
      </c>
      <c r="C1348" s="24" t="s">
        <v>1247</v>
      </c>
      <c r="D1348" s="24" t="s">
        <v>1102</v>
      </c>
      <c r="E1348" s="24" t="s">
        <v>402</v>
      </c>
      <c r="F1348" s="24" t="s">
        <v>1142</v>
      </c>
      <c r="G1348" s="24" t="s">
        <v>1244</v>
      </c>
      <c r="H1348" s="24" t="s">
        <v>523</v>
      </c>
      <c r="I1348" s="24" t="s">
        <v>1422</v>
      </c>
      <c r="J1348" s="24" t="s">
        <v>761</v>
      </c>
      <c r="K1348" s="24" t="s">
        <v>1146</v>
      </c>
      <c r="L1348" s="25">
        <v>1070</v>
      </c>
      <c r="M1348" s="26">
        <v>4.2613000000000003</v>
      </c>
      <c r="N1348" s="27">
        <v>4.2613000000000003</v>
      </c>
      <c r="O1348" s="28">
        <v>3.8739090909090911E-3</v>
      </c>
      <c r="P1348" s="28">
        <v>4.0350362831858408</v>
      </c>
    </row>
    <row r="1349" spans="1:16" x14ac:dyDescent="0.3">
      <c r="A1349" t="s">
        <v>4244</v>
      </c>
      <c r="B1349" s="24">
        <v>142363</v>
      </c>
      <c r="C1349" s="24" t="s">
        <v>1246</v>
      </c>
      <c r="D1349" s="24" t="s">
        <v>1102</v>
      </c>
      <c r="E1349" s="24" t="s">
        <v>402</v>
      </c>
      <c r="F1349" s="24" t="s">
        <v>1142</v>
      </c>
      <c r="G1349" s="24" t="s">
        <v>1244</v>
      </c>
      <c r="H1349" s="24" t="s">
        <v>523</v>
      </c>
      <c r="I1349" s="24" t="s">
        <v>1422</v>
      </c>
      <c r="J1349" s="24" t="s">
        <v>761</v>
      </c>
      <c r="K1349" s="24" t="s">
        <v>1146</v>
      </c>
      <c r="L1349" s="25">
        <v>1070</v>
      </c>
      <c r="M1349" s="26">
        <v>4.2613000000000003</v>
      </c>
      <c r="N1349" s="27">
        <v>4.2613000000000003</v>
      </c>
      <c r="O1349" s="28">
        <v>3.8739090909090911E-3</v>
      </c>
      <c r="P1349" s="28">
        <v>4.0350362831858408</v>
      </c>
    </row>
    <row r="1350" spans="1:16" x14ac:dyDescent="0.3">
      <c r="A1350" t="s">
        <v>4245</v>
      </c>
      <c r="B1350" s="24">
        <v>142363</v>
      </c>
      <c r="C1350" s="24" t="s">
        <v>1246</v>
      </c>
      <c r="D1350" s="24" t="s">
        <v>1102</v>
      </c>
      <c r="E1350" s="24" t="s">
        <v>402</v>
      </c>
      <c r="F1350" s="24" t="s">
        <v>1142</v>
      </c>
      <c r="G1350" s="24" t="s">
        <v>1244</v>
      </c>
      <c r="H1350" s="24" t="s">
        <v>524</v>
      </c>
      <c r="I1350" s="24" t="s">
        <v>1423</v>
      </c>
      <c r="J1350" s="24" t="s">
        <v>761</v>
      </c>
      <c r="K1350" s="24" t="s">
        <v>1146</v>
      </c>
      <c r="L1350" s="25">
        <v>1070</v>
      </c>
      <c r="M1350" s="26">
        <v>4.2325999999999997</v>
      </c>
      <c r="N1350" s="27">
        <v>4.2325999999999997</v>
      </c>
      <c r="O1350" s="28">
        <v>3.8478181818181814E-3</v>
      </c>
      <c r="P1350" s="28">
        <v>4.0078601769911497</v>
      </c>
    </row>
    <row r="1351" spans="1:16" x14ac:dyDescent="0.3">
      <c r="A1351" t="s">
        <v>4246</v>
      </c>
      <c r="B1351" s="24">
        <v>142363</v>
      </c>
      <c r="C1351" s="24" t="s">
        <v>1246</v>
      </c>
      <c r="D1351" s="24" t="s">
        <v>1102</v>
      </c>
      <c r="E1351" s="24" t="s">
        <v>402</v>
      </c>
      <c r="F1351" s="24" t="s">
        <v>1142</v>
      </c>
      <c r="G1351" s="24" t="s">
        <v>1244</v>
      </c>
      <c r="H1351" s="24" t="s">
        <v>525</v>
      </c>
      <c r="I1351" s="24" t="s">
        <v>1424</v>
      </c>
      <c r="J1351" s="24" t="s">
        <v>761</v>
      </c>
      <c r="K1351" s="24" t="s">
        <v>1146</v>
      </c>
      <c r="L1351" s="25">
        <v>1070</v>
      </c>
      <c r="M1351" s="26">
        <v>4.5265000000000004</v>
      </c>
      <c r="N1351" s="27">
        <v>4.5265000000000004</v>
      </c>
      <c r="O1351" s="28">
        <v>4.1150000000000006E-3</v>
      </c>
      <c r="P1351" s="28">
        <v>4.2861548672566379</v>
      </c>
    </row>
    <row r="1352" spans="1:16" x14ac:dyDescent="0.3">
      <c r="A1352" t="s">
        <v>4247</v>
      </c>
      <c r="B1352" s="24">
        <v>114635</v>
      </c>
      <c r="C1352" s="24" t="s">
        <v>1243</v>
      </c>
      <c r="D1352" s="24" t="s">
        <v>1102</v>
      </c>
      <c r="E1352" s="24" t="s">
        <v>402</v>
      </c>
      <c r="F1352" s="24" t="s">
        <v>1142</v>
      </c>
      <c r="G1352" s="24" t="s">
        <v>1244</v>
      </c>
      <c r="H1352" s="24" t="s">
        <v>525</v>
      </c>
      <c r="I1352" s="24" t="s">
        <v>1425</v>
      </c>
      <c r="J1352" s="24" t="s">
        <v>761</v>
      </c>
      <c r="K1352" s="24" t="s">
        <v>1146</v>
      </c>
      <c r="L1352" s="25">
        <v>1070</v>
      </c>
      <c r="M1352" s="26">
        <v>4.5265000000000004</v>
      </c>
      <c r="N1352" s="27">
        <v>4.5265000000000004</v>
      </c>
      <c r="O1352" s="28">
        <v>4.1150000000000006E-3</v>
      </c>
      <c r="P1352" s="28">
        <v>4.2861548672566379</v>
      </c>
    </row>
    <row r="1353" spans="1:16" x14ac:dyDescent="0.3">
      <c r="A1353" t="s">
        <v>4248</v>
      </c>
      <c r="B1353" s="24">
        <v>142363</v>
      </c>
      <c r="C1353" s="24" t="s">
        <v>1246</v>
      </c>
      <c r="D1353" s="24" t="s">
        <v>1102</v>
      </c>
      <c r="E1353" s="24" t="s">
        <v>402</v>
      </c>
      <c r="F1353" s="24" t="s">
        <v>1142</v>
      </c>
      <c r="G1353" s="24" t="s">
        <v>1244</v>
      </c>
      <c r="H1353" s="24" t="s">
        <v>525</v>
      </c>
      <c r="I1353" s="24" t="s">
        <v>1425</v>
      </c>
      <c r="J1353" s="24" t="s">
        <v>761</v>
      </c>
      <c r="K1353" s="24" t="s">
        <v>1146</v>
      </c>
      <c r="L1353" s="25">
        <v>1070</v>
      </c>
      <c r="M1353" s="26">
        <v>4.5265000000000004</v>
      </c>
      <c r="N1353" s="27">
        <v>4.5265000000000004</v>
      </c>
      <c r="O1353" s="28">
        <v>4.1150000000000006E-3</v>
      </c>
      <c r="P1353" s="28">
        <v>4.2861548672566379</v>
      </c>
    </row>
    <row r="1354" spans="1:16" x14ac:dyDescent="0.3">
      <c r="A1354" t="s">
        <v>4249</v>
      </c>
      <c r="B1354" s="24">
        <v>142363</v>
      </c>
      <c r="C1354" s="24" t="s">
        <v>1246</v>
      </c>
      <c r="D1354" s="24" t="s">
        <v>1102</v>
      </c>
      <c r="E1354" s="24" t="s">
        <v>402</v>
      </c>
      <c r="F1354" s="24" t="s">
        <v>1142</v>
      </c>
      <c r="G1354" s="24" t="s">
        <v>1244</v>
      </c>
      <c r="H1354" s="24" t="s">
        <v>526</v>
      </c>
      <c r="I1354" s="24" t="s">
        <v>1426</v>
      </c>
      <c r="J1354" s="24" t="s">
        <v>761</v>
      </c>
      <c r="K1354" s="24" t="s">
        <v>1146</v>
      </c>
      <c r="L1354" s="25">
        <v>1070</v>
      </c>
      <c r="M1354" s="26">
        <v>4.2023999999999999</v>
      </c>
      <c r="N1354" s="27">
        <v>4.2023999999999999</v>
      </c>
      <c r="O1354" s="28">
        <v>3.8203636363636365E-3</v>
      </c>
      <c r="P1354" s="28">
        <v>3.9792637168141596</v>
      </c>
    </row>
    <row r="1355" spans="1:16" x14ac:dyDescent="0.3">
      <c r="A1355" t="s">
        <v>4250</v>
      </c>
      <c r="B1355" s="24">
        <v>142363</v>
      </c>
      <c r="C1355" s="24" t="s">
        <v>1246</v>
      </c>
      <c r="D1355" s="24" t="s">
        <v>1102</v>
      </c>
      <c r="E1355" s="24" t="s">
        <v>402</v>
      </c>
      <c r="F1355" s="24" t="s">
        <v>1142</v>
      </c>
      <c r="G1355" s="24" t="s">
        <v>1244</v>
      </c>
      <c r="H1355" s="24" t="s">
        <v>527</v>
      </c>
      <c r="I1355" s="24" t="s">
        <v>1426</v>
      </c>
      <c r="J1355" s="24" t="s">
        <v>761</v>
      </c>
      <c r="K1355" s="24" t="s">
        <v>1146</v>
      </c>
      <c r="L1355" s="25">
        <v>1070</v>
      </c>
      <c r="M1355" s="26">
        <v>4.2023999999999999</v>
      </c>
      <c r="N1355" s="27">
        <v>4.2023999999999999</v>
      </c>
      <c r="O1355" s="28">
        <v>3.8203636363636365E-3</v>
      </c>
      <c r="P1355" s="28">
        <v>3.9792637168141596</v>
      </c>
    </row>
    <row r="1356" spans="1:16" x14ac:dyDescent="0.3">
      <c r="A1356" t="s">
        <v>4251</v>
      </c>
      <c r="B1356" s="24">
        <v>142363</v>
      </c>
      <c r="C1356" s="24" t="s">
        <v>1246</v>
      </c>
      <c r="D1356" s="24" t="s">
        <v>1102</v>
      </c>
      <c r="E1356" s="24" t="s">
        <v>402</v>
      </c>
      <c r="F1356" s="24" t="s">
        <v>1142</v>
      </c>
      <c r="G1356" s="24" t="s">
        <v>1244</v>
      </c>
      <c r="H1356" s="24" t="s">
        <v>528</v>
      </c>
      <c r="I1356" s="24" t="s">
        <v>1427</v>
      </c>
      <c r="J1356" s="24" t="s">
        <v>761</v>
      </c>
      <c r="K1356" s="24" t="s">
        <v>1146</v>
      </c>
      <c r="L1356" s="25">
        <v>1070</v>
      </c>
      <c r="M1356" s="26">
        <v>4.3697999999999997</v>
      </c>
      <c r="N1356" s="27">
        <v>4.3697999999999997</v>
      </c>
      <c r="O1356" s="28">
        <v>3.9725454545454543E-3</v>
      </c>
      <c r="P1356" s="28">
        <v>4.1377752212389378</v>
      </c>
    </row>
    <row r="1357" spans="1:16" x14ac:dyDescent="0.3">
      <c r="A1357" t="s">
        <v>4252</v>
      </c>
      <c r="B1357" s="24">
        <v>142363</v>
      </c>
      <c r="C1357" s="24" t="s">
        <v>1246</v>
      </c>
      <c r="D1357" s="24" t="s">
        <v>1102</v>
      </c>
      <c r="E1357" s="24" t="s">
        <v>402</v>
      </c>
      <c r="F1357" s="24" t="s">
        <v>1142</v>
      </c>
      <c r="G1357" s="24" t="s">
        <v>1244</v>
      </c>
      <c r="H1357" s="24" t="s">
        <v>1428</v>
      </c>
      <c r="I1357" s="24" t="s">
        <v>1429</v>
      </c>
      <c r="J1357" s="24" t="s">
        <v>761</v>
      </c>
      <c r="K1357" s="24" t="s">
        <v>1146</v>
      </c>
      <c r="L1357" s="25">
        <v>1070</v>
      </c>
      <c r="M1357" s="26">
        <v>4.3697999999999997</v>
      </c>
      <c r="N1357" s="27">
        <v>4.3697999999999997</v>
      </c>
      <c r="O1357" s="28">
        <v>3.9725454545454543E-3</v>
      </c>
      <c r="P1357" s="28">
        <v>4.1377752212389378</v>
      </c>
    </row>
    <row r="1358" spans="1:16" x14ac:dyDescent="0.3">
      <c r="A1358" t="s">
        <v>4253</v>
      </c>
      <c r="B1358" s="24">
        <v>142363</v>
      </c>
      <c r="C1358" s="24" t="s">
        <v>1246</v>
      </c>
      <c r="D1358" s="24" t="s">
        <v>1102</v>
      </c>
      <c r="E1358" s="24" t="s">
        <v>402</v>
      </c>
      <c r="F1358" s="24" t="s">
        <v>1142</v>
      </c>
      <c r="G1358" s="24" t="s">
        <v>1244</v>
      </c>
      <c r="H1358" s="24" t="s">
        <v>529</v>
      </c>
      <c r="I1358" s="24" t="s">
        <v>1430</v>
      </c>
      <c r="J1358" s="24" t="s">
        <v>761</v>
      </c>
      <c r="K1358" s="24" t="s">
        <v>1146</v>
      </c>
      <c r="L1358" s="25">
        <v>1070</v>
      </c>
      <c r="M1358" s="26">
        <v>4.5566000000000004</v>
      </c>
      <c r="N1358" s="27">
        <v>4.5566000000000004</v>
      </c>
      <c r="O1358" s="28">
        <v>4.1423636363636367E-3</v>
      </c>
      <c r="P1358" s="28">
        <v>4.3146566371681425</v>
      </c>
    </row>
    <row r="1359" spans="1:16" x14ac:dyDescent="0.3">
      <c r="A1359" t="s">
        <v>4254</v>
      </c>
      <c r="B1359" s="24">
        <v>142363</v>
      </c>
      <c r="C1359" s="24" t="s">
        <v>1246</v>
      </c>
      <c r="D1359" s="24" t="s">
        <v>1102</v>
      </c>
      <c r="E1359" s="24" t="s">
        <v>402</v>
      </c>
      <c r="F1359" s="24" t="s">
        <v>1142</v>
      </c>
      <c r="G1359" s="24" t="s">
        <v>1244</v>
      </c>
      <c r="H1359" s="24" t="s">
        <v>530</v>
      </c>
      <c r="I1359" s="24" t="s">
        <v>1431</v>
      </c>
      <c r="J1359" s="24" t="s">
        <v>761</v>
      </c>
      <c r="K1359" s="24" t="s">
        <v>1146</v>
      </c>
      <c r="L1359" s="25">
        <v>1070</v>
      </c>
      <c r="M1359" s="26">
        <v>4.2325999999999997</v>
      </c>
      <c r="N1359" s="27">
        <v>4.2325999999999997</v>
      </c>
      <c r="O1359" s="28">
        <v>3.8478181818181814E-3</v>
      </c>
      <c r="P1359" s="28">
        <v>4.0078601769911497</v>
      </c>
    </row>
    <row r="1360" spans="1:16" x14ac:dyDescent="0.3">
      <c r="A1360" t="s">
        <v>4255</v>
      </c>
      <c r="B1360" s="24">
        <v>142363</v>
      </c>
      <c r="C1360" s="24" t="s">
        <v>1246</v>
      </c>
      <c r="D1360" s="24" t="s">
        <v>1102</v>
      </c>
      <c r="E1360" s="24" t="s">
        <v>402</v>
      </c>
      <c r="F1360" s="24" t="s">
        <v>1142</v>
      </c>
      <c r="G1360" s="24" t="s">
        <v>1244</v>
      </c>
      <c r="H1360" s="24" t="s">
        <v>531</v>
      </c>
      <c r="I1360" s="24" t="s">
        <v>1432</v>
      </c>
      <c r="J1360" s="24" t="s">
        <v>761</v>
      </c>
      <c r="K1360" s="24" t="s">
        <v>1146</v>
      </c>
      <c r="L1360" s="25">
        <v>1070</v>
      </c>
      <c r="M1360" s="26">
        <v>4.2325999999999997</v>
      </c>
      <c r="N1360" s="27">
        <v>4.2325999999999997</v>
      </c>
      <c r="O1360" s="28">
        <v>3.8478181818181814E-3</v>
      </c>
      <c r="P1360" s="28">
        <v>4.0078601769911497</v>
      </c>
    </row>
    <row r="1361" spans="1:16" x14ac:dyDescent="0.3">
      <c r="A1361" t="s">
        <v>4256</v>
      </c>
      <c r="B1361" s="24">
        <v>114635</v>
      </c>
      <c r="C1361" s="24" t="s">
        <v>1243</v>
      </c>
      <c r="D1361" s="24" t="s">
        <v>1102</v>
      </c>
      <c r="E1361" s="24" t="s">
        <v>402</v>
      </c>
      <c r="F1361" s="24" t="s">
        <v>1142</v>
      </c>
      <c r="G1361" s="24" t="s">
        <v>1244</v>
      </c>
      <c r="H1361" s="24" t="s">
        <v>532</v>
      </c>
      <c r="I1361" s="24" t="s">
        <v>1432</v>
      </c>
      <c r="J1361" s="24" t="s">
        <v>761</v>
      </c>
      <c r="K1361" s="24" t="s">
        <v>1146</v>
      </c>
      <c r="L1361" s="25">
        <v>1070</v>
      </c>
      <c r="M1361" s="26">
        <v>4.2214</v>
      </c>
      <c r="N1361" s="27">
        <v>4.2214</v>
      </c>
      <c r="O1361" s="28">
        <v>3.8376363636363638E-3</v>
      </c>
      <c r="P1361" s="28">
        <v>3.9972548672566375</v>
      </c>
    </row>
    <row r="1362" spans="1:16" x14ac:dyDescent="0.3">
      <c r="A1362" t="s">
        <v>4257</v>
      </c>
      <c r="B1362" s="24">
        <v>142363</v>
      </c>
      <c r="C1362" s="24" t="s">
        <v>1246</v>
      </c>
      <c r="D1362" s="24" t="s">
        <v>1102</v>
      </c>
      <c r="E1362" s="24" t="s">
        <v>402</v>
      </c>
      <c r="F1362" s="24" t="s">
        <v>1142</v>
      </c>
      <c r="G1362" s="24" t="s">
        <v>1244</v>
      </c>
      <c r="H1362" s="24" t="s">
        <v>532</v>
      </c>
      <c r="I1362" s="24" t="s">
        <v>1432</v>
      </c>
      <c r="J1362" s="24" t="s">
        <v>761</v>
      </c>
      <c r="K1362" s="24" t="s">
        <v>1146</v>
      </c>
      <c r="L1362" s="25">
        <v>1070</v>
      </c>
      <c r="M1362" s="26">
        <v>4.2214</v>
      </c>
      <c r="N1362" s="27">
        <v>4.2214</v>
      </c>
      <c r="O1362" s="28">
        <v>3.8376363636363638E-3</v>
      </c>
      <c r="P1362" s="28">
        <v>3.9972548672566375</v>
      </c>
    </row>
    <row r="1363" spans="1:16" x14ac:dyDescent="0.3">
      <c r="A1363" t="s">
        <v>4258</v>
      </c>
      <c r="B1363" s="24">
        <v>101554</v>
      </c>
      <c r="C1363" s="24" t="s">
        <v>1202</v>
      </c>
      <c r="D1363" s="24" t="s">
        <v>1102</v>
      </c>
      <c r="E1363" s="24" t="s">
        <v>402</v>
      </c>
      <c r="F1363" s="24" t="s">
        <v>1142</v>
      </c>
      <c r="G1363" s="24" t="s">
        <v>1244</v>
      </c>
      <c r="H1363" s="24" t="s">
        <v>1128</v>
      </c>
      <c r="I1363" s="24" t="s">
        <v>1433</v>
      </c>
      <c r="J1363" s="24" t="s">
        <v>761</v>
      </c>
      <c r="K1363" s="24" t="s">
        <v>1146</v>
      </c>
      <c r="L1363" s="25">
        <v>1070</v>
      </c>
      <c r="M1363" s="26">
        <v>7.2809999999999997</v>
      </c>
      <c r="N1363" s="27">
        <v>7.2809999999999997</v>
      </c>
      <c r="O1363" s="28">
        <v>6.6190909090909087E-3</v>
      </c>
      <c r="P1363" s="28">
        <v>6.8943982300884956</v>
      </c>
    </row>
    <row r="1364" spans="1:16" x14ac:dyDescent="0.3">
      <c r="A1364" t="s">
        <v>4259</v>
      </c>
      <c r="B1364" s="24">
        <v>101554</v>
      </c>
      <c r="C1364" s="24" t="s">
        <v>1202</v>
      </c>
      <c r="D1364" s="24" t="s">
        <v>1102</v>
      </c>
      <c r="E1364" s="24" t="s">
        <v>402</v>
      </c>
      <c r="F1364" s="24" t="s">
        <v>1142</v>
      </c>
      <c r="G1364" s="24" t="s">
        <v>1244</v>
      </c>
      <c r="H1364" s="24" t="s">
        <v>1129</v>
      </c>
      <c r="I1364" s="24" t="s">
        <v>1434</v>
      </c>
      <c r="J1364" s="24" t="s">
        <v>761</v>
      </c>
      <c r="K1364" s="24" t="s">
        <v>1146</v>
      </c>
      <c r="L1364" s="25">
        <v>1070</v>
      </c>
      <c r="M1364" s="26">
        <v>7.2750000000000004</v>
      </c>
      <c r="N1364" s="27">
        <v>7.2750000000000004</v>
      </c>
      <c r="O1364" s="28">
        <v>6.6136363636363641E-3</v>
      </c>
      <c r="P1364" s="28">
        <v>6.8887168141592916</v>
      </c>
    </row>
    <row r="1365" spans="1:16" x14ac:dyDescent="0.3">
      <c r="A1365" t="s">
        <v>4260</v>
      </c>
      <c r="B1365" s="24">
        <v>101554</v>
      </c>
      <c r="C1365" s="24" t="s">
        <v>1202</v>
      </c>
      <c r="D1365" s="24" t="s">
        <v>1102</v>
      </c>
      <c r="E1365" s="24" t="s">
        <v>402</v>
      </c>
      <c r="F1365" s="24" t="s">
        <v>1142</v>
      </c>
      <c r="G1365" s="24" t="s">
        <v>1244</v>
      </c>
      <c r="H1365" s="24" t="s">
        <v>1125</v>
      </c>
      <c r="I1365" s="24" t="s">
        <v>1435</v>
      </c>
      <c r="J1365" s="24" t="s">
        <v>761</v>
      </c>
      <c r="K1365" s="24" t="s">
        <v>1146</v>
      </c>
      <c r="L1365" s="25">
        <v>1070</v>
      </c>
      <c r="M1365" s="26">
        <v>6.8209999999999997</v>
      </c>
      <c r="N1365" s="27">
        <v>6.8209999999999997</v>
      </c>
      <c r="O1365" s="28">
        <v>6.2009090909090903E-3</v>
      </c>
      <c r="P1365" s="28">
        <v>6.4588230088495573</v>
      </c>
    </row>
    <row r="1366" spans="1:16" x14ac:dyDescent="0.3">
      <c r="A1366" t="s">
        <v>4261</v>
      </c>
      <c r="B1366" s="24">
        <v>101554</v>
      </c>
      <c r="C1366" s="24" t="s">
        <v>1202</v>
      </c>
      <c r="D1366" s="24" t="s">
        <v>1102</v>
      </c>
      <c r="E1366" s="24" t="s">
        <v>402</v>
      </c>
      <c r="F1366" s="24" t="s">
        <v>1142</v>
      </c>
      <c r="G1366" s="24" t="s">
        <v>1244</v>
      </c>
      <c r="H1366" s="24" t="s">
        <v>1130</v>
      </c>
      <c r="I1366" s="24" t="s">
        <v>1436</v>
      </c>
      <c r="J1366" s="24" t="s">
        <v>761</v>
      </c>
      <c r="K1366" s="24" t="s">
        <v>1146</v>
      </c>
      <c r="L1366" s="25">
        <v>1070</v>
      </c>
      <c r="M1366" s="26">
        <v>7.53</v>
      </c>
      <c r="N1366" s="27">
        <v>7.53</v>
      </c>
      <c r="O1366" s="28">
        <v>6.8454545454545461E-3</v>
      </c>
      <c r="P1366" s="28">
        <v>7.1301769911504431</v>
      </c>
    </row>
    <row r="1367" spans="1:16" x14ac:dyDescent="0.3">
      <c r="A1367" t="s">
        <v>4262</v>
      </c>
      <c r="B1367" s="24">
        <v>101554</v>
      </c>
      <c r="C1367" s="24" t="s">
        <v>1202</v>
      </c>
      <c r="D1367" s="24" t="s">
        <v>1102</v>
      </c>
      <c r="E1367" s="24" t="s">
        <v>402</v>
      </c>
      <c r="F1367" s="24" t="s">
        <v>1142</v>
      </c>
      <c r="G1367" s="24" t="s">
        <v>1244</v>
      </c>
      <c r="H1367" s="24" t="s">
        <v>1126</v>
      </c>
      <c r="I1367" s="24" t="s">
        <v>1437</v>
      </c>
      <c r="J1367" s="24" t="s">
        <v>761</v>
      </c>
      <c r="K1367" s="24" t="s">
        <v>1146</v>
      </c>
      <c r="L1367" s="25">
        <v>1070</v>
      </c>
      <c r="M1367" s="26">
        <v>7.2779999999999996</v>
      </c>
      <c r="N1367" s="27">
        <v>7.2779999999999996</v>
      </c>
      <c r="O1367" s="28">
        <v>6.6163636363636364E-3</v>
      </c>
      <c r="P1367" s="28">
        <v>6.8915575221238932</v>
      </c>
    </row>
    <row r="1368" spans="1:16" x14ac:dyDescent="0.3">
      <c r="A1368" t="s">
        <v>4263</v>
      </c>
      <c r="B1368" s="24">
        <v>114635</v>
      </c>
      <c r="C1368" s="24" t="s">
        <v>1243</v>
      </c>
      <c r="D1368" s="24" t="s">
        <v>1102</v>
      </c>
      <c r="E1368" s="24" t="s">
        <v>402</v>
      </c>
      <c r="F1368" s="24" t="s">
        <v>1142</v>
      </c>
      <c r="G1368" s="24" t="s">
        <v>1244</v>
      </c>
      <c r="H1368" s="24" t="s">
        <v>533</v>
      </c>
      <c r="I1368" s="24" t="s">
        <v>1438</v>
      </c>
      <c r="J1368" s="24" t="s">
        <v>761</v>
      </c>
      <c r="K1368" s="24" t="s">
        <v>1146</v>
      </c>
      <c r="L1368" s="25">
        <v>1070</v>
      </c>
      <c r="M1368" s="26">
        <v>5.1459000000000001</v>
      </c>
      <c r="N1368" s="27">
        <v>5.1459000000000001</v>
      </c>
      <c r="O1368" s="28">
        <v>4.6780909090909095E-3</v>
      </c>
      <c r="P1368" s="28">
        <v>4.872666371681416</v>
      </c>
    </row>
    <row r="1369" spans="1:16" x14ac:dyDescent="0.3">
      <c r="A1369" t="s">
        <v>4264</v>
      </c>
      <c r="B1369" s="24">
        <v>114635</v>
      </c>
      <c r="C1369" s="24" t="s">
        <v>1243</v>
      </c>
      <c r="D1369" s="24" t="s">
        <v>1102</v>
      </c>
      <c r="E1369" s="24" t="s">
        <v>402</v>
      </c>
      <c r="F1369" s="24" t="s">
        <v>1142</v>
      </c>
      <c r="G1369" s="24" t="s">
        <v>1244</v>
      </c>
      <c r="H1369" s="24" t="s">
        <v>534</v>
      </c>
      <c r="I1369" s="24" t="s">
        <v>1438</v>
      </c>
      <c r="J1369" s="24" t="s">
        <v>761</v>
      </c>
      <c r="K1369" s="24" t="s">
        <v>1146</v>
      </c>
      <c r="L1369" s="25">
        <v>1070</v>
      </c>
      <c r="M1369" s="26">
        <v>5.7099000000000002</v>
      </c>
      <c r="N1369" s="27">
        <v>5.7099000000000002</v>
      </c>
      <c r="O1369" s="28">
        <v>5.1908181818181819E-3</v>
      </c>
      <c r="P1369" s="28">
        <v>5.4067194690265481</v>
      </c>
    </row>
    <row r="1370" spans="1:16" x14ac:dyDescent="0.3">
      <c r="A1370" t="s">
        <v>4265</v>
      </c>
      <c r="B1370" s="24">
        <v>114635</v>
      </c>
      <c r="C1370" s="24" t="s">
        <v>1243</v>
      </c>
      <c r="D1370" s="24" t="s">
        <v>1102</v>
      </c>
      <c r="E1370" s="24" t="s">
        <v>402</v>
      </c>
      <c r="F1370" s="24" t="s">
        <v>1142</v>
      </c>
      <c r="G1370" s="24" t="s">
        <v>1244</v>
      </c>
      <c r="H1370" s="24" t="s">
        <v>535</v>
      </c>
      <c r="I1370" s="24" t="s">
        <v>1439</v>
      </c>
      <c r="J1370" s="24" t="s">
        <v>761</v>
      </c>
      <c r="K1370" s="24" t="s">
        <v>1146</v>
      </c>
      <c r="L1370" s="25">
        <v>1070</v>
      </c>
      <c r="M1370" s="26">
        <v>5.7698999999999998</v>
      </c>
      <c r="N1370" s="27">
        <v>5.7698999999999998</v>
      </c>
      <c r="O1370" s="28">
        <v>5.2453636363636365E-3</v>
      </c>
      <c r="P1370" s="28">
        <v>5.4635336283185838</v>
      </c>
    </row>
    <row r="1371" spans="1:16" x14ac:dyDescent="0.3">
      <c r="A1371" t="s">
        <v>4266</v>
      </c>
      <c r="B1371" s="24">
        <v>114635</v>
      </c>
      <c r="C1371" s="24" t="s">
        <v>1243</v>
      </c>
      <c r="D1371" s="24" t="s">
        <v>1102</v>
      </c>
      <c r="E1371" s="24" t="s">
        <v>402</v>
      </c>
      <c r="F1371" s="24" t="s">
        <v>1142</v>
      </c>
      <c r="G1371" s="24" t="s">
        <v>1244</v>
      </c>
      <c r="H1371" s="24" t="s">
        <v>536</v>
      </c>
      <c r="I1371" s="24" t="s">
        <v>1440</v>
      </c>
      <c r="J1371" s="24" t="s">
        <v>761</v>
      </c>
      <c r="K1371" s="24" t="s">
        <v>1146</v>
      </c>
      <c r="L1371" s="25">
        <v>1070</v>
      </c>
      <c r="M1371" s="26">
        <v>5.7698999999999998</v>
      </c>
      <c r="N1371" s="27">
        <v>5.7698999999999998</v>
      </c>
      <c r="O1371" s="28">
        <v>5.2453636363636365E-3</v>
      </c>
      <c r="P1371" s="28">
        <v>5.4635336283185838</v>
      </c>
    </row>
    <row r="1372" spans="1:16" x14ac:dyDescent="0.3">
      <c r="A1372" t="s">
        <v>4267</v>
      </c>
      <c r="B1372" s="24">
        <v>114635</v>
      </c>
      <c r="C1372" s="24" t="s">
        <v>1243</v>
      </c>
      <c r="D1372" s="24" t="s">
        <v>1102</v>
      </c>
      <c r="E1372" s="24" t="s">
        <v>402</v>
      </c>
      <c r="F1372" s="24" t="s">
        <v>1142</v>
      </c>
      <c r="G1372" s="24" t="s">
        <v>1244</v>
      </c>
      <c r="H1372" s="24" t="s">
        <v>537</v>
      </c>
      <c r="I1372" s="24" t="s">
        <v>1441</v>
      </c>
      <c r="J1372" s="24" t="s">
        <v>761</v>
      </c>
      <c r="K1372" s="24" t="s">
        <v>1146</v>
      </c>
      <c r="L1372" s="25">
        <v>1070</v>
      </c>
      <c r="M1372" s="26">
        <v>6.1199000000000003</v>
      </c>
      <c r="N1372" s="27">
        <v>6.1199000000000003</v>
      </c>
      <c r="O1372" s="28">
        <v>5.5635454545454547E-3</v>
      </c>
      <c r="P1372" s="28">
        <v>5.7949495575221244</v>
      </c>
    </row>
    <row r="1373" spans="1:16" x14ac:dyDescent="0.3">
      <c r="A1373" t="s">
        <v>4268</v>
      </c>
      <c r="B1373" s="24">
        <v>114635</v>
      </c>
      <c r="C1373" s="24" t="s">
        <v>1243</v>
      </c>
      <c r="D1373" s="24" t="s">
        <v>1102</v>
      </c>
      <c r="E1373" s="24" t="s">
        <v>402</v>
      </c>
      <c r="F1373" s="24" t="s">
        <v>1142</v>
      </c>
      <c r="G1373" s="24" t="s">
        <v>1244</v>
      </c>
      <c r="H1373" s="24" t="s">
        <v>538</v>
      </c>
      <c r="I1373" s="24" t="s">
        <v>1442</v>
      </c>
      <c r="J1373" s="24" t="s">
        <v>761</v>
      </c>
      <c r="K1373" s="24" t="s">
        <v>1146</v>
      </c>
      <c r="L1373" s="25">
        <v>1070</v>
      </c>
      <c r="M1373" s="26">
        <v>6.1699000000000002</v>
      </c>
      <c r="N1373" s="27">
        <v>6.1699000000000002</v>
      </c>
      <c r="O1373" s="28">
        <v>5.6090000000000003E-3</v>
      </c>
      <c r="P1373" s="28">
        <v>5.8422946902654873</v>
      </c>
    </row>
    <row r="1374" spans="1:16" x14ac:dyDescent="0.3">
      <c r="A1374" t="s">
        <v>4269</v>
      </c>
      <c r="B1374" s="24">
        <v>101554</v>
      </c>
      <c r="C1374" s="24" t="s">
        <v>1202</v>
      </c>
      <c r="D1374" s="24" t="s">
        <v>1102</v>
      </c>
      <c r="E1374" s="24" t="s">
        <v>402</v>
      </c>
      <c r="F1374" s="24" t="s">
        <v>1142</v>
      </c>
      <c r="G1374" s="24" t="s">
        <v>1244</v>
      </c>
      <c r="H1374" s="24" t="s">
        <v>1084</v>
      </c>
      <c r="I1374" s="24" t="s">
        <v>1443</v>
      </c>
      <c r="J1374" s="24" t="s">
        <v>761</v>
      </c>
      <c r="K1374" s="24" t="s">
        <v>1146</v>
      </c>
      <c r="L1374" s="25">
        <v>1070</v>
      </c>
      <c r="M1374" s="26">
        <v>6.843</v>
      </c>
      <c r="N1374" s="27">
        <v>6.843</v>
      </c>
      <c r="O1374" s="28">
        <v>6.2209090909090912E-3</v>
      </c>
      <c r="P1374" s="28">
        <v>6.4796548672566372</v>
      </c>
    </row>
    <row r="1375" spans="1:16" x14ac:dyDescent="0.3">
      <c r="A1375" t="s">
        <v>4270</v>
      </c>
      <c r="B1375" s="24">
        <v>101554</v>
      </c>
      <c r="C1375" s="24" t="s">
        <v>1202</v>
      </c>
      <c r="D1375" s="24" t="s">
        <v>1102</v>
      </c>
      <c r="E1375" s="24" t="s">
        <v>402</v>
      </c>
      <c r="F1375" s="24" t="s">
        <v>1142</v>
      </c>
      <c r="G1375" s="24" t="s">
        <v>1244</v>
      </c>
      <c r="H1375" s="24" t="s">
        <v>1090</v>
      </c>
      <c r="I1375" s="24" t="s">
        <v>1444</v>
      </c>
      <c r="J1375" s="24" t="s">
        <v>761</v>
      </c>
      <c r="K1375" s="24" t="s">
        <v>1146</v>
      </c>
      <c r="L1375" s="25">
        <v>1070</v>
      </c>
      <c r="M1375" s="26">
        <v>7.2450000000000001</v>
      </c>
      <c r="N1375" s="27">
        <v>7.2450000000000001</v>
      </c>
      <c r="O1375" s="28">
        <v>6.5863636363636367E-3</v>
      </c>
      <c r="P1375" s="28">
        <v>6.8603097345132751</v>
      </c>
    </row>
    <row r="1376" spans="1:16" x14ac:dyDescent="0.3">
      <c r="A1376" t="s">
        <v>4271</v>
      </c>
      <c r="B1376" s="24">
        <v>101554</v>
      </c>
      <c r="C1376" s="24" t="s">
        <v>1202</v>
      </c>
      <c r="D1376" s="24" t="s">
        <v>1102</v>
      </c>
      <c r="E1376" s="24" t="s">
        <v>402</v>
      </c>
      <c r="F1376" s="24" t="s">
        <v>1142</v>
      </c>
      <c r="G1376" s="24" t="s">
        <v>1244</v>
      </c>
      <c r="H1376" s="24" t="s">
        <v>1103</v>
      </c>
      <c r="I1376" s="24" t="s">
        <v>1445</v>
      </c>
      <c r="J1376" s="24" t="s">
        <v>761</v>
      </c>
      <c r="K1376" s="24" t="s">
        <v>1146</v>
      </c>
      <c r="L1376" s="25">
        <v>1070</v>
      </c>
      <c r="M1376" s="26">
        <v>7.25</v>
      </c>
      <c r="N1376" s="27">
        <v>7.25</v>
      </c>
      <c r="O1376" s="28">
        <v>6.5909090909090908E-3</v>
      </c>
      <c r="P1376" s="28">
        <v>6.865044247787611</v>
      </c>
    </row>
    <row r="1377" spans="1:16" x14ac:dyDescent="0.3">
      <c r="A1377" t="s">
        <v>4272</v>
      </c>
      <c r="B1377" s="24">
        <v>101554</v>
      </c>
      <c r="C1377" s="24" t="s">
        <v>1202</v>
      </c>
      <c r="D1377" s="24" t="s">
        <v>1102</v>
      </c>
      <c r="E1377" s="24" t="s">
        <v>402</v>
      </c>
      <c r="F1377" s="24" t="s">
        <v>1142</v>
      </c>
      <c r="G1377" s="24" t="s">
        <v>1244</v>
      </c>
      <c r="H1377" s="24" t="s">
        <v>1087</v>
      </c>
      <c r="I1377" s="24" t="s">
        <v>1446</v>
      </c>
      <c r="J1377" s="24" t="s">
        <v>761</v>
      </c>
      <c r="K1377" s="24" t="s">
        <v>1146</v>
      </c>
      <c r="L1377" s="25">
        <v>1070</v>
      </c>
      <c r="M1377" s="26">
        <v>7.25</v>
      </c>
      <c r="N1377" s="27">
        <v>7.25</v>
      </c>
      <c r="O1377" s="28">
        <v>6.5909090909090908E-3</v>
      </c>
      <c r="P1377" s="28">
        <v>6.865044247787611</v>
      </c>
    </row>
    <row r="1378" spans="1:16" x14ac:dyDescent="0.3">
      <c r="A1378" t="s">
        <v>4273</v>
      </c>
      <c r="B1378" s="24">
        <v>101554</v>
      </c>
      <c r="C1378" s="24" t="s">
        <v>1202</v>
      </c>
      <c r="D1378" s="24" t="s">
        <v>1102</v>
      </c>
      <c r="E1378" s="24" t="s">
        <v>402</v>
      </c>
      <c r="F1378" s="24" t="s">
        <v>1142</v>
      </c>
      <c r="G1378" s="24" t="s">
        <v>1244</v>
      </c>
      <c r="H1378" s="24" t="s">
        <v>1088</v>
      </c>
      <c r="I1378" s="24" t="s">
        <v>1447</v>
      </c>
      <c r="J1378" s="24" t="s">
        <v>761</v>
      </c>
      <c r="K1378" s="24" t="s">
        <v>1146</v>
      </c>
      <c r="L1378" s="25">
        <v>1070</v>
      </c>
      <c r="M1378" s="26">
        <v>7.25</v>
      </c>
      <c r="N1378" s="27">
        <v>7.25</v>
      </c>
      <c r="O1378" s="28">
        <v>6.5909090909090908E-3</v>
      </c>
      <c r="P1378" s="28">
        <v>6.865044247787611</v>
      </c>
    </row>
    <row r="1379" spans="1:16" x14ac:dyDescent="0.3">
      <c r="A1379" t="s">
        <v>4274</v>
      </c>
      <c r="B1379" s="24">
        <v>101554</v>
      </c>
      <c r="C1379" s="24" t="s">
        <v>1202</v>
      </c>
      <c r="D1379" s="24" t="s">
        <v>1102</v>
      </c>
      <c r="E1379" s="24" t="s">
        <v>402</v>
      </c>
      <c r="F1379" s="24" t="s">
        <v>1142</v>
      </c>
      <c r="G1379" s="24" t="s">
        <v>1244</v>
      </c>
      <c r="H1379" s="24" t="s">
        <v>1089</v>
      </c>
      <c r="I1379" s="24" t="s">
        <v>1445</v>
      </c>
      <c r="J1379" s="24" t="s">
        <v>761</v>
      </c>
      <c r="K1379" s="24" t="s">
        <v>1146</v>
      </c>
      <c r="L1379" s="25">
        <v>1070</v>
      </c>
      <c r="M1379" s="26">
        <v>7.25</v>
      </c>
      <c r="N1379" s="27">
        <v>7.25</v>
      </c>
      <c r="O1379" s="28">
        <v>6.5909090909090908E-3</v>
      </c>
      <c r="P1379" s="28">
        <v>6.865044247787611</v>
      </c>
    </row>
    <row r="1380" spans="1:16" x14ac:dyDescent="0.3">
      <c r="A1380" t="s">
        <v>4275</v>
      </c>
      <c r="B1380" s="24">
        <v>101554</v>
      </c>
      <c r="C1380" s="24" t="s">
        <v>1202</v>
      </c>
      <c r="D1380" s="24" t="s">
        <v>1102</v>
      </c>
      <c r="E1380" s="24" t="s">
        <v>402</v>
      </c>
      <c r="F1380" s="24" t="s">
        <v>1142</v>
      </c>
      <c r="G1380" s="24" t="s">
        <v>1244</v>
      </c>
      <c r="H1380" s="24" t="s">
        <v>1086</v>
      </c>
      <c r="I1380" s="24" t="s">
        <v>1448</v>
      </c>
      <c r="J1380" s="24" t="s">
        <v>761</v>
      </c>
      <c r="K1380" s="24" t="s">
        <v>1146</v>
      </c>
      <c r="L1380" s="25">
        <v>1070</v>
      </c>
      <c r="M1380" s="26">
        <v>7.3010000000000002</v>
      </c>
      <c r="N1380" s="27">
        <v>7.3010000000000002</v>
      </c>
      <c r="O1380" s="28">
        <v>6.6372727272727278E-3</v>
      </c>
      <c r="P1380" s="28">
        <v>6.9133362831858411</v>
      </c>
    </row>
    <row r="1381" spans="1:16" x14ac:dyDescent="0.3">
      <c r="A1381" t="s">
        <v>4276</v>
      </c>
      <c r="B1381" s="24">
        <v>101554</v>
      </c>
      <c r="C1381" s="24" t="s">
        <v>1202</v>
      </c>
      <c r="D1381" s="24" t="s">
        <v>1102</v>
      </c>
      <c r="E1381" s="24" t="s">
        <v>402</v>
      </c>
      <c r="F1381" s="24" t="s">
        <v>1142</v>
      </c>
      <c r="G1381" s="24" t="s">
        <v>1244</v>
      </c>
      <c r="H1381" s="24" t="s">
        <v>1085</v>
      </c>
      <c r="I1381" s="24" t="s">
        <v>1449</v>
      </c>
      <c r="J1381" s="24" t="s">
        <v>761</v>
      </c>
      <c r="K1381" s="24" t="s">
        <v>1146</v>
      </c>
      <c r="L1381" s="25">
        <v>1070</v>
      </c>
      <c r="M1381" s="26">
        <v>7.3029999999999999</v>
      </c>
      <c r="N1381" s="27">
        <v>7.3029999999999999</v>
      </c>
      <c r="O1381" s="28">
        <v>6.6390909090909087E-3</v>
      </c>
      <c r="P1381" s="28">
        <v>6.9152300884955755</v>
      </c>
    </row>
    <row r="1382" spans="1:16" x14ac:dyDescent="0.3">
      <c r="A1382" t="s">
        <v>4277</v>
      </c>
      <c r="B1382" s="24">
        <v>142363</v>
      </c>
      <c r="C1382" s="24" t="s">
        <v>1246</v>
      </c>
      <c r="D1382" s="24" t="s">
        <v>1102</v>
      </c>
      <c r="E1382" s="24" t="s">
        <v>402</v>
      </c>
      <c r="F1382" s="24" t="s">
        <v>1142</v>
      </c>
      <c r="G1382" s="24" t="s">
        <v>1244</v>
      </c>
      <c r="H1382" s="24" t="s">
        <v>1107</v>
      </c>
      <c r="I1382" s="24" t="s">
        <v>1415</v>
      </c>
      <c r="J1382" s="24" t="s">
        <v>761</v>
      </c>
      <c r="K1382" s="24" t="s">
        <v>1146</v>
      </c>
      <c r="L1382" s="25">
        <v>1070</v>
      </c>
      <c r="M1382" s="26">
        <v>4.2114000000000003</v>
      </c>
      <c r="N1382" s="27">
        <v>4.2114000000000003</v>
      </c>
      <c r="O1382" s="28">
        <v>3.8285454545454547E-3</v>
      </c>
      <c r="P1382" s="28">
        <v>3.9877858407079647</v>
      </c>
    </row>
    <row r="1383" spans="1:16" x14ac:dyDescent="0.3">
      <c r="A1383" t="s">
        <v>4278</v>
      </c>
      <c r="B1383" s="24">
        <v>142363</v>
      </c>
      <c r="C1383" s="24" t="s">
        <v>1246</v>
      </c>
      <c r="D1383" s="24" t="s">
        <v>1102</v>
      </c>
      <c r="E1383" s="24" t="s">
        <v>402</v>
      </c>
      <c r="F1383" s="24" t="s">
        <v>1142</v>
      </c>
      <c r="G1383" s="24" t="s">
        <v>1244</v>
      </c>
      <c r="H1383" s="24" t="s">
        <v>1108</v>
      </c>
      <c r="I1383" s="24" t="s">
        <v>1416</v>
      </c>
      <c r="J1383" s="24" t="s">
        <v>761</v>
      </c>
      <c r="K1383" s="24" t="s">
        <v>1146</v>
      </c>
      <c r="L1383" s="25">
        <v>1070</v>
      </c>
      <c r="M1383" s="26">
        <v>4.2016999999999998</v>
      </c>
      <c r="N1383" s="27">
        <v>4.2016999999999998</v>
      </c>
      <c r="O1383" s="28">
        <v>3.8197272727272724E-3</v>
      </c>
      <c r="P1383" s="28">
        <v>3.9786008849557519</v>
      </c>
    </row>
    <row r="1384" spans="1:16" x14ac:dyDescent="0.3">
      <c r="A1384" t="s">
        <v>4279</v>
      </c>
      <c r="B1384" s="24">
        <v>142363</v>
      </c>
      <c r="C1384" s="24" t="s">
        <v>1246</v>
      </c>
      <c r="D1384" s="24" t="s">
        <v>1102</v>
      </c>
      <c r="E1384" s="24" t="s">
        <v>402</v>
      </c>
      <c r="F1384" s="24" t="s">
        <v>1142</v>
      </c>
      <c r="G1384" s="24" t="s">
        <v>1244</v>
      </c>
      <c r="H1384" s="24" t="s">
        <v>1109</v>
      </c>
      <c r="I1384" s="24" t="s">
        <v>1417</v>
      </c>
      <c r="J1384" s="24" t="s">
        <v>761</v>
      </c>
      <c r="K1384" s="24" t="s">
        <v>1146</v>
      </c>
      <c r="L1384" s="25">
        <v>1070</v>
      </c>
      <c r="M1384" s="26">
        <v>4.2053000000000003</v>
      </c>
      <c r="N1384" s="27">
        <v>4.2053000000000003</v>
      </c>
      <c r="O1384" s="28">
        <v>3.8230000000000004E-3</v>
      </c>
      <c r="P1384" s="28">
        <v>3.9820097345132748</v>
      </c>
    </row>
    <row r="1385" spans="1:16" x14ac:dyDescent="0.3">
      <c r="A1385" t="s">
        <v>4280</v>
      </c>
      <c r="B1385" s="24">
        <v>142363</v>
      </c>
      <c r="C1385" s="24" t="s">
        <v>1246</v>
      </c>
      <c r="D1385" s="24" t="s">
        <v>1102</v>
      </c>
      <c r="E1385" s="24" t="s">
        <v>402</v>
      </c>
      <c r="F1385" s="24" t="s">
        <v>1142</v>
      </c>
      <c r="G1385" s="24" t="s">
        <v>1244</v>
      </c>
      <c r="H1385" s="24" t="s">
        <v>1110</v>
      </c>
      <c r="I1385" s="24" t="s">
        <v>1418</v>
      </c>
      <c r="J1385" s="24" t="s">
        <v>761</v>
      </c>
      <c r="K1385" s="24" t="s">
        <v>1146</v>
      </c>
      <c r="L1385" s="25">
        <v>1070</v>
      </c>
      <c r="M1385" s="26">
        <v>4.2232000000000003</v>
      </c>
      <c r="N1385" s="27">
        <v>4.2232000000000003</v>
      </c>
      <c r="O1385" s="28">
        <v>3.8392727272727276E-3</v>
      </c>
      <c r="P1385" s="28">
        <v>3.9989592920353987</v>
      </c>
    </row>
    <row r="1386" spans="1:16" x14ac:dyDescent="0.3">
      <c r="A1386" t="s">
        <v>4281</v>
      </c>
      <c r="B1386" s="24">
        <v>142363</v>
      </c>
      <c r="C1386" s="24" t="s">
        <v>1246</v>
      </c>
      <c r="D1386" s="24" t="s">
        <v>1102</v>
      </c>
      <c r="E1386" s="24" t="s">
        <v>402</v>
      </c>
      <c r="F1386" s="24" t="s">
        <v>1142</v>
      </c>
      <c r="G1386" s="24" t="s">
        <v>1244</v>
      </c>
      <c r="H1386" s="24" t="s">
        <v>1111</v>
      </c>
      <c r="I1386" s="24" t="s">
        <v>1419</v>
      </c>
      <c r="J1386" s="24" t="s">
        <v>761</v>
      </c>
      <c r="K1386" s="24" t="s">
        <v>1146</v>
      </c>
      <c r="L1386" s="25">
        <v>1070</v>
      </c>
      <c r="M1386" s="26">
        <v>4.2102000000000004</v>
      </c>
      <c r="N1386" s="27">
        <v>4.2102000000000004</v>
      </c>
      <c r="O1386" s="28">
        <v>3.8274545454545458E-3</v>
      </c>
      <c r="P1386" s="28">
        <v>3.9866495575221244</v>
      </c>
    </row>
    <row r="1387" spans="1:16" x14ac:dyDescent="0.3">
      <c r="A1387" t="s">
        <v>4282</v>
      </c>
      <c r="B1387" s="24">
        <v>142363</v>
      </c>
      <c r="C1387" s="24" t="s">
        <v>1246</v>
      </c>
      <c r="D1387" s="24" t="s">
        <v>1102</v>
      </c>
      <c r="E1387" s="24" t="s">
        <v>402</v>
      </c>
      <c r="F1387" s="24" t="s">
        <v>1142</v>
      </c>
      <c r="G1387" s="24" t="s">
        <v>1244</v>
      </c>
      <c r="H1387" s="24" t="s">
        <v>1450</v>
      </c>
      <c r="I1387" s="24" t="s">
        <v>1451</v>
      </c>
      <c r="J1387" s="24" t="s">
        <v>761</v>
      </c>
      <c r="K1387" s="24" t="s">
        <v>1146</v>
      </c>
      <c r="L1387" s="25">
        <v>1070</v>
      </c>
      <c r="M1387" s="26">
        <v>4.2102000000000004</v>
      </c>
      <c r="N1387" s="27">
        <v>4.2102000000000004</v>
      </c>
      <c r="O1387" s="28">
        <v>3.8274545454545458E-3</v>
      </c>
      <c r="P1387" s="28">
        <v>3.9866495575221244</v>
      </c>
    </row>
    <row r="1388" spans="1:16" x14ac:dyDescent="0.3">
      <c r="A1388" t="s">
        <v>4283</v>
      </c>
      <c r="B1388" s="24">
        <v>142363</v>
      </c>
      <c r="C1388" s="24" t="s">
        <v>1246</v>
      </c>
      <c r="D1388" s="24" t="s">
        <v>1102</v>
      </c>
      <c r="E1388" s="24" t="s">
        <v>402</v>
      </c>
      <c r="F1388" s="24" t="s">
        <v>1142</v>
      </c>
      <c r="G1388" s="24" t="s">
        <v>1244</v>
      </c>
      <c r="H1388" s="24" t="s">
        <v>1112</v>
      </c>
      <c r="I1388" s="24" t="s">
        <v>1420</v>
      </c>
      <c r="J1388" s="24" t="s">
        <v>761</v>
      </c>
      <c r="K1388" s="24" t="s">
        <v>1146</v>
      </c>
      <c r="L1388" s="25">
        <v>1070</v>
      </c>
      <c r="M1388" s="26">
        <v>4.2267999999999999</v>
      </c>
      <c r="N1388" s="27">
        <v>4.2267999999999999</v>
      </c>
      <c r="O1388" s="28">
        <v>3.8425454545454544E-3</v>
      </c>
      <c r="P1388" s="28">
        <v>4.0023681415929202</v>
      </c>
    </row>
    <row r="1389" spans="1:16" x14ac:dyDescent="0.3">
      <c r="A1389" t="s">
        <v>4284</v>
      </c>
      <c r="B1389" s="24">
        <v>142363</v>
      </c>
      <c r="C1389" s="24" t="s">
        <v>1246</v>
      </c>
      <c r="D1389" s="24" t="s">
        <v>1102</v>
      </c>
      <c r="E1389" s="24" t="s">
        <v>402</v>
      </c>
      <c r="F1389" s="24" t="s">
        <v>1142</v>
      </c>
      <c r="G1389" s="24" t="s">
        <v>1244</v>
      </c>
      <c r="H1389" s="24" t="s">
        <v>1113</v>
      </c>
      <c r="I1389" s="24" t="s">
        <v>1422</v>
      </c>
      <c r="J1389" s="24" t="s">
        <v>761</v>
      </c>
      <c r="K1389" s="24" t="s">
        <v>1146</v>
      </c>
      <c r="L1389" s="25">
        <v>1070</v>
      </c>
      <c r="M1389" s="26">
        <v>4.2613000000000003</v>
      </c>
      <c r="N1389" s="27">
        <v>4.2613000000000003</v>
      </c>
      <c r="O1389" s="28">
        <v>3.8739090909090911E-3</v>
      </c>
      <c r="P1389" s="28">
        <v>4.0350362831858408</v>
      </c>
    </row>
    <row r="1390" spans="1:16" x14ac:dyDescent="0.3">
      <c r="A1390" t="s">
        <v>4285</v>
      </c>
      <c r="B1390" s="24">
        <v>142363</v>
      </c>
      <c r="C1390" s="24" t="s">
        <v>1246</v>
      </c>
      <c r="D1390" s="24" t="s">
        <v>1102</v>
      </c>
      <c r="E1390" s="24" t="s">
        <v>402</v>
      </c>
      <c r="F1390" s="24" t="s">
        <v>1142</v>
      </c>
      <c r="G1390" s="24" t="s">
        <v>1244</v>
      </c>
      <c r="H1390" s="24" t="s">
        <v>1114</v>
      </c>
      <c r="I1390" s="24" t="s">
        <v>1423</v>
      </c>
      <c r="J1390" s="24" t="s">
        <v>761</v>
      </c>
      <c r="K1390" s="24" t="s">
        <v>1146</v>
      </c>
      <c r="L1390" s="25">
        <v>1070</v>
      </c>
      <c r="M1390" s="26">
        <v>4.2325999999999997</v>
      </c>
      <c r="N1390" s="27">
        <v>4.2325999999999997</v>
      </c>
      <c r="O1390" s="28">
        <v>3.8478181818181814E-3</v>
      </c>
      <c r="P1390" s="28">
        <v>4.0078601769911497</v>
      </c>
    </row>
    <row r="1391" spans="1:16" x14ac:dyDescent="0.3">
      <c r="A1391" t="s">
        <v>4286</v>
      </c>
      <c r="B1391" s="24">
        <v>142363</v>
      </c>
      <c r="C1391" s="24" t="s">
        <v>1246</v>
      </c>
      <c r="D1391" s="24" t="s">
        <v>1102</v>
      </c>
      <c r="E1391" s="24" t="s">
        <v>402</v>
      </c>
      <c r="F1391" s="24" t="s">
        <v>1142</v>
      </c>
      <c r="G1391" s="24" t="s">
        <v>1244</v>
      </c>
      <c r="H1391" s="24" t="s">
        <v>1115</v>
      </c>
      <c r="I1391" s="24" t="s">
        <v>1429</v>
      </c>
      <c r="J1391" s="24" t="s">
        <v>761</v>
      </c>
      <c r="K1391" s="24" t="s">
        <v>1146</v>
      </c>
      <c r="L1391" s="25">
        <v>1070</v>
      </c>
      <c r="M1391" s="26">
        <v>4.3697999999999997</v>
      </c>
      <c r="N1391" s="27">
        <v>4.3697999999999997</v>
      </c>
      <c r="O1391" s="28">
        <v>3.9725454545454543E-3</v>
      </c>
      <c r="P1391" s="28">
        <v>4.1377752212389378</v>
      </c>
    </row>
    <row r="1392" spans="1:16" x14ac:dyDescent="0.3">
      <c r="A1392" t="s">
        <v>4287</v>
      </c>
      <c r="B1392" s="24">
        <v>142363</v>
      </c>
      <c r="C1392" s="24" t="s">
        <v>1246</v>
      </c>
      <c r="D1392" s="24" t="s">
        <v>1102</v>
      </c>
      <c r="E1392" s="24" t="s">
        <v>402</v>
      </c>
      <c r="F1392" s="24" t="s">
        <v>1142</v>
      </c>
      <c r="G1392" s="24" t="s">
        <v>1244</v>
      </c>
      <c r="H1392" s="24" t="s">
        <v>1116</v>
      </c>
      <c r="I1392" s="24" t="s">
        <v>1425</v>
      </c>
      <c r="J1392" s="24" t="s">
        <v>761</v>
      </c>
      <c r="K1392" s="24" t="s">
        <v>1146</v>
      </c>
      <c r="L1392" s="25">
        <v>1070</v>
      </c>
      <c r="M1392" s="26">
        <v>4.5265000000000004</v>
      </c>
      <c r="N1392" s="27">
        <v>4.5265000000000004</v>
      </c>
      <c r="O1392" s="28">
        <v>4.1150000000000006E-3</v>
      </c>
      <c r="P1392" s="28">
        <v>4.2861548672566379</v>
      </c>
    </row>
    <row r="1393" spans="1:16" x14ac:dyDescent="0.3">
      <c r="A1393" t="s">
        <v>4288</v>
      </c>
      <c r="B1393" s="24">
        <v>142363</v>
      </c>
      <c r="C1393" s="24" t="s">
        <v>1246</v>
      </c>
      <c r="D1393" s="24" t="s">
        <v>1102</v>
      </c>
      <c r="E1393" s="24" t="s">
        <v>402</v>
      </c>
      <c r="F1393" s="24" t="s">
        <v>1142</v>
      </c>
      <c r="G1393" s="24" t="s">
        <v>1244</v>
      </c>
      <c r="H1393" s="24" t="s">
        <v>1117</v>
      </c>
      <c r="I1393" s="24" t="s">
        <v>1452</v>
      </c>
      <c r="J1393" s="24" t="s">
        <v>761</v>
      </c>
      <c r="K1393" s="24" t="s">
        <v>1146</v>
      </c>
      <c r="L1393" s="25">
        <v>1070</v>
      </c>
      <c r="M1393" s="26">
        <v>4.5566000000000004</v>
      </c>
      <c r="N1393" s="27">
        <v>4.5566000000000004</v>
      </c>
      <c r="O1393" s="28">
        <v>4.1423636363636367E-3</v>
      </c>
      <c r="P1393" s="28">
        <v>4.3146566371681425</v>
      </c>
    </row>
    <row r="1394" spans="1:16" x14ac:dyDescent="0.3">
      <c r="A1394" t="s">
        <v>4289</v>
      </c>
      <c r="B1394" s="24">
        <v>142363</v>
      </c>
      <c r="C1394" s="24" t="s">
        <v>1246</v>
      </c>
      <c r="D1394" s="24" t="s">
        <v>1102</v>
      </c>
      <c r="E1394" s="24" t="s">
        <v>402</v>
      </c>
      <c r="F1394" s="24" t="s">
        <v>1142</v>
      </c>
      <c r="G1394" s="24" t="s">
        <v>1244</v>
      </c>
      <c r="H1394" s="24" t="s">
        <v>1118</v>
      </c>
      <c r="I1394" s="24" t="s">
        <v>1432</v>
      </c>
      <c r="J1394" s="24" t="s">
        <v>761</v>
      </c>
      <c r="K1394" s="24" t="s">
        <v>1146</v>
      </c>
      <c r="L1394" s="25">
        <v>1070</v>
      </c>
      <c r="M1394" s="26">
        <v>4.2214</v>
      </c>
      <c r="N1394" s="27">
        <v>4.2214</v>
      </c>
      <c r="O1394" s="28">
        <v>3.8376363636363638E-3</v>
      </c>
      <c r="P1394" s="28">
        <v>3.9972548672566375</v>
      </c>
    </row>
    <row r="1395" spans="1:16" x14ac:dyDescent="0.3">
      <c r="A1395" t="s">
        <v>4290</v>
      </c>
      <c r="B1395" s="24">
        <v>142363</v>
      </c>
      <c r="C1395" s="24" t="s">
        <v>1246</v>
      </c>
      <c r="D1395" s="24" t="s">
        <v>1102</v>
      </c>
      <c r="E1395" s="24" t="s">
        <v>402</v>
      </c>
      <c r="F1395" s="24" t="s">
        <v>1142</v>
      </c>
      <c r="G1395" s="24" t="s">
        <v>1244</v>
      </c>
      <c r="H1395" s="24" t="s">
        <v>1119</v>
      </c>
      <c r="I1395" s="24" t="s">
        <v>1432</v>
      </c>
      <c r="J1395" s="24" t="s">
        <v>761</v>
      </c>
      <c r="K1395" s="24" t="s">
        <v>1146</v>
      </c>
      <c r="L1395" s="25">
        <v>1070</v>
      </c>
      <c r="M1395" s="26">
        <v>4.2214</v>
      </c>
      <c r="N1395" s="27">
        <v>4.2214</v>
      </c>
      <c r="O1395" s="28">
        <v>3.8376363636363638E-3</v>
      </c>
      <c r="P1395" s="28">
        <v>3.9972548672566375</v>
      </c>
    </row>
    <row r="1396" spans="1:16" x14ac:dyDescent="0.3">
      <c r="A1396" t="s">
        <v>4291</v>
      </c>
      <c r="B1396" s="24">
        <v>142363</v>
      </c>
      <c r="C1396" s="24" t="s">
        <v>1246</v>
      </c>
      <c r="D1396" s="24" t="s">
        <v>1102</v>
      </c>
      <c r="E1396" s="24" t="s">
        <v>402</v>
      </c>
      <c r="F1396" s="24" t="s">
        <v>1142</v>
      </c>
      <c r="G1396" s="24" t="s">
        <v>1244</v>
      </c>
      <c r="H1396" s="24" t="s">
        <v>1120</v>
      </c>
      <c r="I1396" s="24" t="s">
        <v>1453</v>
      </c>
      <c r="J1396" s="24" t="s">
        <v>761</v>
      </c>
      <c r="K1396" s="24" t="s">
        <v>1146</v>
      </c>
      <c r="L1396" s="25">
        <v>1070</v>
      </c>
      <c r="M1396" s="26">
        <v>4.5265000000000004</v>
      </c>
      <c r="N1396" s="27">
        <v>4.5265000000000004</v>
      </c>
      <c r="O1396" s="28">
        <v>4.1150000000000006E-3</v>
      </c>
      <c r="P1396" s="28">
        <v>4.2861548672566379</v>
      </c>
    </row>
    <row r="1397" spans="1:16" x14ac:dyDescent="0.3">
      <c r="A1397" t="s">
        <v>4292</v>
      </c>
      <c r="B1397" s="24">
        <v>700625</v>
      </c>
      <c r="C1397" s="24" t="s">
        <v>1454</v>
      </c>
      <c r="D1397" s="24" t="s">
        <v>1102</v>
      </c>
      <c r="E1397" s="24" t="s">
        <v>402</v>
      </c>
      <c r="F1397" s="24" t="s">
        <v>1142</v>
      </c>
      <c r="G1397" s="24" t="s">
        <v>1200</v>
      </c>
      <c r="H1397" s="24" t="s">
        <v>539</v>
      </c>
      <c r="I1397" s="24" t="s">
        <v>1455</v>
      </c>
      <c r="J1397" s="24" t="s">
        <v>761</v>
      </c>
      <c r="K1397" s="24" t="s">
        <v>1352</v>
      </c>
      <c r="L1397" s="25">
        <v>1</v>
      </c>
      <c r="M1397" s="26">
        <v>6164</v>
      </c>
      <c r="N1397" s="27">
        <v>5.6036363636363635</v>
      </c>
      <c r="O1397" s="28">
        <v>5.6036363636363635</v>
      </c>
      <c r="P1397" s="28">
        <v>5.4548672566371685</v>
      </c>
    </row>
    <row r="1398" spans="1:16" x14ac:dyDescent="0.3">
      <c r="A1398" t="s">
        <v>4293</v>
      </c>
      <c r="B1398" s="24">
        <v>700625</v>
      </c>
      <c r="C1398" s="24" t="s">
        <v>1454</v>
      </c>
      <c r="D1398" s="24" t="s">
        <v>1102</v>
      </c>
      <c r="E1398" s="24" t="s">
        <v>402</v>
      </c>
      <c r="F1398" s="24" t="s">
        <v>1142</v>
      </c>
      <c r="G1398" s="24" t="s">
        <v>1200</v>
      </c>
      <c r="H1398" s="24" t="s">
        <v>540</v>
      </c>
      <c r="I1398" s="24" t="s">
        <v>1456</v>
      </c>
      <c r="J1398" s="24" t="s">
        <v>761</v>
      </c>
      <c r="K1398" s="24" t="s">
        <v>1352</v>
      </c>
      <c r="L1398" s="25">
        <v>1</v>
      </c>
      <c r="M1398" s="26">
        <v>6164</v>
      </c>
      <c r="N1398" s="27">
        <v>5.6036363636363635</v>
      </c>
      <c r="O1398" s="28">
        <v>5.6036363636363635</v>
      </c>
      <c r="P1398" s="28">
        <v>5.4548672566371685</v>
      </c>
    </row>
    <row r="1399" spans="1:16" x14ac:dyDescent="0.3">
      <c r="A1399" t="s">
        <v>4294</v>
      </c>
      <c r="B1399" s="24">
        <v>109171</v>
      </c>
      <c r="C1399" s="24" t="s">
        <v>1279</v>
      </c>
      <c r="D1399" s="24" t="s">
        <v>1102</v>
      </c>
      <c r="E1399" s="24" t="s">
        <v>402</v>
      </c>
      <c r="F1399" s="24" t="s">
        <v>1142</v>
      </c>
      <c r="G1399" s="24" t="s">
        <v>1203</v>
      </c>
      <c r="H1399" s="24" t="s">
        <v>1457</v>
      </c>
      <c r="I1399" s="24" t="s">
        <v>1458</v>
      </c>
      <c r="J1399" s="24" t="s">
        <v>761</v>
      </c>
      <c r="K1399" s="24" t="s">
        <v>1146</v>
      </c>
      <c r="L1399" s="25">
        <v>1070</v>
      </c>
      <c r="M1399" s="26">
        <v>0</v>
      </c>
      <c r="N1399" s="27">
        <v>0</v>
      </c>
      <c r="O1399" s="28">
        <v>0</v>
      </c>
      <c r="P1399" s="28">
        <v>0</v>
      </c>
    </row>
    <row r="1400" spans="1:16" x14ac:dyDescent="0.3">
      <c r="A1400" t="s">
        <v>4295</v>
      </c>
      <c r="B1400" s="24">
        <v>101186</v>
      </c>
      <c r="C1400" s="24" t="s">
        <v>1273</v>
      </c>
      <c r="D1400" s="24" t="s">
        <v>1102</v>
      </c>
      <c r="E1400" s="24" t="s">
        <v>402</v>
      </c>
      <c r="F1400" s="24" t="s">
        <v>1142</v>
      </c>
      <c r="G1400" s="24" t="s">
        <v>1203</v>
      </c>
      <c r="H1400" s="24" t="s">
        <v>580</v>
      </c>
      <c r="I1400" s="24" t="s">
        <v>1459</v>
      </c>
      <c r="J1400" s="24" t="s">
        <v>761</v>
      </c>
      <c r="K1400" s="24" t="s">
        <v>1146</v>
      </c>
      <c r="L1400" s="25">
        <v>1070</v>
      </c>
      <c r="M1400" s="26">
        <v>3.28</v>
      </c>
      <c r="N1400" s="27">
        <v>3.28</v>
      </c>
      <c r="O1400" s="28">
        <v>2.9818181818181818E-3</v>
      </c>
      <c r="P1400" s="28">
        <v>3.1058407079646018</v>
      </c>
    </row>
    <row r="1401" spans="1:16" x14ac:dyDescent="0.3">
      <c r="A1401" t="s">
        <v>4296</v>
      </c>
      <c r="B1401" s="24">
        <v>101424</v>
      </c>
      <c r="C1401" s="24" t="s">
        <v>1278</v>
      </c>
      <c r="D1401" s="24" t="s">
        <v>1102</v>
      </c>
      <c r="E1401" s="24" t="s">
        <v>402</v>
      </c>
      <c r="F1401" s="24" t="s">
        <v>1142</v>
      </c>
      <c r="G1401" s="24" t="s">
        <v>1203</v>
      </c>
      <c r="H1401" s="24" t="s">
        <v>580</v>
      </c>
      <c r="I1401" s="24" t="s">
        <v>1459</v>
      </c>
      <c r="J1401" s="24" t="s">
        <v>761</v>
      </c>
      <c r="K1401" s="24" t="s">
        <v>1146</v>
      </c>
      <c r="L1401" s="25">
        <v>1070</v>
      </c>
      <c r="M1401" s="26">
        <v>3.28</v>
      </c>
      <c r="N1401" s="27">
        <v>3.28</v>
      </c>
      <c r="O1401" s="28">
        <v>2.9818181818181818E-3</v>
      </c>
      <c r="P1401" s="28">
        <v>3.1058407079646018</v>
      </c>
    </row>
    <row r="1402" spans="1:16" x14ac:dyDescent="0.3">
      <c r="A1402" t="s">
        <v>4297</v>
      </c>
      <c r="B1402" s="24">
        <v>109171</v>
      </c>
      <c r="C1402" s="24" t="s">
        <v>1279</v>
      </c>
      <c r="D1402" s="24" t="s">
        <v>1102</v>
      </c>
      <c r="E1402" s="24" t="s">
        <v>402</v>
      </c>
      <c r="F1402" s="24" t="s">
        <v>1142</v>
      </c>
      <c r="G1402" s="24" t="s">
        <v>1203</v>
      </c>
      <c r="H1402" s="24" t="s">
        <v>580</v>
      </c>
      <c r="I1402" s="24" t="s">
        <v>1459</v>
      </c>
      <c r="J1402" s="24" t="s">
        <v>761</v>
      </c>
      <c r="K1402" s="24" t="s">
        <v>1146</v>
      </c>
      <c r="L1402" s="25">
        <v>1070</v>
      </c>
      <c r="M1402" s="26">
        <v>3.28</v>
      </c>
      <c r="N1402" s="27">
        <v>3.28</v>
      </c>
      <c r="O1402" s="28">
        <v>2.9818181818181818E-3</v>
      </c>
      <c r="P1402" s="28">
        <v>3.1058407079646018</v>
      </c>
    </row>
    <row r="1403" spans="1:16" x14ac:dyDescent="0.3">
      <c r="A1403" t="s">
        <v>4298</v>
      </c>
      <c r="B1403" s="24">
        <v>114501</v>
      </c>
      <c r="C1403" s="24" t="s">
        <v>1409</v>
      </c>
      <c r="D1403" s="24" t="s">
        <v>1102</v>
      </c>
      <c r="E1403" s="24" t="s">
        <v>402</v>
      </c>
      <c r="F1403" s="24" t="s">
        <v>1142</v>
      </c>
      <c r="G1403" s="24" t="s">
        <v>1402</v>
      </c>
      <c r="H1403" s="24" t="s">
        <v>580</v>
      </c>
      <c r="I1403" s="24" t="s">
        <v>1459</v>
      </c>
      <c r="J1403" s="24" t="s">
        <v>761</v>
      </c>
      <c r="K1403" s="24" t="s">
        <v>1146</v>
      </c>
      <c r="L1403" s="25">
        <v>1070</v>
      </c>
      <c r="M1403" s="26">
        <v>3.28</v>
      </c>
      <c r="N1403" s="27">
        <v>3.28</v>
      </c>
      <c r="O1403" s="28">
        <v>2.9818181818181818E-3</v>
      </c>
      <c r="P1403" s="28">
        <v>3.1058407079646018</v>
      </c>
    </row>
    <row r="1404" spans="1:16" x14ac:dyDescent="0.3">
      <c r="A1404" t="s">
        <v>4299</v>
      </c>
      <c r="B1404" s="24">
        <v>142141</v>
      </c>
      <c r="C1404" s="24" t="s">
        <v>1206</v>
      </c>
      <c r="D1404" s="24" t="s">
        <v>1102</v>
      </c>
      <c r="E1404" s="24" t="s">
        <v>402</v>
      </c>
      <c r="F1404" s="24" t="s">
        <v>1142</v>
      </c>
      <c r="G1404" s="24" t="s">
        <v>1203</v>
      </c>
      <c r="H1404" s="24" t="s">
        <v>2844</v>
      </c>
      <c r="I1404" s="24" t="s">
        <v>1460</v>
      </c>
      <c r="J1404" s="24" t="s">
        <v>761</v>
      </c>
      <c r="K1404" s="24" t="s">
        <v>1146</v>
      </c>
      <c r="L1404" s="25">
        <v>1070</v>
      </c>
      <c r="M1404" s="26">
        <v>3.58</v>
      </c>
      <c r="N1404" s="27">
        <v>3.58</v>
      </c>
      <c r="O1404" s="28">
        <v>3.2545454545454544E-3</v>
      </c>
      <c r="P1404" s="28">
        <v>3.3899115044247785</v>
      </c>
    </row>
    <row r="1405" spans="1:16" x14ac:dyDescent="0.3">
      <c r="A1405" t="s">
        <v>4300</v>
      </c>
      <c r="B1405" s="24">
        <v>101184</v>
      </c>
      <c r="C1405" s="24" t="s">
        <v>1401</v>
      </c>
      <c r="D1405" s="24" t="s">
        <v>1102</v>
      </c>
      <c r="E1405" s="24" t="s">
        <v>402</v>
      </c>
      <c r="F1405" s="24" t="s">
        <v>1142</v>
      </c>
      <c r="G1405" s="24" t="s">
        <v>1402</v>
      </c>
      <c r="H1405" s="24" t="s">
        <v>591</v>
      </c>
      <c r="I1405" s="24" t="s">
        <v>1461</v>
      </c>
      <c r="J1405" s="24" t="s">
        <v>761</v>
      </c>
      <c r="K1405" s="24" t="s">
        <v>1146</v>
      </c>
      <c r="L1405" s="25">
        <v>1070</v>
      </c>
      <c r="M1405" s="26">
        <v>3.46</v>
      </c>
      <c r="N1405" s="27">
        <v>3.46</v>
      </c>
      <c r="O1405" s="28">
        <v>3.1454545454545455E-3</v>
      </c>
      <c r="P1405" s="28">
        <v>3.276283185840708</v>
      </c>
    </row>
    <row r="1406" spans="1:16" x14ac:dyDescent="0.3">
      <c r="A1406" t="s">
        <v>4301</v>
      </c>
      <c r="B1406" s="24">
        <v>101206</v>
      </c>
      <c r="C1406" s="24" t="s">
        <v>1199</v>
      </c>
      <c r="D1406" s="24" t="s">
        <v>1102</v>
      </c>
      <c r="E1406" s="24" t="s">
        <v>402</v>
      </c>
      <c r="F1406" s="24" t="s">
        <v>1142</v>
      </c>
      <c r="G1406" s="24" t="s">
        <v>1200</v>
      </c>
      <c r="H1406" s="24" t="s">
        <v>591</v>
      </c>
      <c r="I1406" s="24" t="s">
        <v>1461</v>
      </c>
      <c r="J1406" s="24" t="s">
        <v>761</v>
      </c>
      <c r="K1406" s="24" t="s">
        <v>1146</v>
      </c>
      <c r="L1406" s="25">
        <v>1070</v>
      </c>
      <c r="M1406" s="26">
        <v>3.46</v>
      </c>
      <c r="N1406" s="27">
        <v>3.46</v>
      </c>
      <c r="O1406" s="28">
        <v>3.1454545454545455E-3</v>
      </c>
      <c r="P1406" s="28">
        <v>3.276283185840708</v>
      </c>
    </row>
    <row r="1407" spans="1:16" x14ac:dyDescent="0.3">
      <c r="A1407" t="s">
        <v>4302</v>
      </c>
      <c r="B1407" s="24">
        <v>101424</v>
      </c>
      <c r="C1407" s="24" t="s">
        <v>1278</v>
      </c>
      <c r="D1407" s="24" t="s">
        <v>1102</v>
      </c>
      <c r="E1407" s="24" t="s">
        <v>402</v>
      </c>
      <c r="F1407" s="24" t="s">
        <v>1142</v>
      </c>
      <c r="G1407" s="24" t="s">
        <v>1203</v>
      </c>
      <c r="H1407" s="24" t="s">
        <v>591</v>
      </c>
      <c r="I1407" s="24" t="s">
        <v>1461</v>
      </c>
      <c r="J1407" s="24" t="s">
        <v>761</v>
      </c>
      <c r="K1407" s="24" t="s">
        <v>1146</v>
      </c>
      <c r="L1407" s="25">
        <v>1070</v>
      </c>
      <c r="M1407" s="26">
        <v>3.46</v>
      </c>
      <c r="N1407" s="27">
        <v>3.46</v>
      </c>
      <c r="O1407" s="28">
        <v>3.1454545454545455E-3</v>
      </c>
      <c r="P1407" s="28">
        <v>3.276283185840708</v>
      </c>
    </row>
    <row r="1408" spans="1:16" x14ac:dyDescent="0.3">
      <c r="A1408" t="s">
        <v>4303</v>
      </c>
      <c r="B1408" s="24">
        <v>106916</v>
      </c>
      <c r="C1408" s="24" t="s">
        <v>1216</v>
      </c>
      <c r="D1408" s="24" t="s">
        <v>1102</v>
      </c>
      <c r="E1408" s="24" t="s">
        <v>402</v>
      </c>
      <c r="F1408" s="24" t="s">
        <v>1142</v>
      </c>
      <c r="G1408" s="24" t="s">
        <v>1203</v>
      </c>
      <c r="H1408" s="24" t="s">
        <v>591</v>
      </c>
      <c r="I1408" s="24" t="s">
        <v>1461</v>
      </c>
      <c r="J1408" s="24" t="s">
        <v>761</v>
      </c>
      <c r="K1408" s="24" t="s">
        <v>1146</v>
      </c>
      <c r="L1408" s="25">
        <v>1070</v>
      </c>
      <c r="M1408" s="26">
        <v>3.46</v>
      </c>
      <c r="N1408" s="27">
        <v>3.46</v>
      </c>
      <c r="O1408" s="28">
        <v>3.1454545454545455E-3</v>
      </c>
      <c r="P1408" s="28">
        <v>3.276283185840708</v>
      </c>
    </row>
    <row r="1409" spans="1:16" x14ac:dyDescent="0.3">
      <c r="A1409" t="s">
        <v>4304</v>
      </c>
      <c r="B1409" s="24">
        <v>109171</v>
      </c>
      <c r="C1409" s="24" t="s">
        <v>1279</v>
      </c>
      <c r="D1409" s="24" t="s">
        <v>1102</v>
      </c>
      <c r="E1409" s="24" t="s">
        <v>402</v>
      </c>
      <c r="F1409" s="24" t="s">
        <v>1142</v>
      </c>
      <c r="G1409" s="24" t="s">
        <v>1203</v>
      </c>
      <c r="H1409" s="24" t="s">
        <v>591</v>
      </c>
      <c r="I1409" s="24" t="s">
        <v>1461</v>
      </c>
      <c r="J1409" s="24" t="s">
        <v>761</v>
      </c>
      <c r="K1409" s="24" t="s">
        <v>1146</v>
      </c>
      <c r="L1409" s="25">
        <v>1070</v>
      </c>
      <c r="M1409" s="26">
        <v>3.46</v>
      </c>
      <c r="N1409" s="27">
        <v>3.46</v>
      </c>
      <c r="O1409" s="28">
        <v>3.1454545454545455E-3</v>
      </c>
      <c r="P1409" s="28">
        <v>3.276283185840708</v>
      </c>
    </row>
    <row r="1410" spans="1:16" x14ac:dyDescent="0.3">
      <c r="A1410" t="s">
        <v>4305</v>
      </c>
      <c r="B1410" s="24">
        <v>101184</v>
      </c>
      <c r="C1410" s="24" t="s">
        <v>1401</v>
      </c>
      <c r="D1410" s="24" t="s">
        <v>1102</v>
      </c>
      <c r="E1410" s="24" t="s">
        <v>402</v>
      </c>
      <c r="F1410" s="24" t="s">
        <v>1142</v>
      </c>
      <c r="G1410" s="24" t="s">
        <v>1402</v>
      </c>
      <c r="H1410" s="24" t="s">
        <v>619</v>
      </c>
      <c r="I1410" s="24" t="s">
        <v>1462</v>
      </c>
      <c r="J1410" s="24" t="s">
        <v>761</v>
      </c>
      <c r="K1410" s="24" t="s">
        <v>1146</v>
      </c>
      <c r="L1410" s="25">
        <v>1070</v>
      </c>
      <c r="M1410" s="26">
        <v>6.99</v>
      </c>
      <c r="N1410" s="27">
        <v>6.99</v>
      </c>
      <c r="O1410" s="28">
        <v>6.3545454545454547E-3</v>
      </c>
      <c r="P1410" s="28">
        <v>6.6188495575221244</v>
      </c>
    </row>
    <row r="1411" spans="1:16" x14ac:dyDescent="0.3">
      <c r="A1411" t="s">
        <v>4306</v>
      </c>
      <c r="B1411" s="24">
        <v>100581</v>
      </c>
      <c r="C1411" s="24" t="s">
        <v>1232</v>
      </c>
      <c r="D1411" s="24" t="s">
        <v>1102</v>
      </c>
      <c r="E1411" s="24" t="s">
        <v>402</v>
      </c>
      <c r="F1411" s="24" t="s">
        <v>1142</v>
      </c>
      <c r="G1411" s="24" t="s">
        <v>1233</v>
      </c>
      <c r="H1411" s="24" t="s">
        <v>581</v>
      </c>
      <c r="I1411" s="24" t="s">
        <v>1463</v>
      </c>
      <c r="J1411" s="24" t="s">
        <v>761</v>
      </c>
      <c r="K1411" s="24" t="s">
        <v>1146</v>
      </c>
      <c r="L1411" s="25">
        <v>1070</v>
      </c>
      <c r="M1411" s="26">
        <v>4.6900000000000004</v>
      </c>
      <c r="N1411" s="27">
        <v>4.6900000000000004</v>
      </c>
      <c r="O1411" s="28">
        <v>4.2636363636363644E-3</v>
      </c>
      <c r="P1411" s="28">
        <v>4.4409734513274337</v>
      </c>
    </row>
    <row r="1412" spans="1:16" x14ac:dyDescent="0.3">
      <c r="A1412" t="s">
        <v>4307</v>
      </c>
      <c r="B1412" s="24">
        <v>101186</v>
      </c>
      <c r="C1412" s="24" t="s">
        <v>1273</v>
      </c>
      <c r="D1412" s="24" t="s">
        <v>1102</v>
      </c>
      <c r="E1412" s="24" t="s">
        <v>402</v>
      </c>
      <c r="F1412" s="24" t="s">
        <v>1142</v>
      </c>
      <c r="G1412" s="24" t="s">
        <v>1203</v>
      </c>
      <c r="H1412" s="24" t="s">
        <v>581</v>
      </c>
      <c r="I1412" s="24" t="s">
        <v>1463</v>
      </c>
      <c r="J1412" s="24" t="s">
        <v>761</v>
      </c>
      <c r="K1412" s="24" t="s">
        <v>1146</v>
      </c>
      <c r="L1412" s="25">
        <v>1070</v>
      </c>
      <c r="M1412" s="26">
        <v>4.6900000000000004</v>
      </c>
      <c r="N1412" s="27">
        <v>4.6900000000000004</v>
      </c>
      <c r="O1412" s="28">
        <v>4.2636363636363644E-3</v>
      </c>
      <c r="P1412" s="28">
        <v>4.4409734513274337</v>
      </c>
    </row>
    <row r="1413" spans="1:16" x14ac:dyDescent="0.3">
      <c r="A1413" t="s">
        <v>4308</v>
      </c>
      <c r="B1413" s="24">
        <v>100581</v>
      </c>
      <c r="C1413" s="24" t="s">
        <v>1232</v>
      </c>
      <c r="D1413" s="24" t="s">
        <v>1102</v>
      </c>
      <c r="E1413" s="24" t="s">
        <v>402</v>
      </c>
      <c r="F1413" s="24" t="s">
        <v>1142</v>
      </c>
      <c r="G1413" s="24" t="s">
        <v>1233</v>
      </c>
      <c r="H1413" s="24" t="s">
        <v>592</v>
      </c>
      <c r="I1413" s="24" t="s">
        <v>1464</v>
      </c>
      <c r="J1413" s="24" t="s">
        <v>761</v>
      </c>
      <c r="K1413" s="24" t="s">
        <v>1146</v>
      </c>
      <c r="L1413" s="25">
        <v>1070</v>
      </c>
      <c r="M1413" s="26">
        <v>4.5</v>
      </c>
      <c r="N1413" s="27">
        <v>4.5</v>
      </c>
      <c r="O1413" s="28">
        <v>4.0909090909090912E-3</v>
      </c>
      <c r="P1413" s="28">
        <v>4.2610619469026547</v>
      </c>
    </row>
    <row r="1414" spans="1:16" x14ac:dyDescent="0.3">
      <c r="A1414" t="s">
        <v>4309</v>
      </c>
      <c r="B1414" s="24">
        <v>101116</v>
      </c>
      <c r="C1414" s="24" t="s">
        <v>1214</v>
      </c>
      <c r="D1414" s="24" t="s">
        <v>1102</v>
      </c>
      <c r="E1414" s="24" t="s">
        <v>402</v>
      </c>
      <c r="F1414" s="24" t="s">
        <v>1142</v>
      </c>
      <c r="G1414" s="24" t="s">
        <v>1203</v>
      </c>
      <c r="H1414" s="24" t="s">
        <v>592</v>
      </c>
      <c r="I1414" s="24" t="s">
        <v>1464</v>
      </c>
      <c r="J1414" s="24" t="s">
        <v>761</v>
      </c>
      <c r="K1414" s="24" t="s">
        <v>1146</v>
      </c>
      <c r="L1414" s="25">
        <v>1070</v>
      </c>
      <c r="M1414" s="26">
        <v>4.5</v>
      </c>
      <c r="N1414" s="27">
        <v>4.5</v>
      </c>
      <c r="O1414" s="28">
        <v>4.0909090909090912E-3</v>
      </c>
      <c r="P1414" s="28">
        <v>4.2610619469026547</v>
      </c>
    </row>
    <row r="1415" spans="1:16" x14ac:dyDescent="0.3">
      <c r="A1415" t="s">
        <v>4310</v>
      </c>
      <c r="B1415" s="24">
        <v>101186</v>
      </c>
      <c r="C1415" s="24" t="s">
        <v>1273</v>
      </c>
      <c r="D1415" s="24" t="s">
        <v>1102</v>
      </c>
      <c r="E1415" s="24" t="s">
        <v>402</v>
      </c>
      <c r="F1415" s="24" t="s">
        <v>1142</v>
      </c>
      <c r="G1415" s="24" t="s">
        <v>1203</v>
      </c>
      <c r="H1415" s="24" t="s">
        <v>592</v>
      </c>
      <c r="I1415" s="24" t="s">
        <v>1464</v>
      </c>
      <c r="J1415" s="24" t="s">
        <v>761</v>
      </c>
      <c r="K1415" s="24" t="s">
        <v>1146</v>
      </c>
      <c r="L1415" s="25">
        <v>1070</v>
      </c>
      <c r="M1415" s="26">
        <v>4.5</v>
      </c>
      <c r="N1415" s="27">
        <v>4.5</v>
      </c>
      <c r="O1415" s="28">
        <v>4.0909090909090912E-3</v>
      </c>
      <c r="P1415" s="28">
        <v>4.2610619469026547</v>
      </c>
    </row>
    <row r="1416" spans="1:16" x14ac:dyDescent="0.3">
      <c r="A1416" t="s">
        <v>4311</v>
      </c>
      <c r="B1416" s="24">
        <v>101206</v>
      </c>
      <c r="C1416" s="24" t="s">
        <v>1199</v>
      </c>
      <c r="D1416" s="24" t="s">
        <v>1102</v>
      </c>
      <c r="E1416" s="24" t="s">
        <v>402</v>
      </c>
      <c r="F1416" s="24" t="s">
        <v>1142</v>
      </c>
      <c r="G1416" s="24" t="s">
        <v>1200</v>
      </c>
      <c r="H1416" s="24" t="s">
        <v>592</v>
      </c>
      <c r="I1416" s="24" t="s">
        <v>1464</v>
      </c>
      <c r="J1416" s="24" t="s">
        <v>761</v>
      </c>
      <c r="K1416" s="24" t="s">
        <v>1146</v>
      </c>
      <c r="L1416" s="25">
        <v>1070</v>
      </c>
      <c r="M1416" s="26">
        <v>4.5</v>
      </c>
      <c r="N1416" s="27">
        <v>4.5</v>
      </c>
      <c r="O1416" s="28">
        <v>4.0909090909090912E-3</v>
      </c>
      <c r="P1416" s="28">
        <v>4.2610619469026547</v>
      </c>
    </row>
    <row r="1417" spans="1:16" x14ac:dyDescent="0.3">
      <c r="A1417" t="s">
        <v>4312</v>
      </c>
      <c r="B1417" s="24">
        <v>106916</v>
      </c>
      <c r="C1417" s="24" t="s">
        <v>1216</v>
      </c>
      <c r="D1417" s="24" t="s">
        <v>1102</v>
      </c>
      <c r="E1417" s="24" t="s">
        <v>402</v>
      </c>
      <c r="F1417" s="24" t="s">
        <v>1142</v>
      </c>
      <c r="G1417" s="24" t="s">
        <v>1203</v>
      </c>
      <c r="H1417" s="24" t="s">
        <v>592</v>
      </c>
      <c r="I1417" s="24" t="s">
        <v>1464</v>
      </c>
      <c r="J1417" s="24" t="s">
        <v>761</v>
      </c>
      <c r="K1417" s="24" t="s">
        <v>1146</v>
      </c>
      <c r="L1417" s="25">
        <v>1070</v>
      </c>
      <c r="M1417" s="26">
        <v>4.5</v>
      </c>
      <c r="N1417" s="27">
        <v>4.5</v>
      </c>
      <c r="O1417" s="28">
        <v>4.0909090909090912E-3</v>
      </c>
      <c r="P1417" s="28">
        <v>4.2610619469026547</v>
      </c>
    </row>
    <row r="1418" spans="1:16" x14ac:dyDescent="0.3">
      <c r="A1418" t="s">
        <v>4313</v>
      </c>
      <c r="B1418" s="24">
        <v>106916</v>
      </c>
      <c r="C1418" s="24" t="s">
        <v>1216</v>
      </c>
      <c r="D1418" s="24" t="s">
        <v>1102</v>
      </c>
      <c r="E1418" s="24" t="s">
        <v>51</v>
      </c>
      <c r="F1418" s="24" t="s">
        <v>1142</v>
      </c>
      <c r="G1418" s="24" t="s">
        <v>1203</v>
      </c>
      <c r="H1418" s="24" t="s">
        <v>592</v>
      </c>
      <c r="I1418" s="24" t="s">
        <v>1465</v>
      </c>
      <c r="J1418" s="24" t="s">
        <v>761</v>
      </c>
      <c r="K1418" s="24" t="s">
        <v>1146</v>
      </c>
      <c r="L1418" s="25">
        <v>1070</v>
      </c>
      <c r="M1418" s="26">
        <v>4.5</v>
      </c>
      <c r="N1418" s="27">
        <v>4.5</v>
      </c>
      <c r="O1418" s="28">
        <v>4.0909090909090912E-3</v>
      </c>
      <c r="P1418" s="28">
        <v>4.2610619469026547</v>
      </c>
    </row>
    <row r="1419" spans="1:16" x14ac:dyDescent="0.3">
      <c r="A1419" t="s">
        <v>4314</v>
      </c>
      <c r="B1419" s="24">
        <v>101186</v>
      </c>
      <c r="C1419" s="24" t="s">
        <v>1273</v>
      </c>
      <c r="D1419" s="24" t="s">
        <v>1102</v>
      </c>
      <c r="E1419" s="24" t="s">
        <v>402</v>
      </c>
      <c r="F1419" s="24" t="s">
        <v>1142</v>
      </c>
      <c r="G1419" s="24" t="s">
        <v>1203</v>
      </c>
      <c r="H1419" s="24" t="s">
        <v>593</v>
      </c>
      <c r="I1419" s="24" t="s">
        <v>1466</v>
      </c>
      <c r="J1419" s="24" t="s">
        <v>761</v>
      </c>
      <c r="K1419" s="24" t="s">
        <v>1146</v>
      </c>
      <c r="L1419" s="25">
        <v>1070</v>
      </c>
      <c r="M1419" s="26">
        <v>5.07</v>
      </c>
      <c r="N1419" s="27">
        <v>5.07</v>
      </c>
      <c r="O1419" s="28">
        <v>4.609090909090909E-3</v>
      </c>
      <c r="P1419" s="28">
        <v>4.8007964601769917</v>
      </c>
    </row>
    <row r="1420" spans="1:16" x14ac:dyDescent="0.3">
      <c r="A1420" t="s">
        <v>4315</v>
      </c>
      <c r="B1420" s="24">
        <v>101424</v>
      </c>
      <c r="C1420" s="24" t="s">
        <v>1278</v>
      </c>
      <c r="D1420" s="24" t="s">
        <v>1102</v>
      </c>
      <c r="E1420" s="24" t="s">
        <v>402</v>
      </c>
      <c r="F1420" s="24" t="s">
        <v>1142</v>
      </c>
      <c r="G1420" s="24" t="s">
        <v>1203</v>
      </c>
      <c r="H1420" s="24" t="s">
        <v>593</v>
      </c>
      <c r="I1420" s="24" t="s">
        <v>1466</v>
      </c>
      <c r="J1420" s="24" t="s">
        <v>761</v>
      </c>
      <c r="K1420" s="24" t="s">
        <v>1146</v>
      </c>
      <c r="L1420" s="25">
        <v>1070</v>
      </c>
      <c r="M1420" s="26">
        <v>5.07</v>
      </c>
      <c r="N1420" s="27">
        <v>5.07</v>
      </c>
      <c r="O1420" s="28">
        <v>4.609090909090909E-3</v>
      </c>
      <c r="P1420" s="28">
        <v>4.8007964601769917</v>
      </c>
    </row>
    <row r="1421" spans="1:16" x14ac:dyDescent="0.3">
      <c r="A1421" t="s">
        <v>4316</v>
      </c>
      <c r="B1421" s="24">
        <v>106916</v>
      </c>
      <c r="C1421" s="24" t="s">
        <v>1216</v>
      </c>
      <c r="D1421" s="24" t="s">
        <v>1102</v>
      </c>
      <c r="E1421" s="24" t="s">
        <v>402</v>
      </c>
      <c r="F1421" s="24" t="s">
        <v>1142</v>
      </c>
      <c r="G1421" s="24" t="s">
        <v>1203</v>
      </c>
      <c r="H1421" s="24" t="s">
        <v>593</v>
      </c>
      <c r="I1421" s="24" t="s">
        <v>1466</v>
      </c>
      <c r="J1421" s="24" t="s">
        <v>761</v>
      </c>
      <c r="K1421" s="24" t="s">
        <v>1146</v>
      </c>
      <c r="L1421" s="25">
        <v>1070</v>
      </c>
      <c r="M1421" s="26">
        <v>5.07</v>
      </c>
      <c r="N1421" s="27">
        <v>5.07</v>
      </c>
      <c r="O1421" s="28">
        <v>4.609090909090909E-3</v>
      </c>
      <c r="P1421" s="28">
        <v>4.8007964601769917</v>
      </c>
    </row>
    <row r="1422" spans="1:16" x14ac:dyDescent="0.3">
      <c r="A1422" t="s">
        <v>4317</v>
      </c>
      <c r="B1422" s="24">
        <v>109171</v>
      </c>
      <c r="C1422" s="24" t="s">
        <v>1279</v>
      </c>
      <c r="D1422" s="24" t="s">
        <v>1102</v>
      </c>
      <c r="E1422" s="24" t="s">
        <v>402</v>
      </c>
      <c r="F1422" s="24" t="s">
        <v>1142</v>
      </c>
      <c r="G1422" s="24" t="s">
        <v>1203</v>
      </c>
      <c r="H1422" s="24" t="s">
        <v>593</v>
      </c>
      <c r="I1422" s="24" t="s">
        <v>1466</v>
      </c>
      <c r="J1422" s="24" t="s">
        <v>761</v>
      </c>
      <c r="K1422" s="24" t="s">
        <v>1146</v>
      </c>
      <c r="L1422" s="25">
        <v>1070</v>
      </c>
      <c r="M1422" s="26">
        <v>5.07</v>
      </c>
      <c r="N1422" s="27">
        <v>5.07</v>
      </c>
      <c r="O1422" s="28">
        <v>4.609090909090909E-3</v>
      </c>
      <c r="P1422" s="28">
        <v>4.8007964601769917</v>
      </c>
    </row>
    <row r="1423" spans="1:16" x14ac:dyDescent="0.3">
      <c r="A1423" t="s">
        <v>4318</v>
      </c>
      <c r="B1423" s="24">
        <v>142141</v>
      </c>
      <c r="C1423" s="24" t="s">
        <v>1206</v>
      </c>
      <c r="D1423" s="24" t="s">
        <v>1102</v>
      </c>
      <c r="E1423" s="24" t="s">
        <v>402</v>
      </c>
      <c r="F1423" s="24" t="s">
        <v>1142</v>
      </c>
      <c r="G1423" s="24" t="s">
        <v>1203</v>
      </c>
      <c r="H1423" s="24" t="s">
        <v>593</v>
      </c>
      <c r="I1423" s="24" t="s">
        <v>1466</v>
      </c>
      <c r="J1423" s="24" t="s">
        <v>761</v>
      </c>
      <c r="K1423" s="24" t="s">
        <v>1146</v>
      </c>
      <c r="L1423" s="25">
        <v>1070</v>
      </c>
      <c r="M1423" s="26">
        <v>5.07</v>
      </c>
      <c r="N1423" s="27">
        <v>5.07</v>
      </c>
      <c r="O1423" s="28">
        <v>4.609090909090909E-3</v>
      </c>
      <c r="P1423" s="28">
        <v>4.8007964601769917</v>
      </c>
    </row>
    <row r="1424" spans="1:16" x14ac:dyDescent="0.3">
      <c r="A1424" t="s">
        <v>4319</v>
      </c>
      <c r="B1424" s="24">
        <v>100581</v>
      </c>
      <c r="C1424" s="24" t="s">
        <v>1232</v>
      </c>
      <c r="D1424" s="24" t="s">
        <v>1102</v>
      </c>
      <c r="E1424" s="24" t="s">
        <v>402</v>
      </c>
      <c r="F1424" s="24" t="s">
        <v>1142</v>
      </c>
      <c r="G1424" s="24" t="s">
        <v>1233</v>
      </c>
      <c r="H1424" s="24" t="s">
        <v>594</v>
      </c>
      <c r="I1424" s="24" t="s">
        <v>1467</v>
      </c>
      <c r="J1424" s="24" t="s">
        <v>761</v>
      </c>
      <c r="K1424" s="24" t="s">
        <v>1146</v>
      </c>
      <c r="L1424" s="25">
        <v>1070</v>
      </c>
      <c r="M1424" s="26">
        <v>4.2300000000000004</v>
      </c>
      <c r="N1424" s="27">
        <v>4.2300000000000004</v>
      </c>
      <c r="O1424" s="28">
        <v>3.845454545454546E-3</v>
      </c>
      <c r="P1424" s="28">
        <v>4.0053982300884963</v>
      </c>
    </row>
    <row r="1425" spans="1:16" x14ac:dyDescent="0.3">
      <c r="A1425" t="s">
        <v>4320</v>
      </c>
      <c r="B1425" s="24">
        <v>100603</v>
      </c>
      <c r="C1425" s="24" t="s">
        <v>1277</v>
      </c>
      <c r="D1425" s="24" t="s">
        <v>1102</v>
      </c>
      <c r="E1425" s="24" t="s">
        <v>402</v>
      </c>
      <c r="F1425" s="24" t="s">
        <v>1142</v>
      </c>
      <c r="G1425" s="24" t="s">
        <v>1082</v>
      </c>
      <c r="H1425" s="24" t="s">
        <v>594</v>
      </c>
      <c r="I1425" s="24" t="s">
        <v>1467</v>
      </c>
      <c r="J1425" s="24" t="s">
        <v>761</v>
      </c>
      <c r="K1425" s="24" t="s">
        <v>1146</v>
      </c>
      <c r="L1425" s="25">
        <v>1070</v>
      </c>
      <c r="M1425" s="26">
        <v>4.2300000000000004</v>
      </c>
      <c r="N1425" s="27">
        <v>4.2300000000000004</v>
      </c>
      <c r="O1425" s="28">
        <v>3.845454545454546E-3</v>
      </c>
      <c r="P1425" s="28">
        <v>4.0053982300884963</v>
      </c>
    </row>
    <row r="1426" spans="1:16" x14ac:dyDescent="0.3">
      <c r="A1426" t="s">
        <v>4321</v>
      </c>
      <c r="B1426" s="24">
        <v>101184</v>
      </c>
      <c r="C1426" s="24" t="s">
        <v>1401</v>
      </c>
      <c r="D1426" s="24" t="s">
        <v>1102</v>
      </c>
      <c r="E1426" s="24" t="s">
        <v>402</v>
      </c>
      <c r="F1426" s="24" t="s">
        <v>1142</v>
      </c>
      <c r="G1426" s="24" t="s">
        <v>1402</v>
      </c>
      <c r="H1426" s="24" t="s">
        <v>594</v>
      </c>
      <c r="I1426" s="24" t="s">
        <v>1467</v>
      </c>
      <c r="J1426" s="24" t="s">
        <v>761</v>
      </c>
      <c r="K1426" s="24" t="s">
        <v>1146</v>
      </c>
      <c r="L1426" s="25">
        <v>1070</v>
      </c>
      <c r="M1426" s="26">
        <v>4.2300000000000004</v>
      </c>
      <c r="N1426" s="27">
        <v>4.2300000000000004</v>
      </c>
      <c r="O1426" s="28">
        <v>3.845454545454546E-3</v>
      </c>
      <c r="P1426" s="28">
        <v>4.0053982300884963</v>
      </c>
    </row>
    <row r="1427" spans="1:16" x14ac:dyDescent="0.3">
      <c r="A1427" t="s">
        <v>4322</v>
      </c>
      <c r="B1427" s="24">
        <v>101186</v>
      </c>
      <c r="C1427" s="24" t="s">
        <v>1273</v>
      </c>
      <c r="D1427" s="24" t="s">
        <v>1102</v>
      </c>
      <c r="E1427" s="24" t="s">
        <v>402</v>
      </c>
      <c r="F1427" s="24" t="s">
        <v>1142</v>
      </c>
      <c r="G1427" s="24" t="s">
        <v>1203</v>
      </c>
      <c r="H1427" s="24" t="s">
        <v>594</v>
      </c>
      <c r="I1427" s="24" t="s">
        <v>1467</v>
      </c>
      <c r="J1427" s="24" t="s">
        <v>761</v>
      </c>
      <c r="K1427" s="24" t="s">
        <v>1146</v>
      </c>
      <c r="L1427" s="25">
        <v>1070</v>
      </c>
      <c r="M1427" s="26">
        <v>4.2300000000000004</v>
      </c>
      <c r="N1427" s="27">
        <v>4.2300000000000004</v>
      </c>
      <c r="O1427" s="28">
        <v>3.845454545454546E-3</v>
      </c>
      <c r="P1427" s="28">
        <v>4.0053982300884963</v>
      </c>
    </row>
    <row r="1428" spans="1:16" x14ac:dyDescent="0.3">
      <c r="A1428" t="s">
        <v>4323</v>
      </c>
      <c r="B1428" s="24">
        <v>101206</v>
      </c>
      <c r="C1428" s="24" t="s">
        <v>1199</v>
      </c>
      <c r="D1428" s="24" t="s">
        <v>1102</v>
      </c>
      <c r="E1428" s="24" t="s">
        <v>402</v>
      </c>
      <c r="F1428" s="24" t="s">
        <v>1142</v>
      </c>
      <c r="G1428" s="24" t="s">
        <v>1200</v>
      </c>
      <c r="H1428" s="24" t="s">
        <v>594</v>
      </c>
      <c r="I1428" s="24" t="s">
        <v>1467</v>
      </c>
      <c r="J1428" s="24" t="s">
        <v>761</v>
      </c>
      <c r="K1428" s="24" t="s">
        <v>1146</v>
      </c>
      <c r="L1428" s="25">
        <v>1070</v>
      </c>
      <c r="M1428" s="26">
        <v>4.2300000000000004</v>
      </c>
      <c r="N1428" s="27">
        <v>4.2300000000000004</v>
      </c>
      <c r="O1428" s="28">
        <v>3.845454545454546E-3</v>
      </c>
      <c r="P1428" s="28">
        <v>4.0053982300884963</v>
      </c>
    </row>
    <row r="1429" spans="1:16" x14ac:dyDescent="0.3">
      <c r="A1429" t="s">
        <v>4324</v>
      </c>
      <c r="B1429" s="24">
        <v>101424</v>
      </c>
      <c r="C1429" s="24" t="s">
        <v>1278</v>
      </c>
      <c r="D1429" s="24" t="s">
        <v>1102</v>
      </c>
      <c r="E1429" s="24" t="s">
        <v>402</v>
      </c>
      <c r="F1429" s="24" t="s">
        <v>1142</v>
      </c>
      <c r="G1429" s="24" t="s">
        <v>1203</v>
      </c>
      <c r="H1429" s="24" t="s">
        <v>594</v>
      </c>
      <c r="I1429" s="24" t="s">
        <v>1467</v>
      </c>
      <c r="J1429" s="24" t="s">
        <v>761</v>
      </c>
      <c r="K1429" s="24" t="s">
        <v>1146</v>
      </c>
      <c r="L1429" s="25">
        <v>1070</v>
      </c>
      <c r="M1429" s="26">
        <v>4.2300000000000004</v>
      </c>
      <c r="N1429" s="27">
        <v>4.2300000000000004</v>
      </c>
      <c r="O1429" s="28">
        <v>3.845454545454546E-3</v>
      </c>
      <c r="P1429" s="28">
        <v>4.0053982300884963</v>
      </c>
    </row>
    <row r="1430" spans="1:16" x14ac:dyDescent="0.3">
      <c r="A1430" t="s">
        <v>4325</v>
      </c>
      <c r="B1430" s="24">
        <v>114501</v>
      </c>
      <c r="C1430" s="24" t="s">
        <v>1409</v>
      </c>
      <c r="D1430" s="24" t="s">
        <v>1102</v>
      </c>
      <c r="E1430" s="24" t="s">
        <v>402</v>
      </c>
      <c r="F1430" s="24" t="s">
        <v>1142</v>
      </c>
      <c r="G1430" s="24" t="s">
        <v>1402</v>
      </c>
      <c r="H1430" s="24" t="s">
        <v>594</v>
      </c>
      <c r="I1430" s="24" t="s">
        <v>1467</v>
      </c>
      <c r="J1430" s="24" t="s">
        <v>761</v>
      </c>
      <c r="K1430" s="24" t="s">
        <v>1146</v>
      </c>
      <c r="L1430" s="25">
        <v>1070</v>
      </c>
      <c r="M1430" s="26">
        <v>4.2300000000000004</v>
      </c>
      <c r="N1430" s="27">
        <v>4.2300000000000004</v>
      </c>
      <c r="O1430" s="28">
        <v>3.845454545454546E-3</v>
      </c>
      <c r="P1430" s="28">
        <v>4.0053982300884963</v>
      </c>
    </row>
    <row r="1431" spans="1:16" x14ac:dyDescent="0.3">
      <c r="A1431" t="s">
        <v>4326</v>
      </c>
      <c r="B1431" s="24">
        <v>100581</v>
      </c>
      <c r="C1431" s="24" t="s">
        <v>1232</v>
      </c>
      <c r="D1431" s="24" t="s">
        <v>1102</v>
      </c>
      <c r="E1431" s="24" t="s">
        <v>402</v>
      </c>
      <c r="F1431" s="24" t="s">
        <v>1142</v>
      </c>
      <c r="G1431" s="24" t="s">
        <v>1233</v>
      </c>
      <c r="H1431" s="24" t="s">
        <v>595</v>
      </c>
      <c r="I1431" s="24" t="s">
        <v>1467</v>
      </c>
      <c r="J1431" s="24" t="s">
        <v>761</v>
      </c>
      <c r="K1431" s="24" t="s">
        <v>1146</v>
      </c>
      <c r="L1431" s="25">
        <v>1070</v>
      </c>
      <c r="M1431" s="26">
        <v>4.3600000000000003</v>
      </c>
      <c r="N1431" s="27">
        <v>4.3600000000000003</v>
      </c>
      <c r="O1431" s="28">
        <v>3.9636363636363636E-3</v>
      </c>
      <c r="P1431" s="28">
        <v>4.1284955752212396</v>
      </c>
    </row>
    <row r="1432" spans="1:16" x14ac:dyDescent="0.3">
      <c r="A1432" t="s">
        <v>4327</v>
      </c>
      <c r="B1432" s="24">
        <v>101116</v>
      </c>
      <c r="C1432" s="24" t="s">
        <v>1214</v>
      </c>
      <c r="D1432" s="24" t="s">
        <v>1102</v>
      </c>
      <c r="E1432" s="24" t="s">
        <v>402</v>
      </c>
      <c r="F1432" s="24" t="s">
        <v>1142</v>
      </c>
      <c r="G1432" s="24" t="s">
        <v>1203</v>
      </c>
      <c r="H1432" s="24" t="s">
        <v>595</v>
      </c>
      <c r="I1432" s="24" t="s">
        <v>1467</v>
      </c>
      <c r="J1432" s="24" t="s">
        <v>761</v>
      </c>
      <c r="K1432" s="24" t="s">
        <v>1146</v>
      </c>
      <c r="L1432" s="25">
        <v>1070</v>
      </c>
      <c r="M1432" s="26">
        <v>4.3600000000000003</v>
      </c>
      <c r="N1432" s="27">
        <v>4.3600000000000003</v>
      </c>
      <c r="O1432" s="28">
        <v>3.9636363636363636E-3</v>
      </c>
      <c r="P1432" s="28">
        <v>4.1284955752212396</v>
      </c>
    </row>
    <row r="1433" spans="1:16" x14ac:dyDescent="0.3">
      <c r="A1433" t="s">
        <v>4328</v>
      </c>
      <c r="B1433" s="24">
        <v>106916</v>
      </c>
      <c r="C1433" s="24" t="s">
        <v>1216</v>
      </c>
      <c r="D1433" s="24" t="s">
        <v>1102</v>
      </c>
      <c r="E1433" s="24" t="s">
        <v>402</v>
      </c>
      <c r="F1433" s="24" t="s">
        <v>1142</v>
      </c>
      <c r="G1433" s="24" t="s">
        <v>1203</v>
      </c>
      <c r="H1433" s="24" t="s">
        <v>595</v>
      </c>
      <c r="I1433" s="24" t="s">
        <v>1467</v>
      </c>
      <c r="J1433" s="24" t="s">
        <v>761</v>
      </c>
      <c r="K1433" s="24" t="s">
        <v>1146</v>
      </c>
      <c r="L1433" s="25">
        <v>1070</v>
      </c>
      <c r="M1433" s="26">
        <v>4.3600000000000003</v>
      </c>
      <c r="N1433" s="27">
        <v>4.3600000000000003</v>
      </c>
      <c r="O1433" s="28">
        <v>3.9636363636363636E-3</v>
      </c>
      <c r="P1433" s="28">
        <v>4.1284955752212396</v>
      </c>
    </row>
    <row r="1434" spans="1:16" x14ac:dyDescent="0.3">
      <c r="A1434" t="s">
        <v>4329</v>
      </c>
      <c r="B1434" s="24">
        <v>107603</v>
      </c>
      <c r="C1434" s="24" t="s">
        <v>1241</v>
      </c>
      <c r="D1434" s="24" t="s">
        <v>1102</v>
      </c>
      <c r="E1434" s="24" t="s">
        <v>402</v>
      </c>
      <c r="F1434" s="24" t="s">
        <v>1142</v>
      </c>
      <c r="G1434" s="24" t="s">
        <v>1200</v>
      </c>
      <c r="H1434" s="24" t="s">
        <v>628</v>
      </c>
      <c r="I1434" s="24" t="s">
        <v>1468</v>
      </c>
      <c r="J1434" s="24" t="s">
        <v>761</v>
      </c>
      <c r="K1434" s="24" t="s">
        <v>1146</v>
      </c>
      <c r="L1434" s="25">
        <v>1070</v>
      </c>
      <c r="M1434" s="26">
        <v>7.5</v>
      </c>
      <c r="N1434" s="27">
        <v>7.5</v>
      </c>
      <c r="O1434" s="28">
        <v>6.8181818181818179E-3</v>
      </c>
      <c r="P1434" s="28">
        <v>7.1017699115044248</v>
      </c>
    </row>
    <row r="1435" spans="1:16" x14ac:dyDescent="0.3">
      <c r="A1435" t="s">
        <v>4330</v>
      </c>
      <c r="B1435" s="24">
        <v>111844</v>
      </c>
      <c r="C1435" s="24" t="s">
        <v>1398</v>
      </c>
      <c r="D1435" s="24" t="s">
        <v>1102</v>
      </c>
      <c r="E1435" s="24" t="s">
        <v>402</v>
      </c>
      <c r="F1435" s="24" t="s">
        <v>1142</v>
      </c>
      <c r="G1435" s="24" t="s">
        <v>1399</v>
      </c>
      <c r="H1435" s="24" t="s">
        <v>596</v>
      </c>
      <c r="I1435" s="24" t="s">
        <v>1469</v>
      </c>
      <c r="J1435" s="24" t="s">
        <v>761</v>
      </c>
      <c r="K1435" s="24" t="s">
        <v>1146</v>
      </c>
      <c r="L1435" s="25">
        <v>1070</v>
      </c>
      <c r="M1435" s="26">
        <v>8.4</v>
      </c>
      <c r="N1435" s="27">
        <v>8.4</v>
      </c>
      <c r="O1435" s="28">
        <v>7.6363636363636364E-3</v>
      </c>
      <c r="P1435" s="28">
        <v>7.9539823008849559</v>
      </c>
    </row>
    <row r="1436" spans="1:16" x14ac:dyDescent="0.3">
      <c r="A1436" t="s">
        <v>4331</v>
      </c>
      <c r="B1436" s="24">
        <v>107603</v>
      </c>
      <c r="C1436" s="24" t="s">
        <v>1241</v>
      </c>
      <c r="D1436" s="24" t="s">
        <v>1102</v>
      </c>
      <c r="E1436" s="24" t="s">
        <v>402</v>
      </c>
      <c r="F1436" s="24" t="s">
        <v>1142</v>
      </c>
      <c r="G1436" s="24" t="s">
        <v>1200</v>
      </c>
      <c r="H1436" s="24" t="s">
        <v>629</v>
      </c>
      <c r="I1436" s="24" t="s">
        <v>1470</v>
      </c>
      <c r="J1436" s="24" t="s">
        <v>761</v>
      </c>
      <c r="K1436" s="24" t="s">
        <v>1146</v>
      </c>
      <c r="L1436" s="25">
        <v>1070</v>
      </c>
      <c r="M1436" s="26">
        <v>16.899999999999999</v>
      </c>
      <c r="N1436" s="27">
        <v>16.899999999999999</v>
      </c>
      <c r="O1436" s="28">
        <v>1.5363636363636362E-2</v>
      </c>
      <c r="P1436" s="28">
        <v>16.002654867256638</v>
      </c>
    </row>
    <row r="1437" spans="1:16" x14ac:dyDescent="0.3">
      <c r="A1437" t="s">
        <v>4332</v>
      </c>
      <c r="B1437" s="24">
        <v>100603</v>
      </c>
      <c r="C1437" s="24" t="s">
        <v>1277</v>
      </c>
      <c r="D1437" s="24" t="s">
        <v>1102</v>
      </c>
      <c r="E1437" s="24" t="s">
        <v>402</v>
      </c>
      <c r="F1437" s="24" t="s">
        <v>1142</v>
      </c>
      <c r="G1437" s="24" t="s">
        <v>1082</v>
      </c>
      <c r="H1437" s="24" t="s">
        <v>597</v>
      </c>
      <c r="I1437" s="24" t="s">
        <v>1471</v>
      </c>
      <c r="J1437" s="24" t="s">
        <v>761</v>
      </c>
      <c r="K1437" s="24" t="s">
        <v>1146</v>
      </c>
      <c r="L1437" s="25">
        <v>1070</v>
      </c>
      <c r="M1437" s="26">
        <v>5.1100000000000003</v>
      </c>
      <c r="N1437" s="27">
        <v>5.1100000000000003</v>
      </c>
      <c r="O1437" s="28">
        <v>4.6454545454545455E-3</v>
      </c>
      <c r="P1437" s="28">
        <v>4.8386725663716819</v>
      </c>
    </row>
    <row r="1438" spans="1:16" x14ac:dyDescent="0.3">
      <c r="A1438" t="s">
        <v>4333</v>
      </c>
      <c r="B1438" s="24">
        <v>101186</v>
      </c>
      <c r="C1438" s="24" t="s">
        <v>1273</v>
      </c>
      <c r="D1438" s="24" t="s">
        <v>1102</v>
      </c>
      <c r="E1438" s="24" t="s">
        <v>402</v>
      </c>
      <c r="F1438" s="24" t="s">
        <v>1142</v>
      </c>
      <c r="G1438" s="24" t="s">
        <v>1203</v>
      </c>
      <c r="H1438" s="24" t="s">
        <v>597</v>
      </c>
      <c r="I1438" s="24" t="s">
        <v>1471</v>
      </c>
      <c r="J1438" s="24" t="s">
        <v>761</v>
      </c>
      <c r="K1438" s="24" t="s">
        <v>1146</v>
      </c>
      <c r="L1438" s="25">
        <v>1070</v>
      </c>
      <c r="M1438" s="26">
        <v>5.1100000000000003</v>
      </c>
      <c r="N1438" s="27">
        <v>5.1100000000000003</v>
      </c>
      <c r="O1438" s="28">
        <v>4.6454545454545455E-3</v>
      </c>
      <c r="P1438" s="28">
        <v>4.8386725663716819</v>
      </c>
    </row>
    <row r="1439" spans="1:16" x14ac:dyDescent="0.3">
      <c r="A1439" t="s">
        <v>4334</v>
      </c>
      <c r="B1439" s="24">
        <v>100581</v>
      </c>
      <c r="C1439" s="24" t="s">
        <v>1232</v>
      </c>
      <c r="D1439" s="24" t="s">
        <v>1102</v>
      </c>
      <c r="E1439" s="24" t="s">
        <v>402</v>
      </c>
      <c r="F1439" s="24" t="s">
        <v>1142</v>
      </c>
      <c r="G1439" s="24" t="s">
        <v>1233</v>
      </c>
      <c r="H1439" s="24" t="s">
        <v>598</v>
      </c>
      <c r="I1439" s="24" t="s">
        <v>1472</v>
      </c>
      <c r="J1439" s="24" t="s">
        <v>761</v>
      </c>
      <c r="K1439" s="24" t="s">
        <v>1146</v>
      </c>
      <c r="L1439" s="25">
        <v>1070</v>
      </c>
      <c r="M1439" s="26">
        <v>4.99</v>
      </c>
      <c r="N1439" s="27">
        <v>4.99</v>
      </c>
      <c r="O1439" s="28">
        <v>4.536363636363637E-3</v>
      </c>
      <c r="P1439" s="28">
        <v>4.7250442477876105</v>
      </c>
    </row>
    <row r="1440" spans="1:16" x14ac:dyDescent="0.3">
      <c r="A1440" t="s">
        <v>4335</v>
      </c>
      <c r="B1440" s="24">
        <v>101186</v>
      </c>
      <c r="C1440" s="24" t="s">
        <v>1273</v>
      </c>
      <c r="D1440" s="24" t="s">
        <v>1102</v>
      </c>
      <c r="E1440" s="24" t="s">
        <v>402</v>
      </c>
      <c r="F1440" s="24" t="s">
        <v>1142</v>
      </c>
      <c r="G1440" s="24" t="s">
        <v>1203</v>
      </c>
      <c r="H1440" s="24" t="s">
        <v>598</v>
      </c>
      <c r="I1440" s="24" t="s">
        <v>1472</v>
      </c>
      <c r="J1440" s="24" t="s">
        <v>761</v>
      </c>
      <c r="K1440" s="24" t="s">
        <v>1146</v>
      </c>
      <c r="L1440" s="25">
        <v>1070</v>
      </c>
      <c r="M1440" s="26">
        <v>4.99</v>
      </c>
      <c r="N1440" s="27">
        <v>4.99</v>
      </c>
      <c r="O1440" s="28">
        <v>4.536363636363637E-3</v>
      </c>
      <c r="P1440" s="28">
        <v>4.7250442477876105</v>
      </c>
    </row>
    <row r="1441" spans="1:16" x14ac:dyDescent="0.3">
      <c r="A1441" t="s">
        <v>4336</v>
      </c>
      <c r="B1441" s="24">
        <v>101424</v>
      </c>
      <c r="C1441" s="24" t="s">
        <v>1278</v>
      </c>
      <c r="D1441" s="24" t="s">
        <v>1102</v>
      </c>
      <c r="E1441" s="24" t="s">
        <v>402</v>
      </c>
      <c r="F1441" s="24" t="s">
        <v>1142</v>
      </c>
      <c r="G1441" s="24" t="s">
        <v>1203</v>
      </c>
      <c r="H1441" s="24" t="s">
        <v>598</v>
      </c>
      <c r="I1441" s="24" t="s">
        <v>1472</v>
      </c>
      <c r="J1441" s="24" t="s">
        <v>761</v>
      </c>
      <c r="K1441" s="24" t="s">
        <v>1146</v>
      </c>
      <c r="L1441" s="25">
        <v>1070</v>
      </c>
      <c r="M1441" s="26">
        <v>4.99</v>
      </c>
      <c r="N1441" s="27">
        <v>4.99</v>
      </c>
      <c r="O1441" s="28">
        <v>4.536363636363637E-3</v>
      </c>
      <c r="P1441" s="28">
        <v>4.7250442477876105</v>
      </c>
    </row>
    <row r="1442" spans="1:16" x14ac:dyDescent="0.3">
      <c r="A1442" t="s">
        <v>4337</v>
      </c>
      <c r="B1442" s="24">
        <v>142141</v>
      </c>
      <c r="C1442" s="24" t="s">
        <v>1206</v>
      </c>
      <c r="D1442" s="24" t="s">
        <v>1102</v>
      </c>
      <c r="E1442" s="24" t="s">
        <v>402</v>
      </c>
      <c r="F1442" s="24" t="s">
        <v>1142</v>
      </c>
      <c r="G1442" s="24" t="s">
        <v>1203</v>
      </c>
      <c r="H1442" s="24" t="s">
        <v>598</v>
      </c>
      <c r="I1442" s="24" t="s">
        <v>1472</v>
      </c>
      <c r="J1442" s="24" t="s">
        <v>761</v>
      </c>
      <c r="K1442" s="24" t="s">
        <v>1146</v>
      </c>
      <c r="L1442" s="25">
        <v>1070</v>
      </c>
      <c r="M1442" s="26">
        <v>4.99</v>
      </c>
      <c r="N1442" s="27">
        <v>4.99</v>
      </c>
      <c r="O1442" s="28">
        <v>4.536363636363637E-3</v>
      </c>
      <c r="P1442" s="28">
        <v>4.7250442477876105</v>
      </c>
    </row>
    <row r="1443" spans="1:16" x14ac:dyDescent="0.3">
      <c r="A1443" t="s">
        <v>4338</v>
      </c>
      <c r="B1443" s="24">
        <v>100581</v>
      </c>
      <c r="C1443" s="24" t="s">
        <v>1232</v>
      </c>
      <c r="D1443" s="24" t="s">
        <v>1102</v>
      </c>
      <c r="E1443" s="24" t="s">
        <v>402</v>
      </c>
      <c r="F1443" s="24" t="s">
        <v>1142</v>
      </c>
      <c r="G1443" s="24" t="s">
        <v>1233</v>
      </c>
      <c r="H1443" s="24" t="s">
        <v>599</v>
      </c>
      <c r="I1443" s="24" t="s">
        <v>1473</v>
      </c>
      <c r="J1443" s="24" t="s">
        <v>761</v>
      </c>
      <c r="K1443" s="24" t="s">
        <v>1146</v>
      </c>
      <c r="L1443" s="25">
        <v>1070</v>
      </c>
      <c r="M1443" s="26">
        <v>5.72</v>
      </c>
      <c r="N1443" s="27">
        <v>5.72</v>
      </c>
      <c r="O1443" s="28">
        <v>5.1999999999999998E-3</v>
      </c>
      <c r="P1443" s="28">
        <v>5.4162831858407072</v>
      </c>
    </row>
    <row r="1444" spans="1:16" x14ac:dyDescent="0.3">
      <c r="A1444" t="s">
        <v>4339</v>
      </c>
      <c r="B1444" s="24">
        <v>101186</v>
      </c>
      <c r="C1444" s="24" t="s">
        <v>1273</v>
      </c>
      <c r="D1444" s="24" t="s">
        <v>1102</v>
      </c>
      <c r="E1444" s="24" t="s">
        <v>402</v>
      </c>
      <c r="F1444" s="24" t="s">
        <v>1142</v>
      </c>
      <c r="G1444" s="24" t="s">
        <v>1203</v>
      </c>
      <c r="H1444" s="24" t="s">
        <v>599</v>
      </c>
      <c r="I1444" s="24" t="s">
        <v>1473</v>
      </c>
      <c r="J1444" s="24" t="s">
        <v>761</v>
      </c>
      <c r="K1444" s="24" t="s">
        <v>1146</v>
      </c>
      <c r="L1444" s="25">
        <v>1070</v>
      </c>
      <c r="M1444" s="26">
        <v>5.72</v>
      </c>
      <c r="N1444" s="27">
        <v>5.72</v>
      </c>
      <c r="O1444" s="28">
        <v>5.1999999999999998E-3</v>
      </c>
      <c r="P1444" s="28">
        <v>5.4162831858407072</v>
      </c>
    </row>
    <row r="1445" spans="1:16" x14ac:dyDescent="0.3">
      <c r="A1445" t="s">
        <v>4340</v>
      </c>
      <c r="B1445" s="24">
        <v>101424</v>
      </c>
      <c r="C1445" s="24" t="s">
        <v>1278</v>
      </c>
      <c r="D1445" s="24" t="s">
        <v>1102</v>
      </c>
      <c r="E1445" s="24" t="s">
        <v>402</v>
      </c>
      <c r="F1445" s="24" t="s">
        <v>1142</v>
      </c>
      <c r="G1445" s="24" t="s">
        <v>1203</v>
      </c>
      <c r="H1445" s="24" t="s">
        <v>599</v>
      </c>
      <c r="I1445" s="24" t="s">
        <v>1473</v>
      </c>
      <c r="J1445" s="24" t="s">
        <v>761</v>
      </c>
      <c r="K1445" s="24" t="s">
        <v>1146</v>
      </c>
      <c r="L1445" s="25">
        <v>1070</v>
      </c>
      <c r="M1445" s="26">
        <v>5.72</v>
      </c>
      <c r="N1445" s="27">
        <v>5.72</v>
      </c>
      <c r="O1445" s="28">
        <v>5.1999999999999998E-3</v>
      </c>
      <c r="P1445" s="28">
        <v>5.4162831858407072</v>
      </c>
    </row>
    <row r="1446" spans="1:16" x14ac:dyDescent="0.3">
      <c r="A1446" t="s">
        <v>4341</v>
      </c>
      <c r="B1446" s="24">
        <v>142141</v>
      </c>
      <c r="C1446" s="24" t="s">
        <v>1206</v>
      </c>
      <c r="D1446" s="24" t="s">
        <v>1102</v>
      </c>
      <c r="E1446" s="24" t="s">
        <v>402</v>
      </c>
      <c r="F1446" s="24" t="s">
        <v>1142</v>
      </c>
      <c r="G1446" s="24" t="s">
        <v>1203</v>
      </c>
      <c r="H1446" s="24" t="s">
        <v>599</v>
      </c>
      <c r="I1446" s="24" t="s">
        <v>1473</v>
      </c>
      <c r="J1446" s="24" t="s">
        <v>761</v>
      </c>
      <c r="K1446" s="24" t="s">
        <v>1146</v>
      </c>
      <c r="L1446" s="25">
        <v>1070</v>
      </c>
      <c r="M1446" s="26">
        <v>5.72</v>
      </c>
      <c r="N1446" s="27">
        <v>5.72</v>
      </c>
      <c r="O1446" s="28">
        <v>5.1999999999999998E-3</v>
      </c>
      <c r="P1446" s="28">
        <v>5.4162831858407072</v>
      </c>
    </row>
    <row r="1447" spans="1:16" x14ac:dyDescent="0.3">
      <c r="A1447" t="s">
        <v>4342</v>
      </c>
      <c r="B1447" s="24">
        <v>142310</v>
      </c>
      <c r="C1447" s="24" t="s">
        <v>1474</v>
      </c>
      <c r="D1447" s="24" t="s">
        <v>1102</v>
      </c>
      <c r="E1447" s="24" t="s">
        <v>402</v>
      </c>
      <c r="F1447" s="24" t="s">
        <v>1142</v>
      </c>
      <c r="G1447" s="24" t="s">
        <v>1402</v>
      </c>
      <c r="H1447" s="24" t="s">
        <v>599</v>
      </c>
      <c r="I1447" s="24" t="s">
        <v>1473</v>
      </c>
      <c r="J1447" s="24" t="s">
        <v>761</v>
      </c>
      <c r="K1447" s="24" t="s">
        <v>1146</v>
      </c>
      <c r="L1447" s="25">
        <v>1070</v>
      </c>
      <c r="M1447" s="26">
        <v>5.72</v>
      </c>
      <c r="N1447" s="27">
        <v>5.72</v>
      </c>
      <c r="O1447" s="28">
        <v>5.1999999999999998E-3</v>
      </c>
      <c r="P1447" s="28">
        <v>5.4162831858407072</v>
      </c>
    </row>
    <row r="1448" spans="1:16" x14ac:dyDescent="0.3">
      <c r="A1448" t="s">
        <v>4343</v>
      </c>
      <c r="B1448" s="24">
        <v>100581</v>
      </c>
      <c r="C1448" s="24" t="s">
        <v>1232</v>
      </c>
      <c r="D1448" s="24" t="s">
        <v>1102</v>
      </c>
      <c r="E1448" s="24" t="s">
        <v>402</v>
      </c>
      <c r="F1448" s="24" t="s">
        <v>1142</v>
      </c>
      <c r="G1448" s="24" t="s">
        <v>1233</v>
      </c>
      <c r="H1448" s="24" t="s">
        <v>600</v>
      </c>
      <c r="I1448" s="24" t="s">
        <v>1475</v>
      </c>
      <c r="J1448" s="24" t="s">
        <v>761</v>
      </c>
      <c r="K1448" s="24" t="s">
        <v>1146</v>
      </c>
      <c r="L1448" s="25">
        <v>1070</v>
      </c>
      <c r="M1448" s="26">
        <v>5.46</v>
      </c>
      <c r="N1448" s="27">
        <v>5.46</v>
      </c>
      <c r="O1448" s="28">
        <v>4.9636363636363636E-3</v>
      </c>
      <c r="P1448" s="28">
        <v>5.1700884955752207</v>
      </c>
    </row>
    <row r="1449" spans="1:16" x14ac:dyDescent="0.3">
      <c r="A1449" t="s">
        <v>4344</v>
      </c>
      <c r="B1449" s="24">
        <v>101186</v>
      </c>
      <c r="C1449" s="24" t="s">
        <v>1273</v>
      </c>
      <c r="D1449" s="24" t="s">
        <v>1102</v>
      </c>
      <c r="E1449" s="24" t="s">
        <v>402</v>
      </c>
      <c r="F1449" s="24" t="s">
        <v>1142</v>
      </c>
      <c r="G1449" s="24" t="s">
        <v>1203</v>
      </c>
      <c r="H1449" s="24" t="s">
        <v>600</v>
      </c>
      <c r="I1449" s="24" t="s">
        <v>1475</v>
      </c>
      <c r="J1449" s="24" t="s">
        <v>761</v>
      </c>
      <c r="K1449" s="24" t="s">
        <v>1146</v>
      </c>
      <c r="L1449" s="25">
        <v>1070</v>
      </c>
      <c r="M1449" s="26">
        <v>5.46</v>
      </c>
      <c r="N1449" s="27">
        <v>5.46</v>
      </c>
      <c r="O1449" s="28">
        <v>4.9636363636363636E-3</v>
      </c>
      <c r="P1449" s="28">
        <v>5.1700884955752207</v>
      </c>
    </row>
    <row r="1450" spans="1:16" x14ac:dyDescent="0.3">
      <c r="A1450" t="s">
        <v>4345</v>
      </c>
      <c r="B1450" s="24">
        <v>142141</v>
      </c>
      <c r="C1450" s="24" t="s">
        <v>1206</v>
      </c>
      <c r="D1450" s="24" t="s">
        <v>1102</v>
      </c>
      <c r="E1450" s="24" t="s">
        <v>402</v>
      </c>
      <c r="F1450" s="24" t="s">
        <v>1142</v>
      </c>
      <c r="G1450" s="24" t="s">
        <v>1203</v>
      </c>
      <c r="H1450" s="24" t="s">
        <v>600</v>
      </c>
      <c r="I1450" s="24" t="s">
        <v>1475</v>
      </c>
      <c r="J1450" s="24" t="s">
        <v>761</v>
      </c>
      <c r="K1450" s="24" t="s">
        <v>1146</v>
      </c>
      <c r="L1450" s="25">
        <v>1070</v>
      </c>
      <c r="M1450" s="26">
        <v>5.46</v>
      </c>
      <c r="N1450" s="27">
        <v>5.46</v>
      </c>
      <c r="O1450" s="28">
        <v>4.9636363636363636E-3</v>
      </c>
      <c r="P1450" s="28">
        <v>5.1700884955752207</v>
      </c>
    </row>
    <row r="1451" spans="1:16" x14ac:dyDescent="0.3">
      <c r="A1451" t="s">
        <v>4346</v>
      </c>
      <c r="B1451" s="24">
        <v>100581</v>
      </c>
      <c r="C1451" s="24" t="s">
        <v>1232</v>
      </c>
      <c r="D1451" s="24" t="s">
        <v>1102</v>
      </c>
      <c r="E1451" s="24" t="s">
        <v>402</v>
      </c>
      <c r="F1451" s="24" t="s">
        <v>1142</v>
      </c>
      <c r="G1451" s="24" t="s">
        <v>1233</v>
      </c>
      <c r="H1451" s="24" t="s">
        <v>601</v>
      </c>
      <c r="I1451" s="24" t="s">
        <v>1476</v>
      </c>
      <c r="J1451" s="24" t="s">
        <v>761</v>
      </c>
      <c r="K1451" s="24" t="s">
        <v>1146</v>
      </c>
      <c r="L1451" s="25">
        <v>1070</v>
      </c>
      <c r="M1451" s="26">
        <v>4.99</v>
      </c>
      <c r="N1451" s="27">
        <v>4.99</v>
      </c>
      <c r="O1451" s="28">
        <v>4.536363636363637E-3</v>
      </c>
      <c r="P1451" s="28">
        <v>4.7250442477876105</v>
      </c>
    </row>
    <row r="1452" spans="1:16" x14ac:dyDescent="0.3">
      <c r="A1452" t="s">
        <v>4347</v>
      </c>
      <c r="B1452" s="24">
        <v>101184</v>
      </c>
      <c r="C1452" s="24" t="s">
        <v>1401</v>
      </c>
      <c r="D1452" s="24" t="s">
        <v>1102</v>
      </c>
      <c r="E1452" s="24" t="s">
        <v>402</v>
      </c>
      <c r="F1452" s="24" t="s">
        <v>1142</v>
      </c>
      <c r="G1452" s="24" t="s">
        <v>1402</v>
      </c>
      <c r="H1452" s="24" t="s">
        <v>601</v>
      </c>
      <c r="I1452" s="24" t="s">
        <v>1476</v>
      </c>
      <c r="J1452" s="24" t="s">
        <v>761</v>
      </c>
      <c r="K1452" s="24" t="s">
        <v>1146</v>
      </c>
      <c r="L1452" s="25">
        <v>1070</v>
      </c>
      <c r="M1452" s="26">
        <v>4.99</v>
      </c>
      <c r="N1452" s="27">
        <v>4.99</v>
      </c>
      <c r="O1452" s="28">
        <v>4.536363636363637E-3</v>
      </c>
      <c r="P1452" s="28">
        <v>4.7250442477876105</v>
      </c>
    </row>
    <row r="1453" spans="1:16" x14ac:dyDescent="0.3">
      <c r="A1453" t="s">
        <v>4348</v>
      </c>
      <c r="B1453" s="24">
        <v>101186</v>
      </c>
      <c r="C1453" s="24" t="s">
        <v>1273</v>
      </c>
      <c r="D1453" s="24" t="s">
        <v>1102</v>
      </c>
      <c r="E1453" s="24" t="s">
        <v>402</v>
      </c>
      <c r="F1453" s="24" t="s">
        <v>1142</v>
      </c>
      <c r="G1453" s="24" t="s">
        <v>1203</v>
      </c>
      <c r="H1453" s="24" t="s">
        <v>601</v>
      </c>
      <c r="I1453" s="24" t="s">
        <v>1476</v>
      </c>
      <c r="J1453" s="24" t="s">
        <v>761</v>
      </c>
      <c r="K1453" s="24" t="s">
        <v>1146</v>
      </c>
      <c r="L1453" s="25">
        <v>1070</v>
      </c>
      <c r="M1453" s="26">
        <v>4.99</v>
      </c>
      <c r="N1453" s="27">
        <v>4.99</v>
      </c>
      <c r="O1453" s="28">
        <v>4.536363636363637E-3</v>
      </c>
      <c r="P1453" s="28">
        <v>4.7250442477876105</v>
      </c>
    </row>
    <row r="1454" spans="1:16" x14ac:dyDescent="0.3">
      <c r="A1454" t="s">
        <v>4349</v>
      </c>
      <c r="B1454" s="24">
        <v>101206</v>
      </c>
      <c r="C1454" s="24" t="s">
        <v>1199</v>
      </c>
      <c r="D1454" s="24" t="s">
        <v>1102</v>
      </c>
      <c r="E1454" s="24" t="s">
        <v>402</v>
      </c>
      <c r="F1454" s="24" t="s">
        <v>1142</v>
      </c>
      <c r="G1454" s="24" t="s">
        <v>1200</v>
      </c>
      <c r="H1454" s="24" t="s">
        <v>601</v>
      </c>
      <c r="I1454" s="24" t="s">
        <v>1476</v>
      </c>
      <c r="J1454" s="24" t="s">
        <v>761</v>
      </c>
      <c r="K1454" s="24" t="s">
        <v>1146</v>
      </c>
      <c r="L1454" s="25">
        <v>1070</v>
      </c>
      <c r="M1454" s="26">
        <v>4.99</v>
      </c>
      <c r="N1454" s="27">
        <v>4.99</v>
      </c>
      <c r="O1454" s="28">
        <v>4.536363636363637E-3</v>
      </c>
      <c r="P1454" s="28">
        <v>4.7250442477876105</v>
      </c>
    </row>
    <row r="1455" spans="1:16" x14ac:dyDescent="0.3">
      <c r="A1455" t="s">
        <v>4350</v>
      </c>
      <c r="B1455" s="24">
        <v>101424</v>
      </c>
      <c r="C1455" s="24" t="s">
        <v>1278</v>
      </c>
      <c r="D1455" s="24" t="s">
        <v>1102</v>
      </c>
      <c r="E1455" s="24" t="s">
        <v>402</v>
      </c>
      <c r="F1455" s="24" t="s">
        <v>1142</v>
      </c>
      <c r="G1455" s="24" t="s">
        <v>1203</v>
      </c>
      <c r="H1455" s="24" t="s">
        <v>601</v>
      </c>
      <c r="I1455" s="24" t="s">
        <v>1476</v>
      </c>
      <c r="J1455" s="24" t="s">
        <v>761</v>
      </c>
      <c r="K1455" s="24" t="s">
        <v>1146</v>
      </c>
      <c r="L1455" s="25">
        <v>1070</v>
      </c>
      <c r="M1455" s="26">
        <v>4.99</v>
      </c>
      <c r="N1455" s="27">
        <v>4.99</v>
      </c>
      <c r="O1455" s="28">
        <v>4.536363636363637E-3</v>
      </c>
      <c r="P1455" s="28">
        <v>4.7250442477876105</v>
      </c>
    </row>
    <row r="1456" spans="1:16" x14ac:dyDescent="0.3">
      <c r="A1456" t="s">
        <v>4351</v>
      </c>
      <c r="B1456" s="24">
        <v>114501</v>
      </c>
      <c r="C1456" s="24" t="s">
        <v>1409</v>
      </c>
      <c r="D1456" s="24" t="s">
        <v>1102</v>
      </c>
      <c r="E1456" s="24" t="s">
        <v>402</v>
      </c>
      <c r="F1456" s="24" t="s">
        <v>1142</v>
      </c>
      <c r="G1456" s="24" t="s">
        <v>1402</v>
      </c>
      <c r="H1456" s="24" t="s">
        <v>601</v>
      </c>
      <c r="I1456" s="24" t="s">
        <v>1476</v>
      </c>
      <c r="J1456" s="24" t="s">
        <v>761</v>
      </c>
      <c r="K1456" s="24" t="s">
        <v>1146</v>
      </c>
      <c r="L1456" s="25">
        <v>1070</v>
      </c>
      <c r="M1456" s="26">
        <v>4.99</v>
      </c>
      <c r="N1456" s="27">
        <v>4.99</v>
      </c>
      <c r="O1456" s="28">
        <v>4.536363636363637E-3</v>
      </c>
      <c r="P1456" s="28">
        <v>4.7250442477876105</v>
      </c>
    </row>
    <row r="1457" spans="1:16" x14ac:dyDescent="0.3">
      <c r="A1457" t="s">
        <v>4352</v>
      </c>
      <c r="B1457" s="24">
        <v>142141</v>
      </c>
      <c r="C1457" s="24" t="s">
        <v>1206</v>
      </c>
      <c r="D1457" s="24" t="s">
        <v>1102</v>
      </c>
      <c r="E1457" s="24" t="s">
        <v>402</v>
      </c>
      <c r="F1457" s="24" t="s">
        <v>1142</v>
      </c>
      <c r="G1457" s="24" t="s">
        <v>1203</v>
      </c>
      <c r="H1457" s="24" t="s">
        <v>601</v>
      </c>
      <c r="I1457" s="24" t="s">
        <v>1476</v>
      </c>
      <c r="J1457" s="24" t="s">
        <v>761</v>
      </c>
      <c r="K1457" s="24" t="s">
        <v>1146</v>
      </c>
      <c r="L1457" s="25">
        <v>1070</v>
      </c>
      <c r="M1457" s="26">
        <v>4.99</v>
      </c>
      <c r="N1457" s="27">
        <v>4.99</v>
      </c>
      <c r="O1457" s="28">
        <v>4.536363636363637E-3</v>
      </c>
      <c r="P1457" s="28">
        <v>4.7250442477876105</v>
      </c>
    </row>
    <row r="1458" spans="1:16" x14ac:dyDescent="0.3">
      <c r="A1458" t="s">
        <v>4353</v>
      </c>
      <c r="B1458" s="24">
        <v>101424</v>
      </c>
      <c r="C1458" s="24" t="s">
        <v>1278</v>
      </c>
      <c r="D1458" s="24" t="s">
        <v>1102</v>
      </c>
      <c r="E1458" s="24" t="s">
        <v>402</v>
      </c>
      <c r="F1458" s="24" t="s">
        <v>1142</v>
      </c>
      <c r="G1458" s="24" t="s">
        <v>1203</v>
      </c>
      <c r="H1458" s="24" t="s">
        <v>602</v>
      </c>
      <c r="I1458" s="24" t="s">
        <v>1477</v>
      </c>
      <c r="J1458" s="24" t="s">
        <v>761</v>
      </c>
      <c r="K1458" s="24" t="s">
        <v>1146</v>
      </c>
      <c r="L1458" s="25">
        <v>1070</v>
      </c>
      <c r="M1458" s="26">
        <v>5.09</v>
      </c>
      <c r="N1458" s="27">
        <v>5.09</v>
      </c>
      <c r="O1458" s="28">
        <v>4.6272727272727273E-3</v>
      </c>
      <c r="P1458" s="28">
        <v>4.8197345132743363</v>
      </c>
    </row>
    <row r="1459" spans="1:16" x14ac:dyDescent="0.3">
      <c r="A1459" t="s">
        <v>4354</v>
      </c>
      <c r="B1459" s="24">
        <v>142141</v>
      </c>
      <c r="C1459" s="24" t="s">
        <v>1206</v>
      </c>
      <c r="D1459" s="24" t="s">
        <v>1102</v>
      </c>
      <c r="E1459" s="24" t="s">
        <v>402</v>
      </c>
      <c r="F1459" s="24" t="s">
        <v>1142</v>
      </c>
      <c r="G1459" s="24" t="s">
        <v>1203</v>
      </c>
      <c r="H1459" s="24" t="s">
        <v>602</v>
      </c>
      <c r="I1459" s="24" t="s">
        <v>1477</v>
      </c>
      <c r="J1459" s="24" t="s">
        <v>761</v>
      </c>
      <c r="K1459" s="24" t="s">
        <v>1146</v>
      </c>
      <c r="L1459" s="25">
        <v>1070</v>
      </c>
      <c r="M1459" s="26">
        <v>5.09</v>
      </c>
      <c r="N1459" s="27">
        <v>5.09</v>
      </c>
      <c r="O1459" s="28">
        <v>4.6272727272727273E-3</v>
      </c>
      <c r="P1459" s="28">
        <v>4.8197345132743363</v>
      </c>
    </row>
    <row r="1460" spans="1:16" x14ac:dyDescent="0.3">
      <c r="A1460" t="s">
        <v>4355</v>
      </c>
      <c r="B1460" s="24">
        <v>101424</v>
      </c>
      <c r="C1460" s="24" t="s">
        <v>1278</v>
      </c>
      <c r="D1460" s="24" t="s">
        <v>1102</v>
      </c>
      <c r="E1460" s="24" t="s">
        <v>402</v>
      </c>
      <c r="F1460" s="24" t="s">
        <v>1142</v>
      </c>
      <c r="G1460" s="24" t="s">
        <v>1203</v>
      </c>
      <c r="H1460" s="24" t="s">
        <v>603</v>
      </c>
      <c r="I1460" s="24" t="s">
        <v>1478</v>
      </c>
      <c r="J1460" s="24" t="s">
        <v>761</v>
      </c>
      <c r="K1460" s="24" t="s">
        <v>1146</v>
      </c>
      <c r="L1460" s="25">
        <v>1070</v>
      </c>
      <c r="M1460" s="26">
        <v>5.0199999999999996</v>
      </c>
      <c r="N1460" s="27">
        <v>5.0199999999999996</v>
      </c>
      <c r="O1460" s="28">
        <v>4.5636363636363635E-3</v>
      </c>
      <c r="P1460" s="28">
        <v>4.7534513274336279</v>
      </c>
    </row>
    <row r="1461" spans="1:16" x14ac:dyDescent="0.3">
      <c r="A1461" t="s">
        <v>4356</v>
      </c>
      <c r="B1461" s="24">
        <v>101424</v>
      </c>
      <c r="C1461" s="24" t="s">
        <v>1278</v>
      </c>
      <c r="D1461" s="24" t="s">
        <v>1102</v>
      </c>
      <c r="E1461" s="24" t="s">
        <v>402</v>
      </c>
      <c r="F1461" s="24" t="s">
        <v>1142</v>
      </c>
      <c r="G1461" s="24" t="s">
        <v>1203</v>
      </c>
      <c r="H1461" s="24" t="s">
        <v>604</v>
      </c>
      <c r="I1461" s="24" t="s">
        <v>1475</v>
      </c>
      <c r="J1461" s="24" t="s">
        <v>761</v>
      </c>
      <c r="K1461" s="24" t="s">
        <v>1146</v>
      </c>
      <c r="L1461" s="25">
        <v>1070</v>
      </c>
      <c r="M1461" s="26">
        <v>6.15</v>
      </c>
      <c r="N1461" s="27">
        <v>6.15</v>
      </c>
      <c r="O1461" s="28">
        <v>5.5909090909090908E-3</v>
      </c>
      <c r="P1461" s="28">
        <v>5.8234513274336281</v>
      </c>
    </row>
    <row r="1462" spans="1:16" x14ac:dyDescent="0.3">
      <c r="A1462" t="s">
        <v>4356</v>
      </c>
      <c r="B1462" s="24">
        <v>101424</v>
      </c>
      <c r="C1462" s="24" t="s">
        <v>1278</v>
      </c>
      <c r="D1462" s="24" t="s">
        <v>1102</v>
      </c>
      <c r="E1462" s="24" t="s">
        <v>402</v>
      </c>
      <c r="F1462" s="24" t="s">
        <v>1142</v>
      </c>
      <c r="G1462" s="24" t="s">
        <v>1203</v>
      </c>
      <c r="H1462" s="24" t="s">
        <v>604</v>
      </c>
      <c r="I1462" s="24" t="s">
        <v>1475</v>
      </c>
      <c r="J1462" s="24" t="s">
        <v>761</v>
      </c>
      <c r="K1462" s="24" t="s">
        <v>1146</v>
      </c>
      <c r="L1462" s="25">
        <v>1070</v>
      </c>
      <c r="M1462" s="26">
        <v>6.12</v>
      </c>
      <c r="N1462" s="27">
        <v>6.12</v>
      </c>
      <c r="O1462" s="28">
        <v>5.5636363636363635E-3</v>
      </c>
      <c r="P1462" s="28">
        <v>5.7950442477876107</v>
      </c>
    </row>
    <row r="1463" spans="1:16" x14ac:dyDescent="0.3">
      <c r="A1463" t="s">
        <v>4357</v>
      </c>
      <c r="B1463" s="24">
        <v>142141</v>
      </c>
      <c r="C1463" s="24" t="s">
        <v>1206</v>
      </c>
      <c r="D1463" s="24" t="s">
        <v>1102</v>
      </c>
      <c r="E1463" s="24" t="s">
        <v>402</v>
      </c>
      <c r="F1463" s="24" t="s">
        <v>1142</v>
      </c>
      <c r="G1463" s="24" t="s">
        <v>1203</v>
      </c>
      <c r="H1463" s="24" t="s">
        <v>605</v>
      </c>
      <c r="I1463" s="24" t="s">
        <v>1479</v>
      </c>
      <c r="J1463" s="24" t="s">
        <v>761</v>
      </c>
      <c r="K1463" s="24" t="s">
        <v>1146</v>
      </c>
      <c r="L1463" s="25">
        <v>1070</v>
      </c>
      <c r="M1463" s="26">
        <v>6.16</v>
      </c>
      <c r="N1463" s="27">
        <v>6.16</v>
      </c>
      <c r="O1463" s="28">
        <v>5.5999999999999999E-3</v>
      </c>
      <c r="P1463" s="28">
        <v>5.8329203539823009</v>
      </c>
    </row>
    <row r="1464" spans="1:16" x14ac:dyDescent="0.3">
      <c r="A1464" t="s">
        <v>4358</v>
      </c>
      <c r="B1464" s="24">
        <v>100581</v>
      </c>
      <c r="C1464" s="24" t="s">
        <v>1232</v>
      </c>
      <c r="D1464" s="24" t="s">
        <v>1102</v>
      </c>
      <c r="E1464" s="24" t="s">
        <v>402</v>
      </c>
      <c r="F1464" s="24" t="s">
        <v>1142</v>
      </c>
      <c r="G1464" s="24" t="s">
        <v>1233</v>
      </c>
      <c r="H1464" s="24" t="s">
        <v>606</v>
      </c>
      <c r="I1464" s="24" t="s">
        <v>1480</v>
      </c>
      <c r="J1464" s="24" t="s">
        <v>761</v>
      </c>
      <c r="K1464" s="24" t="s">
        <v>1146</v>
      </c>
      <c r="L1464" s="25">
        <v>1070</v>
      </c>
      <c r="M1464" s="26">
        <v>6.12</v>
      </c>
      <c r="N1464" s="27">
        <v>6.12</v>
      </c>
      <c r="O1464" s="28">
        <v>5.5636363636363635E-3</v>
      </c>
      <c r="P1464" s="28">
        <v>5.7950442477876107</v>
      </c>
    </row>
    <row r="1465" spans="1:16" x14ac:dyDescent="0.3">
      <c r="A1465" t="s">
        <v>4359</v>
      </c>
      <c r="B1465" s="24">
        <v>100581</v>
      </c>
      <c r="C1465" s="24" t="s">
        <v>1232</v>
      </c>
      <c r="D1465" s="24" t="s">
        <v>1102</v>
      </c>
      <c r="E1465" s="24" t="s">
        <v>402</v>
      </c>
      <c r="F1465" s="24" t="s">
        <v>1142</v>
      </c>
      <c r="G1465" s="24" t="s">
        <v>1233</v>
      </c>
      <c r="H1465" s="24" t="s">
        <v>607</v>
      </c>
      <c r="I1465" s="24" t="s">
        <v>1480</v>
      </c>
      <c r="J1465" s="24" t="s">
        <v>761</v>
      </c>
      <c r="K1465" s="24" t="s">
        <v>1146</v>
      </c>
      <c r="L1465" s="25">
        <v>1070</v>
      </c>
      <c r="M1465" s="26">
        <v>6.12</v>
      </c>
      <c r="N1465" s="27">
        <v>6.12</v>
      </c>
      <c r="O1465" s="28">
        <v>5.5636363636363635E-3</v>
      </c>
      <c r="P1465" s="28">
        <v>5.7950442477876107</v>
      </c>
    </row>
    <row r="1466" spans="1:16" x14ac:dyDescent="0.3">
      <c r="A1466" t="s">
        <v>4360</v>
      </c>
      <c r="B1466" s="24">
        <v>100581</v>
      </c>
      <c r="C1466" s="24" t="s">
        <v>1232</v>
      </c>
      <c r="D1466" s="24" t="s">
        <v>1102</v>
      </c>
      <c r="E1466" s="24" t="s">
        <v>402</v>
      </c>
      <c r="F1466" s="24" t="s">
        <v>1142</v>
      </c>
      <c r="G1466" s="24" t="s">
        <v>1233</v>
      </c>
      <c r="H1466" s="24" t="s">
        <v>608</v>
      </c>
      <c r="I1466" s="24" t="s">
        <v>1481</v>
      </c>
      <c r="J1466" s="24" t="s">
        <v>761</v>
      </c>
      <c r="K1466" s="24" t="s">
        <v>1146</v>
      </c>
      <c r="L1466" s="25">
        <v>1070</v>
      </c>
      <c r="M1466" s="26">
        <v>6.22</v>
      </c>
      <c r="N1466" s="27">
        <v>6.22</v>
      </c>
      <c r="O1466" s="28">
        <v>5.6545454545454546E-3</v>
      </c>
      <c r="P1466" s="28">
        <v>5.8897345132743357</v>
      </c>
    </row>
    <row r="1467" spans="1:16" x14ac:dyDescent="0.3">
      <c r="A1467" t="s">
        <v>4361</v>
      </c>
      <c r="B1467" s="24">
        <v>100581</v>
      </c>
      <c r="C1467" s="24" t="s">
        <v>1232</v>
      </c>
      <c r="D1467" s="24" t="s">
        <v>1102</v>
      </c>
      <c r="E1467" s="24" t="s">
        <v>402</v>
      </c>
      <c r="F1467" s="24" t="s">
        <v>1142</v>
      </c>
      <c r="G1467" s="24" t="s">
        <v>1233</v>
      </c>
      <c r="H1467" s="24" t="s">
        <v>609</v>
      </c>
      <c r="I1467" s="24" t="s">
        <v>1481</v>
      </c>
      <c r="J1467" s="24" t="s">
        <v>761</v>
      </c>
      <c r="K1467" s="24" t="s">
        <v>1146</v>
      </c>
      <c r="L1467" s="25">
        <v>1070</v>
      </c>
      <c r="M1467" s="26">
        <v>6.22</v>
      </c>
      <c r="N1467" s="27">
        <v>6.22</v>
      </c>
      <c r="O1467" s="28">
        <v>5.6545454545454546E-3</v>
      </c>
      <c r="P1467" s="28">
        <v>5.8897345132743357</v>
      </c>
    </row>
    <row r="1468" spans="1:16" x14ac:dyDescent="0.3">
      <c r="A1468" t="s">
        <v>4362</v>
      </c>
      <c r="B1468" s="24">
        <v>100581</v>
      </c>
      <c r="C1468" s="24" t="s">
        <v>1232</v>
      </c>
      <c r="D1468" s="24" t="s">
        <v>1102</v>
      </c>
      <c r="E1468" s="24" t="s">
        <v>402</v>
      </c>
      <c r="F1468" s="24" t="s">
        <v>1142</v>
      </c>
      <c r="G1468" s="24" t="s">
        <v>1233</v>
      </c>
      <c r="H1468" s="24" t="s">
        <v>610</v>
      </c>
      <c r="I1468" s="24" t="s">
        <v>1481</v>
      </c>
      <c r="J1468" s="24" t="s">
        <v>761</v>
      </c>
      <c r="K1468" s="24" t="s">
        <v>1146</v>
      </c>
      <c r="L1468" s="25">
        <v>1070</v>
      </c>
      <c r="M1468" s="26">
        <v>7.1</v>
      </c>
      <c r="N1468" s="27">
        <v>7.1</v>
      </c>
      <c r="O1468" s="28">
        <v>6.4545454545454541E-3</v>
      </c>
      <c r="P1468" s="28">
        <v>6.7230088495575222</v>
      </c>
    </row>
    <row r="1469" spans="1:16" x14ac:dyDescent="0.3">
      <c r="A1469" t="s">
        <v>4363</v>
      </c>
      <c r="B1469" s="24">
        <v>101186</v>
      </c>
      <c r="C1469" s="24" t="s">
        <v>1273</v>
      </c>
      <c r="D1469" s="24" t="s">
        <v>1102</v>
      </c>
      <c r="E1469" s="24" t="s">
        <v>402</v>
      </c>
      <c r="F1469" s="24" t="s">
        <v>1142</v>
      </c>
      <c r="G1469" s="24" t="s">
        <v>1203</v>
      </c>
      <c r="H1469" s="24" t="s">
        <v>611</v>
      </c>
      <c r="I1469" s="24" t="s">
        <v>1482</v>
      </c>
      <c r="J1469" s="24" t="s">
        <v>761</v>
      </c>
      <c r="K1469" s="24" t="s">
        <v>1146</v>
      </c>
      <c r="L1469" s="25">
        <v>1070</v>
      </c>
      <c r="M1469" s="26">
        <v>3.97</v>
      </c>
      <c r="N1469" s="27">
        <v>3.97</v>
      </c>
      <c r="O1469" s="28">
        <v>3.6090909090909094E-3</v>
      </c>
      <c r="P1469" s="28">
        <v>3.7592035398230093</v>
      </c>
    </row>
    <row r="1470" spans="1:16" x14ac:dyDescent="0.3">
      <c r="A1470" t="s">
        <v>4364</v>
      </c>
      <c r="B1470" s="24">
        <v>100581</v>
      </c>
      <c r="C1470" s="24" t="s">
        <v>1232</v>
      </c>
      <c r="D1470" s="24" t="s">
        <v>1102</v>
      </c>
      <c r="E1470" s="24" t="s">
        <v>402</v>
      </c>
      <c r="F1470" s="24" t="s">
        <v>1142</v>
      </c>
      <c r="G1470" s="24" t="s">
        <v>1233</v>
      </c>
      <c r="H1470" s="24" t="s">
        <v>612</v>
      </c>
      <c r="I1470" s="24" t="s">
        <v>1483</v>
      </c>
      <c r="J1470" s="24" t="s">
        <v>761</v>
      </c>
      <c r="K1470" s="24" t="s">
        <v>1146</v>
      </c>
      <c r="L1470" s="25">
        <v>1070</v>
      </c>
      <c r="M1470" s="26">
        <v>5.79</v>
      </c>
      <c r="N1470" s="27">
        <v>5.79</v>
      </c>
      <c r="O1470" s="28">
        <v>5.2636363636363636E-3</v>
      </c>
      <c r="P1470" s="28">
        <v>5.4825663716814157</v>
      </c>
    </row>
    <row r="1471" spans="1:16" x14ac:dyDescent="0.3">
      <c r="A1471" t="s">
        <v>4365</v>
      </c>
      <c r="B1471" s="24">
        <v>101116</v>
      </c>
      <c r="C1471" s="24" t="s">
        <v>1214</v>
      </c>
      <c r="D1471" s="24" t="s">
        <v>1102</v>
      </c>
      <c r="E1471" s="24" t="s">
        <v>402</v>
      </c>
      <c r="F1471" s="24" t="s">
        <v>1142</v>
      </c>
      <c r="G1471" s="24" t="s">
        <v>1203</v>
      </c>
      <c r="H1471" s="24" t="s">
        <v>613</v>
      </c>
      <c r="I1471" s="24" t="s">
        <v>1484</v>
      </c>
      <c r="J1471" s="24" t="s">
        <v>761</v>
      </c>
      <c r="K1471" s="24" t="s">
        <v>1146</v>
      </c>
      <c r="L1471" s="25">
        <v>1070</v>
      </c>
      <c r="M1471" s="26">
        <v>5.55</v>
      </c>
      <c r="N1471" s="27">
        <v>5.55</v>
      </c>
      <c r="O1471" s="28">
        <v>5.0454545454545457E-3</v>
      </c>
      <c r="P1471" s="28">
        <v>5.2553097345132747</v>
      </c>
    </row>
    <row r="1472" spans="1:16" x14ac:dyDescent="0.3">
      <c r="A1472" t="s">
        <v>4366</v>
      </c>
      <c r="B1472" s="24">
        <v>106916</v>
      </c>
      <c r="C1472" s="24" t="s">
        <v>1216</v>
      </c>
      <c r="D1472" s="24" t="s">
        <v>1102</v>
      </c>
      <c r="E1472" s="24" t="s">
        <v>402</v>
      </c>
      <c r="F1472" s="24" t="s">
        <v>1142</v>
      </c>
      <c r="G1472" s="24" t="s">
        <v>1203</v>
      </c>
      <c r="H1472" s="24" t="s">
        <v>613</v>
      </c>
      <c r="I1472" s="24" t="s">
        <v>1484</v>
      </c>
      <c r="J1472" s="24" t="s">
        <v>761</v>
      </c>
      <c r="K1472" s="24" t="s">
        <v>1146</v>
      </c>
      <c r="L1472" s="25">
        <v>1070</v>
      </c>
      <c r="M1472" s="26">
        <v>5.55</v>
      </c>
      <c r="N1472" s="27">
        <v>5.55</v>
      </c>
      <c r="O1472" s="28">
        <v>5.0454545454545457E-3</v>
      </c>
      <c r="P1472" s="28">
        <v>5.2553097345132747</v>
      </c>
    </row>
    <row r="1473" spans="1:16" x14ac:dyDescent="0.3">
      <c r="A1473" t="s">
        <v>4367</v>
      </c>
      <c r="B1473" s="24">
        <v>141986</v>
      </c>
      <c r="C1473" s="24" t="s">
        <v>1485</v>
      </c>
      <c r="D1473" s="24" t="s">
        <v>1102</v>
      </c>
      <c r="E1473" s="24" t="s">
        <v>402</v>
      </c>
      <c r="F1473" s="24" t="s">
        <v>1237</v>
      </c>
      <c r="G1473" s="24" t="s">
        <v>1486</v>
      </c>
      <c r="H1473" s="24" t="s">
        <v>614</v>
      </c>
      <c r="I1473" s="24" t="s">
        <v>1487</v>
      </c>
      <c r="J1473" s="24" t="s">
        <v>761</v>
      </c>
      <c r="K1473" s="24" t="s">
        <v>1146</v>
      </c>
      <c r="L1473" s="25">
        <v>1070</v>
      </c>
      <c r="M1473" s="26">
        <v>7.7</v>
      </c>
      <c r="N1473" s="27">
        <v>7.7</v>
      </c>
      <c r="O1473" s="28">
        <v>7.0000000000000001E-3</v>
      </c>
      <c r="P1473" s="28">
        <v>7.2911504424778757</v>
      </c>
    </row>
    <row r="1474" spans="1:16" x14ac:dyDescent="0.3">
      <c r="A1474" t="s">
        <v>4368</v>
      </c>
      <c r="B1474" s="24">
        <v>100603</v>
      </c>
      <c r="C1474" s="24" t="s">
        <v>1277</v>
      </c>
      <c r="D1474" s="24" t="s">
        <v>1102</v>
      </c>
      <c r="E1474" s="24" t="s">
        <v>402</v>
      </c>
      <c r="F1474" s="24" t="s">
        <v>1142</v>
      </c>
      <c r="G1474" s="24" t="s">
        <v>1082</v>
      </c>
      <c r="H1474" s="24" t="s">
        <v>615</v>
      </c>
      <c r="I1474" s="24" t="s">
        <v>1488</v>
      </c>
      <c r="J1474" s="24" t="s">
        <v>761</v>
      </c>
      <c r="K1474" s="24" t="s">
        <v>1146</v>
      </c>
      <c r="L1474" s="25">
        <v>1070</v>
      </c>
      <c r="M1474" s="26">
        <v>5.04</v>
      </c>
      <c r="N1474" s="27">
        <v>5.04</v>
      </c>
      <c r="O1474" s="28">
        <v>4.5818181818181817E-3</v>
      </c>
      <c r="P1474" s="28">
        <v>4.7723893805309734</v>
      </c>
    </row>
    <row r="1475" spans="1:16" x14ac:dyDescent="0.3">
      <c r="A1475" t="s">
        <v>4369</v>
      </c>
      <c r="B1475" s="24">
        <v>101184</v>
      </c>
      <c r="C1475" s="24" t="s">
        <v>1401</v>
      </c>
      <c r="D1475" s="24" t="s">
        <v>1102</v>
      </c>
      <c r="E1475" s="24" t="s">
        <v>402</v>
      </c>
      <c r="F1475" s="24" t="s">
        <v>1142</v>
      </c>
      <c r="G1475" s="24" t="s">
        <v>1402</v>
      </c>
      <c r="H1475" s="24" t="s">
        <v>615</v>
      </c>
      <c r="I1475" s="24" t="s">
        <v>1488</v>
      </c>
      <c r="J1475" s="24" t="s">
        <v>761</v>
      </c>
      <c r="K1475" s="24" t="s">
        <v>1146</v>
      </c>
      <c r="L1475" s="25">
        <v>1070</v>
      </c>
      <c r="M1475" s="26">
        <v>5.04</v>
      </c>
      <c r="N1475" s="27">
        <v>5.04</v>
      </c>
      <c r="O1475" s="28">
        <v>4.5818181818181817E-3</v>
      </c>
      <c r="P1475" s="28">
        <v>4.7723893805309734</v>
      </c>
    </row>
    <row r="1476" spans="1:16" x14ac:dyDescent="0.3">
      <c r="A1476" t="s">
        <v>4370</v>
      </c>
      <c r="B1476" s="24">
        <v>101186</v>
      </c>
      <c r="C1476" s="24" t="s">
        <v>1273</v>
      </c>
      <c r="D1476" s="24" t="s">
        <v>1102</v>
      </c>
      <c r="E1476" s="24" t="s">
        <v>402</v>
      </c>
      <c r="F1476" s="24" t="s">
        <v>1142</v>
      </c>
      <c r="G1476" s="24" t="s">
        <v>1203</v>
      </c>
      <c r="H1476" s="24" t="s">
        <v>615</v>
      </c>
      <c r="I1476" s="24" t="s">
        <v>1488</v>
      </c>
      <c r="J1476" s="24" t="s">
        <v>761</v>
      </c>
      <c r="K1476" s="24" t="s">
        <v>1146</v>
      </c>
      <c r="L1476" s="25">
        <v>1070</v>
      </c>
      <c r="M1476" s="26">
        <v>5.04</v>
      </c>
      <c r="N1476" s="27">
        <v>5.04</v>
      </c>
      <c r="O1476" s="28">
        <v>4.5818181818181817E-3</v>
      </c>
      <c r="P1476" s="28">
        <v>4.7723893805309734</v>
      </c>
    </row>
    <row r="1477" spans="1:16" x14ac:dyDescent="0.3">
      <c r="A1477" t="s">
        <v>4371</v>
      </c>
      <c r="B1477" s="24">
        <v>101206</v>
      </c>
      <c r="C1477" s="24" t="s">
        <v>1199</v>
      </c>
      <c r="D1477" s="24" t="s">
        <v>1102</v>
      </c>
      <c r="E1477" s="24" t="s">
        <v>402</v>
      </c>
      <c r="F1477" s="24" t="s">
        <v>1142</v>
      </c>
      <c r="G1477" s="24" t="s">
        <v>1200</v>
      </c>
      <c r="H1477" s="24" t="s">
        <v>615</v>
      </c>
      <c r="I1477" s="24" t="s">
        <v>1488</v>
      </c>
      <c r="J1477" s="24" t="s">
        <v>761</v>
      </c>
      <c r="K1477" s="24" t="s">
        <v>1146</v>
      </c>
      <c r="L1477" s="25">
        <v>1070</v>
      </c>
      <c r="M1477" s="26">
        <v>5.04</v>
      </c>
      <c r="N1477" s="27">
        <v>5.04</v>
      </c>
      <c r="O1477" s="28">
        <v>4.5818181818181817E-3</v>
      </c>
      <c r="P1477" s="28">
        <v>4.7723893805309734</v>
      </c>
    </row>
    <row r="1478" spans="1:16" x14ac:dyDescent="0.3">
      <c r="A1478" t="s">
        <v>4372</v>
      </c>
      <c r="B1478" s="24">
        <v>114501</v>
      </c>
      <c r="C1478" s="24" t="s">
        <v>1409</v>
      </c>
      <c r="D1478" s="24" t="s">
        <v>1102</v>
      </c>
      <c r="E1478" s="24" t="s">
        <v>402</v>
      </c>
      <c r="F1478" s="24" t="s">
        <v>1142</v>
      </c>
      <c r="G1478" s="24" t="s">
        <v>1402</v>
      </c>
      <c r="H1478" s="24" t="s">
        <v>615</v>
      </c>
      <c r="I1478" s="24" t="s">
        <v>1488</v>
      </c>
      <c r="J1478" s="24" t="s">
        <v>761</v>
      </c>
      <c r="K1478" s="24" t="s">
        <v>1146</v>
      </c>
      <c r="L1478" s="25">
        <v>1070</v>
      </c>
      <c r="M1478" s="26">
        <v>5.04</v>
      </c>
      <c r="N1478" s="27">
        <v>5.04</v>
      </c>
      <c r="O1478" s="28">
        <v>4.5818181818181817E-3</v>
      </c>
      <c r="P1478" s="28">
        <v>4.7723893805309734</v>
      </c>
    </row>
    <row r="1479" spans="1:16" x14ac:dyDescent="0.3">
      <c r="A1479" t="s">
        <v>4373</v>
      </c>
      <c r="B1479" s="24">
        <v>142310</v>
      </c>
      <c r="C1479" s="24" t="s">
        <v>1474</v>
      </c>
      <c r="D1479" s="24" t="s">
        <v>1102</v>
      </c>
      <c r="E1479" s="24" t="s">
        <v>402</v>
      </c>
      <c r="F1479" s="24" t="s">
        <v>1142</v>
      </c>
      <c r="G1479" s="24" t="s">
        <v>1402</v>
      </c>
      <c r="H1479" s="24" t="s">
        <v>615</v>
      </c>
      <c r="I1479" s="24" t="s">
        <v>1488</v>
      </c>
      <c r="J1479" s="24" t="s">
        <v>761</v>
      </c>
      <c r="K1479" s="24" t="s">
        <v>1146</v>
      </c>
      <c r="L1479" s="25">
        <v>1070</v>
      </c>
      <c r="M1479" s="26">
        <v>5.04</v>
      </c>
      <c r="N1479" s="27">
        <v>5.04</v>
      </c>
      <c r="O1479" s="28">
        <v>4.5818181818181817E-3</v>
      </c>
      <c r="P1479" s="28">
        <v>4.7723893805309734</v>
      </c>
    </row>
    <row r="1480" spans="1:16" x14ac:dyDescent="0.3">
      <c r="A1480" t="s">
        <v>4374</v>
      </c>
      <c r="B1480" s="24">
        <v>101186</v>
      </c>
      <c r="C1480" s="24" t="s">
        <v>1273</v>
      </c>
      <c r="D1480" s="24" t="s">
        <v>1102</v>
      </c>
      <c r="E1480" s="24" t="s">
        <v>402</v>
      </c>
      <c r="F1480" s="24" t="s">
        <v>1142</v>
      </c>
      <c r="G1480" s="24" t="s">
        <v>1203</v>
      </c>
      <c r="H1480" s="24" t="s">
        <v>617</v>
      </c>
      <c r="I1480" s="24" t="s">
        <v>1489</v>
      </c>
      <c r="J1480" s="24" t="s">
        <v>761</v>
      </c>
      <c r="K1480" s="24" t="s">
        <v>1146</v>
      </c>
      <c r="L1480" s="25">
        <v>1070</v>
      </c>
      <c r="M1480" s="26">
        <v>5.99</v>
      </c>
      <c r="N1480" s="27">
        <v>5.99</v>
      </c>
      <c r="O1480" s="28">
        <v>5.4454545454545459E-3</v>
      </c>
      <c r="P1480" s="28">
        <v>5.6719469026548675</v>
      </c>
    </row>
    <row r="1481" spans="1:16" x14ac:dyDescent="0.3">
      <c r="A1481" t="s">
        <v>4375</v>
      </c>
      <c r="B1481" s="24">
        <v>106916</v>
      </c>
      <c r="C1481" s="24" t="s">
        <v>1216</v>
      </c>
      <c r="D1481" s="24" t="s">
        <v>1102</v>
      </c>
      <c r="E1481" s="24" t="s">
        <v>402</v>
      </c>
      <c r="F1481" s="24" t="s">
        <v>1142</v>
      </c>
      <c r="G1481" s="24" t="s">
        <v>1203</v>
      </c>
      <c r="H1481" s="24" t="s">
        <v>617</v>
      </c>
      <c r="I1481" s="24" t="s">
        <v>1489</v>
      </c>
      <c r="J1481" s="24" t="s">
        <v>761</v>
      </c>
      <c r="K1481" s="24" t="s">
        <v>1146</v>
      </c>
      <c r="L1481" s="25">
        <v>1070</v>
      </c>
      <c r="M1481" s="26">
        <v>5.99</v>
      </c>
      <c r="N1481" s="27">
        <v>5.99</v>
      </c>
      <c r="O1481" s="28">
        <v>5.4454545454545459E-3</v>
      </c>
      <c r="P1481" s="28">
        <v>5.6719469026548675</v>
      </c>
    </row>
    <row r="1482" spans="1:16" x14ac:dyDescent="0.3">
      <c r="A1482" t="s">
        <v>4376</v>
      </c>
      <c r="B1482" s="24">
        <v>114163</v>
      </c>
      <c r="C1482" s="24" t="s">
        <v>1490</v>
      </c>
      <c r="D1482" s="24" t="s">
        <v>1102</v>
      </c>
      <c r="E1482" s="24" t="s">
        <v>402</v>
      </c>
      <c r="F1482" s="24" t="s">
        <v>1142</v>
      </c>
      <c r="G1482" s="24" t="s">
        <v>1203</v>
      </c>
      <c r="H1482" s="24" t="s">
        <v>617</v>
      </c>
      <c r="I1482" s="24" t="s">
        <v>1489</v>
      </c>
      <c r="J1482" s="24" t="s">
        <v>761</v>
      </c>
      <c r="K1482" s="24" t="s">
        <v>1146</v>
      </c>
      <c r="L1482" s="25">
        <v>1070</v>
      </c>
      <c r="M1482" s="26">
        <v>5.99</v>
      </c>
      <c r="N1482" s="27">
        <v>5.99</v>
      </c>
      <c r="O1482" s="28">
        <v>5.4454545454545459E-3</v>
      </c>
      <c r="P1482" s="28">
        <v>5.6719469026548675</v>
      </c>
    </row>
    <row r="1483" spans="1:16" x14ac:dyDescent="0.3">
      <c r="A1483" t="s">
        <v>4377</v>
      </c>
      <c r="B1483" s="24">
        <v>142310</v>
      </c>
      <c r="C1483" s="24" t="s">
        <v>1474</v>
      </c>
      <c r="D1483" s="24" t="s">
        <v>1102</v>
      </c>
      <c r="E1483" s="24" t="s">
        <v>402</v>
      </c>
      <c r="F1483" s="24" t="s">
        <v>1142</v>
      </c>
      <c r="G1483" s="24" t="s">
        <v>1402</v>
      </c>
      <c r="H1483" s="24" t="s">
        <v>617</v>
      </c>
      <c r="I1483" s="24" t="s">
        <v>1489</v>
      </c>
      <c r="J1483" s="24" t="s">
        <v>761</v>
      </c>
      <c r="K1483" s="24" t="s">
        <v>1146</v>
      </c>
      <c r="L1483" s="25">
        <v>1070</v>
      </c>
      <c r="M1483" s="26">
        <v>5.99</v>
      </c>
      <c r="N1483" s="27">
        <v>5.99</v>
      </c>
      <c r="O1483" s="28">
        <v>5.4454545454545459E-3</v>
      </c>
      <c r="P1483" s="28">
        <v>5.6719469026548675</v>
      </c>
    </row>
    <row r="1484" spans="1:16" x14ac:dyDescent="0.3">
      <c r="A1484" t="s">
        <v>4378</v>
      </c>
      <c r="B1484" s="24">
        <v>142051</v>
      </c>
      <c r="C1484" s="24" t="s">
        <v>1491</v>
      </c>
      <c r="D1484" s="24" t="s">
        <v>1102</v>
      </c>
      <c r="E1484" s="24" t="s">
        <v>402</v>
      </c>
      <c r="F1484" s="24" t="s">
        <v>1237</v>
      </c>
      <c r="G1484" s="24" t="s">
        <v>1238</v>
      </c>
      <c r="H1484" s="24" t="s">
        <v>616</v>
      </c>
      <c r="I1484" s="24" t="s">
        <v>1492</v>
      </c>
      <c r="J1484" s="24" t="s">
        <v>761</v>
      </c>
      <c r="K1484" s="24" t="s">
        <v>1146</v>
      </c>
      <c r="L1484" s="25">
        <v>1070</v>
      </c>
      <c r="M1484" s="26">
        <v>5.14</v>
      </c>
      <c r="N1484" s="27">
        <v>5.14</v>
      </c>
      <c r="O1484" s="28">
        <v>4.6727272727272728E-3</v>
      </c>
      <c r="P1484" s="28">
        <v>4.8670796460176984</v>
      </c>
    </row>
    <row r="1485" spans="1:16" x14ac:dyDescent="0.3">
      <c r="A1485" t="s">
        <v>4379</v>
      </c>
      <c r="B1485" s="24">
        <v>300037</v>
      </c>
      <c r="C1485" s="24" t="s">
        <v>1493</v>
      </c>
      <c r="D1485" s="24" t="s">
        <v>1102</v>
      </c>
      <c r="E1485" s="24" t="s">
        <v>402</v>
      </c>
      <c r="F1485" s="24" t="s">
        <v>1237</v>
      </c>
      <c r="G1485" s="24" t="s">
        <v>1238</v>
      </c>
      <c r="H1485" s="24" t="s">
        <v>616</v>
      </c>
      <c r="I1485" s="24" t="s">
        <v>1492</v>
      </c>
      <c r="J1485" s="24" t="s">
        <v>761</v>
      </c>
      <c r="K1485" s="24" t="s">
        <v>1146</v>
      </c>
      <c r="L1485" s="25">
        <v>1070</v>
      </c>
      <c r="M1485" s="26">
        <v>5.14</v>
      </c>
      <c r="N1485" s="27">
        <v>5.14</v>
      </c>
      <c r="O1485" s="28">
        <v>4.6727272727272728E-3</v>
      </c>
      <c r="P1485" s="28">
        <v>4.8670796460176984</v>
      </c>
    </row>
    <row r="1486" spans="1:16" x14ac:dyDescent="0.3">
      <c r="A1486" t="s">
        <v>4380</v>
      </c>
      <c r="B1486" s="24">
        <v>102970</v>
      </c>
      <c r="C1486" s="24" t="s">
        <v>1494</v>
      </c>
      <c r="D1486" s="24" t="s">
        <v>1102</v>
      </c>
      <c r="E1486" s="24" t="s">
        <v>402</v>
      </c>
      <c r="F1486" s="24" t="s">
        <v>1237</v>
      </c>
      <c r="G1486" s="24" t="s">
        <v>1486</v>
      </c>
      <c r="H1486" s="24" t="s">
        <v>1495</v>
      </c>
      <c r="I1486" s="24" t="s">
        <v>1496</v>
      </c>
      <c r="J1486" s="24" t="s">
        <v>761</v>
      </c>
      <c r="K1486" s="24" t="s">
        <v>1146</v>
      </c>
      <c r="L1486" s="25">
        <v>1070</v>
      </c>
      <c r="M1486" s="26">
        <v>0</v>
      </c>
      <c r="N1486" s="27">
        <v>0</v>
      </c>
      <c r="O1486" s="28">
        <v>0</v>
      </c>
      <c r="P1486" s="28">
        <v>0</v>
      </c>
    </row>
    <row r="1487" spans="1:16" x14ac:dyDescent="0.3">
      <c r="A1487" t="s">
        <v>4381</v>
      </c>
      <c r="B1487" s="24">
        <v>108248</v>
      </c>
      <c r="C1487" s="24" t="s">
        <v>1497</v>
      </c>
      <c r="D1487" s="24" t="s">
        <v>1102</v>
      </c>
      <c r="E1487" s="24" t="s">
        <v>402</v>
      </c>
      <c r="F1487" s="24" t="s">
        <v>1237</v>
      </c>
      <c r="G1487" s="24" t="s">
        <v>1486</v>
      </c>
      <c r="H1487" s="24" t="s">
        <v>1495</v>
      </c>
      <c r="I1487" s="24" t="s">
        <v>1496</v>
      </c>
      <c r="J1487" s="24" t="s">
        <v>761</v>
      </c>
      <c r="K1487" s="24" t="s">
        <v>1146</v>
      </c>
      <c r="L1487" s="25">
        <v>1070</v>
      </c>
      <c r="M1487" s="26">
        <v>19.152999999999999</v>
      </c>
      <c r="N1487" s="27">
        <v>19.152999999999999</v>
      </c>
      <c r="O1487" s="28">
        <v>1.7411818181818181E-2</v>
      </c>
      <c r="P1487" s="28">
        <v>18.136026548672564</v>
      </c>
    </row>
    <row r="1488" spans="1:16" x14ac:dyDescent="0.3">
      <c r="A1488" t="s">
        <v>4382</v>
      </c>
      <c r="B1488" s="24">
        <v>102970</v>
      </c>
      <c r="C1488" s="24" t="s">
        <v>1494</v>
      </c>
      <c r="D1488" s="24" t="s">
        <v>1102</v>
      </c>
      <c r="E1488" s="24" t="s">
        <v>402</v>
      </c>
      <c r="F1488" s="24" t="s">
        <v>1237</v>
      </c>
      <c r="G1488" s="24" t="s">
        <v>1486</v>
      </c>
      <c r="H1488" s="24" t="s">
        <v>1498</v>
      </c>
      <c r="I1488" s="24" t="s">
        <v>1499</v>
      </c>
      <c r="J1488" s="24" t="s">
        <v>761</v>
      </c>
      <c r="K1488" s="24" t="s">
        <v>1146</v>
      </c>
      <c r="L1488" s="25">
        <v>1070</v>
      </c>
      <c r="M1488" s="26">
        <v>0</v>
      </c>
      <c r="N1488" s="27">
        <v>0</v>
      </c>
      <c r="O1488" s="28">
        <v>0</v>
      </c>
      <c r="P1488" s="28">
        <v>0</v>
      </c>
    </row>
    <row r="1489" spans="1:16" x14ac:dyDescent="0.3">
      <c r="A1489" t="s">
        <v>4383</v>
      </c>
      <c r="B1489" s="24">
        <v>108248</v>
      </c>
      <c r="C1489" s="24" t="s">
        <v>1497</v>
      </c>
      <c r="D1489" s="24" t="s">
        <v>1102</v>
      </c>
      <c r="E1489" s="24" t="s">
        <v>402</v>
      </c>
      <c r="F1489" s="24" t="s">
        <v>1237</v>
      </c>
      <c r="G1489" s="24" t="s">
        <v>1486</v>
      </c>
      <c r="H1489" s="24" t="s">
        <v>1498</v>
      </c>
      <c r="I1489" s="24" t="s">
        <v>1499</v>
      </c>
      <c r="J1489" s="24" t="s">
        <v>761</v>
      </c>
      <c r="K1489" s="24" t="s">
        <v>1146</v>
      </c>
      <c r="L1489" s="25">
        <v>1070</v>
      </c>
      <c r="M1489" s="26">
        <v>19.152999999999999</v>
      </c>
      <c r="N1489" s="27">
        <v>19.152999999999999</v>
      </c>
      <c r="O1489" s="28">
        <v>1.7411818181818181E-2</v>
      </c>
      <c r="P1489" s="28">
        <v>18.136026548672564</v>
      </c>
    </row>
    <row r="1490" spans="1:16" x14ac:dyDescent="0.3">
      <c r="A1490" t="s">
        <v>4384</v>
      </c>
      <c r="B1490" s="24">
        <v>102970</v>
      </c>
      <c r="C1490" s="24" t="s">
        <v>1494</v>
      </c>
      <c r="D1490" s="24" t="s">
        <v>1102</v>
      </c>
      <c r="E1490" s="24" t="s">
        <v>402</v>
      </c>
      <c r="F1490" s="24" t="s">
        <v>1237</v>
      </c>
      <c r="G1490" s="24" t="s">
        <v>1486</v>
      </c>
      <c r="H1490" s="24" t="s">
        <v>1500</v>
      </c>
      <c r="I1490" s="24" t="s">
        <v>1501</v>
      </c>
      <c r="J1490" s="24" t="s">
        <v>761</v>
      </c>
      <c r="K1490" s="24" t="s">
        <v>1146</v>
      </c>
      <c r="L1490" s="25">
        <v>1070</v>
      </c>
      <c r="M1490" s="26">
        <v>0</v>
      </c>
      <c r="N1490" s="27">
        <v>0</v>
      </c>
      <c r="O1490" s="28">
        <v>0</v>
      </c>
      <c r="P1490" s="28">
        <v>0</v>
      </c>
    </row>
    <row r="1491" spans="1:16" x14ac:dyDescent="0.3">
      <c r="A1491" t="s">
        <v>4385</v>
      </c>
      <c r="B1491" s="24">
        <v>108248</v>
      </c>
      <c r="C1491" s="24" t="s">
        <v>1497</v>
      </c>
      <c r="D1491" s="24" t="s">
        <v>1102</v>
      </c>
      <c r="E1491" s="24" t="s">
        <v>402</v>
      </c>
      <c r="F1491" s="24" t="s">
        <v>1237</v>
      </c>
      <c r="G1491" s="24" t="s">
        <v>1486</v>
      </c>
      <c r="H1491" s="24" t="s">
        <v>1500</v>
      </c>
      <c r="I1491" s="24" t="s">
        <v>1501</v>
      </c>
      <c r="J1491" s="24" t="s">
        <v>761</v>
      </c>
      <c r="K1491" s="24" t="s">
        <v>1146</v>
      </c>
      <c r="L1491" s="25">
        <v>1070</v>
      </c>
      <c r="M1491" s="26">
        <v>19.152999999999999</v>
      </c>
      <c r="N1491" s="27">
        <v>19.152999999999999</v>
      </c>
      <c r="O1491" s="28">
        <v>1.7411818181818181E-2</v>
      </c>
      <c r="P1491" s="28">
        <v>18.136026548672564</v>
      </c>
    </row>
    <row r="1492" spans="1:16" x14ac:dyDescent="0.3">
      <c r="A1492" t="s">
        <v>4386</v>
      </c>
      <c r="B1492" s="24">
        <v>102970</v>
      </c>
      <c r="C1492" s="24" t="s">
        <v>1494</v>
      </c>
      <c r="D1492" s="24" t="s">
        <v>1102</v>
      </c>
      <c r="E1492" s="24" t="s">
        <v>402</v>
      </c>
      <c r="F1492" s="24" t="s">
        <v>1237</v>
      </c>
      <c r="G1492" s="24" t="s">
        <v>1486</v>
      </c>
      <c r="H1492" s="24" t="s">
        <v>1502</v>
      </c>
      <c r="I1492" s="24" t="s">
        <v>1503</v>
      </c>
      <c r="J1492" s="24" t="s">
        <v>761</v>
      </c>
      <c r="K1492" s="24" t="s">
        <v>1146</v>
      </c>
      <c r="L1492" s="25">
        <v>1070</v>
      </c>
      <c r="M1492" s="26">
        <v>0</v>
      </c>
      <c r="N1492" s="27">
        <v>0</v>
      </c>
      <c r="O1492" s="28">
        <v>0</v>
      </c>
      <c r="P1492" s="28">
        <v>0</v>
      </c>
    </row>
    <row r="1493" spans="1:16" x14ac:dyDescent="0.3">
      <c r="A1493" t="s">
        <v>4387</v>
      </c>
      <c r="B1493" s="24">
        <v>108248</v>
      </c>
      <c r="C1493" s="24" t="s">
        <v>1497</v>
      </c>
      <c r="D1493" s="24" t="s">
        <v>1102</v>
      </c>
      <c r="E1493" s="24" t="s">
        <v>402</v>
      </c>
      <c r="F1493" s="24" t="s">
        <v>1237</v>
      </c>
      <c r="G1493" s="24" t="s">
        <v>1486</v>
      </c>
      <c r="H1493" s="24" t="s">
        <v>1502</v>
      </c>
      <c r="I1493" s="24" t="s">
        <v>1503</v>
      </c>
      <c r="J1493" s="24" t="s">
        <v>761</v>
      </c>
      <c r="K1493" s="24" t="s">
        <v>1146</v>
      </c>
      <c r="L1493" s="25">
        <v>1070</v>
      </c>
      <c r="M1493" s="26">
        <v>19.152999999999999</v>
      </c>
      <c r="N1493" s="27">
        <v>19.152999999999999</v>
      </c>
      <c r="O1493" s="28">
        <v>1.7411818181818181E-2</v>
      </c>
      <c r="P1493" s="28">
        <v>18.136026548672564</v>
      </c>
    </row>
    <row r="1494" spans="1:16" x14ac:dyDescent="0.3">
      <c r="A1494" t="s">
        <v>4388</v>
      </c>
      <c r="B1494" s="24">
        <v>102970</v>
      </c>
      <c r="C1494" s="24" t="s">
        <v>1494</v>
      </c>
      <c r="D1494" s="24" t="s">
        <v>1102</v>
      </c>
      <c r="E1494" s="24" t="s">
        <v>402</v>
      </c>
      <c r="F1494" s="24" t="s">
        <v>1237</v>
      </c>
      <c r="G1494" s="24" t="s">
        <v>1486</v>
      </c>
      <c r="H1494" s="24" t="s">
        <v>401</v>
      </c>
      <c r="I1494" s="24" t="s">
        <v>1504</v>
      </c>
      <c r="J1494" s="24" t="s">
        <v>761</v>
      </c>
      <c r="K1494" s="24" t="s">
        <v>1146</v>
      </c>
      <c r="L1494" s="25">
        <v>1070</v>
      </c>
      <c r="M1494" s="26">
        <v>0</v>
      </c>
      <c r="N1494" s="27">
        <v>0</v>
      </c>
      <c r="O1494" s="28">
        <v>0</v>
      </c>
      <c r="P1494" s="28">
        <v>0</v>
      </c>
    </row>
    <row r="1495" spans="1:16" x14ac:dyDescent="0.3">
      <c r="A1495" t="s">
        <v>4389</v>
      </c>
      <c r="B1495" s="24">
        <v>108248</v>
      </c>
      <c r="C1495" s="24" t="s">
        <v>1497</v>
      </c>
      <c r="D1495" s="24" t="s">
        <v>1102</v>
      </c>
      <c r="E1495" s="24" t="s">
        <v>402</v>
      </c>
      <c r="F1495" s="24" t="s">
        <v>1237</v>
      </c>
      <c r="G1495" s="24" t="s">
        <v>1486</v>
      </c>
      <c r="H1495" s="24" t="s">
        <v>401</v>
      </c>
      <c r="I1495" s="24" t="s">
        <v>1504</v>
      </c>
      <c r="J1495" s="24" t="s">
        <v>761</v>
      </c>
      <c r="K1495" s="24" t="s">
        <v>1146</v>
      </c>
      <c r="L1495" s="25">
        <v>1070</v>
      </c>
      <c r="M1495" s="26">
        <v>19.152999999999999</v>
      </c>
      <c r="N1495" s="27">
        <v>19.152999999999999</v>
      </c>
      <c r="O1495" s="28">
        <v>1.7411818181818181E-2</v>
      </c>
      <c r="P1495" s="28">
        <v>18.136026548672564</v>
      </c>
    </row>
    <row r="1496" spans="1:16" x14ac:dyDescent="0.3">
      <c r="A1496" t="s">
        <v>4390</v>
      </c>
      <c r="B1496" s="24">
        <v>107603</v>
      </c>
      <c r="C1496" s="24" t="s">
        <v>1241</v>
      </c>
      <c r="D1496" s="24" t="s">
        <v>1102</v>
      </c>
      <c r="E1496" s="24" t="s">
        <v>402</v>
      </c>
      <c r="F1496" s="24" t="s">
        <v>1142</v>
      </c>
      <c r="G1496" s="24" t="s">
        <v>1200</v>
      </c>
      <c r="H1496" s="24" t="s">
        <v>630</v>
      </c>
      <c r="I1496" s="24" t="s">
        <v>1505</v>
      </c>
      <c r="J1496" s="24" t="s">
        <v>761</v>
      </c>
      <c r="K1496" s="24" t="s">
        <v>1146</v>
      </c>
      <c r="L1496" s="25">
        <v>1070</v>
      </c>
      <c r="M1496" s="26">
        <v>18.899999999999999</v>
      </c>
      <c r="N1496" s="27">
        <v>18.899999999999999</v>
      </c>
      <c r="O1496" s="28">
        <v>1.718181818181818E-2</v>
      </c>
      <c r="P1496" s="28">
        <v>17.896460176991152</v>
      </c>
    </row>
    <row r="1497" spans="1:16" x14ac:dyDescent="0.3">
      <c r="A1497" t="s">
        <v>4391</v>
      </c>
      <c r="B1497" s="24">
        <v>100581</v>
      </c>
      <c r="C1497" s="24" t="s">
        <v>1232</v>
      </c>
      <c r="D1497" s="24" t="s">
        <v>1102</v>
      </c>
      <c r="E1497" s="24" t="s">
        <v>402</v>
      </c>
      <c r="F1497" s="24" t="s">
        <v>1142</v>
      </c>
      <c r="G1497" s="24" t="s">
        <v>1233</v>
      </c>
      <c r="H1497" s="24" t="s">
        <v>1506</v>
      </c>
      <c r="I1497" s="24" t="s">
        <v>1507</v>
      </c>
      <c r="J1497" s="24" t="s">
        <v>761</v>
      </c>
      <c r="K1497" s="24" t="s">
        <v>1146</v>
      </c>
      <c r="L1497" s="25">
        <v>1070</v>
      </c>
      <c r="M1497" s="26">
        <v>9.65</v>
      </c>
      <c r="N1497" s="27">
        <v>9.65</v>
      </c>
      <c r="O1497" s="28">
        <v>8.7727272727272723E-3</v>
      </c>
      <c r="P1497" s="28">
        <v>9.1376106194690259</v>
      </c>
    </row>
    <row r="1498" spans="1:16" x14ac:dyDescent="0.3">
      <c r="A1498" t="s">
        <v>4392</v>
      </c>
      <c r="B1498" s="24">
        <v>101186</v>
      </c>
      <c r="C1498" s="24" t="s">
        <v>1273</v>
      </c>
      <c r="D1498" s="24" t="s">
        <v>1102</v>
      </c>
      <c r="E1498" s="24" t="s">
        <v>402</v>
      </c>
      <c r="F1498" s="24" t="s">
        <v>1142</v>
      </c>
      <c r="G1498" s="24" t="s">
        <v>1203</v>
      </c>
      <c r="H1498" s="24" t="s">
        <v>1506</v>
      </c>
      <c r="I1498" s="24" t="s">
        <v>1507</v>
      </c>
      <c r="J1498" s="24" t="s">
        <v>761</v>
      </c>
      <c r="K1498" s="24" t="s">
        <v>1146</v>
      </c>
      <c r="L1498" s="25">
        <v>1070</v>
      </c>
      <c r="M1498" s="26">
        <v>8.35</v>
      </c>
      <c r="N1498" s="27">
        <v>8.35</v>
      </c>
      <c r="O1498" s="28">
        <v>7.5909090909090909E-3</v>
      </c>
      <c r="P1498" s="28">
        <v>7.906637168141593</v>
      </c>
    </row>
    <row r="1499" spans="1:16" x14ac:dyDescent="0.3">
      <c r="A1499" t="s">
        <v>4393</v>
      </c>
      <c r="B1499" s="24">
        <v>101184</v>
      </c>
      <c r="C1499" s="24" t="s">
        <v>1401</v>
      </c>
      <c r="D1499" s="24" t="s">
        <v>1102</v>
      </c>
      <c r="E1499" s="24" t="s">
        <v>402</v>
      </c>
      <c r="F1499" s="24" t="s">
        <v>1142</v>
      </c>
      <c r="G1499" s="24" t="s">
        <v>1402</v>
      </c>
      <c r="H1499" s="24" t="s">
        <v>620</v>
      </c>
      <c r="I1499" s="24" t="s">
        <v>1508</v>
      </c>
      <c r="J1499" s="24" t="s">
        <v>761</v>
      </c>
      <c r="K1499" s="24" t="s">
        <v>1146</v>
      </c>
      <c r="L1499" s="25">
        <v>1070</v>
      </c>
      <c r="M1499" s="26">
        <v>9.41</v>
      </c>
      <c r="N1499" s="27">
        <v>9.41</v>
      </c>
      <c r="O1499" s="28">
        <v>8.5545454545454553E-3</v>
      </c>
      <c r="P1499" s="28">
        <v>8.9103539823008848</v>
      </c>
    </row>
    <row r="1500" spans="1:16" x14ac:dyDescent="0.3">
      <c r="A1500" t="s">
        <v>4394</v>
      </c>
      <c r="B1500" s="24">
        <v>100603</v>
      </c>
      <c r="C1500" s="24" t="s">
        <v>1277</v>
      </c>
      <c r="D1500" s="24" t="s">
        <v>1102</v>
      </c>
      <c r="E1500" s="24" t="s">
        <v>402</v>
      </c>
      <c r="F1500" s="24" t="s">
        <v>1142</v>
      </c>
      <c r="G1500" s="24" t="s">
        <v>1082</v>
      </c>
      <c r="H1500" s="24" t="s">
        <v>621</v>
      </c>
      <c r="I1500" s="24" t="s">
        <v>1509</v>
      </c>
      <c r="J1500" s="24" t="s">
        <v>761</v>
      </c>
      <c r="K1500" s="24" t="s">
        <v>1146</v>
      </c>
      <c r="L1500" s="25">
        <v>1070</v>
      </c>
      <c r="M1500" s="26">
        <v>11.15</v>
      </c>
      <c r="N1500" s="27">
        <v>11.15</v>
      </c>
      <c r="O1500" s="28">
        <v>1.0136363636363636E-2</v>
      </c>
      <c r="P1500" s="28">
        <v>10.557964601769912</v>
      </c>
    </row>
    <row r="1501" spans="1:16" x14ac:dyDescent="0.3">
      <c r="A1501" t="s">
        <v>4395</v>
      </c>
      <c r="B1501" s="24">
        <v>101424</v>
      </c>
      <c r="C1501" s="24" t="s">
        <v>1278</v>
      </c>
      <c r="D1501" s="24" t="s">
        <v>1102</v>
      </c>
      <c r="E1501" s="24" t="s">
        <v>402</v>
      </c>
      <c r="F1501" s="24" t="s">
        <v>1142</v>
      </c>
      <c r="G1501" s="24" t="s">
        <v>1203</v>
      </c>
      <c r="H1501" s="24" t="s">
        <v>621</v>
      </c>
      <c r="I1501" s="24" t="s">
        <v>1509</v>
      </c>
      <c r="J1501" s="24" t="s">
        <v>761</v>
      </c>
      <c r="K1501" s="24" t="s">
        <v>1146</v>
      </c>
      <c r="L1501" s="25">
        <v>1070</v>
      </c>
      <c r="M1501" s="26">
        <v>11.15</v>
      </c>
      <c r="N1501" s="27">
        <v>11.15</v>
      </c>
      <c r="O1501" s="28">
        <v>1.0136363636363636E-2</v>
      </c>
      <c r="P1501" s="28">
        <v>10.557964601769912</v>
      </c>
    </row>
    <row r="1502" spans="1:16" x14ac:dyDescent="0.3">
      <c r="A1502" t="s">
        <v>4396</v>
      </c>
      <c r="B1502" s="24">
        <v>101424</v>
      </c>
      <c r="C1502" s="24" t="s">
        <v>1278</v>
      </c>
      <c r="D1502" s="24" t="s">
        <v>1102</v>
      </c>
      <c r="E1502" s="24" t="s">
        <v>402</v>
      </c>
      <c r="F1502" s="24" t="s">
        <v>1142</v>
      </c>
      <c r="G1502" s="24" t="s">
        <v>1203</v>
      </c>
      <c r="H1502" s="24" t="s">
        <v>622</v>
      </c>
      <c r="I1502" s="24" t="s">
        <v>1510</v>
      </c>
      <c r="J1502" s="24" t="s">
        <v>761</v>
      </c>
      <c r="K1502" s="24" t="s">
        <v>1146</v>
      </c>
      <c r="L1502" s="25">
        <v>1070</v>
      </c>
      <c r="M1502" s="26">
        <v>9.41</v>
      </c>
      <c r="N1502" s="27">
        <v>9.41</v>
      </c>
      <c r="O1502" s="28">
        <v>8.5545454545454553E-3</v>
      </c>
      <c r="P1502" s="28">
        <v>8.9103539823008848</v>
      </c>
    </row>
    <row r="1503" spans="1:16" x14ac:dyDescent="0.3">
      <c r="A1503" t="s">
        <v>4397</v>
      </c>
      <c r="B1503" s="24">
        <v>100581</v>
      </c>
      <c r="C1503" s="24" t="s">
        <v>1232</v>
      </c>
      <c r="D1503" s="24" t="s">
        <v>1102</v>
      </c>
      <c r="E1503" s="24" t="s">
        <v>402</v>
      </c>
      <c r="F1503" s="24" t="s">
        <v>1142</v>
      </c>
      <c r="G1503" s="24" t="s">
        <v>1233</v>
      </c>
      <c r="H1503" s="24" t="s">
        <v>623</v>
      </c>
      <c r="I1503" s="24" t="s">
        <v>1511</v>
      </c>
      <c r="J1503" s="24" t="s">
        <v>761</v>
      </c>
      <c r="K1503" s="24" t="s">
        <v>1146</v>
      </c>
      <c r="L1503" s="25">
        <v>1070</v>
      </c>
      <c r="M1503" s="26">
        <v>9.65</v>
      </c>
      <c r="N1503" s="27">
        <v>9.65</v>
      </c>
      <c r="O1503" s="28">
        <v>8.7727272727272723E-3</v>
      </c>
      <c r="P1503" s="28">
        <v>9.1376106194690259</v>
      </c>
    </row>
    <row r="1504" spans="1:16" x14ac:dyDescent="0.3">
      <c r="A1504" t="s">
        <v>4398</v>
      </c>
      <c r="B1504" s="24">
        <v>101424</v>
      </c>
      <c r="C1504" s="24" t="s">
        <v>1278</v>
      </c>
      <c r="D1504" s="24" t="s">
        <v>1102</v>
      </c>
      <c r="E1504" s="24" t="s">
        <v>402</v>
      </c>
      <c r="F1504" s="24" t="s">
        <v>1142</v>
      </c>
      <c r="G1504" s="24" t="s">
        <v>1203</v>
      </c>
      <c r="H1504" s="24" t="s">
        <v>623</v>
      </c>
      <c r="I1504" s="24" t="s">
        <v>1511</v>
      </c>
      <c r="J1504" s="24" t="s">
        <v>761</v>
      </c>
      <c r="K1504" s="24" t="s">
        <v>1146</v>
      </c>
      <c r="L1504" s="25">
        <v>1070</v>
      </c>
      <c r="M1504" s="26">
        <v>9.65</v>
      </c>
      <c r="N1504" s="27">
        <v>9.65</v>
      </c>
      <c r="O1504" s="28">
        <v>8.7727272727272723E-3</v>
      </c>
      <c r="P1504" s="28">
        <v>9.1376106194690259</v>
      </c>
    </row>
    <row r="1505" spans="1:16" x14ac:dyDescent="0.3">
      <c r="A1505" t="s">
        <v>4399</v>
      </c>
      <c r="B1505" s="24">
        <v>142412</v>
      </c>
      <c r="C1505" s="24" t="s">
        <v>1512</v>
      </c>
      <c r="D1505" s="24" t="s">
        <v>1102</v>
      </c>
      <c r="E1505" s="24" t="s">
        <v>402</v>
      </c>
      <c r="F1505" s="24" t="s">
        <v>1237</v>
      </c>
      <c r="G1505" s="24" t="s">
        <v>1238</v>
      </c>
      <c r="H1505" s="24" t="s">
        <v>577</v>
      </c>
      <c r="I1505" s="24" t="s">
        <v>1240</v>
      </c>
      <c r="J1505" s="24" t="s">
        <v>761</v>
      </c>
      <c r="K1505" s="24" t="s">
        <v>1146</v>
      </c>
      <c r="L1505" s="25">
        <v>1070</v>
      </c>
      <c r="M1505" s="26">
        <v>10.7</v>
      </c>
      <c r="N1505" s="27">
        <v>10.7</v>
      </c>
      <c r="O1505" s="28">
        <v>9.7272727272727268E-3</v>
      </c>
      <c r="P1505" s="28">
        <v>10.131858407079646</v>
      </c>
    </row>
    <row r="1506" spans="1:16" x14ac:dyDescent="0.3">
      <c r="A1506" t="s">
        <v>4400</v>
      </c>
      <c r="B1506" s="24">
        <v>300015</v>
      </c>
      <c r="C1506" s="24" t="s">
        <v>1236</v>
      </c>
      <c r="D1506" s="24" t="s">
        <v>1102</v>
      </c>
      <c r="E1506" s="24" t="s">
        <v>402</v>
      </c>
      <c r="F1506" s="24" t="s">
        <v>1237</v>
      </c>
      <c r="G1506" s="24" t="s">
        <v>1238</v>
      </c>
      <c r="H1506" s="24" t="s">
        <v>577</v>
      </c>
      <c r="I1506" s="24" t="s">
        <v>1240</v>
      </c>
      <c r="J1506" s="24" t="s">
        <v>761</v>
      </c>
      <c r="K1506" s="24" t="s">
        <v>1146</v>
      </c>
      <c r="L1506" s="25">
        <v>1070</v>
      </c>
      <c r="M1506" s="26">
        <v>10.96</v>
      </c>
      <c r="N1506" s="27">
        <v>10.96</v>
      </c>
      <c r="O1506" s="28">
        <v>9.9636363636363637E-3</v>
      </c>
      <c r="P1506" s="28">
        <v>10.378053097345134</v>
      </c>
    </row>
    <row r="1507" spans="1:16" x14ac:dyDescent="0.3">
      <c r="A1507" t="s">
        <v>4401</v>
      </c>
      <c r="B1507" s="24">
        <v>111844</v>
      </c>
      <c r="C1507" s="24" t="s">
        <v>1398</v>
      </c>
      <c r="D1507" s="24" t="s">
        <v>1102</v>
      </c>
      <c r="E1507" s="24" t="s">
        <v>402</v>
      </c>
      <c r="F1507" s="24" t="s">
        <v>1142</v>
      </c>
      <c r="G1507" s="24" t="s">
        <v>1399</v>
      </c>
      <c r="H1507" s="24" t="s">
        <v>578</v>
      </c>
      <c r="I1507" s="24" t="s">
        <v>1513</v>
      </c>
      <c r="J1507" s="24" t="s">
        <v>761</v>
      </c>
      <c r="K1507" s="24" t="s">
        <v>1146</v>
      </c>
      <c r="L1507" s="25">
        <v>1070</v>
      </c>
      <c r="M1507" s="26">
        <v>8.85</v>
      </c>
      <c r="N1507" s="27">
        <v>8.85</v>
      </c>
      <c r="O1507" s="28">
        <v>8.0454545454545449E-3</v>
      </c>
      <c r="P1507" s="28">
        <v>8.3800884955752206</v>
      </c>
    </row>
    <row r="1508" spans="1:16" x14ac:dyDescent="0.3">
      <c r="A1508" t="s">
        <v>4402</v>
      </c>
      <c r="B1508" s="24">
        <v>100603</v>
      </c>
      <c r="C1508" s="24" t="s">
        <v>1277</v>
      </c>
      <c r="D1508" s="24" t="s">
        <v>1102</v>
      </c>
      <c r="E1508" s="24" t="s">
        <v>402</v>
      </c>
      <c r="F1508" s="24" t="s">
        <v>1142</v>
      </c>
      <c r="G1508" s="24" t="s">
        <v>1082</v>
      </c>
      <c r="H1508" s="24" t="s">
        <v>618</v>
      </c>
      <c r="I1508" s="24" t="s">
        <v>1514</v>
      </c>
      <c r="J1508" s="24" t="s">
        <v>761</v>
      </c>
      <c r="K1508" s="24" t="s">
        <v>1146</v>
      </c>
      <c r="L1508" s="25">
        <v>1070</v>
      </c>
      <c r="M1508" s="26">
        <v>6.31</v>
      </c>
      <c r="N1508" s="27">
        <v>6.31</v>
      </c>
      <c r="O1508" s="28">
        <v>5.7363636363636358E-3</v>
      </c>
      <c r="P1508" s="28">
        <v>5.9749557522123888</v>
      </c>
    </row>
    <row r="1509" spans="1:16" x14ac:dyDescent="0.3">
      <c r="A1509" t="s">
        <v>4403</v>
      </c>
      <c r="B1509" s="24">
        <v>101184</v>
      </c>
      <c r="C1509" s="24" t="s">
        <v>1401</v>
      </c>
      <c r="D1509" s="24" t="s">
        <v>1102</v>
      </c>
      <c r="E1509" s="24" t="s">
        <v>402</v>
      </c>
      <c r="F1509" s="24" t="s">
        <v>1142</v>
      </c>
      <c r="G1509" s="24" t="s">
        <v>1402</v>
      </c>
      <c r="H1509" s="24" t="s">
        <v>618</v>
      </c>
      <c r="I1509" s="24" t="s">
        <v>1514</v>
      </c>
      <c r="J1509" s="24" t="s">
        <v>761</v>
      </c>
      <c r="K1509" s="24" t="s">
        <v>1146</v>
      </c>
      <c r="L1509" s="25">
        <v>1070</v>
      </c>
      <c r="M1509" s="26">
        <v>6.31</v>
      </c>
      <c r="N1509" s="27">
        <v>6.31</v>
      </c>
      <c r="O1509" s="28">
        <v>5.7363636363636358E-3</v>
      </c>
      <c r="P1509" s="28">
        <v>5.9749557522123888</v>
      </c>
    </row>
    <row r="1510" spans="1:16" x14ac:dyDescent="0.3">
      <c r="A1510" t="s">
        <v>4404</v>
      </c>
      <c r="B1510" s="24">
        <v>101186</v>
      </c>
      <c r="C1510" s="24" t="s">
        <v>1273</v>
      </c>
      <c r="D1510" s="24" t="s">
        <v>1102</v>
      </c>
      <c r="E1510" s="24" t="s">
        <v>402</v>
      </c>
      <c r="F1510" s="24" t="s">
        <v>1142</v>
      </c>
      <c r="G1510" s="24" t="s">
        <v>1203</v>
      </c>
      <c r="H1510" s="24" t="s">
        <v>618</v>
      </c>
      <c r="I1510" s="24" t="s">
        <v>1514</v>
      </c>
      <c r="J1510" s="24" t="s">
        <v>761</v>
      </c>
      <c r="K1510" s="24" t="s">
        <v>1146</v>
      </c>
      <c r="L1510" s="25">
        <v>1070</v>
      </c>
      <c r="M1510" s="26">
        <v>6.31</v>
      </c>
      <c r="N1510" s="27">
        <v>6.31</v>
      </c>
      <c r="O1510" s="28">
        <v>5.7363636363636358E-3</v>
      </c>
      <c r="P1510" s="28">
        <v>5.9749557522123888</v>
      </c>
    </row>
    <row r="1511" spans="1:16" x14ac:dyDescent="0.3">
      <c r="A1511" t="s">
        <v>4405</v>
      </c>
      <c r="B1511" s="24">
        <v>114501</v>
      </c>
      <c r="C1511" s="24" t="s">
        <v>1409</v>
      </c>
      <c r="D1511" s="24" t="s">
        <v>1102</v>
      </c>
      <c r="E1511" s="24" t="s">
        <v>402</v>
      </c>
      <c r="F1511" s="24" t="s">
        <v>1142</v>
      </c>
      <c r="G1511" s="24" t="s">
        <v>1402</v>
      </c>
      <c r="H1511" s="24" t="s">
        <v>618</v>
      </c>
      <c r="I1511" s="24" t="s">
        <v>1514</v>
      </c>
      <c r="J1511" s="24" t="s">
        <v>761</v>
      </c>
      <c r="K1511" s="24" t="s">
        <v>1146</v>
      </c>
      <c r="L1511" s="25">
        <v>1070</v>
      </c>
      <c r="M1511" s="26">
        <v>6.31</v>
      </c>
      <c r="N1511" s="27">
        <v>6.31</v>
      </c>
      <c r="O1511" s="28">
        <v>5.7363636363636358E-3</v>
      </c>
      <c r="P1511" s="28">
        <v>5.9749557522123888</v>
      </c>
    </row>
    <row r="1512" spans="1:16" x14ac:dyDescent="0.3">
      <c r="A1512" t="s">
        <v>4406</v>
      </c>
      <c r="B1512" s="24">
        <v>142310</v>
      </c>
      <c r="C1512" s="24" t="s">
        <v>1474</v>
      </c>
      <c r="D1512" s="24" t="s">
        <v>1102</v>
      </c>
      <c r="E1512" s="24" t="s">
        <v>402</v>
      </c>
      <c r="F1512" s="24" t="s">
        <v>1142</v>
      </c>
      <c r="G1512" s="24" t="s">
        <v>1402</v>
      </c>
      <c r="H1512" s="24" t="s">
        <v>618</v>
      </c>
      <c r="I1512" s="24" t="s">
        <v>1514</v>
      </c>
      <c r="J1512" s="24" t="s">
        <v>761</v>
      </c>
      <c r="K1512" s="24" t="s">
        <v>1146</v>
      </c>
      <c r="L1512" s="25">
        <v>1070</v>
      </c>
      <c r="M1512" s="26">
        <v>6.31</v>
      </c>
      <c r="N1512" s="27">
        <v>6.31</v>
      </c>
      <c r="O1512" s="28">
        <v>5.7363636363636358E-3</v>
      </c>
      <c r="P1512" s="28">
        <v>5.9749557522123888</v>
      </c>
    </row>
    <row r="1513" spans="1:16" x14ac:dyDescent="0.3">
      <c r="A1513" t="s">
        <v>4407</v>
      </c>
      <c r="B1513" s="24">
        <v>101184</v>
      </c>
      <c r="C1513" s="24" t="s">
        <v>1401</v>
      </c>
      <c r="D1513" s="24" t="s">
        <v>1102</v>
      </c>
      <c r="E1513" s="24" t="s">
        <v>402</v>
      </c>
      <c r="F1513" s="24" t="s">
        <v>1142</v>
      </c>
      <c r="G1513" s="24" t="s">
        <v>1402</v>
      </c>
      <c r="H1513" s="24" t="s">
        <v>624</v>
      </c>
      <c r="I1513" s="24" t="s">
        <v>1515</v>
      </c>
      <c r="J1513" s="24" t="s">
        <v>761</v>
      </c>
      <c r="K1513" s="24" t="s">
        <v>1146</v>
      </c>
      <c r="L1513" s="25">
        <v>1070</v>
      </c>
      <c r="M1513" s="26">
        <v>9.26</v>
      </c>
      <c r="N1513" s="27">
        <v>9.26</v>
      </c>
      <c r="O1513" s="28">
        <v>8.4181818181818177E-3</v>
      </c>
      <c r="P1513" s="28">
        <v>8.768318584070796</v>
      </c>
    </row>
    <row r="1514" spans="1:16" x14ac:dyDescent="0.3">
      <c r="A1514" t="s">
        <v>4408</v>
      </c>
      <c r="B1514" s="24">
        <v>100702</v>
      </c>
      <c r="C1514" s="24" t="s">
        <v>1357</v>
      </c>
      <c r="D1514" s="24" t="s">
        <v>1102</v>
      </c>
      <c r="E1514" s="24" t="s">
        <v>632</v>
      </c>
      <c r="F1514" s="24" t="s">
        <v>1142</v>
      </c>
      <c r="G1514" s="24" t="s">
        <v>1200</v>
      </c>
      <c r="H1514" s="24" t="s">
        <v>631</v>
      </c>
      <c r="I1514" s="24" t="s">
        <v>1516</v>
      </c>
      <c r="J1514" s="24" t="s">
        <v>761</v>
      </c>
      <c r="K1514" s="24" t="s">
        <v>1352</v>
      </c>
      <c r="L1514" s="25">
        <v>1</v>
      </c>
      <c r="M1514" s="26">
        <v>5400</v>
      </c>
      <c r="N1514" s="27">
        <v>4.9090909090909092</v>
      </c>
      <c r="O1514" s="28">
        <v>4.9090909090909092</v>
      </c>
      <c r="P1514" s="28">
        <v>4.778761061946903</v>
      </c>
    </row>
    <row r="1515" spans="1:16" x14ac:dyDescent="0.3">
      <c r="A1515" t="s">
        <v>4409</v>
      </c>
      <c r="B1515" s="24">
        <v>100335</v>
      </c>
      <c r="C1515" s="24" t="s">
        <v>1517</v>
      </c>
      <c r="D1515" s="24" t="s">
        <v>1102</v>
      </c>
      <c r="E1515" s="24" t="s">
        <v>632</v>
      </c>
      <c r="F1515" s="24" t="s">
        <v>1142</v>
      </c>
      <c r="G1515" s="24" t="s">
        <v>1200</v>
      </c>
      <c r="H1515" s="24" t="s">
        <v>633</v>
      </c>
      <c r="I1515" s="24" t="s">
        <v>1516</v>
      </c>
      <c r="J1515" s="24" t="s">
        <v>761</v>
      </c>
      <c r="K1515" s="24" t="s">
        <v>1146</v>
      </c>
      <c r="L1515" s="25">
        <v>1070</v>
      </c>
      <c r="M1515" s="26">
        <v>4.93</v>
      </c>
      <c r="N1515" s="27">
        <v>4.93</v>
      </c>
      <c r="O1515" s="28">
        <v>4.4818181818181814E-3</v>
      </c>
      <c r="P1515" s="28">
        <v>4.6682300884955747</v>
      </c>
    </row>
    <row r="1516" spans="1:16" x14ac:dyDescent="0.3">
      <c r="A1516" t="s">
        <v>4410</v>
      </c>
      <c r="B1516" s="24">
        <v>100702</v>
      </c>
      <c r="C1516" s="24" t="s">
        <v>1357</v>
      </c>
      <c r="D1516" s="24" t="s">
        <v>1102</v>
      </c>
      <c r="E1516" s="24" t="s">
        <v>632</v>
      </c>
      <c r="F1516" s="24" t="s">
        <v>1142</v>
      </c>
      <c r="G1516" s="24" t="s">
        <v>1200</v>
      </c>
      <c r="H1516" s="24" t="s">
        <v>634</v>
      </c>
      <c r="I1516" s="24" t="s">
        <v>1518</v>
      </c>
      <c r="J1516" s="24" t="s">
        <v>761</v>
      </c>
      <c r="K1516" s="24" t="s">
        <v>1352</v>
      </c>
      <c r="L1516" s="25">
        <v>1</v>
      </c>
      <c r="M1516" s="26">
        <v>6370</v>
      </c>
      <c r="N1516" s="27">
        <v>5.790909090909091</v>
      </c>
      <c r="O1516" s="28">
        <v>5.790909090909091</v>
      </c>
      <c r="P1516" s="28">
        <v>5.6371681415929205</v>
      </c>
    </row>
    <row r="1517" spans="1:16" x14ac:dyDescent="0.3">
      <c r="A1517" t="s">
        <v>4411</v>
      </c>
      <c r="B1517" s="24">
        <v>300009</v>
      </c>
      <c r="C1517" s="24" t="s">
        <v>1519</v>
      </c>
      <c r="D1517" s="24" t="s">
        <v>1102</v>
      </c>
      <c r="E1517" s="24" t="s">
        <v>632</v>
      </c>
      <c r="F1517" s="24" t="s">
        <v>1142</v>
      </c>
      <c r="G1517" s="24" t="s">
        <v>1200</v>
      </c>
      <c r="H1517" s="24" t="s">
        <v>634</v>
      </c>
      <c r="I1517" s="24" t="s">
        <v>1518</v>
      </c>
      <c r="J1517" s="24" t="s">
        <v>761</v>
      </c>
      <c r="K1517" s="24" t="s">
        <v>1352</v>
      </c>
      <c r="L1517" s="25">
        <v>1</v>
      </c>
      <c r="M1517" s="26">
        <v>6370</v>
      </c>
      <c r="N1517" s="27">
        <v>5.790909090909091</v>
      </c>
      <c r="O1517" s="28">
        <v>5.790909090909091</v>
      </c>
      <c r="P1517" s="28">
        <v>5.6371681415929205</v>
      </c>
    </row>
    <row r="1518" spans="1:16" x14ac:dyDescent="0.3">
      <c r="A1518" t="s">
        <v>4412</v>
      </c>
      <c r="B1518" s="24">
        <v>100702</v>
      </c>
      <c r="C1518" s="24" t="s">
        <v>1357</v>
      </c>
      <c r="D1518" s="24" t="s">
        <v>1102</v>
      </c>
      <c r="E1518" s="24" t="s">
        <v>632</v>
      </c>
      <c r="F1518" s="24" t="s">
        <v>1142</v>
      </c>
      <c r="G1518" s="24" t="s">
        <v>1200</v>
      </c>
      <c r="H1518" s="24" t="s">
        <v>635</v>
      </c>
      <c r="I1518" s="24" t="s">
        <v>1520</v>
      </c>
      <c r="J1518" s="24" t="s">
        <v>761</v>
      </c>
      <c r="K1518" s="24" t="s">
        <v>1352</v>
      </c>
      <c r="L1518" s="25">
        <v>1</v>
      </c>
      <c r="M1518" s="26">
        <v>6370</v>
      </c>
      <c r="N1518" s="27">
        <v>5.790909090909091</v>
      </c>
      <c r="O1518" s="28">
        <v>5.790909090909091</v>
      </c>
      <c r="P1518" s="28">
        <v>5.6371681415929205</v>
      </c>
    </row>
    <row r="1519" spans="1:16" x14ac:dyDescent="0.3">
      <c r="A1519" t="s">
        <v>4413</v>
      </c>
      <c r="B1519" s="24">
        <v>300013</v>
      </c>
      <c r="C1519" s="24" t="s">
        <v>1521</v>
      </c>
      <c r="D1519" s="24" t="s">
        <v>1102</v>
      </c>
      <c r="E1519" s="24" t="s">
        <v>632</v>
      </c>
      <c r="F1519" s="24" t="s">
        <v>1142</v>
      </c>
      <c r="G1519" s="24" t="s">
        <v>1200</v>
      </c>
      <c r="H1519" s="24" t="s">
        <v>635</v>
      </c>
      <c r="I1519" s="24" t="s">
        <v>1520</v>
      </c>
      <c r="J1519" s="24" t="s">
        <v>761</v>
      </c>
      <c r="K1519" s="24" t="s">
        <v>1352</v>
      </c>
      <c r="L1519" s="25">
        <v>1</v>
      </c>
      <c r="M1519" s="26">
        <v>7400</v>
      </c>
      <c r="N1519" s="27">
        <v>6.7272727272727275</v>
      </c>
      <c r="O1519" s="28">
        <v>6.7272727272727275</v>
      </c>
      <c r="P1519" s="28">
        <v>6.5486725663716818</v>
      </c>
    </row>
    <row r="1520" spans="1:16" x14ac:dyDescent="0.3">
      <c r="A1520" t="s">
        <v>4414</v>
      </c>
      <c r="B1520" s="24">
        <v>100702</v>
      </c>
      <c r="C1520" s="24" t="s">
        <v>1357</v>
      </c>
      <c r="D1520" s="24" t="s">
        <v>1102</v>
      </c>
      <c r="E1520" s="24" t="s">
        <v>632</v>
      </c>
      <c r="F1520" s="24" t="s">
        <v>1142</v>
      </c>
      <c r="G1520" s="24" t="s">
        <v>1200</v>
      </c>
      <c r="H1520" s="24" t="s">
        <v>636</v>
      </c>
      <c r="I1520" s="24" t="s">
        <v>1522</v>
      </c>
      <c r="J1520" s="24" t="s">
        <v>761</v>
      </c>
      <c r="K1520" s="24" t="s">
        <v>1352</v>
      </c>
      <c r="L1520" s="25">
        <v>1</v>
      </c>
      <c r="M1520" s="26">
        <v>6370</v>
      </c>
      <c r="N1520" s="27">
        <v>5.790909090909091</v>
      </c>
      <c r="O1520" s="28">
        <v>5.790909090909091</v>
      </c>
      <c r="P1520" s="28">
        <v>5.6371681415929205</v>
      </c>
    </row>
    <row r="1521" spans="1:16" x14ac:dyDescent="0.3">
      <c r="A1521" t="s">
        <v>4415</v>
      </c>
      <c r="B1521" s="24">
        <v>300013</v>
      </c>
      <c r="C1521" s="24" t="s">
        <v>1521</v>
      </c>
      <c r="D1521" s="24" t="s">
        <v>1102</v>
      </c>
      <c r="E1521" s="24" t="s">
        <v>632</v>
      </c>
      <c r="F1521" s="24" t="s">
        <v>1142</v>
      </c>
      <c r="G1521" s="24" t="s">
        <v>1200</v>
      </c>
      <c r="H1521" s="24" t="s">
        <v>636</v>
      </c>
      <c r="I1521" s="24" t="s">
        <v>1522</v>
      </c>
      <c r="J1521" s="24" t="s">
        <v>761</v>
      </c>
      <c r="K1521" s="24" t="s">
        <v>1352</v>
      </c>
      <c r="L1521" s="25">
        <v>1</v>
      </c>
      <c r="M1521" s="26">
        <v>7400</v>
      </c>
      <c r="N1521" s="27">
        <v>6.7272727272727275</v>
      </c>
      <c r="O1521" s="28">
        <v>6.7272727272727275</v>
      </c>
      <c r="P1521" s="28">
        <v>6.5486725663716818</v>
      </c>
    </row>
    <row r="1522" spans="1:16" x14ac:dyDescent="0.3">
      <c r="A1522" t="s">
        <v>4416</v>
      </c>
      <c r="B1522" s="24">
        <v>100702</v>
      </c>
      <c r="C1522" s="24" t="s">
        <v>1357</v>
      </c>
      <c r="D1522" s="24" t="s">
        <v>1102</v>
      </c>
      <c r="E1522" s="24" t="s">
        <v>632</v>
      </c>
      <c r="F1522" s="24" t="s">
        <v>1142</v>
      </c>
      <c r="G1522" s="24" t="s">
        <v>1200</v>
      </c>
      <c r="H1522" s="24" t="s">
        <v>637</v>
      </c>
      <c r="I1522" s="24" t="s">
        <v>1523</v>
      </c>
      <c r="J1522" s="24" t="s">
        <v>761</v>
      </c>
      <c r="K1522" s="24" t="s">
        <v>1352</v>
      </c>
      <c r="L1522" s="25">
        <v>1</v>
      </c>
      <c r="M1522" s="26">
        <v>6370</v>
      </c>
      <c r="N1522" s="27">
        <v>5.790909090909091</v>
      </c>
      <c r="O1522" s="28">
        <v>5.790909090909091</v>
      </c>
      <c r="P1522" s="28">
        <v>5.6371681415929205</v>
      </c>
    </row>
    <row r="1523" spans="1:16" x14ac:dyDescent="0.3">
      <c r="A1523" t="s">
        <v>4417</v>
      </c>
      <c r="B1523" s="24">
        <v>300013</v>
      </c>
      <c r="C1523" s="24" t="s">
        <v>1521</v>
      </c>
      <c r="D1523" s="24" t="s">
        <v>1102</v>
      </c>
      <c r="E1523" s="24" t="s">
        <v>632</v>
      </c>
      <c r="F1523" s="24" t="s">
        <v>1142</v>
      </c>
      <c r="G1523" s="24" t="s">
        <v>1200</v>
      </c>
      <c r="H1523" s="24" t="s">
        <v>637</v>
      </c>
      <c r="I1523" s="24" t="s">
        <v>1523</v>
      </c>
      <c r="J1523" s="24" t="s">
        <v>761</v>
      </c>
      <c r="K1523" s="24" t="s">
        <v>1352</v>
      </c>
      <c r="L1523" s="25">
        <v>1</v>
      </c>
      <c r="M1523" s="26">
        <v>7400</v>
      </c>
      <c r="N1523" s="27">
        <v>6.7272727272727275</v>
      </c>
      <c r="O1523" s="28">
        <v>6.7272727272727275</v>
      </c>
      <c r="P1523" s="28">
        <v>6.5486725663716818</v>
      </c>
    </row>
    <row r="1524" spans="1:16" x14ac:dyDescent="0.3">
      <c r="A1524" t="s">
        <v>4418</v>
      </c>
      <c r="B1524" s="24">
        <v>100702</v>
      </c>
      <c r="C1524" s="24" t="s">
        <v>1357</v>
      </c>
      <c r="D1524" s="24" t="s">
        <v>1102</v>
      </c>
      <c r="E1524" s="24" t="s">
        <v>632</v>
      </c>
      <c r="F1524" s="24" t="s">
        <v>1142</v>
      </c>
      <c r="G1524" s="24" t="s">
        <v>1200</v>
      </c>
      <c r="H1524" s="24" t="s">
        <v>638</v>
      </c>
      <c r="I1524" s="24" t="s">
        <v>1524</v>
      </c>
      <c r="J1524" s="24" t="s">
        <v>761</v>
      </c>
      <c r="K1524" s="24" t="s">
        <v>1352</v>
      </c>
      <c r="L1524" s="25">
        <v>1</v>
      </c>
      <c r="M1524" s="26">
        <v>6370</v>
      </c>
      <c r="N1524" s="27">
        <v>5.790909090909091</v>
      </c>
      <c r="O1524" s="28">
        <v>5.790909090909091</v>
      </c>
      <c r="P1524" s="28">
        <v>5.6371681415929205</v>
      </c>
    </row>
    <row r="1525" spans="1:16" x14ac:dyDescent="0.3">
      <c r="A1525" t="s">
        <v>4419</v>
      </c>
      <c r="B1525" s="24">
        <v>300013</v>
      </c>
      <c r="C1525" s="24" t="s">
        <v>1521</v>
      </c>
      <c r="D1525" s="24" t="s">
        <v>1102</v>
      </c>
      <c r="E1525" s="24" t="s">
        <v>632</v>
      </c>
      <c r="F1525" s="24" t="s">
        <v>1142</v>
      </c>
      <c r="G1525" s="24" t="s">
        <v>1200</v>
      </c>
      <c r="H1525" s="24" t="s">
        <v>638</v>
      </c>
      <c r="I1525" s="24" t="s">
        <v>1524</v>
      </c>
      <c r="J1525" s="24" t="s">
        <v>761</v>
      </c>
      <c r="K1525" s="24" t="s">
        <v>1352</v>
      </c>
      <c r="L1525" s="25">
        <v>1</v>
      </c>
      <c r="M1525" s="26">
        <v>7400</v>
      </c>
      <c r="N1525" s="27">
        <v>6.7272727272727275</v>
      </c>
      <c r="O1525" s="28">
        <v>6.7272727272727275</v>
      </c>
      <c r="P1525" s="28">
        <v>6.5486725663716818</v>
      </c>
    </row>
    <row r="1526" spans="1:16" x14ac:dyDescent="0.3">
      <c r="A1526" t="s">
        <v>4420</v>
      </c>
      <c r="B1526" s="24">
        <v>300013</v>
      </c>
      <c r="C1526" s="24" t="s">
        <v>1521</v>
      </c>
      <c r="D1526" s="24" t="s">
        <v>1102</v>
      </c>
      <c r="E1526" s="24" t="s">
        <v>632</v>
      </c>
      <c r="F1526" s="24" t="s">
        <v>1142</v>
      </c>
      <c r="G1526" s="24" t="s">
        <v>1200</v>
      </c>
      <c r="H1526" s="24" t="s">
        <v>639</v>
      </c>
      <c r="I1526" s="24" t="s">
        <v>1525</v>
      </c>
      <c r="J1526" s="24" t="s">
        <v>761</v>
      </c>
      <c r="K1526" s="24" t="s">
        <v>1352</v>
      </c>
      <c r="L1526" s="25">
        <v>1</v>
      </c>
      <c r="M1526" s="26">
        <v>7100</v>
      </c>
      <c r="N1526" s="27">
        <v>6.4545454545454541</v>
      </c>
      <c r="O1526" s="28">
        <v>6.4545454545454541</v>
      </c>
      <c r="P1526" s="28">
        <v>6.283185840707965</v>
      </c>
    </row>
    <row r="1527" spans="1:16" x14ac:dyDescent="0.3">
      <c r="A1527" t="s">
        <v>4421</v>
      </c>
      <c r="B1527" s="24">
        <v>100702</v>
      </c>
      <c r="C1527" s="24" t="s">
        <v>1357</v>
      </c>
      <c r="D1527" s="24" t="s">
        <v>1102</v>
      </c>
      <c r="E1527" s="24" t="s">
        <v>632</v>
      </c>
      <c r="F1527" s="24" t="s">
        <v>1142</v>
      </c>
      <c r="G1527" s="24" t="s">
        <v>1200</v>
      </c>
      <c r="H1527" s="24" t="s">
        <v>640</v>
      </c>
      <c r="I1527" s="24" t="s">
        <v>1526</v>
      </c>
      <c r="J1527" s="24" t="s">
        <v>761</v>
      </c>
      <c r="K1527" s="24" t="s">
        <v>1352</v>
      </c>
      <c r="L1527" s="25">
        <v>1</v>
      </c>
      <c r="M1527" s="26">
        <v>7050</v>
      </c>
      <c r="N1527" s="27">
        <v>6.4090909090909092</v>
      </c>
      <c r="O1527" s="28">
        <v>6.4090909090909092</v>
      </c>
      <c r="P1527" s="28">
        <v>6.2389380530973453</v>
      </c>
    </row>
    <row r="1528" spans="1:16" x14ac:dyDescent="0.3">
      <c r="A1528" t="s">
        <v>4422</v>
      </c>
      <c r="B1528" s="24">
        <v>300013</v>
      </c>
      <c r="C1528" s="24" t="s">
        <v>1521</v>
      </c>
      <c r="D1528" s="24" t="s">
        <v>1102</v>
      </c>
      <c r="E1528" s="24" t="s">
        <v>632</v>
      </c>
      <c r="F1528" s="24" t="s">
        <v>1142</v>
      </c>
      <c r="G1528" s="24" t="s">
        <v>1200</v>
      </c>
      <c r="H1528" s="24" t="s">
        <v>640</v>
      </c>
      <c r="I1528" s="24" t="s">
        <v>1526</v>
      </c>
      <c r="J1528" s="24" t="s">
        <v>761</v>
      </c>
      <c r="K1528" s="24" t="s">
        <v>1352</v>
      </c>
      <c r="L1528" s="25">
        <v>1</v>
      </c>
      <c r="M1528" s="26">
        <v>7500</v>
      </c>
      <c r="N1528" s="27">
        <v>6.8181818181818183</v>
      </c>
      <c r="O1528" s="28">
        <v>6.8181818181818183</v>
      </c>
      <c r="P1528" s="28">
        <v>6.6371681415929205</v>
      </c>
    </row>
    <row r="1529" spans="1:16" x14ac:dyDescent="0.3">
      <c r="A1529" t="s">
        <v>4423</v>
      </c>
      <c r="B1529" s="24">
        <v>300060</v>
      </c>
      <c r="C1529" s="24" t="s">
        <v>1527</v>
      </c>
      <c r="D1529" s="24" t="s">
        <v>1102</v>
      </c>
      <c r="E1529" s="24" t="s">
        <v>632</v>
      </c>
      <c r="F1529" s="24" t="s">
        <v>1142</v>
      </c>
      <c r="G1529" s="24" t="s">
        <v>1200</v>
      </c>
      <c r="H1529" s="24" t="s">
        <v>640</v>
      </c>
      <c r="I1529" s="24" t="s">
        <v>1526</v>
      </c>
      <c r="J1529" s="24" t="s">
        <v>761</v>
      </c>
      <c r="K1529" s="24" t="s">
        <v>1352</v>
      </c>
      <c r="L1529" s="25">
        <v>1</v>
      </c>
      <c r="M1529" s="26">
        <v>7050</v>
      </c>
      <c r="N1529" s="27">
        <v>6.4090909090909092</v>
      </c>
      <c r="O1529" s="28">
        <v>6.4090909090909092</v>
      </c>
      <c r="P1529" s="28">
        <v>6.2389380530973453</v>
      </c>
    </row>
    <row r="1530" spans="1:16" x14ac:dyDescent="0.3">
      <c r="A1530" t="s">
        <v>4424</v>
      </c>
      <c r="B1530" s="24">
        <v>142484</v>
      </c>
      <c r="C1530" s="24" t="s">
        <v>1528</v>
      </c>
      <c r="D1530" s="24" t="s">
        <v>1102</v>
      </c>
      <c r="E1530" s="24" t="s">
        <v>632</v>
      </c>
      <c r="F1530" s="24" t="s">
        <v>1237</v>
      </c>
      <c r="G1530" s="24" t="s">
        <v>1486</v>
      </c>
      <c r="H1530" s="24" t="s">
        <v>1529</v>
      </c>
      <c r="I1530" s="24" t="s">
        <v>1530</v>
      </c>
      <c r="J1530" s="24" t="s">
        <v>761</v>
      </c>
      <c r="K1530" s="24" t="s">
        <v>1146</v>
      </c>
      <c r="L1530" s="25">
        <v>1070</v>
      </c>
      <c r="M1530" s="26">
        <v>7.3</v>
      </c>
      <c r="N1530" s="27">
        <v>7.3</v>
      </c>
      <c r="O1530" s="28">
        <v>6.6363636363636364E-3</v>
      </c>
      <c r="P1530" s="28">
        <v>6.9123893805309731</v>
      </c>
    </row>
    <row r="1531" spans="1:16" x14ac:dyDescent="0.3">
      <c r="A1531" t="s">
        <v>4425</v>
      </c>
      <c r="B1531" s="24">
        <v>142484</v>
      </c>
      <c r="C1531" s="24" t="s">
        <v>1528</v>
      </c>
      <c r="D1531" s="24" t="s">
        <v>1102</v>
      </c>
      <c r="E1531" s="24" t="s">
        <v>632</v>
      </c>
      <c r="F1531" s="24" t="s">
        <v>1237</v>
      </c>
      <c r="G1531" s="24" t="s">
        <v>1486</v>
      </c>
      <c r="H1531" s="24" t="s">
        <v>728</v>
      </c>
      <c r="I1531" s="24" t="s">
        <v>1531</v>
      </c>
      <c r="J1531" s="24" t="s">
        <v>761</v>
      </c>
      <c r="K1531" s="24" t="s">
        <v>1146</v>
      </c>
      <c r="L1531" s="25">
        <v>1070</v>
      </c>
      <c r="M1531" s="26">
        <v>7.3</v>
      </c>
      <c r="N1531" s="27">
        <v>7.3</v>
      </c>
      <c r="O1531" s="28">
        <v>6.6363636363636364E-3</v>
      </c>
      <c r="P1531" s="28">
        <v>6.9123893805309731</v>
      </c>
    </row>
    <row r="1532" spans="1:16" x14ac:dyDescent="0.3">
      <c r="A1532" t="s">
        <v>4426</v>
      </c>
      <c r="B1532" s="24">
        <v>142484</v>
      </c>
      <c r="C1532" s="24" t="s">
        <v>1528</v>
      </c>
      <c r="D1532" s="24" t="s">
        <v>1102</v>
      </c>
      <c r="E1532" s="24" t="s">
        <v>632</v>
      </c>
      <c r="F1532" s="24" t="s">
        <v>1237</v>
      </c>
      <c r="G1532" s="24" t="s">
        <v>1486</v>
      </c>
      <c r="H1532" s="24" t="s">
        <v>1532</v>
      </c>
      <c r="I1532" s="24" t="s">
        <v>1533</v>
      </c>
      <c r="J1532" s="24" t="s">
        <v>761</v>
      </c>
      <c r="K1532" s="24" t="s">
        <v>1146</v>
      </c>
      <c r="L1532" s="25">
        <v>1070</v>
      </c>
      <c r="M1532" s="26">
        <v>7.3</v>
      </c>
      <c r="N1532" s="27">
        <v>7.3</v>
      </c>
      <c r="O1532" s="28">
        <v>6.6363636363636364E-3</v>
      </c>
      <c r="P1532" s="28">
        <v>6.9123893805309731</v>
      </c>
    </row>
    <row r="1533" spans="1:16" x14ac:dyDescent="0.3">
      <c r="A1533" t="s">
        <v>4427</v>
      </c>
      <c r="B1533" s="24">
        <v>142484</v>
      </c>
      <c r="C1533" s="24" t="s">
        <v>1528</v>
      </c>
      <c r="D1533" s="24" t="s">
        <v>1102</v>
      </c>
      <c r="E1533" s="24" t="s">
        <v>632</v>
      </c>
      <c r="F1533" s="24" t="s">
        <v>1237</v>
      </c>
      <c r="G1533" s="24" t="s">
        <v>1486</v>
      </c>
      <c r="H1533" s="24" t="s">
        <v>1534</v>
      </c>
      <c r="I1533" s="24" t="s">
        <v>1533</v>
      </c>
      <c r="J1533" s="24" t="s">
        <v>761</v>
      </c>
      <c r="K1533" s="24" t="s">
        <v>1146</v>
      </c>
      <c r="L1533" s="25">
        <v>1070</v>
      </c>
      <c r="M1533" s="26">
        <v>7.3</v>
      </c>
      <c r="N1533" s="27">
        <v>7.3</v>
      </c>
      <c r="O1533" s="28">
        <v>6.6363636363636364E-3</v>
      </c>
      <c r="P1533" s="28">
        <v>6.9123893805309731</v>
      </c>
    </row>
    <row r="1534" spans="1:16" x14ac:dyDescent="0.3">
      <c r="A1534" t="s">
        <v>4428</v>
      </c>
      <c r="B1534" s="24">
        <v>142484</v>
      </c>
      <c r="C1534" s="24" t="s">
        <v>1528</v>
      </c>
      <c r="D1534" s="24" t="s">
        <v>1102</v>
      </c>
      <c r="E1534" s="24" t="s">
        <v>632</v>
      </c>
      <c r="F1534" s="24" t="s">
        <v>1237</v>
      </c>
      <c r="G1534" s="24" t="s">
        <v>1486</v>
      </c>
      <c r="H1534" s="24" t="s">
        <v>1535</v>
      </c>
      <c r="I1534" s="24" t="s">
        <v>1536</v>
      </c>
      <c r="J1534" s="24" t="s">
        <v>761</v>
      </c>
      <c r="K1534" s="24" t="s">
        <v>1146</v>
      </c>
      <c r="L1534" s="25">
        <v>1070</v>
      </c>
      <c r="M1534" s="26">
        <v>7.3</v>
      </c>
      <c r="N1534" s="27">
        <v>7.3</v>
      </c>
      <c r="O1534" s="28">
        <v>6.6363636363636364E-3</v>
      </c>
      <c r="P1534" s="28">
        <v>6.9123893805309731</v>
      </c>
    </row>
    <row r="1535" spans="1:16" x14ac:dyDescent="0.3">
      <c r="A1535" t="s">
        <v>4429</v>
      </c>
      <c r="B1535" s="24">
        <v>400144</v>
      </c>
      <c r="C1535" s="24" t="s">
        <v>1250</v>
      </c>
      <c r="D1535" s="24" t="s">
        <v>1102</v>
      </c>
      <c r="E1535" s="24" t="s">
        <v>632</v>
      </c>
      <c r="F1535" s="24" t="s">
        <v>1237</v>
      </c>
      <c r="G1535" s="24" t="s">
        <v>1486</v>
      </c>
      <c r="H1535" s="24" t="s">
        <v>2858</v>
      </c>
      <c r="I1535" s="24" t="s">
        <v>2904</v>
      </c>
      <c r="J1535" s="24" t="s">
        <v>761</v>
      </c>
      <c r="K1535" s="24" t="s">
        <v>1146</v>
      </c>
      <c r="L1535" s="25">
        <v>1070</v>
      </c>
      <c r="M1535" s="26">
        <v>22.48</v>
      </c>
      <c r="N1535" s="27">
        <v>22.48</v>
      </c>
      <c r="O1535" s="28">
        <v>2.0436363636363638E-2</v>
      </c>
      <c r="P1535" s="28">
        <v>21.286371681415932</v>
      </c>
    </row>
    <row r="1536" spans="1:16" x14ac:dyDescent="0.3">
      <c r="A1536" t="s">
        <v>4430</v>
      </c>
      <c r="B1536" s="24">
        <v>300013</v>
      </c>
      <c r="C1536" s="24" t="s">
        <v>1521</v>
      </c>
      <c r="D1536" s="24" t="s">
        <v>1102</v>
      </c>
      <c r="E1536" s="24" t="s">
        <v>632</v>
      </c>
      <c r="F1536" s="24" t="s">
        <v>1142</v>
      </c>
      <c r="G1536" s="24" t="s">
        <v>1200</v>
      </c>
      <c r="H1536" s="24" t="s">
        <v>712</v>
      </c>
      <c r="I1536" s="24" t="s">
        <v>1537</v>
      </c>
      <c r="J1536" s="24" t="s">
        <v>761</v>
      </c>
      <c r="K1536" s="24" t="s">
        <v>1352</v>
      </c>
      <c r="L1536" s="25">
        <v>1</v>
      </c>
      <c r="M1536" s="26">
        <v>3450</v>
      </c>
      <c r="N1536" s="27">
        <v>3.1363636363636362</v>
      </c>
      <c r="O1536" s="28">
        <v>3.1363636363636362</v>
      </c>
      <c r="P1536" s="28">
        <v>3.0530973451327434</v>
      </c>
    </row>
    <row r="1537" spans="1:16" x14ac:dyDescent="0.3">
      <c r="A1537" t="s">
        <v>4431</v>
      </c>
      <c r="B1537" s="24">
        <v>300054</v>
      </c>
      <c r="C1537" s="24" t="s">
        <v>1538</v>
      </c>
      <c r="D1537" s="24" t="s">
        <v>1102</v>
      </c>
      <c r="E1537" s="24" t="s">
        <v>632</v>
      </c>
      <c r="F1537" s="24" t="s">
        <v>1142</v>
      </c>
      <c r="G1537" s="24" t="s">
        <v>1200</v>
      </c>
      <c r="H1537" s="24" t="s">
        <v>712</v>
      </c>
      <c r="I1537" s="24" t="s">
        <v>1537</v>
      </c>
      <c r="J1537" s="24" t="s">
        <v>761</v>
      </c>
      <c r="K1537" s="24" t="s">
        <v>1352</v>
      </c>
      <c r="L1537" s="25">
        <v>1</v>
      </c>
      <c r="M1537" s="26">
        <v>3450</v>
      </c>
      <c r="N1537" s="27">
        <v>3.1363636363636362</v>
      </c>
      <c r="O1537" s="28">
        <v>3.1363636363636362</v>
      </c>
      <c r="P1537" s="28">
        <v>3.0530973451327434</v>
      </c>
    </row>
    <row r="1538" spans="1:16" x14ac:dyDescent="0.3">
      <c r="A1538" t="s">
        <v>4432</v>
      </c>
      <c r="B1538" s="24">
        <v>300054</v>
      </c>
      <c r="C1538" s="24" t="s">
        <v>1538</v>
      </c>
      <c r="D1538" s="24" t="s">
        <v>1102</v>
      </c>
      <c r="E1538" s="24" t="s">
        <v>632</v>
      </c>
      <c r="F1538" s="24" t="s">
        <v>1142</v>
      </c>
      <c r="G1538" s="24" t="s">
        <v>1200</v>
      </c>
      <c r="H1538" s="24" t="s">
        <v>713</v>
      </c>
      <c r="I1538" s="24" t="s">
        <v>1539</v>
      </c>
      <c r="J1538" s="24" t="s">
        <v>761</v>
      </c>
      <c r="K1538" s="24" t="s">
        <v>1352</v>
      </c>
      <c r="L1538" s="25">
        <v>1</v>
      </c>
      <c r="M1538" s="26">
        <v>3950</v>
      </c>
      <c r="N1538" s="27">
        <v>3.5909090909090908</v>
      </c>
      <c r="O1538" s="28">
        <v>3.5909090909090908</v>
      </c>
      <c r="P1538" s="28">
        <v>3.4955752212389379</v>
      </c>
    </row>
    <row r="1539" spans="1:16" x14ac:dyDescent="0.3">
      <c r="A1539" t="s">
        <v>4433</v>
      </c>
      <c r="B1539" s="24">
        <v>100702</v>
      </c>
      <c r="C1539" s="24" t="s">
        <v>1357</v>
      </c>
      <c r="D1539" s="24" t="s">
        <v>1102</v>
      </c>
      <c r="E1539" s="24" t="s">
        <v>632</v>
      </c>
      <c r="F1539" s="24" t="s">
        <v>1142</v>
      </c>
      <c r="G1539" s="24" t="s">
        <v>1200</v>
      </c>
      <c r="H1539" s="24" t="s">
        <v>641</v>
      </c>
      <c r="I1539" s="24" t="s">
        <v>1540</v>
      </c>
      <c r="J1539" s="24" t="s">
        <v>761</v>
      </c>
      <c r="K1539" s="24" t="s">
        <v>1352</v>
      </c>
      <c r="L1539" s="25">
        <v>1</v>
      </c>
      <c r="M1539" s="26">
        <v>5170</v>
      </c>
      <c r="N1539" s="27">
        <v>4.7</v>
      </c>
      <c r="O1539" s="28">
        <v>4.7</v>
      </c>
      <c r="P1539" s="28">
        <v>4.5752212389380533</v>
      </c>
    </row>
    <row r="1540" spans="1:16" x14ac:dyDescent="0.3">
      <c r="A1540" t="s">
        <v>4434</v>
      </c>
      <c r="B1540" s="24">
        <v>100702</v>
      </c>
      <c r="C1540" s="24" t="s">
        <v>1357</v>
      </c>
      <c r="D1540" s="24" t="s">
        <v>1102</v>
      </c>
      <c r="E1540" s="24" t="s">
        <v>632</v>
      </c>
      <c r="F1540" s="24" t="s">
        <v>1142</v>
      </c>
      <c r="G1540" s="24" t="s">
        <v>1200</v>
      </c>
      <c r="H1540" s="24" t="s">
        <v>642</v>
      </c>
      <c r="I1540" s="24" t="s">
        <v>1541</v>
      </c>
      <c r="J1540" s="24" t="s">
        <v>761</v>
      </c>
      <c r="K1540" s="24" t="s">
        <v>1352</v>
      </c>
      <c r="L1540" s="25">
        <v>1</v>
      </c>
      <c r="M1540" s="26">
        <v>5170</v>
      </c>
      <c r="N1540" s="27">
        <v>4.7</v>
      </c>
      <c r="O1540" s="28">
        <v>4.7</v>
      </c>
      <c r="P1540" s="28">
        <v>4.5752212389380533</v>
      </c>
    </row>
    <row r="1541" spans="1:16" x14ac:dyDescent="0.3">
      <c r="A1541" t="s">
        <v>4435</v>
      </c>
      <c r="B1541" s="24">
        <v>300009</v>
      </c>
      <c r="C1541" s="24" t="s">
        <v>1519</v>
      </c>
      <c r="D1541" s="24" t="s">
        <v>1102</v>
      </c>
      <c r="E1541" s="24" t="s">
        <v>632</v>
      </c>
      <c r="F1541" s="24" t="s">
        <v>1142</v>
      </c>
      <c r="G1541" s="24" t="s">
        <v>1200</v>
      </c>
      <c r="H1541" s="24" t="s">
        <v>642</v>
      </c>
      <c r="I1541" s="24" t="s">
        <v>1541</v>
      </c>
      <c r="J1541" s="24" t="s">
        <v>761</v>
      </c>
      <c r="K1541" s="24" t="s">
        <v>1352</v>
      </c>
      <c r="L1541" s="25">
        <v>1</v>
      </c>
      <c r="M1541" s="26">
        <v>5500</v>
      </c>
      <c r="N1541" s="27">
        <v>5</v>
      </c>
      <c r="O1541" s="28">
        <v>5</v>
      </c>
      <c r="P1541" s="28">
        <v>4.8672566371681416</v>
      </c>
    </row>
    <row r="1542" spans="1:16" x14ac:dyDescent="0.3">
      <c r="A1542" t="s">
        <v>4436</v>
      </c>
      <c r="B1542" s="24">
        <v>300013</v>
      </c>
      <c r="C1542" s="24" t="s">
        <v>1521</v>
      </c>
      <c r="D1542" s="24" t="s">
        <v>1102</v>
      </c>
      <c r="E1542" s="24" t="s">
        <v>632</v>
      </c>
      <c r="F1542" s="24" t="s">
        <v>1142</v>
      </c>
      <c r="G1542" s="24" t="s">
        <v>1200</v>
      </c>
      <c r="H1542" s="24" t="s">
        <v>642</v>
      </c>
      <c r="I1542" s="24" t="s">
        <v>1541</v>
      </c>
      <c r="J1542" s="24" t="s">
        <v>761</v>
      </c>
      <c r="K1542" s="24" t="s">
        <v>1352</v>
      </c>
      <c r="L1542" s="25">
        <v>1</v>
      </c>
      <c r="M1542" s="26">
        <v>5500</v>
      </c>
      <c r="N1542" s="27">
        <v>5</v>
      </c>
      <c r="O1542" s="28">
        <v>5</v>
      </c>
      <c r="P1542" s="28">
        <v>4.8672566371681416</v>
      </c>
    </row>
    <row r="1543" spans="1:16" x14ac:dyDescent="0.3">
      <c r="A1543" t="s">
        <v>4437</v>
      </c>
      <c r="B1543" s="24">
        <v>300054</v>
      </c>
      <c r="C1543" s="24" t="s">
        <v>1538</v>
      </c>
      <c r="D1543" s="24" t="s">
        <v>1102</v>
      </c>
      <c r="E1543" s="24" t="s">
        <v>632</v>
      </c>
      <c r="F1543" s="24" t="s">
        <v>1142</v>
      </c>
      <c r="G1543" s="24" t="s">
        <v>1200</v>
      </c>
      <c r="H1543" s="24" t="s">
        <v>642</v>
      </c>
      <c r="I1543" s="24" t="s">
        <v>1541</v>
      </c>
      <c r="J1543" s="24" t="s">
        <v>761</v>
      </c>
      <c r="K1543" s="24" t="s">
        <v>1352</v>
      </c>
      <c r="L1543" s="25">
        <v>1</v>
      </c>
      <c r="M1543" s="26">
        <v>5500</v>
      </c>
      <c r="N1543" s="27">
        <v>5</v>
      </c>
      <c r="O1543" s="28">
        <v>5</v>
      </c>
      <c r="P1543" s="28">
        <v>4.8672566371681416</v>
      </c>
    </row>
    <row r="1544" spans="1:16" x14ac:dyDescent="0.3">
      <c r="A1544" t="s">
        <v>4438</v>
      </c>
      <c r="B1544" s="24">
        <v>106540</v>
      </c>
      <c r="C1544" s="24" t="s">
        <v>1542</v>
      </c>
      <c r="D1544" s="24" t="s">
        <v>1102</v>
      </c>
      <c r="E1544" s="24" t="s">
        <v>632</v>
      </c>
      <c r="F1544" s="24" t="s">
        <v>1142</v>
      </c>
      <c r="G1544" s="24" t="s">
        <v>1200</v>
      </c>
      <c r="H1544" s="24" t="s">
        <v>643</v>
      </c>
      <c r="I1544" s="24" t="s">
        <v>1543</v>
      </c>
      <c r="J1544" s="24" t="s">
        <v>761</v>
      </c>
      <c r="K1544" s="24" t="s">
        <v>1352</v>
      </c>
      <c r="L1544" s="25">
        <v>1</v>
      </c>
      <c r="M1544" s="26">
        <v>5300</v>
      </c>
      <c r="N1544" s="27">
        <v>4.8181818181818183</v>
      </c>
      <c r="O1544" s="28">
        <v>4.8181818181818183</v>
      </c>
      <c r="P1544" s="28">
        <v>4.6902654867256635</v>
      </c>
    </row>
    <row r="1545" spans="1:16" x14ac:dyDescent="0.3">
      <c r="A1545" t="s">
        <v>4439</v>
      </c>
      <c r="B1545" s="24">
        <v>100702</v>
      </c>
      <c r="C1545" s="24" t="s">
        <v>1357</v>
      </c>
      <c r="D1545" s="24" t="s">
        <v>1102</v>
      </c>
      <c r="E1545" s="24" t="s">
        <v>632</v>
      </c>
      <c r="F1545" s="24" t="s">
        <v>1142</v>
      </c>
      <c r="G1545" s="24" t="s">
        <v>1200</v>
      </c>
      <c r="H1545" s="24" t="s">
        <v>644</v>
      </c>
      <c r="I1545" s="24" t="s">
        <v>1544</v>
      </c>
      <c r="J1545" s="24" t="s">
        <v>761</v>
      </c>
      <c r="K1545" s="24" t="s">
        <v>1352</v>
      </c>
      <c r="L1545" s="25">
        <v>1</v>
      </c>
      <c r="M1545" s="26">
        <v>6600</v>
      </c>
      <c r="N1545" s="27">
        <v>6</v>
      </c>
      <c r="O1545" s="28">
        <v>6</v>
      </c>
      <c r="P1545" s="28">
        <v>5.8407079646017701</v>
      </c>
    </row>
    <row r="1546" spans="1:16" x14ac:dyDescent="0.3">
      <c r="A1546" t="s">
        <v>4440</v>
      </c>
      <c r="B1546" s="24">
        <v>100702</v>
      </c>
      <c r="C1546" s="24" t="s">
        <v>1357</v>
      </c>
      <c r="D1546" s="24" t="s">
        <v>1102</v>
      </c>
      <c r="E1546" s="24" t="s">
        <v>632</v>
      </c>
      <c r="F1546" s="24" t="s">
        <v>1142</v>
      </c>
      <c r="G1546" s="24" t="s">
        <v>1200</v>
      </c>
      <c r="H1546" s="24" t="s">
        <v>711</v>
      </c>
      <c r="I1546" s="24" t="s">
        <v>1545</v>
      </c>
      <c r="J1546" s="24" t="s">
        <v>761</v>
      </c>
      <c r="K1546" s="24" t="s">
        <v>1352</v>
      </c>
      <c r="L1546" s="25">
        <v>1</v>
      </c>
      <c r="M1546" s="26">
        <v>29000</v>
      </c>
      <c r="N1546" s="27">
        <v>26.363636363636363</v>
      </c>
      <c r="O1546" s="28">
        <v>26.363636363636363</v>
      </c>
      <c r="P1546" s="28">
        <v>25.663716814159294</v>
      </c>
    </row>
    <row r="1547" spans="1:16" x14ac:dyDescent="0.3">
      <c r="A1547" t="s">
        <v>4441</v>
      </c>
      <c r="B1547" s="24">
        <v>300013</v>
      </c>
      <c r="C1547" s="24" t="s">
        <v>1521</v>
      </c>
      <c r="D1547" s="24" t="s">
        <v>1102</v>
      </c>
      <c r="E1547" s="24" t="s">
        <v>632</v>
      </c>
      <c r="F1547" s="24" t="s">
        <v>1142</v>
      </c>
      <c r="G1547" s="24" t="s">
        <v>1200</v>
      </c>
      <c r="H1547" s="24" t="s">
        <v>711</v>
      </c>
      <c r="I1547" s="24" t="s">
        <v>1545</v>
      </c>
      <c r="J1547" s="24" t="s">
        <v>761</v>
      </c>
      <c r="K1547" s="24" t="s">
        <v>1352</v>
      </c>
      <c r="L1547" s="25">
        <v>1</v>
      </c>
      <c r="M1547" s="26">
        <v>29000</v>
      </c>
      <c r="N1547" s="27">
        <v>26.363636363636363</v>
      </c>
      <c r="O1547" s="28">
        <v>26.363636363636363</v>
      </c>
      <c r="P1547" s="28">
        <v>25.663716814159294</v>
      </c>
    </row>
    <row r="1548" spans="1:16" x14ac:dyDescent="0.3">
      <c r="A1548" t="s">
        <v>4442</v>
      </c>
      <c r="B1548" s="24">
        <v>142484</v>
      </c>
      <c r="C1548" s="24" t="s">
        <v>1528</v>
      </c>
      <c r="D1548" s="24" t="s">
        <v>1102</v>
      </c>
      <c r="E1548" s="24" t="s">
        <v>632</v>
      </c>
      <c r="F1548" s="24" t="s">
        <v>1237</v>
      </c>
      <c r="G1548" s="24" t="s">
        <v>1486</v>
      </c>
      <c r="H1548" s="24" t="s">
        <v>720</v>
      </c>
      <c r="I1548" s="24" t="s">
        <v>1546</v>
      </c>
      <c r="J1548" s="24" t="s">
        <v>761</v>
      </c>
      <c r="K1548" s="24" t="s">
        <v>1146</v>
      </c>
      <c r="L1548" s="25">
        <v>1070</v>
      </c>
      <c r="M1548" s="26">
        <v>23.18</v>
      </c>
      <c r="N1548" s="27">
        <v>23.18</v>
      </c>
      <c r="O1548" s="28">
        <v>2.1072727272727271E-2</v>
      </c>
      <c r="P1548" s="28">
        <v>21.949203539823007</v>
      </c>
    </row>
    <row r="1549" spans="1:16" x14ac:dyDescent="0.3">
      <c r="A1549" t="s">
        <v>4443</v>
      </c>
      <c r="B1549" s="24">
        <v>142624</v>
      </c>
      <c r="C1549" s="24" t="s">
        <v>1547</v>
      </c>
      <c r="D1549" s="24" t="s">
        <v>1102</v>
      </c>
      <c r="E1549" s="24" t="s">
        <v>632</v>
      </c>
      <c r="F1549" s="24" t="s">
        <v>1237</v>
      </c>
      <c r="G1549" s="24" t="s">
        <v>1486</v>
      </c>
      <c r="H1549" s="24" t="s">
        <v>1548</v>
      </c>
      <c r="I1549" s="24" t="s">
        <v>1549</v>
      </c>
      <c r="J1549" s="24" t="s">
        <v>761</v>
      </c>
      <c r="K1549" s="24" t="s">
        <v>1146</v>
      </c>
      <c r="L1549" s="25">
        <v>1070</v>
      </c>
      <c r="M1549" s="26">
        <v>0</v>
      </c>
      <c r="N1549" s="27">
        <v>0</v>
      </c>
      <c r="O1549" s="28">
        <v>0</v>
      </c>
      <c r="P1549" s="28">
        <v>0</v>
      </c>
    </row>
    <row r="1550" spans="1:16" x14ac:dyDescent="0.3">
      <c r="A1550" t="s">
        <v>4444</v>
      </c>
      <c r="B1550" s="24">
        <v>142624</v>
      </c>
      <c r="C1550" s="24" t="s">
        <v>1547</v>
      </c>
      <c r="D1550" s="24" t="s">
        <v>1102</v>
      </c>
      <c r="E1550" s="24" t="s">
        <v>632</v>
      </c>
      <c r="F1550" s="24" t="s">
        <v>1237</v>
      </c>
      <c r="G1550" s="24" t="s">
        <v>1486</v>
      </c>
      <c r="H1550" s="24" t="s">
        <v>1550</v>
      </c>
      <c r="I1550" s="24" t="s">
        <v>1551</v>
      </c>
      <c r="J1550" s="24" t="s">
        <v>761</v>
      </c>
      <c r="K1550" s="24" t="s">
        <v>1146</v>
      </c>
      <c r="L1550" s="25">
        <v>1070</v>
      </c>
      <c r="M1550" s="26">
        <v>0</v>
      </c>
      <c r="N1550" s="27">
        <v>0</v>
      </c>
      <c r="O1550" s="28">
        <v>0</v>
      </c>
      <c r="P1550" s="28">
        <v>0</v>
      </c>
    </row>
    <row r="1551" spans="1:16" x14ac:dyDescent="0.3">
      <c r="A1551" t="s">
        <v>4445</v>
      </c>
      <c r="B1551" s="24">
        <v>142624</v>
      </c>
      <c r="C1551" s="24" t="s">
        <v>1547</v>
      </c>
      <c r="D1551" s="24" t="s">
        <v>1102</v>
      </c>
      <c r="E1551" s="24" t="s">
        <v>632</v>
      </c>
      <c r="F1551" s="24" t="s">
        <v>1237</v>
      </c>
      <c r="G1551" s="24" t="s">
        <v>1486</v>
      </c>
      <c r="H1551" s="24" t="s">
        <v>721</v>
      </c>
      <c r="I1551" s="24" t="s">
        <v>1552</v>
      </c>
      <c r="J1551" s="24" t="s">
        <v>761</v>
      </c>
      <c r="K1551" s="24" t="s">
        <v>1146</v>
      </c>
      <c r="L1551" s="25">
        <v>1070</v>
      </c>
      <c r="M1551" s="26">
        <v>21.39</v>
      </c>
      <c r="N1551" s="27">
        <v>21.39</v>
      </c>
      <c r="O1551" s="28">
        <v>1.9445454545454547E-2</v>
      </c>
      <c r="P1551" s="28">
        <v>20.25424778761062</v>
      </c>
    </row>
    <row r="1552" spans="1:16" x14ac:dyDescent="0.3">
      <c r="A1552" t="s">
        <v>4446</v>
      </c>
      <c r="B1552" s="24">
        <v>400144</v>
      </c>
      <c r="C1552" s="24" t="s">
        <v>1250</v>
      </c>
      <c r="D1552" s="24" t="s">
        <v>1102</v>
      </c>
      <c r="E1552" s="24" t="s">
        <v>632</v>
      </c>
      <c r="F1552" s="24" t="s">
        <v>1237</v>
      </c>
      <c r="G1552" s="24" t="s">
        <v>1486</v>
      </c>
      <c r="H1552" s="24" t="s">
        <v>721</v>
      </c>
      <c r="I1552" s="24" t="s">
        <v>1552</v>
      </c>
      <c r="J1552" s="24" t="s">
        <v>761</v>
      </c>
      <c r="K1552" s="24" t="s">
        <v>1146</v>
      </c>
      <c r="L1552" s="25">
        <v>1070</v>
      </c>
      <c r="M1552" s="26">
        <v>21.39</v>
      </c>
      <c r="N1552" s="27">
        <v>21.39</v>
      </c>
      <c r="O1552" s="28">
        <v>1.9445454545454547E-2</v>
      </c>
      <c r="P1552" s="28">
        <v>20.25424778761062</v>
      </c>
    </row>
    <row r="1553" spans="1:16" x14ac:dyDescent="0.3">
      <c r="A1553" t="s">
        <v>4447</v>
      </c>
      <c r="B1553" s="24">
        <v>142624</v>
      </c>
      <c r="C1553" s="24" t="s">
        <v>1547</v>
      </c>
      <c r="D1553" s="24" t="s">
        <v>1102</v>
      </c>
      <c r="E1553" s="24" t="s">
        <v>632</v>
      </c>
      <c r="F1553" s="24" t="s">
        <v>1237</v>
      </c>
      <c r="G1553" s="24" t="s">
        <v>1486</v>
      </c>
      <c r="H1553" s="24" t="s">
        <v>722</v>
      </c>
      <c r="I1553" s="24" t="s">
        <v>1553</v>
      </c>
      <c r="J1553" s="24" t="s">
        <v>761</v>
      </c>
      <c r="K1553" s="24" t="s">
        <v>1146</v>
      </c>
      <c r="L1553" s="25">
        <v>1070</v>
      </c>
      <c r="M1553" s="26">
        <v>23.78</v>
      </c>
      <c r="N1553" s="27">
        <v>23.78</v>
      </c>
      <c r="O1553" s="28">
        <v>2.1618181818181818E-2</v>
      </c>
      <c r="P1553" s="28">
        <v>22.517345132743365</v>
      </c>
    </row>
    <row r="1554" spans="1:16" x14ac:dyDescent="0.3">
      <c r="A1554" t="s">
        <v>4448</v>
      </c>
      <c r="B1554" s="24">
        <v>400144</v>
      </c>
      <c r="C1554" s="24" t="s">
        <v>1250</v>
      </c>
      <c r="D1554" s="24" t="s">
        <v>1102</v>
      </c>
      <c r="E1554" s="24" t="s">
        <v>632</v>
      </c>
      <c r="F1554" s="24" t="s">
        <v>1237</v>
      </c>
      <c r="G1554" s="24" t="s">
        <v>1486</v>
      </c>
      <c r="H1554" s="24" t="s">
        <v>722</v>
      </c>
      <c r="I1554" s="24" t="s">
        <v>1553</v>
      </c>
      <c r="J1554" s="24" t="s">
        <v>761</v>
      </c>
      <c r="K1554" s="24" t="s">
        <v>1146</v>
      </c>
      <c r="L1554" s="25">
        <v>1070</v>
      </c>
      <c r="M1554" s="26">
        <v>23.78</v>
      </c>
      <c r="N1554" s="27">
        <v>23.78</v>
      </c>
      <c r="O1554" s="28">
        <v>2.1618181818181818E-2</v>
      </c>
      <c r="P1554" s="28">
        <v>22.517345132743365</v>
      </c>
    </row>
    <row r="1555" spans="1:16" x14ac:dyDescent="0.3">
      <c r="A1555" t="s">
        <v>4449</v>
      </c>
      <c r="B1555" s="24">
        <v>100702</v>
      </c>
      <c r="C1555" s="24" t="s">
        <v>1357</v>
      </c>
      <c r="D1555" s="24" t="s">
        <v>1102</v>
      </c>
      <c r="E1555" s="24" t="s">
        <v>632</v>
      </c>
      <c r="F1555" s="24" t="s">
        <v>1142</v>
      </c>
      <c r="G1555" s="24" t="s">
        <v>1200</v>
      </c>
      <c r="H1555" s="24" t="s">
        <v>645</v>
      </c>
      <c r="I1555" s="24" t="s">
        <v>1554</v>
      </c>
      <c r="J1555" s="24" t="s">
        <v>761</v>
      </c>
      <c r="K1555" s="24" t="s">
        <v>1352</v>
      </c>
      <c r="L1555" s="25">
        <v>1</v>
      </c>
      <c r="M1555" s="26">
        <v>5170</v>
      </c>
      <c r="N1555" s="27">
        <v>4.7</v>
      </c>
      <c r="O1555" s="28">
        <v>4.7</v>
      </c>
      <c r="P1555" s="28">
        <v>4.5752212389380533</v>
      </c>
    </row>
    <row r="1556" spans="1:16" x14ac:dyDescent="0.3">
      <c r="A1556" t="s">
        <v>4450</v>
      </c>
      <c r="B1556" s="24">
        <v>106540</v>
      </c>
      <c r="C1556" s="24" t="s">
        <v>1542</v>
      </c>
      <c r="D1556" s="24" t="s">
        <v>1102</v>
      </c>
      <c r="E1556" s="24" t="s">
        <v>632</v>
      </c>
      <c r="F1556" s="24" t="s">
        <v>1142</v>
      </c>
      <c r="G1556" s="24" t="s">
        <v>1200</v>
      </c>
      <c r="H1556" s="24" t="s">
        <v>646</v>
      </c>
      <c r="I1556" s="24" t="s">
        <v>1555</v>
      </c>
      <c r="J1556" s="24" t="s">
        <v>761</v>
      </c>
      <c r="K1556" s="24" t="s">
        <v>1352</v>
      </c>
      <c r="L1556" s="25">
        <v>1</v>
      </c>
      <c r="M1556" s="26">
        <v>5300</v>
      </c>
      <c r="N1556" s="27">
        <v>4.8181818181818183</v>
      </c>
      <c r="O1556" s="28">
        <v>4.8181818181818183</v>
      </c>
      <c r="P1556" s="28">
        <v>4.6902654867256635</v>
      </c>
    </row>
    <row r="1557" spans="1:16" x14ac:dyDescent="0.3">
      <c r="A1557" t="s">
        <v>4451</v>
      </c>
      <c r="B1557" s="24">
        <v>300019</v>
      </c>
      <c r="C1557" s="24" t="s">
        <v>1556</v>
      </c>
      <c r="D1557" s="24" t="s">
        <v>1102</v>
      </c>
      <c r="E1557" s="24" t="s">
        <v>632</v>
      </c>
      <c r="F1557" s="24" t="s">
        <v>1142</v>
      </c>
      <c r="G1557" s="24" t="s">
        <v>1200</v>
      </c>
      <c r="H1557" s="24" t="s">
        <v>646</v>
      </c>
      <c r="I1557" s="24" t="s">
        <v>1555</v>
      </c>
      <c r="J1557" s="24" t="s">
        <v>761</v>
      </c>
      <c r="K1557" s="24" t="s">
        <v>1352</v>
      </c>
      <c r="L1557" s="25">
        <v>1</v>
      </c>
      <c r="M1557" s="26">
        <v>5540</v>
      </c>
      <c r="N1557" s="27">
        <v>5.0363636363636362</v>
      </c>
      <c r="O1557" s="28">
        <v>5.0363636363636362</v>
      </c>
      <c r="P1557" s="28">
        <v>4.9026548672566372</v>
      </c>
    </row>
    <row r="1558" spans="1:16" x14ac:dyDescent="0.3">
      <c r="A1558" t="s">
        <v>4452</v>
      </c>
      <c r="B1558" s="24">
        <v>100702</v>
      </c>
      <c r="C1558" s="24" t="s">
        <v>1357</v>
      </c>
      <c r="D1558" s="24" t="s">
        <v>1102</v>
      </c>
      <c r="E1558" s="24" t="s">
        <v>632</v>
      </c>
      <c r="F1558" s="24" t="s">
        <v>1142</v>
      </c>
      <c r="G1558" s="24" t="s">
        <v>1200</v>
      </c>
      <c r="H1558" s="24" t="s">
        <v>647</v>
      </c>
      <c r="I1558" s="24" t="s">
        <v>1557</v>
      </c>
      <c r="J1558" s="24" t="s">
        <v>761</v>
      </c>
      <c r="K1558" s="24" t="s">
        <v>1352</v>
      </c>
      <c r="L1558" s="25">
        <v>1</v>
      </c>
      <c r="M1558" s="26">
        <v>6600</v>
      </c>
      <c r="N1558" s="27">
        <v>6</v>
      </c>
      <c r="O1558" s="28">
        <v>6</v>
      </c>
      <c r="P1558" s="28">
        <v>5.8407079646017701</v>
      </c>
    </row>
    <row r="1559" spans="1:16" x14ac:dyDescent="0.3">
      <c r="A1559" t="s">
        <v>4453</v>
      </c>
      <c r="B1559" s="24">
        <v>100335</v>
      </c>
      <c r="C1559" s="24" t="s">
        <v>1517</v>
      </c>
      <c r="D1559" s="24" t="s">
        <v>1102</v>
      </c>
      <c r="E1559" s="24" t="s">
        <v>632</v>
      </c>
      <c r="F1559" s="24" t="s">
        <v>1142</v>
      </c>
      <c r="G1559" s="24" t="s">
        <v>1200</v>
      </c>
      <c r="H1559" s="24" t="s">
        <v>727</v>
      </c>
      <c r="I1559" s="24" t="s">
        <v>1558</v>
      </c>
      <c r="J1559" s="24" t="s">
        <v>761</v>
      </c>
      <c r="K1559" s="24" t="s">
        <v>1146</v>
      </c>
      <c r="L1559" s="25">
        <v>1070</v>
      </c>
      <c r="M1559" s="26">
        <v>12.5</v>
      </c>
      <c r="N1559" s="27">
        <v>12.5</v>
      </c>
      <c r="O1559" s="28">
        <v>1.1363636363636364E-2</v>
      </c>
      <c r="P1559" s="28">
        <v>11.836283185840708</v>
      </c>
    </row>
    <row r="1560" spans="1:16" x14ac:dyDescent="0.3">
      <c r="A1560" t="s">
        <v>4454</v>
      </c>
      <c r="B1560" s="24">
        <v>100702</v>
      </c>
      <c r="C1560" s="24" t="s">
        <v>1357</v>
      </c>
      <c r="D1560" s="24" t="s">
        <v>1102</v>
      </c>
      <c r="E1560" s="24" t="s">
        <v>632</v>
      </c>
      <c r="F1560" s="24" t="s">
        <v>1142</v>
      </c>
      <c r="G1560" s="24" t="s">
        <v>1200</v>
      </c>
      <c r="H1560" s="24" t="s">
        <v>648</v>
      </c>
      <c r="I1560" s="24" t="s">
        <v>1559</v>
      </c>
      <c r="J1560" s="24" t="s">
        <v>761</v>
      </c>
      <c r="K1560" s="24" t="s">
        <v>1352</v>
      </c>
      <c r="L1560" s="25">
        <v>1</v>
      </c>
      <c r="M1560" s="26">
        <v>5400</v>
      </c>
      <c r="N1560" s="27">
        <v>4.9090909090909092</v>
      </c>
      <c r="O1560" s="28">
        <v>4.9090909090909092</v>
      </c>
      <c r="P1560" s="28">
        <v>4.778761061946903</v>
      </c>
    </row>
    <row r="1561" spans="1:16" x14ac:dyDescent="0.3">
      <c r="A1561" t="s">
        <v>4455</v>
      </c>
      <c r="B1561" s="24">
        <v>300009</v>
      </c>
      <c r="C1561" s="24" t="s">
        <v>1519</v>
      </c>
      <c r="D1561" s="24" t="s">
        <v>1102</v>
      </c>
      <c r="E1561" s="24" t="s">
        <v>632</v>
      </c>
      <c r="F1561" s="24" t="s">
        <v>1142</v>
      </c>
      <c r="G1561" s="24" t="s">
        <v>1200</v>
      </c>
      <c r="H1561" s="24" t="s">
        <v>648</v>
      </c>
      <c r="I1561" s="24" t="s">
        <v>1559</v>
      </c>
      <c r="J1561" s="24" t="s">
        <v>761</v>
      </c>
      <c r="K1561" s="24" t="s">
        <v>1352</v>
      </c>
      <c r="L1561" s="25">
        <v>1</v>
      </c>
      <c r="M1561" s="26">
        <v>5750</v>
      </c>
      <c r="N1561" s="27">
        <v>5.2272727272727275</v>
      </c>
      <c r="O1561" s="28">
        <v>5.2272727272727275</v>
      </c>
      <c r="P1561" s="28">
        <v>5.0884955752212386</v>
      </c>
    </row>
    <row r="1562" spans="1:16" x14ac:dyDescent="0.3">
      <c r="A1562" t="s">
        <v>4456</v>
      </c>
      <c r="B1562" s="24">
        <v>300013</v>
      </c>
      <c r="C1562" s="24" t="s">
        <v>1521</v>
      </c>
      <c r="D1562" s="24" t="s">
        <v>1102</v>
      </c>
      <c r="E1562" s="24" t="s">
        <v>632</v>
      </c>
      <c r="F1562" s="24" t="s">
        <v>1142</v>
      </c>
      <c r="G1562" s="24" t="s">
        <v>1200</v>
      </c>
      <c r="H1562" s="24" t="s">
        <v>648</v>
      </c>
      <c r="I1562" s="24" t="s">
        <v>1559</v>
      </c>
      <c r="J1562" s="24" t="s">
        <v>761</v>
      </c>
      <c r="K1562" s="24" t="s">
        <v>1352</v>
      </c>
      <c r="L1562" s="25">
        <v>1</v>
      </c>
      <c r="M1562" s="26">
        <v>5750</v>
      </c>
      <c r="N1562" s="27">
        <v>5.2272727272727275</v>
      </c>
      <c r="O1562" s="28">
        <v>5.2272727272727275</v>
      </c>
      <c r="P1562" s="28">
        <v>5.0884955752212386</v>
      </c>
    </row>
    <row r="1563" spans="1:16" x14ac:dyDescent="0.3">
      <c r="A1563" t="s">
        <v>4457</v>
      </c>
      <c r="B1563" s="24">
        <v>100702</v>
      </c>
      <c r="C1563" s="24" t="s">
        <v>1357</v>
      </c>
      <c r="D1563" s="24" t="s">
        <v>1102</v>
      </c>
      <c r="E1563" s="24" t="s">
        <v>632</v>
      </c>
      <c r="F1563" s="24" t="s">
        <v>1142</v>
      </c>
      <c r="G1563" s="24" t="s">
        <v>1200</v>
      </c>
      <c r="H1563" s="24" t="s">
        <v>649</v>
      </c>
      <c r="I1563" s="24" t="s">
        <v>1560</v>
      </c>
      <c r="J1563" s="24" t="s">
        <v>761</v>
      </c>
      <c r="K1563" s="24" t="s">
        <v>1352</v>
      </c>
      <c r="L1563" s="25">
        <v>1</v>
      </c>
      <c r="M1563" s="26">
        <v>5400</v>
      </c>
      <c r="N1563" s="27">
        <v>4.9090909090909092</v>
      </c>
      <c r="O1563" s="28">
        <v>4.9090909090909092</v>
      </c>
      <c r="P1563" s="28">
        <v>4.778761061946903</v>
      </c>
    </row>
    <row r="1564" spans="1:16" x14ac:dyDescent="0.3">
      <c r="A1564" t="s">
        <v>4458</v>
      </c>
      <c r="B1564" s="24">
        <v>300013</v>
      </c>
      <c r="C1564" s="24" t="s">
        <v>1521</v>
      </c>
      <c r="D1564" s="24" t="s">
        <v>1102</v>
      </c>
      <c r="E1564" s="24" t="s">
        <v>632</v>
      </c>
      <c r="F1564" s="24" t="s">
        <v>1142</v>
      </c>
      <c r="G1564" s="24" t="s">
        <v>1200</v>
      </c>
      <c r="H1564" s="24" t="s">
        <v>649</v>
      </c>
      <c r="I1564" s="24" t="s">
        <v>1560</v>
      </c>
      <c r="J1564" s="24" t="s">
        <v>761</v>
      </c>
      <c r="K1564" s="24" t="s">
        <v>1352</v>
      </c>
      <c r="L1564" s="25">
        <v>1</v>
      </c>
      <c r="M1564" s="26">
        <v>5750</v>
      </c>
      <c r="N1564" s="27">
        <v>5.2272727272727275</v>
      </c>
      <c r="O1564" s="28">
        <v>5.2272727272727275</v>
      </c>
      <c r="P1564" s="28">
        <v>5.0884955752212386</v>
      </c>
    </row>
    <row r="1565" spans="1:16" x14ac:dyDescent="0.3">
      <c r="A1565" t="s">
        <v>4459</v>
      </c>
      <c r="B1565" s="24">
        <v>100335</v>
      </c>
      <c r="C1565" s="24" t="s">
        <v>1517</v>
      </c>
      <c r="D1565" s="24" t="s">
        <v>1102</v>
      </c>
      <c r="E1565" s="24" t="s">
        <v>632</v>
      </c>
      <c r="F1565" s="24" t="s">
        <v>1142</v>
      </c>
      <c r="G1565" s="24" t="s">
        <v>1200</v>
      </c>
      <c r="H1565" s="24" t="s">
        <v>714</v>
      </c>
      <c r="I1565" s="24" t="s">
        <v>1561</v>
      </c>
      <c r="J1565" s="24" t="s">
        <v>761</v>
      </c>
      <c r="K1565" s="24" t="s">
        <v>1146</v>
      </c>
      <c r="L1565" s="25">
        <v>1070</v>
      </c>
      <c r="M1565" s="26">
        <v>19.28</v>
      </c>
      <c r="N1565" s="27">
        <v>19.28</v>
      </c>
      <c r="O1565" s="28">
        <v>1.7527272727272728E-2</v>
      </c>
      <c r="P1565" s="28">
        <v>18.256283185840712</v>
      </c>
    </row>
    <row r="1566" spans="1:16" x14ac:dyDescent="0.3">
      <c r="A1566" t="s">
        <v>4460</v>
      </c>
      <c r="B1566" s="24">
        <v>100702</v>
      </c>
      <c r="C1566" s="24" t="s">
        <v>1357</v>
      </c>
      <c r="D1566" s="24" t="s">
        <v>1102</v>
      </c>
      <c r="E1566" s="24" t="s">
        <v>632</v>
      </c>
      <c r="F1566" s="24" t="s">
        <v>1142</v>
      </c>
      <c r="G1566" s="24" t="s">
        <v>1200</v>
      </c>
      <c r="H1566" s="24" t="s">
        <v>650</v>
      </c>
      <c r="I1566" s="24" t="s">
        <v>1562</v>
      </c>
      <c r="J1566" s="24" t="s">
        <v>761</v>
      </c>
      <c r="K1566" s="24" t="s">
        <v>1352</v>
      </c>
      <c r="L1566" s="25">
        <v>1</v>
      </c>
      <c r="M1566" s="26">
        <v>5400</v>
      </c>
      <c r="N1566" s="27">
        <v>4.9090909090909092</v>
      </c>
      <c r="O1566" s="28">
        <v>4.9090909090909092</v>
      </c>
      <c r="P1566" s="28">
        <v>4.778761061946903</v>
      </c>
    </row>
    <row r="1567" spans="1:16" x14ac:dyDescent="0.3">
      <c r="A1567" t="s">
        <v>4461</v>
      </c>
      <c r="B1567" s="24">
        <v>100702</v>
      </c>
      <c r="C1567" s="24" t="s">
        <v>1357</v>
      </c>
      <c r="D1567" s="24" t="s">
        <v>1102</v>
      </c>
      <c r="E1567" s="24" t="s">
        <v>632</v>
      </c>
      <c r="F1567" s="24" t="s">
        <v>1142</v>
      </c>
      <c r="G1567" s="24" t="s">
        <v>1200</v>
      </c>
      <c r="H1567" s="24" t="s">
        <v>651</v>
      </c>
      <c r="I1567" s="24" t="s">
        <v>1563</v>
      </c>
      <c r="J1567" s="24" t="s">
        <v>761</v>
      </c>
      <c r="K1567" s="24" t="s">
        <v>1352</v>
      </c>
      <c r="L1567" s="25">
        <v>1</v>
      </c>
      <c r="M1567" s="26">
        <v>5400</v>
      </c>
      <c r="N1567" s="27">
        <v>4.9090909090909092</v>
      </c>
      <c r="O1567" s="28">
        <v>4.9090909090909092</v>
      </c>
      <c r="P1567" s="28">
        <v>4.778761061946903</v>
      </c>
    </row>
    <row r="1568" spans="1:16" x14ac:dyDescent="0.3">
      <c r="A1568" t="s">
        <v>4462</v>
      </c>
      <c r="B1568" s="24">
        <v>106540</v>
      </c>
      <c r="C1568" s="24" t="s">
        <v>1542</v>
      </c>
      <c r="D1568" s="24" t="s">
        <v>1102</v>
      </c>
      <c r="E1568" s="24" t="s">
        <v>632</v>
      </c>
      <c r="F1568" s="24" t="s">
        <v>1142</v>
      </c>
      <c r="G1568" s="24" t="s">
        <v>1200</v>
      </c>
      <c r="H1568" s="24" t="s">
        <v>651</v>
      </c>
      <c r="I1568" s="24" t="s">
        <v>1563</v>
      </c>
      <c r="J1568" s="24" t="s">
        <v>761</v>
      </c>
      <c r="K1568" s="24" t="s">
        <v>1352</v>
      </c>
      <c r="L1568" s="25">
        <v>1</v>
      </c>
      <c r="M1568" s="26">
        <v>5550</v>
      </c>
      <c r="N1568" s="27">
        <v>5.0454545454545459</v>
      </c>
      <c r="O1568" s="28">
        <v>5.0454545454545459</v>
      </c>
      <c r="P1568" s="28">
        <v>4.9115044247787614</v>
      </c>
    </row>
    <row r="1569" spans="1:16" x14ac:dyDescent="0.3">
      <c r="A1569" t="s">
        <v>4463</v>
      </c>
      <c r="B1569" s="24">
        <v>300013</v>
      </c>
      <c r="C1569" s="24" t="s">
        <v>1521</v>
      </c>
      <c r="D1569" s="24" t="s">
        <v>1102</v>
      </c>
      <c r="E1569" s="24" t="s">
        <v>632</v>
      </c>
      <c r="F1569" s="24" t="s">
        <v>1142</v>
      </c>
      <c r="G1569" s="24" t="s">
        <v>1200</v>
      </c>
      <c r="H1569" s="24" t="s">
        <v>651</v>
      </c>
      <c r="I1569" s="24" t="s">
        <v>1563</v>
      </c>
      <c r="J1569" s="24" t="s">
        <v>761</v>
      </c>
      <c r="K1569" s="24" t="s">
        <v>1352</v>
      </c>
      <c r="L1569" s="25">
        <v>1</v>
      </c>
      <c r="M1569" s="26">
        <v>5550</v>
      </c>
      <c r="N1569" s="27">
        <v>5.0454545454545459</v>
      </c>
      <c r="O1569" s="28">
        <v>5.0454545454545459</v>
      </c>
      <c r="P1569" s="28">
        <v>4.9115044247787614</v>
      </c>
    </row>
    <row r="1570" spans="1:16" x14ac:dyDescent="0.3">
      <c r="A1570" t="s">
        <v>4464</v>
      </c>
      <c r="B1570" s="24">
        <v>300019</v>
      </c>
      <c r="C1570" s="24" t="s">
        <v>1556</v>
      </c>
      <c r="D1570" s="24" t="s">
        <v>1102</v>
      </c>
      <c r="E1570" s="24" t="s">
        <v>632</v>
      </c>
      <c r="F1570" s="24" t="s">
        <v>1142</v>
      </c>
      <c r="G1570" s="24" t="s">
        <v>1200</v>
      </c>
      <c r="H1570" s="24" t="s">
        <v>651</v>
      </c>
      <c r="I1570" s="24" t="s">
        <v>1563</v>
      </c>
      <c r="J1570" s="24" t="s">
        <v>761</v>
      </c>
      <c r="K1570" s="24" t="s">
        <v>1352</v>
      </c>
      <c r="L1570" s="25">
        <v>1</v>
      </c>
      <c r="M1570" s="26">
        <v>5400</v>
      </c>
      <c r="N1570" s="27">
        <v>4.9090909090909092</v>
      </c>
      <c r="O1570" s="28">
        <v>4.9090909090909092</v>
      </c>
      <c r="P1570" s="28">
        <v>4.778761061946903</v>
      </c>
    </row>
    <row r="1571" spans="1:16" x14ac:dyDescent="0.3">
      <c r="A1571" t="s">
        <v>4465</v>
      </c>
      <c r="B1571" s="24">
        <v>100702</v>
      </c>
      <c r="C1571" s="24" t="s">
        <v>1357</v>
      </c>
      <c r="D1571" s="24" t="s">
        <v>1102</v>
      </c>
      <c r="E1571" s="24" t="s">
        <v>632</v>
      </c>
      <c r="F1571" s="24" t="s">
        <v>1142</v>
      </c>
      <c r="G1571" s="24" t="s">
        <v>1200</v>
      </c>
      <c r="H1571" s="24" t="s">
        <v>652</v>
      </c>
      <c r="I1571" s="24" t="s">
        <v>1564</v>
      </c>
      <c r="J1571" s="24" t="s">
        <v>761</v>
      </c>
      <c r="K1571" s="24" t="s">
        <v>1352</v>
      </c>
      <c r="L1571" s="25">
        <v>1</v>
      </c>
      <c r="M1571" s="26">
        <v>5400</v>
      </c>
      <c r="N1571" s="27">
        <v>4.9090909090909092</v>
      </c>
      <c r="O1571" s="28">
        <v>4.9090909090909092</v>
      </c>
      <c r="P1571" s="28">
        <v>4.778761061946903</v>
      </c>
    </row>
    <row r="1572" spans="1:16" x14ac:dyDescent="0.3">
      <c r="A1572" t="s">
        <v>4466</v>
      </c>
      <c r="B1572" s="24">
        <v>300013</v>
      </c>
      <c r="C1572" s="24" t="s">
        <v>1521</v>
      </c>
      <c r="D1572" s="24" t="s">
        <v>1102</v>
      </c>
      <c r="E1572" s="24" t="s">
        <v>632</v>
      </c>
      <c r="F1572" s="24" t="s">
        <v>1142</v>
      </c>
      <c r="G1572" s="24" t="s">
        <v>1200</v>
      </c>
      <c r="H1572" s="24" t="s">
        <v>652</v>
      </c>
      <c r="I1572" s="24" t="s">
        <v>1564</v>
      </c>
      <c r="J1572" s="24" t="s">
        <v>761</v>
      </c>
      <c r="K1572" s="24" t="s">
        <v>1352</v>
      </c>
      <c r="L1572" s="25">
        <v>1</v>
      </c>
      <c r="M1572" s="26">
        <v>5750</v>
      </c>
      <c r="N1572" s="27">
        <v>5.2272727272727275</v>
      </c>
      <c r="O1572" s="28">
        <v>5.2272727272727275</v>
      </c>
      <c r="P1572" s="28">
        <v>5.0884955752212386</v>
      </c>
    </row>
    <row r="1573" spans="1:16" x14ac:dyDescent="0.3">
      <c r="A1573" t="s">
        <v>4467</v>
      </c>
      <c r="B1573" s="24">
        <v>300019</v>
      </c>
      <c r="C1573" s="24" t="s">
        <v>1556</v>
      </c>
      <c r="D1573" s="24" t="s">
        <v>1102</v>
      </c>
      <c r="E1573" s="24" t="s">
        <v>632</v>
      </c>
      <c r="F1573" s="24" t="s">
        <v>1142</v>
      </c>
      <c r="G1573" s="24" t="s">
        <v>1200</v>
      </c>
      <c r="H1573" s="24" t="s">
        <v>1565</v>
      </c>
      <c r="I1573" s="24" t="s">
        <v>1566</v>
      </c>
      <c r="J1573" s="24" t="s">
        <v>761</v>
      </c>
      <c r="K1573" s="24" t="s">
        <v>1352</v>
      </c>
      <c r="L1573" s="25">
        <v>1</v>
      </c>
      <c r="M1573" s="26">
        <v>5480</v>
      </c>
      <c r="N1573" s="27">
        <v>4.9818181818181815</v>
      </c>
      <c r="O1573" s="28">
        <v>4.9818181818181815</v>
      </c>
      <c r="P1573" s="28">
        <v>4.8495575221238942</v>
      </c>
    </row>
    <row r="1574" spans="1:16" x14ac:dyDescent="0.3">
      <c r="A1574" t="s">
        <v>4468</v>
      </c>
      <c r="B1574" s="24">
        <v>142775</v>
      </c>
      <c r="C1574" s="24" t="s">
        <v>1567</v>
      </c>
      <c r="D1574" s="24" t="s">
        <v>1102</v>
      </c>
      <c r="E1574" s="24" t="s">
        <v>632</v>
      </c>
      <c r="F1574" s="24" t="s">
        <v>1237</v>
      </c>
      <c r="G1574" s="24" t="s">
        <v>1486</v>
      </c>
      <c r="H1574" s="24" t="s">
        <v>715</v>
      </c>
      <c r="I1574" s="24" t="s">
        <v>1568</v>
      </c>
      <c r="J1574" s="24" t="s">
        <v>761</v>
      </c>
      <c r="K1574" s="24" t="s">
        <v>1146</v>
      </c>
      <c r="L1574" s="25">
        <v>1070</v>
      </c>
      <c r="M1574" s="26">
        <v>13.9</v>
      </c>
      <c r="N1574" s="27">
        <v>13.9</v>
      </c>
      <c r="O1574" s="28">
        <v>1.2636363636363637E-2</v>
      </c>
      <c r="P1574" s="28">
        <v>13.161946902654867</v>
      </c>
    </row>
    <row r="1575" spans="1:16" x14ac:dyDescent="0.3">
      <c r="A1575" t="s">
        <v>4469</v>
      </c>
      <c r="B1575" s="24">
        <v>400144</v>
      </c>
      <c r="C1575" s="24" t="s">
        <v>1250</v>
      </c>
      <c r="D1575" s="24" t="s">
        <v>1102</v>
      </c>
      <c r="E1575" s="24" t="s">
        <v>632</v>
      </c>
      <c r="F1575" s="24" t="s">
        <v>1237</v>
      </c>
      <c r="G1575" s="24" t="s">
        <v>1486</v>
      </c>
      <c r="H1575" s="24" t="s">
        <v>715</v>
      </c>
      <c r="I1575" s="24" t="s">
        <v>1568</v>
      </c>
      <c r="J1575" s="24" t="s">
        <v>761</v>
      </c>
      <c r="K1575" s="24" t="s">
        <v>1146</v>
      </c>
      <c r="L1575" s="25">
        <v>1070</v>
      </c>
      <c r="M1575" s="26">
        <v>13.9</v>
      </c>
      <c r="N1575" s="27">
        <v>13.9</v>
      </c>
      <c r="O1575" s="28">
        <v>1.2636363636363637E-2</v>
      </c>
      <c r="P1575" s="28">
        <v>13.161946902654867</v>
      </c>
    </row>
    <row r="1576" spans="1:16" x14ac:dyDescent="0.3">
      <c r="A1576" t="s">
        <v>4470</v>
      </c>
      <c r="B1576" s="24">
        <v>100702</v>
      </c>
      <c r="C1576" s="24" t="s">
        <v>1357</v>
      </c>
      <c r="D1576" s="24" t="s">
        <v>1102</v>
      </c>
      <c r="E1576" s="24" t="s">
        <v>632</v>
      </c>
      <c r="F1576" s="24" t="s">
        <v>1142</v>
      </c>
      <c r="G1576" s="24" t="s">
        <v>1200</v>
      </c>
      <c r="H1576" s="24" t="s">
        <v>677</v>
      </c>
      <c r="I1576" s="24" t="s">
        <v>1569</v>
      </c>
      <c r="J1576" s="24" t="s">
        <v>761</v>
      </c>
      <c r="K1576" s="24" t="s">
        <v>1352</v>
      </c>
      <c r="L1576" s="25">
        <v>1</v>
      </c>
      <c r="M1576" s="26">
        <v>10620</v>
      </c>
      <c r="N1576" s="27">
        <v>9.6545454545454543</v>
      </c>
      <c r="O1576" s="28">
        <v>9.6545454545454543</v>
      </c>
      <c r="P1576" s="28">
        <v>9.3982300884955752</v>
      </c>
    </row>
    <row r="1577" spans="1:16" x14ac:dyDescent="0.3">
      <c r="A1577" t="s">
        <v>4471</v>
      </c>
      <c r="B1577" s="24">
        <v>142336</v>
      </c>
      <c r="C1577" s="24" t="s">
        <v>1570</v>
      </c>
      <c r="D1577" s="24" t="s">
        <v>1102</v>
      </c>
      <c r="E1577" s="24" t="s">
        <v>632</v>
      </c>
      <c r="F1577" s="24" t="s">
        <v>1142</v>
      </c>
      <c r="G1577" s="24" t="s">
        <v>1200</v>
      </c>
      <c r="H1577" s="24" t="s">
        <v>677</v>
      </c>
      <c r="I1577" s="24" t="s">
        <v>1569</v>
      </c>
      <c r="J1577" s="24" t="s">
        <v>761</v>
      </c>
      <c r="K1577" s="24" t="s">
        <v>1352</v>
      </c>
      <c r="L1577" s="25">
        <v>1</v>
      </c>
      <c r="M1577" s="26">
        <v>11500</v>
      </c>
      <c r="N1577" s="27">
        <v>10.454545454545455</v>
      </c>
      <c r="O1577" s="28">
        <v>10.454545454545455</v>
      </c>
      <c r="P1577" s="28">
        <v>10.176991150442477</v>
      </c>
    </row>
    <row r="1578" spans="1:16" x14ac:dyDescent="0.3">
      <c r="A1578" t="s">
        <v>4472</v>
      </c>
      <c r="B1578" s="24">
        <v>300013</v>
      </c>
      <c r="C1578" s="24" t="s">
        <v>1521</v>
      </c>
      <c r="D1578" s="24" t="s">
        <v>1102</v>
      </c>
      <c r="E1578" s="24" t="s">
        <v>632</v>
      </c>
      <c r="F1578" s="24" t="s">
        <v>1142</v>
      </c>
      <c r="G1578" s="24" t="s">
        <v>1200</v>
      </c>
      <c r="H1578" s="24" t="s">
        <v>677</v>
      </c>
      <c r="I1578" s="24" t="s">
        <v>1569</v>
      </c>
      <c r="J1578" s="24" t="s">
        <v>761</v>
      </c>
      <c r="K1578" s="24" t="s">
        <v>1352</v>
      </c>
      <c r="L1578" s="25">
        <v>1</v>
      </c>
      <c r="M1578" s="26">
        <v>11500</v>
      </c>
      <c r="N1578" s="27">
        <v>10.454545454545455</v>
      </c>
      <c r="O1578" s="28">
        <v>10.454545454545455</v>
      </c>
      <c r="P1578" s="28">
        <v>10.176991150442477</v>
      </c>
    </row>
    <row r="1579" spans="1:16" x14ac:dyDescent="0.3">
      <c r="A1579" t="s">
        <v>4473</v>
      </c>
      <c r="B1579" s="24">
        <v>300019</v>
      </c>
      <c r="C1579" s="24" t="s">
        <v>1556</v>
      </c>
      <c r="D1579" s="24" t="s">
        <v>1102</v>
      </c>
      <c r="E1579" s="24" t="s">
        <v>632</v>
      </c>
      <c r="F1579" s="24" t="s">
        <v>1142</v>
      </c>
      <c r="G1579" s="24" t="s">
        <v>1200</v>
      </c>
      <c r="H1579" s="24" t="s">
        <v>677</v>
      </c>
      <c r="I1579" s="24" t="s">
        <v>1569</v>
      </c>
      <c r="J1579" s="24" t="s">
        <v>761</v>
      </c>
      <c r="K1579" s="24" t="s">
        <v>1352</v>
      </c>
      <c r="L1579" s="25">
        <v>1</v>
      </c>
      <c r="M1579" s="26">
        <v>10680</v>
      </c>
      <c r="N1579" s="27">
        <v>9.709090909090909</v>
      </c>
      <c r="O1579" s="28">
        <v>9.709090909090909</v>
      </c>
      <c r="P1579" s="28">
        <v>9.4513274336283182</v>
      </c>
    </row>
    <row r="1580" spans="1:16" x14ac:dyDescent="0.3">
      <c r="A1580" t="s">
        <v>4474</v>
      </c>
      <c r="B1580" s="24">
        <v>300060</v>
      </c>
      <c r="C1580" s="24" t="s">
        <v>1527</v>
      </c>
      <c r="D1580" s="24" t="s">
        <v>1102</v>
      </c>
      <c r="E1580" s="24" t="s">
        <v>632</v>
      </c>
      <c r="F1580" s="24" t="s">
        <v>1142</v>
      </c>
      <c r="G1580" s="24" t="s">
        <v>1200</v>
      </c>
      <c r="H1580" s="24" t="s">
        <v>677</v>
      </c>
      <c r="I1580" s="24" t="s">
        <v>1569</v>
      </c>
      <c r="J1580" s="24" t="s">
        <v>761</v>
      </c>
      <c r="K1580" s="24" t="s">
        <v>1352</v>
      </c>
      <c r="L1580" s="25">
        <v>1</v>
      </c>
      <c r="M1580" s="26">
        <v>11200</v>
      </c>
      <c r="N1580" s="27">
        <v>10.181818181818182</v>
      </c>
      <c r="O1580" s="28">
        <v>10.181818181818182</v>
      </c>
      <c r="P1580" s="28">
        <v>9.9115044247787605</v>
      </c>
    </row>
    <row r="1581" spans="1:16" x14ac:dyDescent="0.3">
      <c r="A1581" t="s">
        <v>4475</v>
      </c>
      <c r="B1581" s="24">
        <v>300082</v>
      </c>
      <c r="C1581" s="24" t="s">
        <v>1571</v>
      </c>
      <c r="D1581" s="24" t="s">
        <v>1102</v>
      </c>
      <c r="E1581" s="24" t="s">
        <v>632</v>
      </c>
      <c r="F1581" s="24" t="s">
        <v>1142</v>
      </c>
      <c r="G1581" s="24" t="s">
        <v>1200</v>
      </c>
      <c r="H1581" s="24" t="s">
        <v>677</v>
      </c>
      <c r="I1581" s="24" t="s">
        <v>1569</v>
      </c>
      <c r="J1581" s="24" t="s">
        <v>761</v>
      </c>
      <c r="K1581" s="24" t="s">
        <v>1352</v>
      </c>
      <c r="L1581" s="25">
        <v>1</v>
      </c>
      <c r="M1581" s="26">
        <v>11500</v>
      </c>
      <c r="N1581" s="27">
        <v>10.454545454545455</v>
      </c>
      <c r="O1581" s="28">
        <v>10.454545454545455</v>
      </c>
      <c r="P1581" s="28">
        <v>10.176991150442477</v>
      </c>
    </row>
    <row r="1582" spans="1:16" x14ac:dyDescent="0.3">
      <c r="A1582" t="s">
        <v>4476</v>
      </c>
      <c r="B1582" s="24">
        <v>100335</v>
      </c>
      <c r="C1582" s="24" t="s">
        <v>1517</v>
      </c>
      <c r="D1582" s="24" t="s">
        <v>1102</v>
      </c>
      <c r="E1582" s="24" t="s">
        <v>632</v>
      </c>
      <c r="F1582" s="24" t="s">
        <v>1142</v>
      </c>
      <c r="G1582" s="24" t="s">
        <v>1200</v>
      </c>
      <c r="H1582" s="24" t="s">
        <v>678</v>
      </c>
      <c r="I1582" s="24" t="s">
        <v>1569</v>
      </c>
      <c r="J1582" s="24" t="s">
        <v>761</v>
      </c>
      <c r="K1582" s="24" t="s">
        <v>1146</v>
      </c>
      <c r="L1582" s="25">
        <v>1070</v>
      </c>
      <c r="M1582" s="26">
        <v>9.8000000000000007</v>
      </c>
      <c r="N1582" s="27">
        <v>9.8000000000000007</v>
      </c>
      <c r="O1582" s="28">
        <v>8.9090909090909099E-3</v>
      </c>
      <c r="P1582" s="28">
        <v>9.2796460176991147</v>
      </c>
    </row>
    <row r="1583" spans="1:16" x14ac:dyDescent="0.3">
      <c r="A1583" t="s">
        <v>4477</v>
      </c>
      <c r="B1583" s="24">
        <v>142624</v>
      </c>
      <c r="C1583" s="24" t="s">
        <v>1547</v>
      </c>
      <c r="D1583" s="24" t="s">
        <v>1102</v>
      </c>
      <c r="E1583" s="24" t="s">
        <v>632</v>
      </c>
      <c r="F1583" s="24" t="s">
        <v>1237</v>
      </c>
      <c r="G1583" s="24" t="s">
        <v>1486</v>
      </c>
      <c r="H1583" s="24" t="s">
        <v>723</v>
      </c>
      <c r="I1583" s="24" t="s">
        <v>1572</v>
      </c>
      <c r="J1583" s="24" t="s">
        <v>761</v>
      </c>
      <c r="K1583" s="24" t="s">
        <v>1146</v>
      </c>
      <c r="L1583" s="25">
        <v>1070</v>
      </c>
      <c r="M1583" s="26">
        <v>12.32</v>
      </c>
      <c r="N1583" s="27">
        <v>12.32</v>
      </c>
      <c r="O1583" s="28">
        <v>1.12E-2</v>
      </c>
      <c r="P1583" s="28">
        <v>11.665840707964602</v>
      </c>
    </row>
    <row r="1584" spans="1:16" x14ac:dyDescent="0.3">
      <c r="A1584" t="s">
        <v>4478</v>
      </c>
      <c r="B1584" s="24">
        <v>400144</v>
      </c>
      <c r="C1584" s="24" t="s">
        <v>1250</v>
      </c>
      <c r="D1584" s="24" t="s">
        <v>1102</v>
      </c>
      <c r="E1584" s="24" t="s">
        <v>632</v>
      </c>
      <c r="F1584" s="24" t="s">
        <v>1237</v>
      </c>
      <c r="G1584" s="24" t="s">
        <v>1486</v>
      </c>
      <c r="H1584" s="24" t="s">
        <v>723</v>
      </c>
      <c r="I1584" s="24" t="s">
        <v>1572</v>
      </c>
      <c r="J1584" s="24" t="s">
        <v>761</v>
      </c>
      <c r="K1584" s="24" t="s">
        <v>1146</v>
      </c>
      <c r="L1584" s="25">
        <v>1070</v>
      </c>
      <c r="M1584" s="26">
        <v>12.32</v>
      </c>
      <c r="N1584" s="27">
        <v>12.32</v>
      </c>
      <c r="O1584" s="28">
        <v>1.12E-2</v>
      </c>
      <c r="P1584" s="28">
        <v>11.665840707964602</v>
      </c>
    </row>
    <row r="1585" spans="1:16" x14ac:dyDescent="0.3">
      <c r="A1585" t="s">
        <v>4479</v>
      </c>
      <c r="B1585" s="24">
        <v>100335</v>
      </c>
      <c r="C1585" s="24" t="s">
        <v>1517</v>
      </c>
      <c r="D1585" s="24" t="s">
        <v>1102</v>
      </c>
      <c r="E1585" s="24" t="s">
        <v>632</v>
      </c>
      <c r="F1585" s="24" t="s">
        <v>1142</v>
      </c>
      <c r="G1585" s="24" t="s">
        <v>1200</v>
      </c>
      <c r="H1585" s="24" t="s">
        <v>716</v>
      </c>
      <c r="I1585" s="24" t="s">
        <v>1573</v>
      </c>
      <c r="J1585" s="24" t="s">
        <v>761</v>
      </c>
      <c r="K1585" s="24" t="s">
        <v>1146</v>
      </c>
      <c r="L1585" s="25">
        <v>1070</v>
      </c>
      <c r="M1585" s="26">
        <v>23.77</v>
      </c>
      <c r="N1585" s="27">
        <v>23.77</v>
      </c>
      <c r="O1585" s="28">
        <v>2.1609090909090908E-2</v>
      </c>
      <c r="P1585" s="28">
        <v>22.50787610619469</v>
      </c>
    </row>
    <row r="1586" spans="1:16" x14ac:dyDescent="0.3">
      <c r="A1586" t="s">
        <v>4480</v>
      </c>
      <c r="B1586" s="24">
        <v>100702</v>
      </c>
      <c r="C1586" s="24" t="s">
        <v>1357</v>
      </c>
      <c r="D1586" s="24" t="s">
        <v>1102</v>
      </c>
      <c r="E1586" s="24" t="s">
        <v>632</v>
      </c>
      <c r="F1586" s="24" t="s">
        <v>1142</v>
      </c>
      <c r="G1586" s="24" t="s">
        <v>1200</v>
      </c>
      <c r="H1586" s="24" t="s">
        <v>679</v>
      </c>
      <c r="I1586" s="24" t="s">
        <v>1574</v>
      </c>
      <c r="J1586" s="24" t="s">
        <v>761</v>
      </c>
      <c r="K1586" s="24" t="s">
        <v>1352</v>
      </c>
      <c r="L1586" s="25">
        <v>1</v>
      </c>
      <c r="M1586" s="26">
        <v>11900</v>
      </c>
      <c r="N1586" s="27">
        <v>10.818181818181818</v>
      </c>
      <c r="O1586" s="28">
        <v>10.818181818181818</v>
      </c>
      <c r="P1586" s="28">
        <v>10.530973451327434</v>
      </c>
    </row>
    <row r="1587" spans="1:16" x14ac:dyDescent="0.3">
      <c r="A1587" t="s">
        <v>4481</v>
      </c>
      <c r="B1587" s="24">
        <v>300009</v>
      </c>
      <c r="C1587" s="24" t="s">
        <v>1519</v>
      </c>
      <c r="D1587" s="24" t="s">
        <v>1102</v>
      </c>
      <c r="E1587" s="24" t="s">
        <v>632</v>
      </c>
      <c r="F1587" s="24" t="s">
        <v>1142</v>
      </c>
      <c r="G1587" s="24" t="s">
        <v>1200</v>
      </c>
      <c r="H1587" s="24" t="s">
        <v>679</v>
      </c>
      <c r="I1587" s="24" t="s">
        <v>1574</v>
      </c>
      <c r="J1587" s="24" t="s">
        <v>761</v>
      </c>
      <c r="K1587" s="24" t="s">
        <v>1352</v>
      </c>
      <c r="L1587" s="25">
        <v>1</v>
      </c>
      <c r="M1587" s="26">
        <v>11900</v>
      </c>
      <c r="N1587" s="27">
        <v>10.818181818181818</v>
      </c>
      <c r="O1587" s="28">
        <v>10.818181818181818</v>
      </c>
      <c r="P1587" s="28">
        <v>10.530973451327434</v>
      </c>
    </row>
    <row r="1588" spans="1:16" x14ac:dyDescent="0.3">
      <c r="A1588" t="s">
        <v>4482</v>
      </c>
      <c r="B1588" s="24">
        <v>300013</v>
      </c>
      <c r="C1588" s="24" t="s">
        <v>1521</v>
      </c>
      <c r="D1588" s="24" t="s">
        <v>1102</v>
      </c>
      <c r="E1588" s="24" t="s">
        <v>632</v>
      </c>
      <c r="F1588" s="24" t="s">
        <v>1142</v>
      </c>
      <c r="G1588" s="24" t="s">
        <v>1200</v>
      </c>
      <c r="H1588" s="24" t="s">
        <v>679</v>
      </c>
      <c r="I1588" s="24" t="s">
        <v>1574</v>
      </c>
      <c r="J1588" s="24" t="s">
        <v>761</v>
      </c>
      <c r="K1588" s="24" t="s">
        <v>1352</v>
      </c>
      <c r="L1588" s="25">
        <v>1</v>
      </c>
      <c r="M1588" s="26">
        <v>11900</v>
      </c>
      <c r="N1588" s="27">
        <v>10.818181818181818</v>
      </c>
      <c r="O1588" s="28">
        <v>10.818181818181818</v>
      </c>
      <c r="P1588" s="28">
        <v>10.530973451327434</v>
      </c>
    </row>
    <row r="1589" spans="1:16" x14ac:dyDescent="0.3">
      <c r="A1589" t="s">
        <v>4483</v>
      </c>
      <c r="B1589" s="24">
        <v>300054</v>
      </c>
      <c r="C1589" s="24" t="s">
        <v>1538</v>
      </c>
      <c r="D1589" s="24" t="s">
        <v>1102</v>
      </c>
      <c r="E1589" s="24" t="s">
        <v>632</v>
      </c>
      <c r="F1589" s="24" t="s">
        <v>1142</v>
      </c>
      <c r="G1589" s="24" t="s">
        <v>1200</v>
      </c>
      <c r="H1589" s="24" t="s">
        <v>679</v>
      </c>
      <c r="I1589" s="24" t="s">
        <v>1574</v>
      </c>
      <c r="J1589" s="24" t="s">
        <v>761</v>
      </c>
      <c r="K1589" s="24" t="s">
        <v>1352</v>
      </c>
      <c r="L1589" s="25">
        <v>1</v>
      </c>
      <c r="M1589" s="26">
        <v>11900</v>
      </c>
      <c r="N1589" s="27">
        <v>10.818181818181818</v>
      </c>
      <c r="O1589" s="28">
        <v>10.818181818181818</v>
      </c>
      <c r="P1589" s="28">
        <v>10.530973451327434</v>
      </c>
    </row>
    <row r="1590" spans="1:16" x14ac:dyDescent="0.3">
      <c r="A1590" t="s">
        <v>4484</v>
      </c>
      <c r="B1590" s="24">
        <v>300060</v>
      </c>
      <c r="C1590" s="24" t="s">
        <v>1527</v>
      </c>
      <c r="D1590" s="24" t="s">
        <v>1102</v>
      </c>
      <c r="E1590" s="24" t="s">
        <v>632</v>
      </c>
      <c r="F1590" s="24" t="s">
        <v>1142</v>
      </c>
      <c r="G1590" s="24" t="s">
        <v>1200</v>
      </c>
      <c r="H1590" s="24" t="s">
        <v>679</v>
      </c>
      <c r="I1590" s="24" t="s">
        <v>1574</v>
      </c>
      <c r="J1590" s="24" t="s">
        <v>761</v>
      </c>
      <c r="K1590" s="24" t="s">
        <v>1352</v>
      </c>
      <c r="L1590" s="25">
        <v>1</v>
      </c>
      <c r="M1590" s="26">
        <v>11600</v>
      </c>
      <c r="N1590" s="27">
        <v>10.545454545454545</v>
      </c>
      <c r="O1590" s="28">
        <v>10.545454545454545</v>
      </c>
      <c r="P1590" s="28">
        <v>10.265486725663717</v>
      </c>
    </row>
    <row r="1591" spans="1:16" x14ac:dyDescent="0.3">
      <c r="A1591" t="s">
        <v>4485</v>
      </c>
      <c r="B1591" s="24">
        <v>100702</v>
      </c>
      <c r="C1591" s="24" t="s">
        <v>1357</v>
      </c>
      <c r="D1591" s="24" t="s">
        <v>1102</v>
      </c>
      <c r="E1591" s="24" t="s">
        <v>632</v>
      </c>
      <c r="F1591" s="24" t="s">
        <v>1142</v>
      </c>
      <c r="G1591" s="24" t="s">
        <v>1200</v>
      </c>
      <c r="H1591" s="24" t="s">
        <v>680</v>
      </c>
      <c r="I1591" s="24" t="s">
        <v>1575</v>
      </c>
      <c r="J1591" s="24" t="s">
        <v>761</v>
      </c>
      <c r="K1591" s="24" t="s">
        <v>1352</v>
      </c>
      <c r="L1591" s="25">
        <v>1</v>
      </c>
      <c r="M1591" s="26">
        <v>10900</v>
      </c>
      <c r="N1591" s="27">
        <v>9.9090909090909083</v>
      </c>
      <c r="O1591" s="28">
        <v>9.9090909090909083</v>
      </c>
      <c r="P1591" s="28">
        <v>9.6460176991150437</v>
      </c>
    </row>
    <row r="1592" spans="1:16" x14ac:dyDescent="0.3">
      <c r="A1592" t="s">
        <v>4486</v>
      </c>
      <c r="B1592" s="24">
        <v>300009</v>
      </c>
      <c r="C1592" s="24" t="s">
        <v>1519</v>
      </c>
      <c r="D1592" s="24" t="s">
        <v>1102</v>
      </c>
      <c r="E1592" s="24" t="s">
        <v>632</v>
      </c>
      <c r="F1592" s="24" t="s">
        <v>1142</v>
      </c>
      <c r="G1592" s="24" t="s">
        <v>1200</v>
      </c>
      <c r="H1592" s="24" t="s">
        <v>680</v>
      </c>
      <c r="I1592" s="24" t="s">
        <v>1575</v>
      </c>
      <c r="J1592" s="24" t="s">
        <v>761</v>
      </c>
      <c r="K1592" s="24" t="s">
        <v>1352</v>
      </c>
      <c r="L1592" s="25">
        <v>1</v>
      </c>
      <c r="M1592" s="26">
        <v>10200</v>
      </c>
      <c r="N1592" s="27">
        <v>9.2727272727272734</v>
      </c>
      <c r="O1592" s="28">
        <v>9.2727272727272734</v>
      </c>
      <c r="P1592" s="28">
        <v>9.0265486725663724</v>
      </c>
    </row>
    <row r="1593" spans="1:16" x14ac:dyDescent="0.3">
      <c r="A1593" t="s">
        <v>4487</v>
      </c>
      <c r="B1593" s="24">
        <v>300013</v>
      </c>
      <c r="C1593" s="24" t="s">
        <v>1521</v>
      </c>
      <c r="D1593" s="24" t="s">
        <v>1102</v>
      </c>
      <c r="E1593" s="24" t="s">
        <v>632</v>
      </c>
      <c r="F1593" s="24" t="s">
        <v>1142</v>
      </c>
      <c r="G1593" s="24" t="s">
        <v>1200</v>
      </c>
      <c r="H1593" s="24" t="s">
        <v>680</v>
      </c>
      <c r="I1593" s="24" t="s">
        <v>1575</v>
      </c>
      <c r="J1593" s="24" t="s">
        <v>761</v>
      </c>
      <c r="K1593" s="24" t="s">
        <v>1352</v>
      </c>
      <c r="L1593" s="25">
        <v>1</v>
      </c>
      <c r="M1593" s="26">
        <v>11600</v>
      </c>
      <c r="N1593" s="27">
        <v>10.545454545454545</v>
      </c>
      <c r="O1593" s="28">
        <v>10.545454545454545</v>
      </c>
      <c r="P1593" s="28">
        <v>10.265486725663717</v>
      </c>
    </row>
    <row r="1594" spans="1:16" x14ac:dyDescent="0.3">
      <c r="A1594" t="s">
        <v>4488</v>
      </c>
      <c r="B1594" s="24">
        <v>100702</v>
      </c>
      <c r="C1594" s="24" t="s">
        <v>1357</v>
      </c>
      <c r="D1594" s="24" t="s">
        <v>1102</v>
      </c>
      <c r="E1594" s="24" t="s">
        <v>632</v>
      </c>
      <c r="F1594" s="24" t="s">
        <v>1142</v>
      </c>
      <c r="G1594" s="24" t="s">
        <v>1200</v>
      </c>
      <c r="H1594" s="24" t="s">
        <v>681</v>
      </c>
      <c r="I1594" s="24" t="s">
        <v>1576</v>
      </c>
      <c r="J1594" s="24" t="s">
        <v>761</v>
      </c>
      <c r="K1594" s="24" t="s">
        <v>1352</v>
      </c>
      <c r="L1594" s="25">
        <v>1</v>
      </c>
      <c r="M1594" s="26">
        <v>11940</v>
      </c>
      <c r="N1594" s="27">
        <v>10.854545454545455</v>
      </c>
      <c r="O1594" s="28">
        <v>10.854545454545455</v>
      </c>
      <c r="P1594" s="28">
        <v>10.56637168141593</v>
      </c>
    </row>
    <row r="1595" spans="1:16" x14ac:dyDescent="0.3">
      <c r="A1595" t="s">
        <v>4489</v>
      </c>
      <c r="B1595" s="24">
        <v>142336</v>
      </c>
      <c r="C1595" s="24" t="s">
        <v>1570</v>
      </c>
      <c r="D1595" s="24" t="s">
        <v>1102</v>
      </c>
      <c r="E1595" s="24" t="s">
        <v>632</v>
      </c>
      <c r="F1595" s="24" t="s">
        <v>1142</v>
      </c>
      <c r="G1595" s="24" t="s">
        <v>1200</v>
      </c>
      <c r="H1595" s="24" t="s">
        <v>681</v>
      </c>
      <c r="I1595" s="24" t="s">
        <v>1576</v>
      </c>
      <c r="J1595" s="24" t="s">
        <v>761</v>
      </c>
      <c r="K1595" s="24" t="s">
        <v>1352</v>
      </c>
      <c r="L1595" s="25">
        <v>1</v>
      </c>
      <c r="M1595" s="26">
        <v>12700</v>
      </c>
      <c r="N1595" s="27">
        <v>11.545454545454545</v>
      </c>
      <c r="O1595" s="28">
        <v>11.545454545454545</v>
      </c>
      <c r="P1595" s="28">
        <v>11.238938053097344</v>
      </c>
    </row>
    <row r="1596" spans="1:16" x14ac:dyDescent="0.3">
      <c r="A1596" t="s">
        <v>4490</v>
      </c>
      <c r="B1596" s="24">
        <v>300013</v>
      </c>
      <c r="C1596" s="24" t="s">
        <v>1521</v>
      </c>
      <c r="D1596" s="24" t="s">
        <v>1102</v>
      </c>
      <c r="E1596" s="24" t="s">
        <v>632</v>
      </c>
      <c r="F1596" s="24" t="s">
        <v>1142</v>
      </c>
      <c r="G1596" s="24" t="s">
        <v>1200</v>
      </c>
      <c r="H1596" s="24" t="s">
        <v>681</v>
      </c>
      <c r="I1596" s="24" t="s">
        <v>1576</v>
      </c>
      <c r="J1596" s="24" t="s">
        <v>761</v>
      </c>
      <c r="K1596" s="24" t="s">
        <v>1352</v>
      </c>
      <c r="L1596" s="25">
        <v>1</v>
      </c>
      <c r="M1596" s="26">
        <v>12700</v>
      </c>
      <c r="N1596" s="27">
        <v>11.545454545454545</v>
      </c>
      <c r="O1596" s="28">
        <v>11.545454545454545</v>
      </c>
      <c r="P1596" s="28">
        <v>11.238938053097344</v>
      </c>
    </row>
    <row r="1597" spans="1:16" x14ac:dyDescent="0.3">
      <c r="A1597" t="s">
        <v>4491</v>
      </c>
      <c r="B1597" s="24">
        <v>300054</v>
      </c>
      <c r="C1597" s="24" t="s">
        <v>1538</v>
      </c>
      <c r="D1597" s="24" t="s">
        <v>1102</v>
      </c>
      <c r="E1597" s="24" t="s">
        <v>632</v>
      </c>
      <c r="F1597" s="24" t="s">
        <v>1142</v>
      </c>
      <c r="G1597" s="24" t="s">
        <v>1200</v>
      </c>
      <c r="H1597" s="24" t="s">
        <v>681</v>
      </c>
      <c r="I1597" s="24" t="s">
        <v>1576</v>
      </c>
      <c r="J1597" s="24" t="s">
        <v>761</v>
      </c>
      <c r="K1597" s="24" t="s">
        <v>1352</v>
      </c>
      <c r="L1597" s="25">
        <v>1</v>
      </c>
      <c r="M1597" s="26">
        <v>11940</v>
      </c>
      <c r="N1597" s="27">
        <v>10.854545454545455</v>
      </c>
      <c r="O1597" s="28">
        <v>10.854545454545455</v>
      </c>
      <c r="P1597" s="28">
        <v>10.56637168141593</v>
      </c>
    </row>
    <row r="1598" spans="1:16" x14ac:dyDescent="0.3">
      <c r="A1598" t="s">
        <v>4492</v>
      </c>
      <c r="B1598" s="24">
        <v>142624</v>
      </c>
      <c r="C1598" s="24" t="s">
        <v>1547</v>
      </c>
      <c r="D1598" s="24" t="s">
        <v>1102</v>
      </c>
      <c r="E1598" s="24" t="s">
        <v>632</v>
      </c>
      <c r="F1598" s="24" t="s">
        <v>1237</v>
      </c>
      <c r="G1598" s="24" t="s">
        <v>1486</v>
      </c>
      <c r="H1598" s="24" t="s">
        <v>724</v>
      </c>
      <c r="I1598" s="24" t="s">
        <v>1577</v>
      </c>
      <c r="J1598" s="24" t="s">
        <v>761</v>
      </c>
      <c r="K1598" s="24" t="s">
        <v>1146</v>
      </c>
      <c r="L1598" s="25">
        <v>1070</v>
      </c>
      <c r="M1598" s="26">
        <v>12.54</v>
      </c>
      <c r="N1598" s="27">
        <v>12.54</v>
      </c>
      <c r="O1598" s="28">
        <v>1.1399999999999999E-2</v>
      </c>
      <c r="P1598" s="28">
        <v>11.874159292035397</v>
      </c>
    </row>
    <row r="1599" spans="1:16" x14ac:dyDescent="0.3">
      <c r="A1599" t="s">
        <v>4493</v>
      </c>
      <c r="B1599" s="24">
        <v>400144</v>
      </c>
      <c r="C1599" s="24" t="s">
        <v>1250</v>
      </c>
      <c r="D1599" s="24" t="s">
        <v>1102</v>
      </c>
      <c r="E1599" s="24" t="s">
        <v>632</v>
      </c>
      <c r="F1599" s="24" t="s">
        <v>1237</v>
      </c>
      <c r="G1599" s="24" t="s">
        <v>1486</v>
      </c>
      <c r="H1599" s="24" t="s">
        <v>724</v>
      </c>
      <c r="I1599" s="24" t="s">
        <v>1577</v>
      </c>
      <c r="J1599" s="24" t="s">
        <v>761</v>
      </c>
      <c r="K1599" s="24" t="s">
        <v>1146</v>
      </c>
      <c r="L1599" s="25">
        <v>1070</v>
      </c>
      <c r="M1599" s="26">
        <v>12.54</v>
      </c>
      <c r="N1599" s="27">
        <v>12.54</v>
      </c>
      <c r="O1599" s="28">
        <v>1.1399999999999999E-2</v>
      </c>
      <c r="P1599" s="28">
        <v>11.874159292035397</v>
      </c>
    </row>
    <row r="1600" spans="1:16" x14ac:dyDescent="0.3">
      <c r="A1600" t="s">
        <v>4494</v>
      </c>
      <c r="B1600" s="24">
        <v>100702</v>
      </c>
      <c r="C1600" s="24" t="s">
        <v>1357</v>
      </c>
      <c r="D1600" s="24" t="s">
        <v>1102</v>
      </c>
      <c r="E1600" s="24" t="s">
        <v>632</v>
      </c>
      <c r="F1600" s="24" t="s">
        <v>1142</v>
      </c>
      <c r="G1600" s="24" t="s">
        <v>1200</v>
      </c>
      <c r="H1600" s="24" t="s">
        <v>717</v>
      </c>
      <c r="I1600" s="24" t="s">
        <v>1578</v>
      </c>
      <c r="J1600" s="24" t="s">
        <v>761</v>
      </c>
      <c r="K1600" s="24" t="s">
        <v>1352</v>
      </c>
      <c r="L1600" s="25">
        <v>1</v>
      </c>
      <c r="M1600" s="26">
        <v>24430</v>
      </c>
      <c r="N1600" s="27">
        <v>22.209090909090911</v>
      </c>
      <c r="O1600" s="28">
        <v>22.209090909090911</v>
      </c>
      <c r="P1600" s="28">
        <v>21.619469026548671</v>
      </c>
    </row>
    <row r="1601" spans="1:16" x14ac:dyDescent="0.3">
      <c r="A1601" t="s">
        <v>4495</v>
      </c>
      <c r="B1601" s="24">
        <v>142624</v>
      </c>
      <c r="C1601" s="24" t="s">
        <v>1547</v>
      </c>
      <c r="D1601" s="24" t="s">
        <v>1102</v>
      </c>
      <c r="E1601" s="24" t="s">
        <v>632</v>
      </c>
      <c r="F1601" s="24" t="s">
        <v>1237</v>
      </c>
      <c r="G1601" s="24" t="s">
        <v>1486</v>
      </c>
      <c r="H1601" s="24" t="s">
        <v>725</v>
      </c>
      <c r="I1601" s="24" t="s">
        <v>1579</v>
      </c>
      <c r="J1601" s="24" t="s">
        <v>761</v>
      </c>
      <c r="K1601" s="24" t="s">
        <v>1146</v>
      </c>
      <c r="L1601" s="25">
        <v>1070</v>
      </c>
      <c r="M1601" s="26">
        <v>17.55</v>
      </c>
      <c r="N1601" s="27">
        <v>17.55</v>
      </c>
      <c r="O1601" s="28">
        <v>1.5954545454545454E-2</v>
      </c>
      <c r="P1601" s="28">
        <v>16.618141592920352</v>
      </c>
    </row>
    <row r="1602" spans="1:16" x14ac:dyDescent="0.3">
      <c r="A1602" t="s">
        <v>4496</v>
      </c>
      <c r="B1602" s="24">
        <v>400144</v>
      </c>
      <c r="C1602" s="24" t="s">
        <v>1250</v>
      </c>
      <c r="D1602" s="24" t="s">
        <v>1102</v>
      </c>
      <c r="E1602" s="24" t="s">
        <v>632</v>
      </c>
      <c r="F1602" s="24" t="s">
        <v>1237</v>
      </c>
      <c r="G1602" s="24" t="s">
        <v>1486</v>
      </c>
      <c r="H1602" s="24" t="s">
        <v>725</v>
      </c>
      <c r="I1602" s="24" t="s">
        <v>1579</v>
      </c>
      <c r="J1602" s="24" t="s">
        <v>761</v>
      </c>
      <c r="K1602" s="24" t="s">
        <v>1146</v>
      </c>
      <c r="L1602" s="25">
        <v>1070</v>
      </c>
      <c r="M1602" s="26">
        <v>17.55</v>
      </c>
      <c r="N1602" s="27">
        <v>17.55</v>
      </c>
      <c r="O1602" s="28">
        <v>1.5954545454545454E-2</v>
      </c>
      <c r="P1602" s="28">
        <v>16.618141592920352</v>
      </c>
    </row>
    <row r="1603" spans="1:16" x14ac:dyDescent="0.3">
      <c r="A1603" t="s">
        <v>4497</v>
      </c>
      <c r="B1603" s="24">
        <v>142624</v>
      </c>
      <c r="C1603" s="24" t="s">
        <v>1547</v>
      </c>
      <c r="D1603" s="24" t="s">
        <v>1102</v>
      </c>
      <c r="E1603" s="24" t="s">
        <v>632</v>
      </c>
      <c r="F1603" s="24" t="s">
        <v>1237</v>
      </c>
      <c r="G1603" s="24" t="s">
        <v>1486</v>
      </c>
      <c r="H1603" s="24" t="s">
        <v>726</v>
      </c>
      <c r="I1603" s="24" t="s">
        <v>1580</v>
      </c>
      <c r="J1603" s="24" t="s">
        <v>761</v>
      </c>
      <c r="K1603" s="24" t="s">
        <v>1146</v>
      </c>
      <c r="L1603" s="25">
        <v>1070</v>
      </c>
      <c r="M1603" s="26">
        <v>17.100000000000001</v>
      </c>
      <c r="N1603" s="27">
        <v>17.100000000000001</v>
      </c>
      <c r="O1603" s="28">
        <v>1.5545454545454546E-2</v>
      </c>
      <c r="P1603" s="28">
        <v>16.19203539823009</v>
      </c>
    </row>
    <row r="1604" spans="1:16" x14ac:dyDescent="0.3">
      <c r="A1604" t="s">
        <v>4498</v>
      </c>
      <c r="B1604" s="24">
        <v>400144</v>
      </c>
      <c r="C1604" s="24" t="s">
        <v>1250</v>
      </c>
      <c r="D1604" s="24" t="s">
        <v>1102</v>
      </c>
      <c r="E1604" s="24" t="s">
        <v>632</v>
      </c>
      <c r="F1604" s="24" t="s">
        <v>1237</v>
      </c>
      <c r="G1604" s="24" t="s">
        <v>1486</v>
      </c>
      <c r="H1604" s="24" t="s">
        <v>726</v>
      </c>
      <c r="I1604" s="24" t="s">
        <v>1580</v>
      </c>
      <c r="J1604" s="24" t="s">
        <v>761</v>
      </c>
      <c r="K1604" s="24" t="s">
        <v>1146</v>
      </c>
      <c r="L1604" s="25">
        <v>1070</v>
      </c>
      <c r="M1604" s="26">
        <v>17.100000000000001</v>
      </c>
      <c r="N1604" s="27">
        <v>17.100000000000001</v>
      </c>
      <c r="O1604" s="28">
        <v>1.5545454545454546E-2</v>
      </c>
      <c r="P1604" s="28">
        <v>16.19203539823009</v>
      </c>
    </row>
    <row r="1605" spans="1:16" x14ac:dyDescent="0.3">
      <c r="A1605" t="s">
        <v>4499</v>
      </c>
      <c r="B1605" s="24">
        <v>100581</v>
      </c>
      <c r="C1605" s="24" t="s">
        <v>1232</v>
      </c>
      <c r="D1605" s="24" t="s">
        <v>1102</v>
      </c>
      <c r="E1605" s="24" t="s">
        <v>51</v>
      </c>
      <c r="F1605" s="24" t="s">
        <v>1142</v>
      </c>
      <c r="G1605" s="24" t="s">
        <v>1233</v>
      </c>
      <c r="H1605" s="24" t="s">
        <v>188</v>
      </c>
      <c r="I1605" s="24" t="s">
        <v>1581</v>
      </c>
      <c r="J1605" s="24" t="s">
        <v>761</v>
      </c>
      <c r="K1605" s="24" t="s">
        <v>1146</v>
      </c>
      <c r="L1605" s="25">
        <v>1070</v>
      </c>
      <c r="M1605" s="26">
        <v>38.97</v>
      </c>
      <c r="N1605" s="27">
        <v>38.97</v>
      </c>
      <c r="O1605" s="28">
        <v>3.5427272727272724E-2</v>
      </c>
      <c r="P1605" s="28">
        <v>36.900796460176991</v>
      </c>
    </row>
    <row r="1606" spans="1:16" x14ac:dyDescent="0.3">
      <c r="A1606" t="s">
        <v>4500</v>
      </c>
      <c r="B1606" s="24">
        <v>100603</v>
      </c>
      <c r="C1606" s="24" t="s">
        <v>1277</v>
      </c>
      <c r="D1606" s="24" t="s">
        <v>1102</v>
      </c>
      <c r="E1606" s="24" t="s">
        <v>51</v>
      </c>
      <c r="F1606" s="24" t="s">
        <v>1142</v>
      </c>
      <c r="G1606" s="24" t="s">
        <v>1082</v>
      </c>
      <c r="H1606" s="24" t="s">
        <v>188</v>
      </c>
      <c r="I1606" s="24" t="s">
        <v>1581</v>
      </c>
      <c r="J1606" s="24" t="s">
        <v>761</v>
      </c>
      <c r="K1606" s="24" t="s">
        <v>1146</v>
      </c>
      <c r="L1606" s="25">
        <v>1070</v>
      </c>
      <c r="M1606" s="26">
        <v>38.97</v>
      </c>
      <c r="N1606" s="27">
        <v>38.97</v>
      </c>
      <c r="O1606" s="28">
        <v>3.5427272727272724E-2</v>
      </c>
      <c r="P1606" s="28">
        <v>36.900796460176991</v>
      </c>
    </row>
    <row r="1607" spans="1:16" x14ac:dyDescent="0.3">
      <c r="A1607" t="s">
        <v>4501</v>
      </c>
      <c r="B1607" s="24">
        <v>101424</v>
      </c>
      <c r="C1607" s="24" t="s">
        <v>1278</v>
      </c>
      <c r="D1607" s="24" t="s">
        <v>1102</v>
      </c>
      <c r="E1607" s="24" t="s">
        <v>51</v>
      </c>
      <c r="F1607" s="24" t="s">
        <v>1142</v>
      </c>
      <c r="G1607" s="24" t="s">
        <v>1203</v>
      </c>
      <c r="H1607" s="24" t="s">
        <v>188</v>
      </c>
      <c r="I1607" s="24" t="s">
        <v>1581</v>
      </c>
      <c r="J1607" s="24" t="s">
        <v>761</v>
      </c>
      <c r="K1607" s="24" t="s">
        <v>1146</v>
      </c>
      <c r="L1607" s="25">
        <v>1070</v>
      </c>
      <c r="M1607" s="26">
        <v>38.97</v>
      </c>
      <c r="N1607" s="27">
        <v>38.97</v>
      </c>
      <c r="O1607" s="28">
        <v>3.5427272727272724E-2</v>
      </c>
      <c r="P1607" s="28">
        <v>36.900796460176991</v>
      </c>
    </row>
    <row r="1608" spans="1:16" x14ac:dyDescent="0.3">
      <c r="A1608" t="s">
        <v>4502</v>
      </c>
      <c r="B1608" s="24">
        <v>111550</v>
      </c>
      <c r="C1608" s="24" t="s">
        <v>1582</v>
      </c>
      <c r="D1608" s="24" t="s">
        <v>1102</v>
      </c>
      <c r="E1608" s="24" t="s">
        <v>51</v>
      </c>
      <c r="F1608" s="24" t="s">
        <v>1142</v>
      </c>
      <c r="G1608" s="24" t="s">
        <v>1402</v>
      </c>
      <c r="H1608" s="24" t="s">
        <v>188</v>
      </c>
      <c r="I1608" s="24" t="s">
        <v>1581</v>
      </c>
      <c r="J1608" s="24" t="s">
        <v>761</v>
      </c>
      <c r="K1608" s="24" t="s">
        <v>1146</v>
      </c>
      <c r="L1608" s="25">
        <v>1070</v>
      </c>
      <c r="M1608" s="26">
        <v>38.97</v>
      </c>
      <c r="N1608" s="27">
        <v>38.97</v>
      </c>
      <c r="O1608" s="28">
        <v>3.5427272727272724E-2</v>
      </c>
      <c r="P1608" s="28">
        <v>36.900796460176991</v>
      </c>
    </row>
    <row r="1609" spans="1:16" x14ac:dyDescent="0.3">
      <c r="A1609" t="s">
        <v>4503</v>
      </c>
      <c r="B1609" s="24">
        <v>100581</v>
      </c>
      <c r="C1609" s="24" t="s">
        <v>1232</v>
      </c>
      <c r="D1609" s="24" t="s">
        <v>1102</v>
      </c>
      <c r="E1609" s="24" t="s">
        <v>51</v>
      </c>
      <c r="F1609" s="24" t="s">
        <v>1142</v>
      </c>
      <c r="G1609" s="24" t="s">
        <v>1233</v>
      </c>
      <c r="H1609" s="24" t="s">
        <v>187</v>
      </c>
      <c r="I1609" s="24" t="s">
        <v>1583</v>
      </c>
      <c r="J1609" s="24" t="s">
        <v>761</v>
      </c>
      <c r="K1609" s="24" t="s">
        <v>1146</v>
      </c>
      <c r="L1609" s="25">
        <v>1070</v>
      </c>
      <c r="M1609" s="26">
        <v>74</v>
      </c>
      <c r="N1609" s="27">
        <v>74</v>
      </c>
      <c r="O1609" s="28">
        <v>6.7272727272727276E-2</v>
      </c>
      <c r="P1609" s="28">
        <v>70.070796460176993</v>
      </c>
    </row>
    <row r="1610" spans="1:16" x14ac:dyDescent="0.3">
      <c r="A1610" t="s">
        <v>4504</v>
      </c>
      <c r="B1610" s="24">
        <v>101424</v>
      </c>
      <c r="C1610" s="24" t="s">
        <v>1278</v>
      </c>
      <c r="D1610" s="24" t="s">
        <v>1102</v>
      </c>
      <c r="E1610" s="24" t="s">
        <v>51</v>
      </c>
      <c r="F1610" s="24" t="s">
        <v>1142</v>
      </c>
      <c r="G1610" s="24" t="s">
        <v>1203</v>
      </c>
      <c r="H1610" s="24" t="s">
        <v>187</v>
      </c>
      <c r="I1610" s="24" t="s">
        <v>1583</v>
      </c>
      <c r="J1610" s="24" t="s">
        <v>761</v>
      </c>
      <c r="K1610" s="24" t="s">
        <v>1146</v>
      </c>
      <c r="L1610" s="25">
        <v>1070</v>
      </c>
      <c r="M1610" s="26">
        <v>74</v>
      </c>
      <c r="N1610" s="27">
        <v>74</v>
      </c>
      <c r="O1610" s="28">
        <v>6.7272727272727276E-2</v>
      </c>
      <c r="P1610" s="28">
        <v>70.070796460176993</v>
      </c>
    </row>
    <row r="1611" spans="1:16" x14ac:dyDescent="0.3">
      <c r="A1611" t="s">
        <v>4505</v>
      </c>
      <c r="B1611" s="24">
        <v>109171</v>
      </c>
      <c r="C1611" s="24" t="s">
        <v>1279</v>
      </c>
      <c r="D1611" s="24" t="s">
        <v>1102</v>
      </c>
      <c r="E1611" s="24" t="s">
        <v>51</v>
      </c>
      <c r="F1611" s="24" t="s">
        <v>1142</v>
      </c>
      <c r="G1611" s="24" t="s">
        <v>1203</v>
      </c>
      <c r="H1611" s="24" t="s">
        <v>187</v>
      </c>
      <c r="I1611" s="24" t="s">
        <v>1583</v>
      </c>
      <c r="J1611" s="24" t="s">
        <v>761</v>
      </c>
      <c r="K1611" s="24" t="s">
        <v>1146</v>
      </c>
      <c r="L1611" s="25">
        <v>1070</v>
      </c>
      <c r="M1611" s="26">
        <v>74</v>
      </c>
      <c r="N1611" s="27">
        <v>74</v>
      </c>
      <c r="O1611" s="28">
        <v>6.7272727272727276E-2</v>
      </c>
      <c r="P1611" s="28">
        <v>70.070796460176993</v>
      </c>
    </row>
    <row r="1612" spans="1:16" x14ac:dyDescent="0.3">
      <c r="A1612" t="s">
        <v>4506</v>
      </c>
      <c r="B1612" s="24">
        <v>111550</v>
      </c>
      <c r="C1612" s="24" t="s">
        <v>1582</v>
      </c>
      <c r="D1612" s="24" t="s">
        <v>1102</v>
      </c>
      <c r="E1612" s="24" t="s">
        <v>51</v>
      </c>
      <c r="F1612" s="24" t="s">
        <v>1142</v>
      </c>
      <c r="G1612" s="24" t="s">
        <v>1402</v>
      </c>
      <c r="H1612" s="24" t="s">
        <v>187</v>
      </c>
      <c r="I1612" s="24" t="s">
        <v>1583</v>
      </c>
      <c r="J1612" s="24" t="s">
        <v>761</v>
      </c>
      <c r="K1612" s="24" t="s">
        <v>1146</v>
      </c>
      <c r="L1612" s="25">
        <v>1070</v>
      </c>
      <c r="M1612" s="26">
        <v>74</v>
      </c>
      <c r="N1612" s="27">
        <v>74</v>
      </c>
      <c r="O1612" s="28">
        <v>6.7272727272727276E-2</v>
      </c>
      <c r="P1612" s="28">
        <v>70.070796460176993</v>
      </c>
    </row>
    <row r="1613" spans="1:16" x14ac:dyDescent="0.3">
      <c r="A1613" t="s">
        <v>4507</v>
      </c>
      <c r="B1613" s="24">
        <v>101424</v>
      </c>
      <c r="C1613" s="24" t="s">
        <v>1278</v>
      </c>
      <c r="D1613" s="24" t="s">
        <v>1102</v>
      </c>
      <c r="E1613" s="24" t="s">
        <v>51</v>
      </c>
      <c r="F1613" s="24" t="s">
        <v>1142</v>
      </c>
      <c r="G1613" s="24" t="s">
        <v>1143</v>
      </c>
      <c r="H1613" s="24" t="s">
        <v>374</v>
      </c>
      <c r="I1613" s="24" t="s">
        <v>1584</v>
      </c>
      <c r="J1613" s="24" t="s">
        <v>761</v>
      </c>
      <c r="K1613" s="24" t="s">
        <v>1146</v>
      </c>
      <c r="L1613" s="25">
        <v>1070</v>
      </c>
      <c r="M1613" s="26">
        <v>1.4164000000000001</v>
      </c>
      <c r="N1613" s="27">
        <v>1.4164000000000001</v>
      </c>
      <c r="O1613" s="28">
        <v>1.2876363636363636E-3</v>
      </c>
      <c r="P1613" s="28">
        <v>1.3411929203539823</v>
      </c>
    </row>
    <row r="1614" spans="1:16" x14ac:dyDescent="0.3">
      <c r="A1614" t="s">
        <v>4508</v>
      </c>
      <c r="B1614" s="24">
        <v>102504</v>
      </c>
      <c r="C1614" s="24" t="s">
        <v>1585</v>
      </c>
      <c r="D1614" s="24" t="s">
        <v>1102</v>
      </c>
      <c r="E1614" s="24" t="s">
        <v>51</v>
      </c>
      <c r="F1614" s="24" t="s">
        <v>1142</v>
      </c>
      <c r="G1614" s="24" t="s">
        <v>1143</v>
      </c>
      <c r="H1614" s="24" t="s">
        <v>374</v>
      </c>
      <c r="I1614" s="24" t="s">
        <v>1584</v>
      </c>
      <c r="J1614" s="24" t="s">
        <v>761</v>
      </c>
      <c r="K1614" s="24" t="s">
        <v>1146</v>
      </c>
      <c r="L1614" s="25">
        <v>1070</v>
      </c>
      <c r="M1614" s="26">
        <v>1.4164000000000001</v>
      </c>
      <c r="N1614" s="27">
        <v>1.4164000000000001</v>
      </c>
      <c r="O1614" s="28">
        <v>1.2876363636363636E-3</v>
      </c>
      <c r="P1614" s="28">
        <v>1.3411929203539823</v>
      </c>
    </row>
    <row r="1615" spans="1:16" x14ac:dyDescent="0.3">
      <c r="A1615" t="s">
        <v>4509</v>
      </c>
      <c r="B1615" s="24">
        <v>109171</v>
      </c>
      <c r="C1615" s="24" t="s">
        <v>1279</v>
      </c>
      <c r="D1615" s="24" t="s">
        <v>1102</v>
      </c>
      <c r="E1615" s="24" t="s">
        <v>51</v>
      </c>
      <c r="F1615" s="24" t="s">
        <v>1142</v>
      </c>
      <c r="G1615" s="24" t="s">
        <v>1143</v>
      </c>
      <c r="H1615" s="24" t="s">
        <v>374</v>
      </c>
      <c r="I1615" s="24" t="s">
        <v>1584</v>
      </c>
      <c r="J1615" s="24" t="s">
        <v>761</v>
      </c>
      <c r="K1615" s="24" t="s">
        <v>1146</v>
      </c>
      <c r="L1615" s="25">
        <v>1070</v>
      </c>
      <c r="M1615" s="26">
        <v>1.4164000000000001</v>
      </c>
      <c r="N1615" s="27">
        <v>1.4164000000000001</v>
      </c>
      <c r="O1615" s="28">
        <v>1.2876363636363636E-3</v>
      </c>
      <c r="P1615" s="28">
        <v>1.3411929203539823</v>
      </c>
    </row>
    <row r="1616" spans="1:16" x14ac:dyDescent="0.3">
      <c r="A1616" t="s">
        <v>4510</v>
      </c>
      <c r="B1616" s="24">
        <v>114163</v>
      </c>
      <c r="C1616" s="24" t="s">
        <v>1490</v>
      </c>
      <c r="D1616" s="24" t="s">
        <v>1102</v>
      </c>
      <c r="E1616" s="24" t="s">
        <v>51</v>
      </c>
      <c r="F1616" s="24" t="s">
        <v>1142</v>
      </c>
      <c r="G1616" s="24" t="s">
        <v>1143</v>
      </c>
      <c r="H1616" s="24" t="s">
        <v>374</v>
      </c>
      <c r="I1616" s="24" t="s">
        <v>1584</v>
      </c>
      <c r="J1616" s="24" t="s">
        <v>761</v>
      </c>
      <c r="K1616" s="24" t="s">
        <v>1146</v>
      </c>
      <c r="L1616" s="25">
        <v>1070</v>
      </c>
      <c r="M1616" s="26">
        <v>1.4139999999999999</v>
      </c>
      <c r="N1616" s="27">
        <v>1.4139999999999999</v>
      </c>
      <c r="O1616" s="28">
        <v>1.2854545454545454E-3</v>
      </c>
      <c r="P1616" s="28">
        <v>1.3389203539823009</v>
      </c>
    </row>
    <row r="1617" spans="1:16" x14ac:dyDescent="0.3">
      <c r="A1617" t="s">
        <v>4511</v>
      </c>
      <c r="B1617" s="24">
        <v>142129</v>
      </c>
      <c r="C1617" s="24" t="s">
        <v>1586</v>
      </c>
      <c r="D1617" s="24" t="s">
        <v>1102</v>
      </c>
      <c r="E1617" s="24" t="s">
        <v>51</v>
      </c>
      <c r="F1617" s="24" t="s">
        <v>1142</v>
      </c>
      <c r="G1617" s="24" t="s">
        <v>1143</v>
      </c>
      <c r="H1617" s="24" t="s">
        <v>374</v>
      </c>
      <c r="I1617" s="24" t="s">
        <v>1584</v>
      </c>
      <c r="J1617" s="24" t="s">
        <v>761</v>
      </c>
      <c r="K1617" s="24" t="s">
        <v>1146</v>
      </c>
      <c r="L1617" s="25">
        <v>1070</v>
      </c>
      <c r="M1617" s="26">
        <v>1.4164000000000001</v>
      </c>
      <c r="N1617" s="27">
        <v>1.4164000000000001</v>
      </c>
      <c r="O1617" s="28">
        <v>1.2876363636363636E-3</v>
      </c>
      <c r="P1617" s="28">
        <v>1.3411929203539823</v>
      </c>
    </row>
    <row r="1618" spans="1:16" x14ac:dyDescent="0.3">
      <c r="A1618" t="s">
        <v>4512</v>
      </c>
      <c r="B1618" s="24">
        <v>142137</v>
      </c>
      <c r="C1618" s="24" t="s">
        <v>1587</v>
      </c>
      <c r="D1618" s="24" t="s">
        <v>1102</v>
      </c>
      <c r="E1618" s="24" t="s">
        <v>51</v>
      </c>
      <c r="F1618" s="24" t="s">
        <v>1142</v>
      </c>
      <c r="G1618" s="24" t="s">
        <v>1143</v>
      </c>
      <c r="H1618" s="24" t="s">
        <v>374</v>
      </c>
      <c r="I1618" s="24" t="s">
        <v>1584</v>
      </c>
      <c r="J1618" s="24" t="s">
        <v>761</v>
      </c>
      <c r="K1618" s="24" t="s">
        <v>1146</v>
      </c>
      <c r="L1618" s="25">
        <v>1070</v>
      </c>
      <c r="M1618" s="26">
        <v>1.4164000000000001</v>
      </c>
      <c r="N1618" s="27">
        <v>1.4164000000000001</v>
      </c>
      <c r="O1618" s="28">
        <v>1.2876363636363636E-3</v>
      </c>
      <c r="P1618" s="28">
        <v>1.3411929203539823</v>
      </c>
    </row>
    <row r="1619" spans="1:16" x14ac:dyDescent="0.3">
      <c r="A1619" t="s">
        <v>4513</v>
      </c>
      <c r="B1619" s="24">
        <v>142195</v>
      </c>
      <c r="C1619" s="24" t="s">
        <v>1588</v>
      </c>
      <c r="D1619" s="24" t="s">
        <v>1102</v>
      </c>
      <c r="E1619" s="24" t="s">
        <v>51</v>
      </c>
      <c r="F1619" s="24" t="s">
        <v>1142</v>
      </c>
      <c r="G1619" s="24" t="s">
        <v>1143</v>
      </c>
      <c r="H1619" s="24" t="s">
        <v>374</v>
      </c>
      <c r="I1619" s="24" t="s">
        <v>1584</v>
      </c>
      <c r="J1619" s="24" t="s">
        <v>761</v>
      </c>
      <c r="K1619" s="24" t="s">
        <v>1146</v>
      </c>
      <c r="L1619" s="25">
        <v>1070</v>
      </c>
      <c r="M1619" s="26">
        <v>1.4164000000000001</v>
      </c>
      <c r="N1619" s="27">
        <v>1.4164000000000001</v>
      </c>
      <c r="O1619" s="28">
        <v>1.2876363636363636E-3</v>
      </c>
      <c r="P1619" s="28">
        <v>1.3411929203539823</v>
      </c>
    </row>
    <row r="1620" spans="1:16" x14ac:dyDescent="0.3">
      <c r="A1620" t="s">
        <v>4514</v>
      </c>
      <c r="B1620" s="24">
        <v>142376</v>
      </c>
      <c r="C1620" s="24" t="s">
        <v>1589</v>
      </c>
      <c r="D1620" s="24" t="s">
        <v>1102</v>
      </c>
      <c r="E1620" s="24" t="s">
        <v>51</v>
      </c>
      <c r="F1620" s="24" t="s">
        <v>1142</v>
      </c>
      <c r="G1620" s="24" t="s">
        <v>1143</v>
      </c>
      <c r="H1620" s="24" t="s">
        <v>374</v>
      </c>
      <c r="I1620" s="24" t="s">
        <v>1584</v>
      </c>
      <c r="J1620" s="24" t="s">
        <v>761</v>
      </c>
      <c r="K1620" s="24" t="s">
        <v>1146</v>
      </c>
      <c r="L1620" s="25">
        <v>1070</v>
      </c>
      <c r="M1620" s="26">
        <v>1.4164000000000001</v>
      </c>
      <c r="N1620" s="27">
        <v>1.4164000000000001</v>
      </c>
      <c r="O1620" s="28">
        <v>1.2876363636363636E-3</v>
      </c>
      <c r="P1620" s="28">
        <v>1.3411929203539823</v>
      </c>
    </row>
    <row r="1621" spans="1:16" x14ac:dyDescent="0.3">
      <c r="A1621" t="s">
        <v>4513</v>
      </c>
      <c r="B1621" s="24">
        <v>142195</v>
      </c>
      <c r="C1621" s="24" t="s">
        <v>1588</v>
      </c>
      <c r="D1621" s="24" t="s">
        <v>1102</v>
      </c>
      <c r="E1621" s="24" t="s">
        <v>51</v>
      </c>
      <c r="F1621" s="24" t="s">
        <v>1142</v>
      </c>
      <c r="G1621" s="24" t="s">
        <v>1143</v>
      </c>
      <c r="H1621" s="24" t="s">
        <v>374</v>
      </c>
      <c r="I1621" s="24" t="s">
        <v>1590</v>
      </c>
      <c r="J1621" s="24" t="s">
        <v>761</v>
      </c>
      <c r="K1621" s="24" t="s">
        <v>1146</v>
      </c>
      <c r="L1621" s="25">
        <v>1070</v>
      </c>
      <c r="M1621" s="26">
        <v>1.4164000000000001</v>
      </c>
      <c r="N1621" s="27">
        <v>1.4164000000000001</v>
      </c>
      <c r="O1621" s="28">
        <v>1.2876363636363636E-3</v>
      </c>
      <c r="P1621" s="28">
        <v>1.3411929203539823</v>
      </c>
    </row>
    <row r="1622" spans="1:16" x14ac:dyDescent="0.3">
      <c r="A1622" t="s">
        <v>4515</v>
      </c>
      <c r="B1622" s="24">
        <v>102504</v>
      </c>
      <c r="C1622" s="24" t="s">
        <v>1585</v>
      </c>
      <c r="D1622" s="24" t="s">
        <v>1102</v>
      </c>
      <c r="E1622" s="24" t="s">
        <v>51</v>
      </c>
      <c r="F1622" s="24" t="s">
        <v>1142</v>
      </c>
      <c r="G1622" s="24" t="s">
        <v>1143</v>
      </c>
      <c r="H1622" s="24" t="s">
        <v>375</v>
      </c>
      <c r="I1622" s="24" t="s">
        <v>1584</v>
      </c>
      <c r="J1622" s="24" t="s">
        <v>761</v>
      </c>
      <c r="K1622" s="24" t="s">
        <v>1146</v>
      </c>
      <c r="L1622" s="25">
        <v>1070</v>
      </c>
      <c r="M1622" s="26">
        <v>1.5232000000000001</v>
      </c>
      <c r="N1622" s="27">
        <v>1.5232000000000001</v>
      </c>
      <c r="O1622" s="28">
        <v>1.3847272727272729E-3</v>
      </c>
      <c r="P1622" s="28">
        <v>1.4423221238938053</v>
      </c>
    </row>
    <row r="1623" spans="1:16" x14ac:dyDescent="0.3">
      <c r="A1623" t="s">
        <v>4516</v>
      </c>
      <c r="B1623" s="24">
        <v>142137</v>
      </c>
      <c r="C1623" s="24" t="s">
        <v>1587</v>
      </c>
      <c r="D1623" s="24" t="s">
        <v>1102</v>
      </c>
      <c r="E1623" s="24" t="s">
        <v>51</v>
      </c>
      <c r="F1623" s="24" t="s">
        <v>1142</v>
      </c>
      <c r="G1623" s="24" t="s">
        <v>1143</v>
      </c>
      <c r="H1623" s="24" t="s">
        <v>375</v>
      </c>
      <c r="I1623" s="24" t="s">
        <v>1584</v>
      </c>
      <c r="J1623" s="24" t="s">
        <v>761</v>
      </c>
      <c r="K1623" s="24" t="s">
        <v>1146</v>
      </c>
      <c r="L1623" s="25">
        <v>1070</v>
      </c>
      <c r="M1623" s="26">
        <v>1.5232000000000001</v>
      </c>
      <c r="N1623" s="27">
        <v>1.5232000000000001</v>
      </c>
      <c r="O1623" s="28">
        <v>1.3847272727272729E-3</v>
      </c>
      <c r="P1623" s="28">
        <v>1.4423221238938053</v>
      </c>
    </row>
    <row r="1624" spans="1:16" x14ac:dyDescent="0.3">
      <c r="A1624" t="s">
        <v>4517</v>
      </c>
      <c r="B1624" s="24">
        <v>142195</v>
      </c>
      <c r="C1624" s="24" t="s">
        <v>1588</v>
      </c>
      <c r="D1624" s="24" t="s">
        <v>1102</v>
      </c>
      <c r="E1624" s="24" t="s">
        <v>51</v>
      </c>
      <c r="F1624" s="24" t="s">
        <v>1142</v>
      </c>
      <c r="G1624" s="24" t="s">
        <v>1143</v>
      </c>
      <c r="H1624" s="24" t="s">
        <v>375</v>
      </c>
      <c r="I1624" s="24" t="s">
        <v>1584</v>
      </c>
      <c r="J1624" s="24" t="s">
        <v>761</v>
      </c>
      <c r="K1624" s="24" t="s">
        <v>1146</v>
      </c>
      <c r="L1624" s="25">
        <v>1070</v>
      </c>
      <c r="M1624" s="26">
        <v>1.5232000000000001</v>
      </c>
      <c r="N1624" s="27">
        <v>1.5232000000000001</v>
      </c>
      <c r="O1624" s="28">
        <v>1.3847272727272729E-3</v>
      </c>
      <c r="P1624" s="28">
        <v>1.4423221238938053</v>
      </c>
    </row>
    <row r="1625" spans="1:16" x14ac:dyDescent="0.3">
      <c r="A1625" t="s">
        <v>4518</v>
      </c>
      <c r="B1625" s="24">
        <v>142242</v>
      </c>
      <c r="C1625" s="24" t="s">
        <v>1591</v>
      </c>
      <c r="D1625" s="24" t="s">
        <v>1102</v>
      </c>
      <c r="E1625" s="24" t="s">
        <v>51</v>
      </c>
      <c r="F1625" s="24" t="s">
        <v>1142</v>
      </c>
      <c r="G1625" s="24" t="s">
        <v>1143</v>
      </c>
      <c r="H1625" s="24" t="s">
        <v>375</v>
      </c>
      <c r="I1625" s="24" t="s">
        <v>1584</v>
      </c>
      <c r="J1625" s="24" t="s">
        <v>761</v>
      </c>
      <c r="K1625" s="24" t="s">
        <v>1146</v>
      </c>
      <c r="L1625" s="25">
        <v>1070</v>
      </c>
      <c r="M1625" s="26">
        <v>1.5232000000000001</v>
      </c>
      <c r="N1625" s="27">
        <v>1.5232000000000001</v>
      </c>
      <c r="O1625" s="28">
        <v>1.3847272727272729E-3</v>
      </c>
      <c r="P1625" s="28">
        <v>1.4423221238938053</v>
      </c>
    </row>
    <row r="1626" spans="1:16" x14ac:dyDescent="0.3">
      <c r="A1626" t="s">
        <v>4519</v>
      </c>
      <c r="B1626" s="24">
        <v>100587</v>
      </c>
      <c r="C1626" s="24" t="s">
        <v>1347</v>
      </c>
      <c r="D1626" s="24" t="s">
        <v>1102</v>
      </c>
      <c r="E1626" s="24" t="s">
        <v>632</v>
      </c>
      <c r="F1626" s="24" t="s">
        <v>1142</v>
      </c>
      <c r="G1626" s="24" t="s">
        <v>1200</v>
      </c>
      <c r="H1626" s="24" t="s">
        <v>718</v>
      </c>
      <c r="I1626" s="24" t="s">
        <v>1592</v>
      </c>
      <c r="J1626" s="24" t="s">
        <v>761</v>
      </c>
      <c r="K1626" s="24" t="s">
        <v>1352</v>
      </c>
      <c r="L1626" s="25">
        <v>1</v>
      </c>
      <c r="M1626" s="26">
        <v>19450</v>
      </c>
      <c r="N1626" s="27">
        <v>17.681818181818183</v>
      </c>
      <c r="O1626" s="28">
        <v>17.681818181818183</v>
      </c>
      <c r="P1626" s="28">
        <v>17.212389380530972</v>
      </c>
    </row>
    <row r="1627" spans="1:16" x14ac:dyDescent="0.3">
      <c r="A1627" t="s">
        <v>4520</v>
      </c>
      <c r="B1627" s="24">
        <v>100702</v>
      </c>
      <c r="C1627" s="24" t="s">
        <v>1357</v>
      </c>
      <c r="D1627" s="24" t="s">
        <v>1102</v>
      </c>
      <c r="E1627" s="24" t="s">
        <v>632</v>
      </c>
      <c r="F1627" s="24" t="s">
        <v>1142</v>
      </c>
      <c r="G1627" s="24" t="s">
        <v>1200</v>
      </c>
      <c r="H1627" s="24" t="s">
        <v>718</v>
      </c>
      <c r="I1627" s="24" t="s">
        <v>1592</v>
      </c>
      <c r="J1627" s="24" t="s">
        <v>761</v>
      </c>
      <c r="K1627" s="24" t="s">
        <v>1352</v>
      </c>
      <c r="L1627" s="25">
        <v>1</v>
      </c>
      <c r="M1627" s="26">
        <v>19450</v>
      </c>
      <c r="N1627" s="27">
        <v>17.681818181818183</v>
      </c>
      <c r="O1627" s="28">
        <v>17.681818181818183</v>
      </c>
      <c r="P1627" s="28">
        <v>17.212389380530972</v>
      </c>
    </row>
    <row r="1628" spans="1:16" x14ac:dyDescent="0.3">
      <c r="A1628" t="s">
        <v>4521</v>
      </c>
      <c r="B1628" s="24">
        <v>300009</v>
      </c>
      <c r="C1628" s="24" t="s">
        <v>1519</v>
      </c>
      <c r="D1628" s="24" t="s">
        <v>1102</v>
      </c>
      <c r="E1628" s="24" t="s">
        <v>632</v>
      </c>
      <c r="F1628" s="24" t="s">
        <v>1142</v>
      </c>
      <c r="G1628" s="24" t="s">
        <v>1200</v>
      </c>
      <c r="H1628" s="24" t="s">
        <v>718</v>
      </c>
      <c r="I1628" s="24" t="s">
        <v>1592</v>
      </c>
      <c r="J1628" s="24" t="s">
        <v>761</v>
      </c>
      <c r="K1628" s="24" t="s">
        <v>1352</v>
      </c>
      <c r="L1628" s="25">
        <v>1</v>
      </c>
      <c r="M1628" s="26">
        <v>19450</v>
      </c>
      <c r="N1628" s="27">
        <v>17.681818181818183</v>
      </c>
      <c r="O1628" s="28">
        <v>17.681818181818183</v>
      </c>
      <c r="P1628" s="28">
        <v>17.212389380530972</v>
      </c>
    </row>
    <row r="1629" spans="1:16" x14ac:dyDescent="0.3">
      <c r="A1629" t="s">
        <v>4522</v>
      </c>
      <c r="B1629" s="24">
        <v>300013</v>
      </c>
      <c r="C1629" s="24" t="s">
        <v>1521</v>
      </c>
      <c r="D1629" s="24" t="s">
        <v>1102</v>
      </c>
      <c r="E1629" s="24" t="s">
        <v>632</v>
      </c>
      <c r="F1629" s="24" t="s">
        <v>1142</v>
      </c>
      <c r="G1629" s="24" t="s">
        <v>1200</v>
      </c>
      <c r="H1629" s="24" t="s">
        <v>719</v>
      </c>
      <c r="I1629" s="24" t="s">
        <v>1593</v>
      </c>
      <c r="J1629" s="24" t="s">
        <v>761</v>
      </c>
      <c r="K1629" s="24" t="s">
        <v>1352</v>
      </c>
      <c r="L1629" s="25">
        <v>1</v>
      </c>
      <c r="M1629" s="26">
        <v>20000</v>
      </c>
      <c r="N1629" s="27">
        <v>18.181818181818183</v>
      </c>
      <c r="O1629" s="28">
        <v>18.181818181818183</v>
      </c>
      <c r="P1629" s="28">
        <v>17.699115044247787</v>
      </c>
    </row>
    <row r="1630" spans="1:16" x14ac:dyDescent="0.3">
      <c r="A1630" t="s">
        <v>4523</v>
      </c>
      <c r="B1630" s="24">
        <v>102504</v>
      </c>
      <c r="C1630" s="24" t="s">
        <v>1585</v>
      </c>
      <c r="D1630" s="24" t="s">
        <v>1102</v>
      </c>
      <c r="E1630" s="24" t="s">
        <v>51</v>
      </c>
      <c r="F1630" s="24" t="s">
        <v>1142</v>
      </c>
      <c r="G1630" s="24" t="s">
        <v>1143</v>
      </c>
      <c r="H1630" s="24" t="s">
        <v>377</v>
      </c>
      <c r="I1630" s="24" t="s">
        <v>1594</v>
      </c>
      <c r="J1630" s="24" t="s">
        <v>761</v>
      </c>
      <c r="K1630" s="24" t="s">
        <v>1146</v>
      </c>
      <c r="L1630" s="25">
        <v>1070</v>
      </c>
      <c r="M1630" s="26">
        <v>1.9645999999999999</v>
      </c>
      <c r="N1630" s="27">
        <v>1.9645999999999999</v>
      </c>
      <c r="O1630" s="28">
        <v>1.7859999999999998E-3</v>
      </c>
      <c r="P1630" s="28">
        <v>1.8602849557522123</v>
      </c>
    </row>
    <row r="1631" spans="1:16" x14ac:dyDescent="0.3">
      <c r="A1631" t="s">
        <v>4524</v>
      </c>
      <c r="B1631" s="24">
        <v>142137</v>
      </c>
      <c r="C1631" s="24" t="s">
        <v>1587</v>
      </c>
      <c r="D1631" s="24" t="s">
        <v>1102</v>
      </c>
      <c r="E1631" s="24" t="s">
        <v>51</v>
      </c>
      <c r="F1631" s="24" t="s">
        <v>1142</v>
      </c>
      <c r="G1631" s="24" t="s">
        <v>1143</v>
      </c>
      <c r="H1631" s="24" t="s">
        <v>377</v>
      </c>
      <c r="I1631" s="24" t="s">
        <v>1594</v>
      </c>
      <c r="J1631" s="24" t="s">
        <v>761</v>
      </c>
      <c r="K1631" s="24" t="s">
        <v>1146</v>
      </c>
      <c r="L1631" s="25">
        <v>1070</v>
      </c>
      <c r="M1631" s="26">
        <v>1.9645999999999999</v>
      </c>
      <c r="N1631" s="27">
        <v>1.9645999999999999</v>
      </c>
      <c r="O1631" s="28">
        <v>1.7859999999999998E-3</v>
      </c>
      <c r="P1631" s="28">
        <v>1.8602849557522123</v>
      </c>
    </row>
    <row r="1632" spans="1:16" x14ac:dyDescent="0.3">
      <c r="A1632" t="s">
        <v>4525</v>
      </c>
      <c r="B1632" s="24">
        <v>142195</v>
      </c>
      <c r="C1632" s="24" t="s">
        <v>1588</v>
      </c>
      <c r="D1632" s="24" t="s">
        <v>1102</v>
      </c>
      <c r="E1632" s="24" t="s">
        <v>51</v>
      </c>
      <c r="F1632" s="24" t="s">
        <v>1142</v>
      </c>
      <c r="G1632" s="24" t="s">
        <v>1143</v>
      </c>
      <c r="H1632" s="24" t="s">
        <v>377</v>
      </c>
      <c r="I1632" s="24" t="s">
        <v>1594</v>
      </c>
      <c r="J1632" s="24" t="s">
        <v>761</v>
      </c>
      <c r="K1632" s="24" t="s">
        <v>1146</v>
      </c>
      <c r="L1632" s="25">
        <v>1070</v>
      </c>
      <c r="M1632" s="26">
        <v>1.9645999999999999</v>
      </c>
      <c r="N1632" s="27">
        <v>1.9645999999999999</v>
      </c>
      <c r="O1632" s="28">
        <v>1.7859999999999998E-3</v>
      </c>
      <c r="P1632" s="28">
        <v>1.8602849557522123</v>
      </c>
    </row>
    <row r="1633" spans="1:16" x14ac:dyDescent="0.3">
      <c r="A1633" t="s">
        <v>4526</v>
      </c>
      <c r="B1633" s="24">
        <v>142242</v>
      </c>
      <c r="C1633" s="24" t="s">
        <v>1591</v>
      </c>
      <c r="D1633" s="24" t="s">
        <v>1102</v>
      </c>
      <c r="E1633" s="24" t="s">
        <v>51</v>
      </c>
      <c r="F1633" s="24" t="s">
        <v>1142</v>
      </c>
      <c r="G1633" s="24" t="s">
        <v>1143</v>
      </c>
      <c r="H1633" s="24" t="s">
        <v>377</v>
      </c>
      <c r="I1633" s="24" t="s">
        <v>1594</v>
      </c>
      <c r="J1633" s="24" t="s">
        <v>761</v>
      </c>
      <c r="K1633" s="24" t="s">
        <v>1146</v>
      </c>
      <c r="L1633" s="25">
        <v>1070</v>
      </c>
      <c r="M1633" s="26">
        <v>1.9645999999999999</v>
      </c>
      <c r="N1633" s="27">
        <v>1.9645999999999999</v>
      </c>
      <c r="O1633" s="28">
        <v>1.7859999999999998E-3</v>
      </c>
      <c r="P1633" s="28">
        <v>1.8602849557522123</v>
      </c>
    </row>
    <row r="1634" spans="1:16" x14ac:dyDescent="0.3">
      <c r="A1634" t="s">
        <v>4525</v>
      </c>
      <c r="B1634" s="24">
        <v>142195</v>
      </c>
      <c r="C1634" s="24" t="s">
        <v>1588</v>
      </c>
      <c r="D1634" s="24" t="s">
        <v>1102</v>
      </c>
      <c r="E1634" s="24" t="s">
        <v>51</v>
      </c>
      <c r="F1634" s="24" t="s">
        <v>1142</v>
      </c>
      <c r="G1634" s="24" t="s">
        <v>1143</v>
      </c>
      <c r="H1634" s="24" t="s">
        <v>377</v>
      </c>
      <c r="I1634" s="24" t="s">
        <v>1595</v>
      </c>
      <c r="J1634" s="24" t="s">
        <v>761</v>
      </c>
      <c r="K1634" s="24" t="s">
        <v>1146</v>
      </c>
      <c r="L1634" s="25">
        <v>1070</v>
      </c>
      <c r="M1634" s="26">
        <v>1.9645999999999999</v>
      </c>
      <c r="N1634" s="27">
        <v>1.9645999999999999</v>
      </c>
      <c r="O1634" s="28">
        <v>1.7859999999999998E-3</v>
      </c>
      <c r="P1634" s="28">
        <v>1.8602849557522123</v>
      </c>
    </row>
    <row r="1635" spans="1:16" x14ac:dyDescent="0.3">
      <c r="A1635" t="s">
        <v>4527</v>
      </c>
      <c r="B1635" s="24">
        <v>102504</v>
      </c>
      <c r="C1635" s="24" t="s">
        <v>1585</v>
      </c>
      <c r="D1635" s="24" t="s">
        <v>1102</v>
      </c>
      <c r="E1635" s="24" t="s">
        <v>51</v>
      </c>
      <c r="F1635" s="24" t="s">
        <v>1142</v>
      </c>
      <c r="G1635" s="24" t="s">
        <v>1143</v>
      </c>
      <c r="H1635" s="24" t="s">
        <v>378</v>
      </c>
      <c r="I1635" s="24" t="s">
        <v>1594</v>
      </c>
      <c r="J1635" s="24" t="s">
        <v>761</v>
      </c>
      <c r="K1635" s="24" t="s">
        <v>1146</v>
      </c>
      <c r="L1635" s="25">
        <v>1070</v>
      </c>
      <c r="M1635" s="26">
        <v>1.9301999999999999</v>
      </c>
      <c r="N1635" s="27">
        <v>1.9301999999999999</v>
      </c>
      <c r="O1635" s="28">
        <v>1.7547272727272726E-3</v>
      </c>
      <c r="P1635" s="28">
        <v>1.8277115044247787</v>
      </c>
    </row>
    <row r="1636" spans="1:16" x14ac:dyDescent="0.3">
      <c r="A1636" t="s">
        <v>4528</v>
      </c>
      <c r="B1636" s="24">
        <v>142137</v>
      </c>
      <c r="C1636" s="24" t="s">
        <v>1587</v>
      </c>
      <c r="D1636" s="24" t="s">
        <v>1102</v>
      </c>
      <c r="E1636" s="24" t="s">
        <v>51</v>
      </c>
      <c r="F1636" s="24" t="s">
        <v>1142</v>
      </c>
      <c r="G1636" s="24" t="s">
        <v>1143</v>
      </c>
      <c r="H1636" s="24" t="s">
        <v>378</v>
      </c>
      <c r="I1636" s="24" t="s">
        <v>1594</v>
      </c>
      <c r="J1636" s="24" t="s">
        <v>761</v>
      </c>
      <c r="K1636" s="24" t="s">
        <v>1146</v>
      </c>
      <c r="L1636" s="25">
        <v>1070</v>
      </c>
      <c r="M1636" s="26">
        <v>1.9301999999999999</v>
      </c>
      <c r="N1636" s="27">
        <v>1.9301999999999999</v>
      </c>
      <c r="O1636" s="28">
        <v>1.7547272727272726E-3</v>
      </c>
      <c r="P1636" s="28">
        <v>1.8277115044247787</v>
      </c>
    </row>
    <row r="1637" spans="1:16" x14ac:dyDescent="0.3">
      <c r="A1637" t="s">
        <v>4529</v>
      </c>
      <c r="B1637" s="24">
        <v>142195</v>
      </c>
      <c r="C1637" s="24" t="s">
        <v>1588</v>
      </c>
      <c r="D1637" s="24" t="s">
        <v>1102</v>
      </c>
      <c r="E1637" s="24" t="s">
        <v>51</v>
      </c>
      <c r="F1637" s="24" t="s">
        <v>1142</v>
      </c>
      <c r="G1637" s="24" t="s">
        <v>1143</v>
      </c>
      <c r="H1637" s="24" t="s">
        <v>378</v>
      </c>
      <c r="I1637" s="24" t="s">
        <v>1594</v>
      </c>
      <c r="J1637" s="24" t="s">
        <v>761</v>
      </c>
      <c r="K1637" s="24" t="s">
        <v>1146</v>
      </c>
      <c r="L1637" s="25">
        <v>1070</v>
      </c>
      <c r="M1637" s="26">
        <v>1.9301999999999999</v>
      </c>
      <c r="N1637" s="27">
        <v>1.9301999999999999</v>
      </c>
      <c r="O1637" s="28">
        <v>1.7547272727272726E-3</v>
      </c>
      <c r="P1637" s="28">
        <v>1.8277115044247787</v>
      </c>
    </row>
    <row r="1638" spans="1:16" x14ac:dyDescent="0.3">
      <c r="A1638" t="s">
        <v>4530</v>
      </c>
      <c r="B1638" s="24">
        <v>102504</v>
      </c>
      <c r="C1638" s="24" t="s">
        <v>1585</v>
      </c>
      <c r="D1638" s="24" t="s">
        <v>1102</v>
      </c>
      <c r="E1638" s="24" t="s">
        <v>51</v>
      </c>
      <c r="F1638" s="24" t="s">
        <v>1142</v>
      </c>
      <c r="G1638" s="24" t="s">
        <v>1143</v>
      </c>
      <c r="H1638" s="24" t="s">
        <v>379</v>
      </c>
      <c r="I1638" s="24" t="s">
        <v>1596</v>
      </c>
      <c r="J1638" s="24" t="s">
        <v>761</v>
      </c>
      <c r="K1638" s="24" t="s">
        <v>1146</v>
      </c>
      <c r="L1638" s="25">
        <v>1070</v>
      </c>
      <c r="M1638" s="26">
        <v>2.6406000000000001</v>
      </c>
      <c r="N1638" s="27">
        <v>2.6406000000000001</v>
      </c>
      <c r="O1638" s="28">
        <v>2.4005454545454547E-3</v>
      </c>
      <c r="P1638" s="28">
        <v>2.5003911504424781</v>
      </c>
    </row>
    <row r="1639" spans="1:16" x14ac:dyDescent="0.3">
      <c r="A1639" t="s">
        <v>4531</v>
      </c>
      <c r="B1639" s="24">
        <v>142137</v>
      </c>
      <c r="C1639" s="24" t="s">
        <v>1587</v>
      </c>
      <c r="D1639" s="24" t="s">
        <v>1102</v>
      </c>
      <c r="E1639" s="24" t="s">
        <v>51</v>
      </c>
      <c r="F1639" s="24" t="s">
        <v>1142</v>
      </c>
      <c r="G1639" s="24" t="s">
        <v>1143</v>
      </c>
      <c r="H1639" s="24" t="s">
        <v>379</v>
      </c>
      <c r="I1639" s="24" t="s">
        <v>1596</v>
      </c>
      <c r="J1639" s="24" t="s">
        <v>761</v>
      </c>
      <c r="K1639" s="24" t="s">
        <v>1146</v>
      </c>
      <c r="L1639" s="25">
        <v>1070</v>
      </c>
      <c r="M1639" s="26">
        <v>2.6406000000000001</v>
      </c>
      <c r="N1639" s="27">
        <v>2.6406000000000001</v>
      </c>
      <c r="O1639" s="28">
        <v>2.4005454545454547E-3</v>
      </c>
      <c r="P1639" s="28">
        <v>2.5003911504424781</v>
      </c>
    </row>
    <row r="1640" spans="1:16" x14ac:dyDescent="0.3">
      <c r="A1640" t="s">
        <v>4532</v>
      </c>
      <c r="B1640" s="24">
        <v>142195</v>
      </c>
      <c r="C1640" s="24" t="s">
        <v>1588</v>
      </c>
      <c r="D1640" s="24" t="s">
        <v>1102</v>
      </c>
      <c r="E1640" s="24" t="s">
        <v>51</v>
      </c>
      <c r="F1640" s="24" t="s">
        <v>1142</v>
      </c>
      <c r="G1640" s="24" t="s">
        <v>1143</v>
      </c>
      <c r="H1640" s="24" t="s">
        <v>379</v>
      </c>
      <c r="I1640" s="24" t="s">
        <v>1596</v>
      </c>
      <c r="J1640" s="24" t="s">
        <v>761</v>
      </c>
      <c r="K1640" s="24" t="s">
        <v>1146</v>
      </c>
      <c r="L1640" s="25">
        <v>1070</v>
      </c>
      <c r="M1640" s="26">
        <v>2.6406000000000001</v>
      </c>
      <c r="N1640" s="27">
        <v>2.6406000000000001</v>
      </c>
      <c r="O1640" s="28">
        <v>2.4005454545454547E-3</v>
      </c>
      <c r="P1640" s="28">
        <v>2.5003911504424781</v>
      </c>
    </row>
    <row r="1641" spans="1:16" x14ac:dyDescent="0.3">
      <c r="A1641" t="s">
        <v>4533</v>
      </c>
      <c r="B1641" s="24">
        <v>142242</v>
      </c>
      <c r="C1641" s="24" t="s">
        <v>1591</v>
      </c>
      <c r="D1641" s="24" t="s">
        <v>1102</v>
      </c>
      <c r="E1641" s="24" t="s">
        <v>51</v>
      </c>
      <c r="F1641" s="24" t="s">
        <v>1142</v>
      </c>
      <c r="G1641" s="24" t="s">
        <v>1143</v>
      </c>
      <c r="H1641" s="24" t="s">
        <v>379</v>
      </c>
      <c r="I1641" s="24" t="s">
        <v>1596</v>
      </c>
      <c r="J1641" s="24" t="s">
        <v>761</v>
      </c>
      <c r="K1641" s="24" t="s">
        <v>1146</v>
      </c>
      <c r="L1641" s="25">
        <v>1070</v>
      </c>
      <c r="M1641" s="26">
        <v>2.6406000000000001</v>
      </c>
      <c r="N1641" s="27">
        <v>2.6406000000000001</v>
      </c>
      <c r="O1641" s="28">
        <v>2.4005454545454547E-3</v>
      </c>
      <c r="P1641" s="28">
        <v>2.5003911504424781</v>
      </c>
    </row>
    <row r="1642" spans="1:16" x14ac:dyDescent="0.3">
      <c r="A1642" t="s">
        <v>4532</v>
      </c>
      <c r="B1642" s="24">
        <v>142195</v>
      </c>
      <c r="C1642" s="24" t="s">
        <v>1588</v>
      </c>
      <c r="D1642" s="24" t="s">
        <v>1102</v>
      </c>
      <c r="E1642" s="24" t="s">
        <v>51</v>
      </c>
      <c r="F1642" s="24" t="s">
        <v>1142</v>
      </c>
      <c r="G1642" s="24" t="s">
        <v>1143</v>
      </c>
      <c r="H1642" s="24" t="s">
        <v>379</v>
      </c>
      <c r="I1642" s="24" t="s">
        <v>1597</v>
      </c>
      <c r="J1642" s="24" t="s">
        <v>761</v>
      </c>
      <c r="K1642" s="24" t="s">
        <v>1146</v>
      </c>
      <c r="L1642" s="25">
        <v>1070</v>
      </c>
      <c r="M1642" s="26">
        <v>2.6406000000000001</v>
      </c>
      <c r="N1642" s="27">
        <v>2.6406000000000001</v>
      </c>
      <c r="O1642" s="28">
        <v>2.4005454545454547E-3</v>
      </c>
      <c r="P1642" s="28">
        <v>2.5003911504424781</v>
      </c>
    </row>
    <row r="1643" spans="1:16" x14ac:dyDescent="0.3">
      <c r="A1643" t="s">
        <v>4534</v>
      </c>
      <c r="B1643" s="24">
        <v>142137</v>
      </c>
      <c r="C1643" s="24" t="s">
        <v>1587</v>
      </c>
      <c r="D1643" s="24" t="s">
        <v>1102</v>
      </c>
      <c r="E1643" s="24" t="s">
        <v>51</v>
      </c>
      <c r="F1643" s="24" t="s">
        <v>1142</v>
      </c>
      <c r="G1643" s="24" t="s">
        <v>1143</v>
      </c>
      <c r="H1643" s="24" t="s">
        <v>380</v>
      </c>
      <c r="I1643" s="24" t="s">
        <v>1598</v>
      </c>
      <c r="J1643" s="24" t="s">
        <v>761</v>
      </c>
      <c r="K1643" s="24" t="s">
        <v>1146</v>
      </c>
      <c r="L1643" s="25">
        <v>1070</v>
      </c>
      <c r="M1643" s="26">
        <v>2.6406000000000001</v>
      </c>
      <c r="N1643" s="27">
        <v>2.6406000000000001</v>
      </c>
      <c r="O1643" s="28">
        <v>2.4005454545454547E-3</v>
      </c>
      <c r="P1643" s="28">
        <v>2.5003911504424781</v>
      </c>
    </row>
    <row r="1644" spans="1:16" x14ac:dyDescent="0.3">
      <c r="A1644" t="s">
        <v>4535</v>
      </c>
      <c r="B1644" s="24">
        <v>142195</v>
      </c>
      <c r="C1644" s="24" t="s">
        <v>1588</v>
      </c>
      <c r="D1644" s="24" t="s">
        <v>1102</v>
      </c>
      <c r="E1644" s="24" t="s">
        <v>51</v>
      </c>
      <c r="F1644" s="24" t="s">
        <v>1142</v>
      </c>
      <c r="G1644" s="24" t="s">
        <v>1143</v>
      </c>
      <c r="H1644" s="24" t="s">
        <v>380</v>
      </c>
      <c r="I1644" s="24" t="s">
        <v>1598</v>
      </c>
      <c r="J1644" s="24" t="s">
        <v>761</v>
      </c>
      <c r="K1644" s="24" t="s">
        <v>1146</v>
      </c>
      <c r="L1644" s="25">
        <v>1070</v>
      </c>
      <c r="M1644" s="26">
        <v>2.6406000000000001</v>
      </c>
      <c r="N1644" s="27">
        <v>2.6406000000000001</v>
      </c>
      <c r="O1644" s="28">
        <v>2.4005454545454547E-3</v>
      </c>
      <c r="P1644" s="28">
        <v>2.5003911504424781</v>
      </c>
    </row>
    <row r="1645" spans="1:16" x14ac:dyDescent="0.3">
      <c r="A1645" t="s">
        <v>4536</v>
      </c>
      <c r="B1645" s="24">
        <v>142242</v>
      </c>
      <c r="C1645" s="24" t="s">
        <v>1591</v>
      </c>
      <c r="D1645" s="24" t="s">
        <v>1102</v>
      </c>
      <c r="E1645" s="24" t="s">
        <v>51</v>
      </c>
      <c r="F1645" s="24" t="s">
        <v>1142</v>
      </c>
      <c r="G1645" s="24" t="s">
        <v>1143</v>
      </c>
      <c r="H1645" s="24" t="s">
        <v>380</v>
      </c>
      <c r="I1645" s="24" t="s">
        <v>1598</v>
      </c>
      <c r="J1645" s="24" t="s">
        <v>761</v>
      </c>
      <c r="K1645" s="24" t="s">
        <v>1146</v>
      </c>
      <c r="L1645" s="25">
        <v>1070</v>
      </c>
      <c r="M1645" s="26">
        <v>2.6406000000000001</v>
      </c>
      <c r="N1645" s="27">
        <v>2.6406000000000001</v>
      </c>
      <c r="O1645" s="28">
        <v>2.4005454545454547E-3</v>
      </c>
      <c r="P1645" s="28">
        <v>2.5003911504424781</v>
      </c>
    </row>
    <row r="1646" spans="1:16" x14ac:dyDescent="0.3">
      <c r="A1646" t="s">
        <v>4535</v>
      </c>
      <c r="B1646" s="24">
        <v>142195</v>
      </c>
      <c r="C1646" s="24" t="s">
        <v>1588</v>
      </c>
      <c r="D1646" s="24" t="s">
        <v>1102</v>
      </c>
      <c r="E1646" s="24" t="s">
        <v>51</v>
      </c>
      <c r="F1646" s="24" t="s">
        <v>1142</v>
      </c>
      <c r="G1646" s="24" t="s">
        <v>1143</v>
      </c>
      <c r="H1646" s="24" t="s">
        <v>380</v>
      </c>
      <c r="I1646" s="24" t="s">
        <v>1598</v>
      </c>
      <c r="J1646" s="24" t="s">
        <v>761</v>
      </c>
      <c r="K1646" s="24" t="s">
        <v>1146</v>
      </c>
      <c r="L1646" s="25">
        <v>1070</v>
      </c>
      <c r="M1646" s="26">
        <v>2.6406000000000001</v>
      </c>
      <c r="N1646" s="27">
        <v>2.6406000000000001</v>
      </c>
      <c r="O1646" s="28">
        <v>2.4005454545454547E-3</v>
      </c>
      <c r="P1646" s="28">
        <v>2.5003911504424781</v>
      </c>
    </row>
    <row r="1647" spans="1:16" x14ac:dyDescent="0.3">
      <c r="A1647" t="s">
        <v>4536</v>
      </c>
      <c r="B1647" s="24">
        <v>142242</v>
      </c>
      <c r="C1647" s="24" t="s">
        <v>1591</v>
      </c>
      <c r="D1647" s="24" t="s">
        <v>1102</v>
      </c>
      <c r="E1647" s="24" t="s">
        <v>51</v>
      </c>
      <c r="F1647" s="24" t="s">
        <v>1142</v>
      </c>
      <c r="G1647" s="24" t="s">
        <v>1143</v>
      </c>
      <c r="H1647" s="24" t="s">
        <v>380</v>
      </c>
      <c r="I1647" s="24" t="s">
        <v>1598</v>
      </c>
      <c r="J1647" s="24" t="s">
        <v>761</v>
      </c>
      <c r="K1647" s="24" t="s">
        <v>1146</v>
      </c>
      <c r="L1647" s="25">
        <v>1070</v>
      </c>
      <c r="M1647" s="26">
        <v>2.6406000000000001</v>
      </c>
      <c r="N1647" s="27">
        <v>2.6406000000000001</v>
      </c>
      <c r="O1647" s="28">
        <v>2.4005454545454547E-3</v>
      </c>
      <c r="P1647" s="28">
        <v>2.5003911504424781</v>
      </c>
    </row>
    <row r="1648" spans="1:16" x14ac:dyDescent="0.3">
      <c r="A1648" t="s">
        <v>4537</v>
      </c>
      <c r="B1648" s="24">
        <v>102504</v>
      </c>
      <c r="C1648" s="24" t="s">
        <v>1585</v>
      </c>
      <c r="D1648" s="24" t="s">
        <v>1102</v>
      </c>
      <c r="E1648" s="24" t="s">
        <v>51</v>
      </c>
      <c r="F1648" s="24" t="s">
        <v>1142</v>
      </c>
      <c r="G1648" s="24" t="s">
        <v>1143</v>
      </c>
      <c r="H1648" s="24" t="s">
        <v>381</v>
      </c>
      <c r="I1648" s="24" t="s">
        <v>1599</v>
      </c>
      <c r="J1648" s="24" t="s">
        <v>761</v>
      </c>
      <c r="K1648" s="24" t="s">
        <v>1146</v>
      </c>
      <c r="L1648" s="25">
        <v>1070</v>
      </c>
      <c r="M1648" s="26">
        <v>2.9792999999999998</v>
      </c>
      <c r="N1648" s="27">
        <v>2.9792999999999998</v>
      </c>
      <c r="O1648" s="28">
        <v>2.7084545454545451E-3</v>
      </c>
      <c r="P1648" s="28">
        <v>2.8211070796460174</v>
      </c>
    </row>
    <row r="1649" spans="1:16" x14ac:dyDescent="0.3">
      <c r="A1649" t="s">
        <v>4538</v>
      </c>
      <c r="B1649" s="24">
        <v>142137</v>
      </c>
      <c r="C1649" s="24" t="s">
        <v>1587</v>
      </c>
      <c r="D1649" s="24" t="s">
        <v>1102</v>
      </c>
      <c r="E1649" s="24" t="s">
        <v>51</v>
      </c>
      <c r="F1649" s="24" t="s">
        <v>1142</v>
      </c>
      <c r="G1649" s="24" t="s">
        <v>1143</v>
      </c>
      <c r="H1649" s="24" t="s">
        <v>381</v>
      </c>
      <c r="I1649" s="24" t="s">
        <v>1599</v>
      </c>
      <c r="J1649" s="24" t="s">
        <v>761</v>
      </c>
      <c r="K1649" s="24" t="s">
        <v>1146</v>
      </c>
      <c r="L1649" s="25">
        <v>1070</v>
      </c>
      <c r="M1649" s="26">
        <v>2.9792999999999998</v>
      </c>
      <c r="N1649" s="27">
        <v>2.9792999999999998</v>
      </c>
      <c r="O1649" s="28">
        <v>2.7084545454545451E-3</v>
      </c>
      <c r="P1649" s="28">
        <v>2.8211070796460174</v>
      </c>
    </row>
    <row r="1650" spans="1:16" x14ac:dyDescent="0.3">
      <c r="A1650" t="s">
        <v>4539</v>
      </c>
      <c r="B1650" s="24">
        <v>142195</v>
      </c>
      <c r="C1650" s="24" t="s">
        <v>1588</v>
      </c>
      <c r="D1650" s="24" t="s">
        <v>1102</v>
      </c>
      <c r="E1650" s="24" t="s">
        <v>51</v>
      </c>
      <c r="F1650" s="24" t="s">
        <v>1142</v>
      </c>
      <c r="G1650" s="24" t="s">
        <v>1143</v>
      </c>
      <c r="H1650" s="24" t="s">
        <v>381</v>
      </c>
      <c r="I1650" s="24" t="s">
        <v>1599</v>
      </c>
      <c r="J1650" s="24" t="s">
        <v>761</v>
      </c>
      <c r="K1650" s="24" t="s">
        <v>1146</v>
      </c>
      <c r="L1650" s="25">
        <v>1070</v>
      </c>
      <c r="M1650" s="26">
        <v>2.9792999999999998</v>
      </c>
      <c r="N1650" s="27">
        <v>2.9792999999999998</v>
      </c>
      <c r="O1650" s="28">
        <v>2.7084545454545451E-3</v>
      </c>
      <c r="P1650" s="28">
        <v>2.8211070796460174</v>
      </c>
    </row>
    <row r="1651" spans="1:16" x14ac:dyDescent="0.3">
      <c r="A1651" t="s">
        <v>4540</v>
      </c>
      <c r="B1651" s="24">
        <v>142242</v>
      </c>
      <c r="C1651" s="24" t="s">
        <v>1591</v>
      </c>
      <c r="D1651" s="24" t="s">
        <v>1102</v>
      </c>
      <c r="E1651" s="24" t="s">
        <v>51</v>
      </c>
      <c r="F1651" s="24" t="s">
        <v>1142</v>
      </c>
      <c r="G1651" s="24" t="s">
        <v>1143</v>
      </c>
      <c r="H1651" s="24" t="s">
        <v>381</v>
      </c>
      <c r="I1651" s="24" t="s">
        <v>1599</v>
      </c>
      <c r="J1651" s="24" t="s">
        <v>761</v>
      </c>
      <c r="K1651" s="24" t="s">
        <v>1146</v>
      </c>
      <c r="L1651" s="25">
        <v>1070</v>
      </c>
      <c r="M1651" s="26">
        <v>2.9792999999999998</v>
      </c>
      <c r="N1651" s="27">
        <v>2.9792999999999998</v>
      </c>
      <c r="O1651" s="28">
        <v>2.7084545454545451E-3</v>
      </c>
      <c r="P1651" s="28">
        <v>2.8211070796460174</v>
      </c>
    </row>
    <row r="1652" spans="1:16" x14ac:dyDescent="0.3">
      <c r="A1652" t="s">
        <v>4539</v>
      </c>
      <c r="B1652" s="24">
        <v>142195</v>
      </c>
      <c r="C1652" s="24" t="s">
        <v>1588</v>
      </c>
      <c r="D1652" s="24" t="s">
        <v>1102</v>
      </c>
      <c r="E1652" s="24" t="s">
        <v>51</v>
      </c>
      <c r="F1652" s="24" t="s">
        <v>1142</v>
      </c>
      <c r="G1652" s="24" t="s">
        <v>1143</v>
      </c>
      <c r="H1652" s="24" t="s">
        <v>381</v>
      </c>
      <c r="I1652" s="24" t="s">
        <v>1600</v>
      </c>
      <c r="J1652" s="24" t="s">
        <v>761</v>
      </c>
      <c r="K1652" s="24" t="s">
        <v>1146</v>
      </c>
      <c r="L1652" s="25">
        <v>1070</v>
      </c>
      <c r="M1652" s="26">
        <v>2.9792999999999998</v>
      </c>
      <c r="N1652" s="27">
        <v>2.9792999999999998</v>
      </c>
      <c r="O1652" s="28">
        <v>2.7084545454545451E-3</v>
      </c>
      <c r="P1652" s="28">
        <v>2.8211070796460174</v>
      </c>
    </row>
    <row r="1653" spans="1:16" x14ac:dyDescent="0.3">
      <c r="A1653" t="s">
        <v>4540</v>
      </c>
      <c r="B1653" s="24">
        <v>142242</v>
      </c>
      <c r="C1653" s="24" t="s">
        <v>1591</v>
      </c>
      <c r="D1653" s="24" t="s">
        <v>1102</v>
      </c>
      <c r="E1653" s="24" t="s">
        <v>51</v>
      </c>
      <c r="F1653" s="24" t="s">
        <v>1142</v>
      </c>
      <c r="G1653" s="24" t="s">
        <v>1143</v>
      </c>
      <c r="H1653" s="24" t="s">
        <v>381</v>
      </c>
      <c r="I1653" s="24" t="s">
        <v>1600</v>
      </c>
      <c r="J1653" s="24" t="s">
        <v>761</v>
      </c>
      <c r="K1653" s="24" t="s">
        <v>1146</v>
      </c>
      <c r="L1653" s="25">
        <v>1070</v>
      </c>
      <c r="M1653" s="26">
        <v>2.9792999999999998</v>
      </c>
      <c r="N1653" s="27">
        <v>2.9792999999999998</v>
      </c>
      <c r="O1653" s="28">
        <v>2.7084545454545451E-3</v>
      </c>
      <c r="P1653" s="28">
        <v>2.8211070796460174</v>
      </c>
    </row>
    <row r="1654" spans="1:16" x14ac:dyDescent="0.3">
      <c r="A1654" t="s">
        <v>4541</v>
      </c>
      <c r="B1654" s="24">
        <v>102504</v>
      </c>
      <c r="C1654" s="24" t="s">
        <v>1585</v>
      </c>
      <c r="D1654" s="24" t="s">
        <v>1102</v>
      </c>
      <c r="E1654" s="24" t="s">
        <v>51</v>
      </c>
      <c r="F1654" s="24" t="s">
        <v>1142</v>
      </c>
      <c r="G1654" s="24" t="s">
        <v>1143</v>
      </c>
      <c r="H1654" s="24" t="s">
        <v>382</v>
      </c>
      <c r="I1654" s="24" t="s">
        <v>1601</v>
      </c>
      <c r="J1654" s="24" t="s">
        <v>761</v>
      </c>
      <c r="K1654" s="24" t="s">
        <v>1146</v>
      </c>
      <c r="L1654" s="25">
        <v>1070</v>
      </c>
      <c r="M1654" s="26">
        <v>3.54</v>
      </c>
      <c r="N1654" s="27">
        <v>3.54</v>
      </c>
      <c r="O1654" s="28">
        <v>3.2181818181818184E-3</v>
      </c>
      <c r="P1654" s="28">
        <v>3.3520353982300888</v>
      </c>
    </row>
    <row r="1655" spans="1:16" x14ac:dyDescent="0.3">
      <c r="A1655" t="s">
        <v>4542</v>
      </c>
      <c r="B1655" s="24">
        <v>142195</v>
      </c>
      <c r="C1655" s="24" t="s">
        <v>1588</v>
      </c>
      <c r="D1655" s="24" t="s">
        <v>1102</v>
      </c>
      <c r="E1655" s="24" t="s">
        <v>51</v>
      </c>
      <c r="F1655" s="24" t="s">
        <v>1142</v>
      </c>
      <c r="G1655" s="24" t="s">
        <v>1143</v>
      </c>
      <c r="H1655" s="24" t="s">
        <v>382</v>
      </c>
      <c r="I1655" s="24" t="s">
        <v>1601</v>
      </c>
      <c r="J1655" s="24" t="s">
        <v>761</v>
      </c>
      <c r="K1655" s="24" t="s">
        <v>1146</v>
      </c>
      <c r="L1655" s="25">
        <v>1070</v>
      </c>
      <c r="M1655" s="26">
        <v>3.54</v>
      </c>
      <c r="N1655" s="27">
        <v>3.54</v>
      </c>
      <c r="O1655" s="28">
        <v>3.2181818181818184E-3</v>
      </c>
      <c r="P1655" s="28">
        <v>3.3520353982300888</v>
      </c>
    </row>
    <row r="1656" spans="1:16" x14ac:dyDescent="0.3">
      <c r="A1656" t="s">
        <v>4543</v>
      </c>
      <c r="B1656" s="24">
        <v>142242</v>
      </c>
      <c r="C1656" s="24" t="s">
        <v>1591</v>
      </c>
      <c r="D1656" s="24" t="s">
        <v>1102</v>
      </c>
      <c r="E1656" s="24" t="s">
        <v>51</v>
      </c>
      <c r="F1656" s="24" t="s">
        <v>1142</v>
      </c>
      <c r="G1656" s="24" t="s">
        <v>1143</v>
      </c>
      <c r="H1656" s="24" t="s">
        <v>382</v>
      </c>
      <c r="I1656" s="24" t="s">
        <v>1601</v>
      </c>
      <c r="J1656" s="24" t="s">
        <v>761</v>
      </c>
      <c r="K1656" s="24" t="s">
        <v>1146</v>
      </c>
      <c r="L1656" s="25">
        <v>1070</v>
      </c>
      <c r="M1656" s="26">
        <v>3.54</v>
      </c>
      <c r="N1656" s="27">
        <v>3.54</v>
      </c>
      <c r="O1656" s="28">
        <v>3.2181818181818184E-3</v>
      </c>
      <c r="P1656" s="28">
        <v>3.3520353982300888</v>
      </c>
    </row>
    <row r="1657" spans="1:16" x14ac:dyDescent="0.3">
      <c r="A1657" t="s">
        <v>4544</v>
      </c>
      <c r="B1657" s="24">
        <v>142376</v>
      </c>
      <c r="C1657" s="24" t="s">
        <v>1589</v>
      </c>
      <c r="D1657" s="24" t="s">
        <v>1102</v>
      </c>
      <c r="E1657" s="24" t="s">
        <v>51</v>
      </c>
      <c r="F1657" s="24" t="s">
        <v>1142</v>
      </c>
      <c r="G1657" s="24" t="s">
        <v>1143</v>
      </c>
      <c r="H1657" s="24" t="s">
        <v>382</v>
      </c>
      <c r="I1657" s="24" t="s">
        <v>1601</v>
      </c>
      <c r="J1657" s="24" t="s">
        <v>761</v>
      </c>
      <c r="K1657" s="24" t="s">
        <v>1146</v>
      </c>
      <c r="L1657" s="25">
        <v>1070</v>
      </c>
      <c r="M1657" s="26">
        <v>3.54</v>
      </c>
      <c r="N1657" s="27">
        <v>3.54</v>
      </c>
      <c r="O1657" s="28">
        <v>3.2181818181818184E-3</v>
      </c>
      <c r="P1657" s="28">
        <v>3.3520353982300888</v>
      </c>
    </row>
    <row r="1658" spans="1:16" x14ac:dyDescent="0.3">
      <c r="A1658" t="s">
        <v>4544</v>
      </c>
      <c r="B1658" s="24">
        <v>142376</v>
      </c>
      <c r="C1658" s="24" t="s">
        <v>1589</v>
      </c>
      <c r="D1658" s="24" t="s">
        <v>1102</v>
      </c>
      <c r="E1658" s="24" t="s">
        <v>51</v>
      </c>
      <c r="F1658" s="24" t="s">
        <v>1142</v>
      </c>
      <c r="G1658" s="24" t="s">
        <v>1143</v>
      </c>
      <c r="H1658" s="24" t="s">
        <v>382</v>
      </c>
      <c r="I1658" s="24" t="s">
        <v>1601</v>
      </c>
      <c r="J1658" s="24" t="s">
        <v>761</v>
      </c>
      <c r="K1658" s="24" t="s">
        <v>1146</v>
      </c>
      <c r="L1658" s="25">
        <v>1070</v>
      </c>
      <c r="M1658" s="26">
        <v>3.54</v>
      </c>
      <c r="N1658" s="27">
        <v>3.54</v>
      </c>
      <c r="O1658" s="28">
        <v>3.2181818181818184E-3</v>
      </c>
      <c r="P1658" s="28">
        <v>3.3520353982300888</v>
      </c>
    </row>
    <row r="1659" spans="1:16" x14ac:dyDescent="0.3">
      <c r="A1659" t="s">
        <v>4545</v>
      </c>
      <c r="B1659" s="24">
        <v>102504</v>
      </c>
      <c r="C1659" s="24" t="s">
        <v>1585</v>
      </c>
      <c r="D1659" s="24" t="s">
        <v>1102</v>
      </c>
      <c r="E1659" s="24" t="s">
        <v>51</v>
      </c>
      <c r="F1659" s="24" t="s">
        <v>1142</v>
      </c>
      <c r="G1659" s="24" t="s">
        <v>1143</v>
      </c>
      <c r="H1659" s="24" t="s">
        <v>376</v>
      </c>
      <c r="I1659" s="24" t="s">
        <v>1602</v>
      </c>
      <c r="J1659" s="24" t="s">
        <v>761</v>
      </c>
      <c r="K1659" s="24" t="s">
        <v>1146</v>
      </c>
      <c r="L1659" s="25">
        <v>1070</v>
      </c>
      <c r="M1659" s="26">
        <v>3.0813999999999999</v>
      </c>
      <c r="N1659" s="27">
        <v>3.0813999999999999</v>
      </c>
      <c r="O1659" s="28">
        <v>2.8012727272727273E-3</v>
      </c>
      <c r="P1659" s="28">
        <v>2.9177858407079644</v>
      </c>
    </row>
    <row r="1660" spans="1:16" x14ac:dyDescent="0.3">
      <c r="A1660" t="s">
        <v>4546</v>
      </c>
      <c r="B1660" s="24">
        <v>142137</v>
      </c>
      <c r="C1660" s="24" t="s">
        <v>1587</v>
      </c>
      <c r="D1660" s="24" t="s">
        <v>1102</v>
      </c>
      <c r="E1660" s="24" t="s">
        <v>51</v>
      </c>
      <c r="F1660" s="24" t="s">
        <v>1142</v>
      </c>
      <c r="G1660" s="24" t="s">
        <v>1143</v>
      </c>
      <c r="H1660" s="24" t="s">
        <v>376</v>
      </c>
      <c r="I1660" s="24" t="s">
        <v>1602</v>
      </c>
      <c r="J1660" s="24" t="s">
        <v>761</v>
      </c>
      <c r="K1660" s="24" t="s">
        <v>1146</v>
      </c>
      <c r="L1660" s="25">
        <v>1070</v>
      </c>
      <c r="M1660" s="26">
        <v>3.0813999999999999</v>
      </c>
      <c r="N1660" s="27">
        <v>3.0813999999999999</v>
      </c>
      <c r="O1660" s="28">
        <v>2.8012727272727273E-3</v>
      </c>
      <c r="P1660" s="28">
        <v>2.9177858407079644</v>
      </c>
    </row>
    <row r="1661" spans="1:16" x14ac:dyDescent="0.3">
      <c r="A1661" t="s">
        <v>4547</v>
      </c>
      <c r="B1661" s="24">
        <v>142195</v>
      </c>
      <c r="C1661" s="24" t="s">
        <v>1588</v>
      </c>
      <c r="D1661" s="24" t="s">
        <v>1102</v>
      </c>
      <c r="E1661" s="24" t="s">
        <v>51</v>
      </c>
      <c r="F1661" s="24" t="s">
        <v>1142</v>
      </c>
      <c r="G1661" s="24" t="s">
        <v>1143</v>
      </c>
      <c r="H1661" s="24" t="s">
        <v>376</v>
      </c>
      <c r="I1661" s="24" t="s">
        <v>1602</v>
      </c>
      <c r="J1661" s="24" t="s">
        <v>761</v>
      </c>
      <c r="K1661" s="24" t="s">
        <v>1146</v>
      </c>
      <c r="L1661" s="25">
        <v>1070</v>
      </c>
      <c r="M1661" s="26">
        <v>3.0813999999999999</v>
      </c>
      <c r="N1661" s="27">
        <v>3.0813999999999999</v>
      </c>
      <c r="O1661" s="28">
        <v>2.8012727272727273E-3</v>
      </c>
      <c r="P1661" s="28">
        <v>2.9177858407079644</v>
      </c>
    </row>
    <row r="1662" spans="1:16" x14ac:dyDescent="0.3">
      <c r="A1662" t="s">
        <v>4548</v>
      </c>
      <c r="B1662" s="24">
        <v>142242</v>
      </c>
      <c r="C1662" s="24" t="s">
        <v>1591</v>
      </c>
      <c r="D1662" s="24" t="s">
        <v>1102</v>
      </c>
      <c r="E1662" s="24" t="s">
        <v>51</v>
      </c>
      <c r="F1662" s="24" t="s">
        <v>1142</v>
      </c>
      <c r="G1662" s="24" t="s">
        <v>1143</v>
      </c>
      <c r="H1662" s="24" t="s">
        <v>376</v>
      </c>
      <c r="I1662" s="24" t="s">
        <v>1602</v>
      </c>
      <c r="J1662" s="24" t="s">
        <v>761</v>
      </c>
      <c r="K1662" s="24" t="s">
        <v>1146</v>
      </c>
      <c r="L1662" s="25">
        <v>1070</v>
      </c>
      <c r="M1662" s="26">
        <v>3.0813999999999999</v>
      </c>
      <c r="N1662" s="27">
        <v>3.0813999999999999</v>
      </c>
      <c r="O1662" s="28">
        <v>2.8012727272727273E-3</v>
      </c>
      <c r="P1662" s="28">
        <v>2.9177858407079644</v>
      </c>
    </row>
    <row r="1663" spans="1:16" x14ac:dyDescent="0.3">
      <c r="A1663" t="s">
        <v>4548</v>
      </c>
      <c r="B1663" s="24">
        <v>142242</v>
      </c>
      <c r="C1663" s="24" t="s">
        <v>1591</v>
      </c>
      <c r="D1663" s="24" t="s">
        <v>1102</v>
      </c>
      <c r="E1663" s="24" t="s">
        <v>51</v>
      </c>
      <c r="F1663" s="24" t="s">
        <v>1142</v>
      </c>
      <c r="G1663" s="24" t="s">
        <v>1143</v>
      </c>
      <c r="H1663" s="24" t="s">
        <v>376</v>
      </c>
      <c r="I1663" s="24" t="s">
        <v>1603</v>
      </c>
      <c r="J1663" s="24" t="s">
        <v>761</v>
      </c>
      <c r="K1663" s="24" t="s">
        <v>1146</v>
      </c>
      <c r="L1663" s="25">
        <v>1070</v>
      </c>
      <c r="M1663" s="26">
        <v>3.0813999999999999</v>
      </c>
      <c r="N1663" s="27">
        <v>3.0813999999999999</v>
      </c>
      <c r="O1663" s="28">
        <v>2.8012727272727273E-3</v>
      </c>
      <c r="P1663" s="28">
        <v>2.9177858407079644</v>
      </c>
    </row>
    <row r="1664" spans="1:16" x14ac:dyDescent="0.3">
      <c r="A1664" t="s">
        <v>4549</v>
      </c>
      <c r="B1664" s="24">
        <v>102504</v>
      </c>
      <c r="C1664" s="24" t="s">
        <v>1585</v>
      </c>
      <c r="D1664" s="24" t="s">
        <v>1102</v>
      </c>
      <c r="E1664" s="24" t="s">
        <v>51</v>
      </c>
      <c r="F1664" s="24" t="s">
        <v>1142</v>
      </c>
      <c r="G1664" s="24" t="s">
        <v>1143</v>
      </c>
      <c r="H1664" s="24" t="s">
        <v>383</v>
      </c>
      <c r="I1664" s="24" t="s">
        <v>1604</v>
      </c>
      <c r="J1664" s="24" t="s">
        <v>761</v>
      </c>
      <c r="K1664" s="24" t="s">
        <v>1146</v>
      </c>
      <c r="L1664" s="25">
        <v>1070</v>
      </c>
      <c r="M1664" s="26">
        <v>3.6309</v>
      </c>
      <c r="N1664" s="27">
        <v>3.6309</v>
      </c>
      <c r="O1664" s="28">
        <v>3.3008181818181817E-3</v>
      </c>
      <c r="P1664" s="28">
        <v>3.4381088495575223</v>
      </c>
    </row>
    <row r="1665" spans="1:16" x14ac:dyDescent="0.3">
      <c r="A1665" t="s">
        <v>4550</v>
      </c>
      <c r="B1665" s="24">
        <v>142129</v>
      </c>
      <c r="C1665" s="24" t="s">
        <v>1586</v>
      </c>
      <c r="D1665" s="24" t="s">
        <v>1102</v>
      </c>
      <c r="E1665" s="24" t="s">
        <v>51</v>
      </c>
      <c r="F1665" s="24" t="s">
        <v>1142</v>
      </c>
      <c r="G1665" s="24" t="s">
        <v>1143</v>
      </c>
      <c r="H1665" s="24" t="s">
        <v>383</v>
      </c>
      <c r="I1665" s="24" t="s">
        <v>1604</v>
      </c>
      <c r="J1665" s="24" t="s">
        <v>761</v>
      </c>
      <c r="K1665" s="24" t="s">
        <v>1146</v>
      </c>
      <c r="L1665" s="25">
        <v>1070</v>
      </c>
      <c r="M1665" s="26">
        <v>3.6309</v>
      </c>
      <c r="N1665" s="27">
        <v>3.6309</v>
      </c>
      <c r="O1665" s="28">
        <v>3.3008181818181817E-3</v>
      </c>
      <c r="P1665" s="28">
        <v>3.4381088495575223</v>
      </c>
    </row>
    <row r="1666" spans="1:16" x14ac:dyDescent="0.3">
      <c r="A1666" t="s">
        <v>4551</v>
      </c>
      <c r="B1666" s="24">
        <v>142137</v>
      </c>
      <c r="C1666" s="24" t="s">
        <v>1587</v>
      </c>
      <c r="D1666" s="24" t="s">
        <v>1102</v>
      </c>
      <c r="E1666" s="24" t="s">
        <v>51</v>
      </c>
      <c r="F1666" s="24" t="s">
        <v>1142</v>
      </c>
      <c r="G1666" s="24" t="s">
        <v>1143</v>
      </c>
      <c r="H1666" s="24" t="s">
        <v>383</v>
      </c>
      <c r="I1666" s="24" t="s">
        <v>1604</v>
      </c>
      <c r="J1666" s="24" t="s">
        <v>761</v>
      </c>
      <c r="K1666" s="24" t="s">
        <v>1146</v>
      </c>
      <c r="L1666" s="25">
        <v>1070</v>
      </c>
      <c r="M1666" s="26">
        <v>3.6309</v>
      </c>
      <c r="N1666" s="27">
        <v>3.6309</v>
      </c>
      <c r="O1666" s="28">
        <v>3.3008181818181817E-3</v>
      </c>
      <c r="P1666" s="28">
        <v>3.4381088495575223</v>
      </c>
    </row>
    <row r="1667" spans="1:16" x14ac:dyDescent="0.3">
      <c r="A1667" t="s">
        <v>4552</v>
      </c>
      <c r="B1667" s="24">
        <v>142195</v>
      </c>
      <c r="C1667" s="24" t="s">
        <v>1588</v>
      </c>
      <c r="D1667" s="24" t="s">
        <v>1102</v>
      </c>
      <c r="E1667" s="24" t="s">
        <v>51</v>
      </c>
      <c r="F1667" s="24" t="s">
        <v>1142</v>
      </c>
      <c r="G1667" s="24" t="s">
        <v>1143</v>
      </c>
      <c r="H1667" s="24" t="s">
        <v>383</v>
      </c>
      <c r="I1667" s="24" t="s">
        <v>1604</v>
      </c>
      <c r="J1667" s="24" t="s">
        <v>761</v>
      </c>
      <c r="K1667" s="24" t="s">
        <v>1146</v>
      </c>
      <c r="L1667" s="25">
        <v>1070</v>
      </c>
      <c r="M1667" s="26">
        <v>3.6309</v>
      </c>
      <c r="N1667" s="27">
        <v>3.6309</v>
      </c>
      <c r="O1667" s="28">
        <v>3.3008181818181817E-3</v>
      </c>
      <c r="P1667" s="28">
        <v>3.4381088495575223</v>
      </c>
    </row>
    <row r="1668" spans="1:16" x14ac:dyDescent="0.3">
      <c r="A1668" t="s">
        <v>4553</v>
      </c>
      <c r="B1668" s="24">
        <v>142344</v>
      </c>
      <c r="C1668" s="24" t="s">
        <v>1605</v>
      </c>
      <c r="D1668" s="24" t="s">
        <v>1102</v>
      </c>
      <c r="E1668" s="24" t="s">
        <v>51</v>
      </c>
      <c r="F1668" s="24" t="s">
        <v>1142</v>
      </c>
      <c r="G1668" s="24" t="s">
        <v>1143</v>
      </c>
      <c r="H1668" s="24" t="s">
        <v>383</v>
      </c>
      <c r="I1668" s="24" t="s">
        <v>1604</v>
      </c>
      <c r="J1668" s="24" t="s">
        <v>761</v>
      </c>
      <c r="K1668" s="24" t="s">
        <v>1146</v>
      </c>
      <c r="L1668" s="25">
        <v>1070</v>
      </c>
      <c r="M1668" s="26">
        <v>3.6126999999999998</v>
      </c>
      <c r="N1668" s="27">
        <v>3.6126999999999998</v>
      </c>
      <c r="O1668" s="28">
        <v>3.2842727272727273E-3</v>
      </c>
      <c r="P1668" s="28">
        <v>3.4208752212389379</v>
      </c>
    </row>
    <row r="1669" spans="1:16" x14ac:dyDescent="0.3">
      <c r="A1669" t="s">
        <v>4554</v>
      </c>
      <c r="B1669" s="24">
        <v>141245</v>
      </c>
      <c r="C1669" s="24" t="s">
        <v>1606</v>
      </c>
      <c r="D1669" s="24" t="s">
        <v>1102</v>
      </c>
      <c r="E1669" s="24" t="s">
        <v>51</v>
      </c>
      <c r="F1669" s="24" t="s">
        <v>1386</v>
      </c>
      <c r="G1669" s="24" t="s">
        <v>1387</v>
      </c>
      <c r="H1669" s="24" t="s">
        <v>50</v>
      </c>
      <c r="I1669" s="24" t="s">
        <v>1607</v>
      </c>
      <c r="J1669" s="24" t="s">
        <v>761</v>
      </c>
      <c r="K1669" s="24" t="s">
        <v>1146</v>
      </c>
      <c r="L1669" s="25">
        <v>1070</v>
      </c>
      <c r="M1669" s="26">
        <v>11</v>
      </c>
      <c r="N1669" s="27">
        <v>11</v>
      </c>
      <c r="O1669" s="28">
        <v>0.01</v>
      </c>
      <c r="P1669" s="28">
        <v>10.415929203539823</v>
      </c>
    </row>
    <row r="1670" spans="1:16" x14ac:dyDescent="0.3">
      <c r="A1670" t="s">
        <v>4555</v>
      </c>
      <c r="B1670" s="24">
        <v>100581</v>
      </c>
      <c r="C1670" s="24" t="s">
        <v>1232</v>
      </c>
      <c r="D1670" s="24" t="s">
        <v>1102</v>
      </c>
      <c r="E1670" s="24" t="s">
        <v>366</v>
      </c>
      <c r="F1670" s="24" t="s">
        <v>1142</v>
      </c>
      <c r="G1670" s="24" t="s">
        <v>1233</v>
      </c>
      <c r="H1670" s="24" t="s">
        <v>369</v>
      </c>
      <c r="I1670" s="24" t="s">
        <v>1608</v>
      </c>
      <c r="J1670" s="24" t="s">
        <v>761</v>
      </c>
      <c r="K1670" s="24" t="s">
        <v>1146</v>
      </c>
      <c r="L1670" s="25">
        <v>1070</v>
      </c>
      <c r="M1670" s="26">
        <v>8.1999999999999993</v>
      </c>
      <c r="N1670" s="27">
        <v>8.1999999999999993</v>
      </c>
      <c r="O1670" s="28">
        <v>7.4545454545454541E-3</v>
      </c>
      <c r="P1670" s="28">
        <v>7.7646017699115042</v>
      </c>
    </row>
    <row r="1671" spans="1:16" x14ac:dyDescent="0.3">
      <c r="A1671" t="s">
        <v>4556</v>
      </c>
      <c r="B1671" s="24">
        <v>100603</v>
      </c>
      <c r="C1671" s="24" t="s">
        <v>1277</v>
      </c>
      <c r="D1671" s="24" t="s">
        <v>1102</v>
      </c>
      <c r="E1671" s="24" t="s">
        <v>366</v>
      </c>
      <c r="F1671" s="24" t="s">
        <v>1142</v>
      </c>
      <c r="G1671" s="24" t="s">
        <v>1082</v>
      </c>
      <c r="H1671" s="24" t="s">
        <v>369</v>
      </c>
      <c r="I1671" s="24" t="s">
        <v>1608</v>
      </c>
      <c r="J1671" s="24" t="s">
        <v>761</v>
      </c>
      <c r="K1671" s="24" t="s">
        <v>1146</v>
      </c>
      <c r="L1671" s="25">
        <v>1070</v>
      </c>
      <c r="M1671" s="26">
        <v>8.1999999999999993</v>
      </c>
      <c r="N1671" s="27">
        <v>8.1999999999999993</v>
      </c>
      <c r="O1671" s="28">
        <v>7.4545454545454541E-3</v>
      </c>
      <c r="P1671" s="28">
        <v>7.7646017699115042</v>
      </c>
    </row>
    <row r="1672" spans="1:16" x14ac:dyDescent="0.3">
      <c r="A1672" t="s">
        <v>4557</v>
      </c>
      <c r="B1672" s="24">
        <v>101184</v>
      </c>
      <c r="C1672" s="24" t="s">
        <v>1401</v>
      </c>
      <c r="D1672" s="24" t="s">
        <v>1102</v>
      </c>
      <c r="E1672" s="24" t="s">
        <v>366</v>
      </c>
      <c r="F1672" s="24" t="s">
        <v>1142</v>
      </c>
      <c r="G1672" s="24" t="s">
        <v>1402</v>
      </c>
      <c r="H1672" s="24" t="s">
        <v>369</v>
      </c>
      <c r="I1672" s="24" t="s">
        <v>1608</v>
      </c>
      <c r="J1672" s="24" t="s">
        <v>761</v>
      </c>
      <c r="K1672" s="24" t="s">
        <v>1146</v>
      </c>
      <c r="L1672" s="25">
        <v>1070</v>
      </c>
      <c r="M1672" s="26">
        <v>8.1999999999999993</v>
      </c>
      <c r="N1672" s="27">
        <v>8.1999999999999993</v>
      </c>
      <c r="O1672" s="28">
        <v>7.4545454545454541E-3</v>
      </c>
      <c r="P1672" s="28">
        <v>7.7646017699115042</v>
      </c>
    </row>
    <row r="1673" spans="1:16" x14ac:dyDescent="0.3">
      <c r="A1673" t="s">
        <v>4558</v>
      </c>
      <c r="B1673" s="24">
        <v>101186</v>
      </c>
      <c r="C1673" s="24" t="s">
        <v>1273</v>
      </c>
      <c r="D1673" s="24" t="s">
        <v>1102</v>
      </c>
      <c r="E1673" s="24" t="s">
        <v>366</v>
      </c>
      <c r="F1673" s="24" t="s">
        <v>1142</v>
      </c>
      <c r="G1673" s="24" t="s">
        <v>1203</v>
      </c>
      <c r="H1673" s="24" t="s">
        <v>370</v>
      </c>
      <c r="I1673" s="24" t="s">
        <v>1609</v>
      </c>
      <c r="J1673" s="24" t="s">
        <v>761</v>
      </c>
      <c r="K1673" s="24" t="s">
        <v>1146</v>
      </c>
      <c r="L1673" s="25">
        <v>1070</v>
      </c>
      <c r="M1673" s="26">
        <v>10.74</v>
      </c>
      <c r="N1673" s="27">
        <v>10.74</v>
      </c>
      <c r="O1673" s="28">
        <v>9.7636363636363632E-3</v>
      </c>
      <c r="P1673" s="28">
        <v>10.169734513274337</v>
      </c>
    </row>
    <row r="1674" spans="1:16" x14ac:dyDescent="0.3">
      <c r="A1674" t="s">
        <v>4559</v>
      </c>
      <c r="B1674" s="24">
        <v>100581</v>
      </c>
      <c r="C1674" s="24" t="s">
        <v>1232</v>
      </c>
      <c r="D1674" s="24" t="s">
        <v>1102</v>
      </c>
      <c r="E1674" s="24" t="s">
        <v>366</v>
      </c>
      <c r="F1674" s="24" t="s">
        <v>1142</v>
      </c>
      <c r="G1674" s="24" t="s">
        <v>1233</v>
      </c>
      <c r="H1674" s="24" t="s">
        <v>371</v>
      </c>
      <c r="I1674" s="24" t="s">
        <v>1610</v>
      </c>
      <c r="J1674" s="24" t="s">
        <v>761</v>
      </c>
      <c r="K1674" s="24" t="s">
        <v>1146</v>
      </c>
      <c r="L1674" s="25">
        <v>1070</v>
      </c>
      <c r="M1674" s="26">
        <v>8.1999999999999993</v>
      </c>
      <c r="N1674" s="27">
        <v>8.1999999999999993</v>
      </c>
      <c r="O1674" s="28">
        <v>7.4545454545454541E-3</v>
      </c>
      <c r="P1674" s="28">
        <v>7.7646017699115042</v>
      </c>
    </row>
    <row r="1675" spans="1:16" x14ac:dyDescent="0.3">
      <c r="A1675" t="s">
        <v>4560</v>
      </c>
      <c r="B1675" s="24">
        <v>100603</v>
      </c>
      <c r="C1675" s="24" t="s">
        <v>1277</v>
      </c>
      <c r="D1675" s="24" t="s">
        <v>1102</v>
      </c>
      <c r="E1675" s="24" t="s">
        <v>366</v>
      </c>
      <c r="F1675" s="24" t="s">
        <v>1142</v>
      </c>
      <c r="G1675" s="24" t="s">
        <v>1082</v>
      </c>
      <c r="H1675" s="24" t="s">
        <v>371</v>
      </c>
      <c r="I1675" s="24" t="s">
        <v>1610</v>
      </c>
      <c r="J1675" s="24" t="s">
        <v>761</v>
      </c>
      <c r="K1675" s="24" t="s">
        <v>1146</v>
      </c>
      <c r="L1675" s="25">
        <v>1070</v>
      </c>
      <c r="M1675" s="26">
        <v>8.1999999999999993</v>
      </c>
      <c r="N1675" s="27">
        <v>8.1999999999999993</v>
      </c>
      <c r="O1675" s="28">
        <v>7.4545454545454541E-3</v>
      </c>
      <c r="P1675" s="28">
        <v>7.7646017699115042</v>
      </c>
    </row>
    <row r="1676" spans="1:16" x14ac:dyDescent="0.3">
      <c r="A1676" t="s">
        <v>4561</v>
      </c>
      <c r="B1676" s="24">
        <v>101184</v>
      </c>
      <c r="C1676" s="24" t="s">
        <v>1401</v>
      </c>
      <c r="D1676" s="24" t="s">
        <v>1102</v>
      </c>
      <c r="E1676" s="24" t="s">
        <v>366</v>
      </c>
      <c r="F1676" s="24" t="s">
        <v>1142</v>
      </c>
      <c r="G1676" s="24" t="s">
        <v>1402</v>
      </c>
      <c r="H1676" s="24" t="s">
        <v>371</v>
      </c>
      <c r="I1676" s="24" t="s">
        <v>1610</v>
      </c>
      <c r="J1676" s="24" t="s">
        <v>761</v>
      </c>
      <c r="K1676" s="24" t="s">
        <v>1146</v>
      </c>
      <c r="L1676" s="25">
        <v>1070</v>
      </c>
      <c r="M1676" s="26">
        <v>8.1999999999999993</v>
      </c>
      <c r="N1676" s="27">
        <v>8.1999999999999993</v>
      </c>
      <c r="O1676" s="28">
        <v>7.4545454545454541E-3</v>
      </c>
      <c r="P1676" s="28">
        <v>7.7646017699115042</v>
      </c>
    </row>
    <row r="1677" spans="1:16" x14ac:dyDescent="0.3">
      <c r="A1677" t="s">
        <v>4562</v>
      </c>
      <c r="B1677" s="24">
        <v>101206</v>
      </c>
      <c r="C1677" s="24" t="s">
        <v>1199</v>
      </c>
      <c r="D1677" s="24" t="s">
        <v>1102</v>
      </c>
      <c r="E1677" s="24" t="s">
        <v>366</v>
      </c>
      <c r="F1677" s="24" t="s">
        <v>1142</v>
      </c>
      <c r="G1677" s="24" t="s">
        <v>1200</v>
      </c>
      <c r="H1677" s="24" t="s">
        <v>371</v>
      </c>
      <c r="I1677" s="24" t="s">
        <v>1610</v>
      </c>
      <c r="J1677" s="24" t="s">
        <v>761</v>
      </c>
      <c r="K1677" s="24" t="s">
        <v>1146</v>
      </c>
      <c r="L1677" s="25">
        <v>1070</v>
      </c>
      <c r="M1677" s="26">
        <v>8.1999999999999993</v>
      </c>
      <c r="N1677" s="27">
        <v>8.1999999999999993</v>
      </c>
      <c r="O1677" s="28">
        <v>7.4545454545454541E-3</v>
      </c>
      <c r="P1677" s="28">
        <v>7.7646017699115042</v>
      </c>
    </row>
    <row r="1678" spans="1:16" x14ac:dyDescent="0.3">
      <c r="A1678" t="s">
        <v>4563</v>
      </c>
      <c r="B1678" s="24">
        <v>106916</v>
      </c>
      <c r="C1678" s="24" t="s">
        <v>1216</v>
      </c>
      <c r="D1678" s="24" t="s">
        <v>1102</v>
      </c>
      <c r="E1678" s="24" t="s">
        <v>366</v>
      </c>
      <c r="F1678" s="24" t="s">
        <v>1142</v>
      </c>
      <c r="G1678" s="24" t="s">
        <v>1203</v>
      </c>
      <c r="H1678" s="24" t="s">
        <v>371</v>
      </c>
      <c r="I1678" s="24" t="s">
        <v>1610</v>
      </c>
      <c r="J1678" s="24" t="s">
        <v>761</v>
      </c>
      <c r="K1678" s="24" t="s">
        <v>1146</v>
      </c>
      <c r="L1678" s="25">
        <v>1070</v>
      </c>
      <c r="M1678" s="26">
        <v>8.1999999999999993</v>
      </c>
      <c r="N1678" s="27">
        <v>8.1999999999999993</v>
      </c>
      <c r="O1678" s="28">
        <v>7.4545454545454541E-3</v>
      </c>
      <c r="P1678" s="28">
        <v>7.7646017699115042</v>
      </c>
    </row>
    <row r="1679" spans="1:16" x14ac:dyDescent="0.3">
      <c r="A1679" t="s">
        <v>4564</v>
      </c>
      <c r="B1679" s="24">
        <v>114501</v>
      </c>
      <c r="C1679" s="24" t="s">
        <v>1409</v>
      </c>
      <c r="D1679" s="24" t="s">
        <v>1102</v>
      </c>
      <c r="E1679" s="24" t="s">
        <v>366</v>
      </c>
      <c r="F1679" s="24" t="s">
        <v>1142</v>
      </c>
      <c r="G1679" s="24" t="s">
        <v>1402</v>
      </c>
      <c r="H1679" s="24" t="s">
        <v>371</v>
      </c>
      <c r="I1679" s="24" t="s">
        <v>1610</v>
      </c>
      <c r="J1679" s="24" t="s">
        <v>761</v>
      </c>
      <c r="K1679" s="24" t="s">
        <v>1146</v>
      </c>
      <c r="L1679" s="25">
        <v>1070</v>
      </c>
      <c r="M1679" s="26">
        <v>8.1999999999999993</v>
      </c>
      <c r="N1679" s="27">
        <v>8.1999999999999993</v>
      </c>
      <c r="O1679" s="28">
        <v>7.4545454545454541E-3</v>
      </c>
      <c r="P1679" s="28">
        <v>7.7646017699115042</v>
      </c>
    </row>
    <row r="1680" spans="1:16" x14ac:dyDescent="0.3">
      <c r="A1680" t="s">
        <v>4565</v>
      </c>
      <c r="B1680" s="24">
        <v>100581</v>
      </c>
      <c r="C1680" s="24" t="s">
        <v>1232</v>
      </c>
      <c r="D1680" s="24" t="s">
        <v>1102</v>
      </c>
      <c r="E1680" s="24" t="s">
        <v>366</v>
      </c>
      <c r="F1680" s="24" t="s">
        <v>1142</v>
      </c>
      <c r="G1680" s="24" t="s">
        <v>1233</v>
      </c>
      <c r="H1680" s="24" t="s">
        <v>365</v>
      </c>
      <c r="I1680" s="24" t="s">
        <v>1611</v>
      </c>
      <c r="J1680" s="24" t="s">
        <v>761</v>
      </c>
      <c r="K1680" s="24" t="s">
        <v>1146</v>
      </c>
      <c r="L1680" s="25">
        <v>1070</v>
      </c>
      <c r="M1680" s="26">
        <v>14.6</v>
      </c>
      <c r="N1680" s="27">
        <v>14.6</v>
      </c>
      <c r="O1680" s="28">
        <v>1.3272727272727273E-2</v>
      </c>
      <c r="P1680" s="28">
        <v>13.824778761061946</v>
      </c>
    </row>
    <row r="1681" spans="1:16" x14ac:dyDescent="0.3">
      <c r="A1681" t="s">
        <v>4566</v>
      </c>
      <c r="B1681" s="24">
        <v>100581</v>
      </c>
      <c r="C1681" s="24" t="s">
        <v>1232</v>
      </c>
      <c r="D1681" s="24" t="s">
        <v>1102</v>
      </c>
      <c r="E1681" s="24" t="s">
        <v>366</v>
      </c>
      <c r="F1681" s="24" t="s">
        <v>1142</v>
      </c>
      <c r="G1681" s="24" t="s">
        <v>1233</v>
      </c>
      <c r="H1681" s="24" t="s">
        <v>1612</v>
      </c>
      <c r="I1681" s="24" t="s">
        <v>1613</v>
      </c>
      <c r="J1681" s="24" t="s">
        <v>761</v>
      </c>
      <c r="K1681" s="24" t="s">
        <v>1146</v>
      </c>
      <c r="L1681" s="25">
        <v>1070</v>
      </c>
      <c r="M1681" s="26">
        <v>15</v>
      </c>
      <c r="N1681" s="27">
        <v>15</v>
      </c>
      <c r="O1681" s="28">
        <v>1.3636363636363636E-2</v>
      </c>
      <c r="P1681" s="28">
        <v>14.20353982300885</v>
      </c>
    </row>
    <row r="1682" spans="1:16" x14ac:dyDescent="0.3">
      <c r="A1682" t="s">
        <v>4567</v>
      </c>
      <c r="B1682" s="24">
        <v>101206</v>
      </c>
      <c r="C1682" s="24" t="s">
        <v>1199</v>
      </c>
      <c r="D1682" s="24" t="s">
        <v>1102</v>
      </c>
      <c r="E1682" s="24" t="s">
        <v>366</v>
      </c>
      <c r="F1682" s="24" t="s">
        <v>1142</v>
      </c>
      <c r="G1682" s="24" t="s">
        <v>1200</v>
      </c>
      <c r="H1682" s="24" t="s">
        <v>1612</v>
      </c>
      <c r="I1682" s="24" t="s">
        <v>1613</v>
      </c>
      <c r="J1682" s="24" t="s">
        <v>761</v>
      </c>
      <c r="K1682" s="24" t="s">
        <v>1146</v>
      </c>
      <c r="L1682" s="25">
        <v>1070</v>
      </c>
      <c r="M1682" s="26">
        <v>15</v>
      </c>
      <c r="N1682" s="27">
        <v>15</v>
      </c>
      <c r="O1682" s="28">
        <v>1.3636363636363636E-2</v>
      </c>
      <c r="P1682" s="28">
        <v>14.20353982300885</v>
      </c>
    </row>
    <row r="1683" spans="1:16" x14ac:dyDescent="0.3">
      <c r="A1683" t="s">
        <v>4568</v>
      </c>
      <c r="B1683" s="24">
        <v>100581</v>
      </c>
      <c r="C1683" s="24" t="s">
        <v>1232</v>
      </c>
      <c r="D1683" s="24" t="s">
        <v>1102</v>
      </c>
      <c r="E1683" s="24" t="s">
        <v>366</v>
      </c>
      <c r="F1683" s="24" t="s">
        <v>1142</v>
      </c>
      <c r="G1683" s="24" t="s">
        <v>1233</v>
      </c>
      <c r="H1683" s="24" t="s">
        <v>1614</v>
      </c>
      <c r="I1683" s="24" t="s">
        <v>1615</v>
      </c>
      <c r="J1683" s="24" t="s">
        <v>761</v>
      </c>
      <c r="K1683" s="24" t="s">
        <v>1146</v>
      </c>
      <c r="L1683" s="25">
        <v>1070</v>
      </c>
      <c r="M1683" s="26">
        <v>20.2</v>
      </c>
      <c r="N1683" s="27">
        <v>20.2</v>
      </c>
      <c r="O1683" s="28">
        <v>1.8363636363636363E-2</v>
      </c>
      <c r="P1683" s="28">
        <v>19.127433628318585</v>
      </c>
    </row>
    <row r="1684" spans="1:16" x14ac:dyDescent="0.3">
      <c r="A1684" t="s">
        <v>4569</v>
      </c>
      <c r="B1684" s="24">
        <v>106916</v>
      </c>
      <c r="C1684" s="24" t="s">
        <v>1216</v>
      </c>
      <c r="D1684" s="24" t="s">
        <v>1102</v>
      </c>
      <c r="E1684" s="24" t="s">
        <v>366</v>
      </c>
      <c r="F1684" s="24" t="s">
        <v>1142</v>
      </c>
      <c r="G1684" s="24" t="s">
        <v>1203</v>
      </c>
      <c r="H1684" s="24" t="s">
        <v>1616</v>
      </c>
      <c r="I1684" s="24" t="s">
        <v>1617</v>
      </c>
      <c r="J1684" s="24" t="s">
        <v>761</v>
      </c>
      <c r="K1684" s="24" t="s">
        <v>1146</v>
      </c>
      <c r="L1684" s="25">
        <v>1070</v>
      </c>
      <c r="M1684" s="26">
        <v>5.03</v>
      </c>
      <c r="N1684" s="27">
        <v>5.03</v>
      </c>
      <c r="O1684" s="28">
        <v>4.5727272727272726E-3</v>
      </c>
      <c r="P1684" s="28">
        <v>4.7629203539823015</v>
      </c>
    </row>
    <row r="1685" spans="1:16" x14ac:dyDescent="0.3">
      <c r="A1685" t="s">
        <v>4570</v>
      </c>
      <c r="B1685" s="24">
        <v>101186</v>
      </c>
      <c r="C1685" s="24" t="s">
        <v>1273</v>
      </c>
      <c r="D1685" s="24" t="s">
        <v>1102</v>
      </c>
      <c r="E1685" s="24" t="s">
        <v>366</v>
      </c>
      <c r="F1685" s="24" t="s">
        <v>1142</v>
      </c>
      <c r="G1685" s="24" t="s">
        <v>1203</v>
      </c>
      <c r="H1685" s="24" t="s">
        <v>1618</v>
      </c>
      <c r="I1685" s="24" t="s">
        <v>1619</v>
      </c>
      <c r="J1685" s="24" t="s">
        <v>761</v>
      </c>
      <c r="K1685" s="24" t="s">
        <v>1146</v>
      </c>
      <c r="L1685" s="25">
        <v>1070</v>
      </c>
      <c r="M1685" s="26">
        <v>11.7</v>
      </c>
      <c r="N1685" s="27">
        <v>11.7</v>
      </c>
      <c r="O1685" s="28">
        <v>1.0636363636363637E-2</v>
      </c>
      <c r="P1685" s="28">
        <v>11.078761061946903</v>
      </c>
    </row>
    <row r="1686" spans="1:16" x14ac:dyDescent="0.3">
      <c r="A1686" t="s">
        <v>4571</v>
      </c>
      <c r="B1686" s="24">
        <v>101424</v>
      </c>
      <c r="C1686" s="24" t="s">
        <v>1278</v>
      </c>
      <c r="D1686" s="24" t="s">
        <v>1102</v>
      </c>
      <c r="E1686" s="24" t="s">
        <v>366</v>
      </c>
      <c r="F1686" s="24" t="s">
        <v>1142</v>
      </c>
      <c r="G1686" s="24" t="s">
        <v>1203</v>
      </c>
      <c r="H1686" s="24" t="s">
        <v>1618</v>
      </c>
      <c r="I1686" s="24" t="s">
        <v>1619</v>
      </c>
      <c r="J1686" s="24" t="s">
        <v>761</v>
      </c>
      <c r="K1686" s="24" t="s">
        <v>1146</v>
      </c>
      <c r="L1686" s="25">
        <v>1070</v>
      </c>
      <c r="M1686" s="26">
        <v>11.7</v>
      </c>
      <c r="N1686" s="27">
        <v>11.7</v>
      </c>
      <c r="O1686" s="28">
        <v>1.0636363636363637E-2</v>
      </c>
      <c r="P1686" s="28">
        <v>11.078761061946903</v>
      </c>
    </row>
    <row r="1687" spans="1:16" x14ac:dyDescent="0.3">
      <c r="A1687" t="s">
        <v>4572</v>
      </c>
      <c r="B1687" s="24">
        <v>100603</v>
      </c>
      <c r="C1687" s="24" t="s">
        <v>1277</v>
      </c>
      <c r="D1687" s="24" t="s">
        <v>1102</v>
      </c>
      <c r="E1687" s="24" t="s">
        <v>366</v>
      </c>
      <c r="F1687" s="24" t="s">
        <v>1142</v>
      </c>
      <c r="G1687" s="24" t="s">
        <v>1082</v>
      </c>
      <c r="H1687" s="24" t="s">
        <v>1620</v>
      </c>
      <c r="I1687" s="24" t="s">
        <v>1621</v>
      </c>
      <c r="J1687" s="24" t="s">
        <v>761</v>
      </c>
      <c r="K1687" s="24" t="s">
        <v>1146</v>
      </c>
      <c r="L1687" s="25">
        <v>1070</v>
      </c>
      <c r="M1687" s="26">
        <v>11.7</v>
      </c>
      <c r="N1687" s="27">
        <v>11.7</v>
      </c>
      <c r="O1687" s="28">
        <v>1.0636363636363637E-2</v>
      </c>
      <c r="P1687" s="28">
        <v>11.078761061946903</v>
      </c>
    </row>
    <row r="1688" spans="1:16" x14ac:dyDescent="0.3">
      <c r="A1688" t="s">
        <v>4573</v>
      </c>
      <c r="B1688" s="24">
        <v>100581</v>
      </c>
      <c r="C1688" s="24" t="s">
        <v>1232</v>
      </c>
      <c r="D1688" s="24" t="s">
        <v>1102</v>
      </c>
      <c r="E1688" s="24" t="s">
        <v>366</v>
      </c>
      <c r="F1688" s="24" t="s">
        <v>1142</v>
      </c>
      <c r="G1688" s="24" t="s">
        <v>1233</v>
      </c>
      <c r="H1688" s="24" t="s">
        <v>1622</v>
      </c>
      <c r="I1688" s="24" t="s">
        <v>1623</v>
      </c>
      <c r="J1688" s="24" t="s">
        <v>761</v>
      </c>
      <c r="K1688" s="24" t="s">
        <v>1146</v>
      </c>
      <c r="L1688" s="25">
        <v>1070</v>
      </c>
      <c r="M1688" s="26">
        <v>14.2</v>
      </c>
      <c r="N1688" s="27">
        <v>14.2</v>
      </c>
      <c r="O1688" s="28">
        <v>1.2909090909090908E-2</v>
      </c>
      <c r="P1688" s="28">
        <v>13.446017699115044</v>
      </c>
    </row>
    <row r="1689" spans="1:16" x14ac:dyDescent="0.3">
      <c r="A1689" t="s">
        <v>4574</v>
      </c>
      <c r="B1689" s="24">
        <v>101206</v>
      </c>
      <c r="C1689" s="24" t="s">
        <v>1199</v>
      </c>
      <c r="D1689" s="24" t="s">
        <v>1102</v>
      </c>
      <c r="E1689" s="24" t="s">
        <v>366</v>
      </c>
      <c r="F1689" s="24" t="s">
        <v>1142</v>
      </c>
      <c r="G1689" s="24" t="s">
        <v>1200</v>
      </c>
      <c r="H1689" s="24" t="s">
        <v>1624</v>
      </c>
      <c r="I1689" s="24" t="s">
        <v>1625</v>
      </c>
      <c r="J1689" s="24" t="s">
        <v>761</v>
      </c>
      <c r="K1689" s="24" t="s">
        <v>1146</v>
      </c>
      <c r="L1689" s="25">
        <v>1070</v>
      </c>
      <c r="M1689" s="26">
        <v>15.6</v>
      </c>
      <c r="N1689" s="27">
        <v>15.6</v>
      </c>
      <c r="O1689" s="28">
        <v>1.4181818181818181E-2</v>
      </c>
      <c r="P1689" s="28">
        <v>14.771681415929203</v>
      </c>
    </row>
    <row r="1690" spans="1:16" x14ac:dyDescent="0.3">
      <c r="A1690" t="s">
        <v>4575</v>
      </c>
      <c r="B1690" s="24">
        <v>101424</v>
      </c>
      <c r="C1690" s="24" t="s">
        <v>1278</v>
      </c>
      <c r="D1690" s="24" t="s">
        <v>1102</v>
      </c>
      <c r="E1690" s="24" t="s">
        <v>366</v>
      </c>
      <c r="F1690" s="24" t="s">
        <v>1142</v>
      </c>
      <c r="G1690" s="24" t="s">
        <v>1203</v>
      </c>
      <c r="H1690" s="24" t="s">
        <v>1624</v>
      </c>
      <c r="I1690" s="24" t="s">
        <v>1625</v>
      </c>
      <c r="J1690" s="24" t="s">
        <v>761</v>
      </c>
      <c r="K1690" s="24" t="s">
        <v>1146</v>
      </c>
      <c r="L1690" s="25">
        <v>1070</v>
      </c>
      <c r="M1690" s="26">
        <v>15.6</v>
      </c>
      <c r="N1690" s="27">
        <v>15.6</v>
      </c>
      <c r="O1690" s="28">
        <v>1.4181818181818181E-2</v>
      </c>
      <c r="P1690" s="28">
        <v>14.771681415929203</v>
      </c>
    </row>
    <row r="1691" spans="1:16" x14ac:dyDescent="0.3">
      <c r="A1691" t="s">
        <v>4576</v>
      </c>
      <c r="B1691" s="24">
        <v>100603</v>
      </c>
      <c r="C1691" s="24" t="s">
        <v>1277</v>
      </c>
      <c r="D1691" s="24" t="s">
        <v>1102</v>
      </c>
      <c r="E1691" s="24" t="s">
        <v>366</v>
      </c>
      <c r="F1691" s="24" t="s">
        <v>1142</v>
      </c>
      <c r="G1691" s="24" t="s">
        <v>1082</v>
      </c>
      <c r="H1691" s="24" t="s">
        <v>367</v>
      </c>
      <c r="I1691" s="24" t="s">
        <v>1626</v>
      </c>
      <c r="J1691" s="24" t="s">
        <v>761</v>
      </c>
      <c r="K1691" s="24" t="s">
        <v>1146</v>
      </c>
      <c r="L1691" s="25">
        <v>1070</v>
      </c>
      <c r="M1691" s="26">
        <v>5.17</v>
      </c>
      <c r="N1691" s="27">
        <v>5.17</v>
      </c>
      <c r="O1691" s="28">
        <v>4.7000000000000002E-3</v>
      </c>
      <c r="P1691" s="28">
        <v>4.8954867256637167</v>
      </c>
    </row>
    <row r="1692" spans="1:16" x14ac:dyDescent="0.3">
      <c r="A1692" t="s">
        <v>4577</v>
      </c>
      <c r="B1692" s="24">
        <v>101424</v>
      </c>
      <c r="C1692" s="24" t="s">
        <v>1278</v>
      </c>
      <c r="D1692" s="24" t="s">
        <v>1102</v>
      </c>
      <c r="E1692" s="24" t="s">
        <v>366</v>
      </c>
      <c r="F1692" s="24" t="s">
        <v>1142</v>
      </c>
      <c r="G1692" s="24" t="s">
        <v>1203</v>
      </c>
      <c r="H1692" s="24" t="s">
        <v>367</v>
      </c>
      <c r="I1692" s="24" t="s">
        <v>1626</v>
      </c>
      <c r="J1692" s="24" t="s">
        <v>761</v>
      </c>
      <c r="K1692" s="24" t="s">
        <v>1146</v>
      </c>
      <c r="L1692" s="25">
        <v>1070</v>
      </c>
      <c r="M1692" s="26">
        <v>5.17</v>
      </c>
      <c r="N1692" s="27">
        <v>5.17</v>
      </c>
      <c r="O1692" s="28">
        <v>4.7000000000000002E-3</v>
      </c>
      <c r="P1692" s="28">
        <v>4.8954867256637167</v>
      </c>
    </row>
    <row r="1693" spans="1:16" x14ac:dyDescent="0.3">
      <c r="A1693" t="s">
        <v>4578</v>
      </c>
      <c r="B1693" s="24">
        <v>100581</v>
      </c>
      <c r="C1693" s="24" t="s">
        <v>1232</v>
      </c>
      <c r="D1693" s="24" t="s">
        <v>1102</v>
      </c>
      <c r="E1693" s="24" t="s">
        <v>366</v>
      </c>
      <c r="F1693" s="24" t="s">
        <v>1142</v>
      </c>
      <c r="G1693" s="24" t="s">
        <v>1233</v>
      </c>
      <c r="H1693" s="24" t="s">
        <v>1077</v>
      </c>
      <c r="I1693" s="24" t="s">
        <v>1627</v>
      </c>
      <c r="J1693" s="24" t="s">
        <v>761</v>
      </c>
      <c r="K1693" s="24" t="s">
        <v>1146</v>
      </c>
      <c r="L1693" s="25">
        <v>1070</v>
      </c>
      <c r="M1693" s="26">
        <v>17.899999999999999</v>
      </c>
      <c r="N1693" s="27">
        <v>17.899999999999999</v>
      </c>
      <c r="O1693" s="28">
        <v>1.6272727272727272E-2</v>
      </c>
      <c r="P1693" s="28">
        <v>16.949557522123893</v>
      </c>
    </row>
    <row r="1694" spans="1:16" x14ac:dyDescent="0.3">
      <c r="A1694" t="s">
        <v>4579</v>
      </c>
      <c r="B1694" s="24">
        <v>100603</v>
      </c>
      <c r="C1694" s="24" t="s">
        <v>1277</v>
      </c>
      <c r="D1694" s="24" t="s">
        <v>1102</v>
      </c>
      <c r="E1694" s="24" t="s">
        <v>366</v>
      </c>
      <c r="F1694" s="24" t="s">
        <v>1142</v>
      </c>
      <c r="G1694" s="24" t="s">
        <v>1082</v>
      </c>
      <c r="H1694" s="24" t="s">
        <v>1077</v>
      </c>
      <c r="I1694" s="24" t="s">
        <v>1627</v>
      </c>
      <c r="J1694" s="24" t="s">
        <v>761</v>
      </c>
      <c r="K1694" s="24" t="s">
        <v>1146</v>
      </c>
      <c r="L1694" s="25">
        <v>1070</v>
      </c>
      <c r="M1694" s="26">
        <v>17.899999999999999</v>
      </c>
      <c r="N1694" s="27">
        <v>17.899999999999999</v>
      </c>
      <c r="O1694" s="28">
        <v>1.6272727272727272E-2</v>
      </c>
      <c r="P1694" s="28">
        <v>16.949557522123893</v>
      </c>
    </row>
    <row r="1695" spans="1:16" x14ac:dyDescent="0.3">
      <c r="A1695" t="s">
        <v>4580</v>
      </c>
      <c r="B1695" s="24">
        <v>101186</v>
      </c>
      <c r="C1695" s="24" t="s">
        <v>1273</v>
      </c>
      <c r="D1695" s="24" t="s">
        <v>1102</v>
      </c>
      <c r="E1695" s="24" t="s">
        <v>366</v>
      </c>
      <c r="F1695" s="24" t="s">
        <v>1142</v>
      </c>
      <c r="G1695" s="24" t="s">
        <v>1203</v>
      </c>
      <c r="H1695" s="24" t="s">
        <v>1077</v>
      </c>
      <c r="I1695" s="24" t="s">
        <v>1627</v>
      </c>
      <c r="J1695" s="24" t="s">
        <v>761</v>
      </c>
      <c r="K1695" s="24" t="s">
        <v>1146</v>
      </c>
      <c r="L1695" s="25">
        <v>1070</v>
      </c>
      <c r="M1695" s="26">
        <v>17.899999999999999</v>
      </c>
      <c r="N1695" s="27">
        <v>17.899999999999999</v>
      </c>
      <c r="O1695" s="28">
        <v>1.6272727272727272E-2</v>
      </c>
      <c r="P1695" s="28">
        <v>16.949557522123893</v>
      </c>
    </row>
    <row r="1696" spans="1:16" x14ac:dyDescent="0.3">
      <c r="A1696" t="s">
        <v>4581</v>
      </c>
      <c r="B1696" s="24">
        <v>101424</v>
      </c>
      <c r="C1696" s="24" t="s">
        <v>1278</v>
      </c>
      <c r="D1696" s="24" t="s">
        <v>1102</v>
      </c>
      <c r="E1696" s="24" t="s">
        <v>366</v>
      </c>
      <c r="F1696" s="24" t="s">
        <v>1142</v>
      </c>
      <c r="G1696" s="24" t="s">
        <v>1203</v>
      </c>
      <c r="H1696" s="24" t="s">
        <v>1077</v>
      </c>
      <c r="I1696" s="24" t="s">
        <v>1627</v>
      </c>
      <c r="J1696" s="24" t="s">
        <v>761</v>
      </c>
      <c r="K1696" s="24" t="s">
        <v>1146</v>
      </c>
      <c r="L1696" s="25">
        <v>1070</v>
      </c>
      <c r="M1696" s="26">
        <v>17.899999999999999</v>
      </c>
      <c r="N1696" s="27">
        <v>17.899999999999999</v>
      </c>
      <c r="O1696" s="28">
        <v>1.6272727272727272E-2</v>
      </c>
      <c r="P1696" s="28">
        <v>16.949557522123893</v>
      </c>
    </row>
    <row r="1697" spans="1:16" x14ac:dyDescent="0.3">
      <c r="A1697" t="s">
        <v>4582</v>
      </c>
      <c r="B1697" s="24">
        <v>101424</v>
      </c>
      <c r="C1697" s="24" t="s">
        <v>1278</v>
      </c>
      <c r="D1697" s="24" t="s">
        <v>1102</v>
      </c>
      <c r="E1697" s="24" t="s">
        <v>366</v>
      </c>
      <c r="F1697" s="24" t="s">
        <v>1142</v>
      </c>
      <c r="G1697" s="24" t="s">
        <v>1203</v>
      </c>
      <c r="H1697" s="24" t="s">
        <v>372</v>
      </c>
      <c r="I1697" s="24" t="s">
        <v>1628</v>
      </c>
      <c r="J1697" s="24" t="s">
        <v>761</v>
      </c>
      <c r="K1697" s="24" t="s">
        <v>1146</v>
      </c>
      <c r="L1697" s="25">
        <v>1070</v>
      </c>
      <c r="M1697" s="26">
        <v>19.600000000000001</v>
      </c>
      <c r="N1697" s="27">
        <v>19.600000000000001</v>
      </c>
      <c r="O1697" s="28">
        <v>1.781818181818182E-2</v>
      </c>
      <c r="P1697" s="28">
        <v>18.559292035398229</v>
      </c>
    </row>
    <row r="1698" spans="1:16" x14ac:dyDescent="0.3">
      <c r="A1698" t="s">
        <v>4583</v>
      </c>
      <c r="B1698" s="24">
        <v>141245</v>
      </c>
      <c r="C1698" s="24" t="s">
        <v>1606</v>
      </c>
      <c r="D1698" s="24" t="s">
        <v>1102</v>
      </c>
      <c r="E1698" s="24" t="s">
        <v>366</v>
      </c>
      <c r="F1698" s="24" t="s">
        <v>1386</v>
      </c>
      <c r="G1698" s="24" t="s">
        <v>1387</v>
      </c>
      <c r="H1698" s="24" t="s">
        <v>1629</v>
      </c>
      <c r="I1698" s="24" t="s">
        <v>1630</v>
      </c>
      <c r="J1698" s="24" t="s">
        <v>761</v>
      </c>
      <c r="K1698" s="24" t="s">
        <v>1146</v>
      </c>
      <c r="L1698" s="25">
        <v>1070</v>
      </c>
      <c r="M1698" s="26">
        <v>50</v>
      </c>
      <c r="N1698" s="27">
        <v>50</v>
      </c>
      <c r="O1698" s="28">
        <v>4.5454545454545456E-2</v>
      </c>
      <c r="P1698" s="28">
        <v>47.345132743362832</v>
      </c>
    </row>
    <row r="1699" spans="1:16" x14ac:dyDescent="0.3">
      <c r="A1699" t="s">
        <v>4584</v>
      </c>
      <c r="B1699" s="24">
        <v>101424</v>
      </c>
      <c r="C1699" s="24" t="s">
        <v>1278</v>
      </c>
      <c r="D1699" s="24" t="s">
        <v>1102</v>
      </c>
      <c r="E1699" s="24" t="s">
        <v>366</v>
      </c>
      <c r="F1699" s="24" t="s">
        <v>1142</v>
      </c>
      <c r="G1699" s="24" t="s">
        <v>1203</v>
      </c>
      <c r="H1699" s="24" t="s">
        <v>373</v>
      </c>
      <c r="I1699" s="24" t="s">
        <v>1631</v>
      </c>
      <c r="J1699" s="24" t="s">
        <v>761</v>
      </c>
      <c r="K1699" s="24" t="s">
        <v>1146</v>
      </c>
      <c r="L1699" s="25">
        <v>1070</v>
      </c>
      <c r="M1699" s="26">
        <v>19.899999999999999</v>
      </c>
      <c r="N1699" s="27">
        <v>19.899999999999999</v>
      </c>
      <c r="O1699" s="28">
        <v>1.8090909090909088E-2</v>
      </c>
      <c r="P1699" s="28">
        <v>18.843362831858407</v>
      </c>
    </row>
    <row r="1700" spans="1:16" x14ac:dyDescent="0.3">
      <c r="A1700" t="s">
        <v>4585</v>
      </c>
      <c r="B1700" s="24">
        <v>100581</v>
      </c>
      <c r="C1700" s="24" t="s">
        <v>1232</v>
      </c>
      <c r="D1700" s="24" t="s">
        <v>1102</v>
      </c>
      <c r="E1700" s="24" t="s">
        <v>366</v>
      </c>
      <c r="F1700" s="24" t="s">
        <v>1142</v>
      </c>
      <c r="G1700" s="24" t="s">
        <v>1233</v>
      </c>
      <c r="H1700" s="24" t="s">
        <v>1632</v>
      </c>
      <c r="I1700" s="24" t="s">
        <v>1633</v>
      </c>
      <c r="J1700" s="24" t="s">
        <v>761</v>
      </c>
      <c r="K1700" s="24" t="s">
        <v>1146</v>
      </c>
      <c r="L1700" s="25">
        <v>1070</v>
      </c>
      <c r="M1700" s="26">
        <v>20.2</v>
      </c>
      <c r="N1700" s="27">
        <v>20.2</v>
      </c>
      <c r="O1700" s="28">
        <v>1.8363636363636363E-2</v>
      </c>
      <c r="P1700" s="28">
        <v>19.127433628318585</v>
      </c>
    </row>
    <row r="1701" spans="1:16" x14ac:dyDescent="0.3">
      <c r="A1701" t="s">
        <v>4586</v>
      </c>
      <c r="B1701" s="24">
        <v>101424</v>
      </c>
      <c r="C1701" s="24" t="s">
        <v>1278</v>
      </c>
      <c r="D1701" s="24" t="s">
        <v>1102</v>
      </c>
      <c r="E1701" s="24" t="s">
        <v>366</v>
      </c>
      <c r="F1701" s="24" t="s">
        <v>1142</v>
      </c>
      <c r="G1701" s="24" t="s">
        <v>1203</v>
      </c>
      <c r="H1701" s="24" t="s">
        <v>2845</v>
      </c>
      <c r="I1701" s="24" t="s">
        <v>1634</v>
      </c>
      <c r="J1701" s="24" t="s">
        <v>761</v>
      </c>
      <c r="K1701" s="24" t="s">
        <v>1146</v>
      </c>
      <c r="L1701" s="25">
        <v>1070</v>
      </c>
      <c r="M1701" s="26">
        <v>11.18</v>
      </c>
      <c r="N1701" s="27">
        <v>11.18</v>
      </c>
      <c r="O1701" s="28">
        <v>1.0163636363636363E-2</v>
      </c>
      <c r="P1701" s="28">
        <v>10.58637168141593</v>
      </c>
    </row>
    <row r="1702" spans="1:16" x14ac:dyDescent="0.3">
      <c r="A1702" t="s">
        <v>4587</v>
      </c>
      <c r="B1702" s="24">
        <v>100581</v>
      </c>
      <c r="C1702" s="24" t="s">
        <v>1232</v>
      </c>
      <c r="D1702" s="24" t="s">
        <v>1102</v>
      </c>
      <c r="E1702" s="24" t="s">
        <v>366</v>
      </c>
      <c r="F1702" s="24" t="s">
        <v>1142</v>
      </c>
      <c r="G1702" s="24" t="s">
        <v>1233</v>
      </c>
      <c r="H1702" s="24" t="s">
        <v>1635</v>
      </c>
      <c r="I1702" s="24" t="s">
        <v>1636</v>
      </c>
      <c r="J1702" s="24" t="s">
        <v>761</v>
      </c>
      <c r="K1702" s="24" t="s">
        <v>1146</v>
      </c>
      <c r="L1702" s="25">
        <v>1070</v>
      </c>
      <c r="M1702" s="26">
        <v>11.12</v>
      </c>
      <c r="N1702" s="27">
        <v>11.12</v>
      </c>
      <c r="O1702" s="28">
        <v>1.0109090909090908E-2</v>
      </c>
      <c r="P1702" s="28">
        <v>10.529557522123893</v>
      </c>
    </row>
    <row r="1703" spans="1:16" x14ac:dyDescent="0.3">
      <c r="A1703" t="s">
        <v>4588</v>
      </c>
      <c r="B1703" s="24">
        <v>141245</v>
      </c>
      <c r="C1703" s="24" t="s">
        <v>1606</v>
      </c>
      <c r="D1703" s="24" t="s">
        <v>1102</v>
      </c>
      <c r="E1703" s="24" t="s">
        <v>51</v>
      </c>
      <c r="F1703" s="24" t="s">
        <v>1386</v>
      </c>
      <c r="G1703" s="24" t="s">
        <v>1387</v>
      </c>
      <c r="H1703" s="24" t="s">
        <v>193</v>
      </c>
      <c r="I1703" s="24" t="s">
        <v>1637</v>
      </c>
      <c r="J1703" s="24" t="s">
        <v>761</v>
      </c>
      <c r="K1703" s="24" t="s">
        <v>1146</v>
      </c>
      <c r="L1703" s="25">
        <v>1070</v>
      </c>
      <c r="M1703" s="26">
        <v>11</v>
      </c>
      <c r="N1703" s="27">
        <v>11</v>
      </c>
      <c r="O1703" s="28">
        <v>0.01</v>
      </c>
      <c r="P1703" s="28">
        <v>10.415929203539823</v>
      </c>
    </row>
    <row r="1704" spans="1:16" x14ac:dyDescent="0.3">
      <c r="A1704" t="s">
        <v>4589</v>
      </c>
      <c r="B1704" s="24">
        <v>101424</v>
      </c>
      <c r="C1704" s="24" t="s">
        <v>1278</v>
      </c>
      <c r="D1704" s="24" t="s">
        <v>1102</v>
      </c>
      <c r="E1704" s="24" t="s">
        <v>366</v>
      </c>
      <c r="F1704" s="24" t="s">
        <v>1142</v>
      </c>
      <c r="G1704" s="24" t="s">
        <v>1203</v>
      </c>
      <c r="H1704" s="24" t="s">
        <v>2846</v>
      </c>
      <c r="I1704" s="24" t="s">
        <v>1638</v>
      </c>
      <c r="J1704" s="24" t="s">
        <v>761</v>
      </c>
      <c r="K1704" s="24" t="s">
        <v>1146</v>
      </c>
      <c r="L1704" s="25">
        <v>1070</v>
      </c>
      <c r="M1704" s="26">
        <v>12.3</v>
      </c>
      <c r="N1704" s="27">
        <v>12.3</v>
      </c>
      <c r="O1704" s="28">
        <v>1.1181818181818182E-2</v>
      </c>
      <c r="P1704" s="28">
        <v>11.646902654867256</v>
      </c>
    </row>
    <row r="1705" spans="1:16" x14ac:dyDescent="0.3">
      <c r="A1705" t="s">
        <v>4590</v>
      </c>
      <c r="B1705" s="24">
        <v>142051</v>
      </c>
      <c r="C1705" s="24" t="s">
        <v>1491</v>
      </c>
      <c r="D1705" s="24" t="s">
        <v>1102</v>
      </c>
      <c r="E1705" s="24" t="s">
        <v>51</v>
      </c>
      <c r="F1705" s="24" t="s">
        <v>1237</v>
      </c>
      <c r="G1705" s="24" t="s">
        <v>1238</v>
      </c>
      <c r="H1705" s="24" t="s">
        <v>1639</v>
      </c>
      <c r="I1705" s="24" t="s">
        <v>1640</v>
      </c>
      <c r="J1705" s="24" t="s">
        <v>761</v>
      </c>
      <c r="K1705" s="24" t="s">
        <v>1146</v>
      </c>
      <c r="L1705" s="25">
        <v>1070</v>
      </c>
      <c r="M1705" s="26">
        <v>1</v>
      </c>
      <c r="N1705" s="27">
        <v>1</v>
      </c>
      <c r="O1705" s="28">
        <v>9.0909090909090909E-4</v>
      </c>
      <c r="P1705" s="28">
        <v>0.94690265486725667</v>
      </c>
    </row>
    <row r="1706" spans="1:16" x14ac:dyDescent="0.3">
      <c r="A1706" t="s">
        <v>4591</v>
      </c>
      <c r="B1706" s="24">
        <v>101206</v>
      </c>
      <c r="C1706" s="24" t="s">
        <v>1199</v>
      </c>
      <c r="D1706" s="24" t="s">
        <v>1102</v>
      </c>
      <c r="E1706" s="24" t="s">
        <v>51</v>
      </c>
      <c r="F1706" s="24" t="s">
        <v>1142</v>
      </c>
      <c r="G1706" s="24" t="s">
        <v>1200</v>
      </c>
      <c r="H1706" s="24" t="s">
        <v>1641</v>
      </c>
      <c r="I1706" s="24" t="s">
        <v>1642</v>
      </c>
      <c r="J1706" s="24" t="s">
        <v>761</v>
      </c>
      <c r="K1706" s="24" t="s">
        <v>1146</v>
      </c>
      <c r="L1706" s="25">
        <v>1070</v>
      </c>
      <c r="M1706" s="26">
        <v>16.100000000000001</v>
      </c>
      <c r="N1706" s="27">
        <v>16.100000000000001</v>
      </c>
      <c r="O1706" s="28">
        <v>1.4636363636363638E-2</v>
      </c>
      <c r="P1706" s="28">
        <v>15.245132743362833</v>
      </c>
    </row>
    <row r="1707" spans="1:16" x14ac:dyDescent="0.3">
      <c r="A1707" t="s">
        <v>4592</v>
      </c>
      <c r="B1707" s="24">
        <v>100581</v>
      </c>
      <c r="C1707" s="24" t="s">
        <v>1232</v>
      </c>
      <c r="D1707" s="24" t="s">
        <v>1102</v>
      </c>
      <c r="E1707" s="24" t="s">
        <v>51</v>
      </c>
      <c r="F1707" s="24" t="s">
        <v>1142</v>
      </c>
      <c r="G1707" s="24" t="s">
        <v>1233</v>
      </c>
      <c r="H1707" s="24" t="s">
        <v>114</v>
      </c>
      <c r="I1707" s="24" t="s">
        <v>1643</v>
      </c>
      <c r="J1707" s="24" t="s">
        <v>761</v>
      </c>
      <c r="K1707" s="24" t="s">
        <v>1146</v>
      </c>
      <c r="L1707" s="25">
        <v>1070</v>
      </c>
      <c r="M1707" s="26">
        <v>15.5</v>
      </c>
      <c r="N1707" s="27">
        <v>15.5</v>
      </c>
      <c r="O1707" s="28">
        <v>1.4090909090909091E-2</v>
      </c>
      <c r="P1707" s="28">
        <v>14.676991150442477</v>
      </c>
    </row>
    <row r="1708" spans="1:16" x14ac:dyDescent="0.3">
      <c r="A1708" t="s">
        <v>4593</v>
      </c>
      <c r="B1708" s="24">
        <v>101186</v>
      </c>
      <c r="C1708" s="24" t="s">
        <v>1273</v>
      </c>
      <c r="D1708" s="24" t="s">
        <v>1102</v>
      </c>
      <c r="E1708" s="24" t="s">
        <v>51</v>
      </c>
      <c r="F1708" s="24" t="s">
        <v>1142</v>
      </c>
      <c r="G1708" s="24" t="s">
        <v>1203</v>
      </c>
      <c r="H1708" s="24" t="s">
        <v>114</v>
      </c>
      <c r="I1708" s="24" t="s">
        <v>1643</v>
      </c>
      <c r="J1708" s="24" t="s">
        <v>761</v>
      </c>
      <c r="K1708" s="24" t="s">
        <v>1146</v>
      </c>
      <c r="L1708" s="25">
        <v>1070</v>
      </c>
      <c r="M1708" s="26">
        <v>15.5</v>
      </c>
      <c r="N1708" s="27">
        <v>15.5</v>
      </c>
      <c r="O1708" s="28">
        <v>1.4090909090909091E-2</v>
      </c>
      <c r="P1708" s="28">
        <v>14.676991150442477</v>
      </c>
    </row>
    <row r="1709" spans="1:16" x14ac:dyDescent="0.3">
      <c r="A1709" t="s">
        <v>4594</v>
      </c>
      <c r="B1709" s="24">
        <v>101424</v>
      </c>
      <c r="C1709" s="24" t="s">
        <v>1278</v>
      </c>
      <c r="D1709" s="24" t="s">
        <v>1102</v>
      </c>
      <c r="E1709" s="24" t="s">
        <v>51</v>
      </c>
      <c r="F1709" s="24" t="s">
        <v>1142</v>
      </c>
      <c r="G1709" s="24" t="s">
        <v>1203</v>
      </c>
      <c r="H1709" s="24" t="s">
        <v>114</v>
      </c>
      <c r="I1709" s="24" t="s">
        <v>1643</v>
      </c>
      <c r="J1709" s="24" t="s">
        <v>761</v>
      </c>
      <c r="K1709" s="24" t="s">
        <v>1146</v>
      </c>
      <c r="L1709" s="25">
        <v>1070</v>
      </c>
      <c r="M1709" s="26">
        <v>15.5</v>
      </c>
      <c r="N1709" s="27">
        <v>15.5</v>
      </c>
      <c r="O1709" s="28">
        <v>1.4090909090909091E-2</v>
      </c>
      <c r="P1709" s="28">
        <v>14.676991150442477</v>
      </c>
    </row>
    <row r="1710" spans="1:16" x14ac:dyDescent="0.3">
      <c r="A1710" t="s">
        <v>4595</v>
      </c>
      <c r="B1710" s="24">
        <v>101424</v>
      </c>
      <c r="C1710" s="24" t="s">
        <v>1278</v>
      </c>
      <c r="D1710" s="24" t="s">
        <v>1102</v>
      </c>
      <c r="E1710" s="24" t="s">
        <v>51</v>
      </c>
      <c r="F1710" s="24" t="s">
        <v>1142</v>
      </c>
      <c r="G1710" s="24" t="s">
        <v>1203</v>
      </c>
      <c r="H1710" s="24" t="s">
        <v>2847</v>
      </c>
      <c r="I1710" s="24" t="s">
        <v>1644</v>
      </c>
      <c r="J1710" s="24" t="s">
        <v>761</v>
      </c>
      <c r="K1710" s="24" t="s">
        <v>1146</v>
      </c>
      <c r="L1710" s="25">
        <v>1070</v>
      </c>
      <c r="M1710" s="26">
        <v>16.22</v>
      </c>
      <c r="N1710" s="27">
        <v>16.22</v>
      </c>
      <c r="O1710" s="28">
        <v>1.4745454545454544E-2</v>
      </c>
      <c r="P1710" s="28">
        <v>15.3587610619469</v>
      </c>
    </row>
    <row r="1711" spans="1:16" x14ac:dyDescent="0.3">
      <c r="A1711" t="s">
        <v>4596</v>
      </c>
      <c r="B1711" s="24">
        <v>100581</v>
      </c>
      <c r="C1711" s="24" t="s">
        <v>1232</v>
      </c>
      <c r="D1711" s="24" t="s">
        <v>1102</v>
      </c>
      <c r="E1711" s="24" t="s">
        <v>51</v>
      </c>
      <c r="F1711" s="24" t="s">
        <v>1142</v>
      </c>
      <c r="G1711" s="24" t="s">
        <v>1233</v>
      </c>
      <c r="H1711" s="24" t="s">
        <v>248</v>
      </c>
      <c r="I1711" s="24" t="s">
        <v>1645</v>
      </c>
      <c r="J1711" s="24" t="s">
        <v>761</v>
      </c>
      <c r="K1711" s="24" t="s">
        <v>1146</v>
      </c>
      <c r="L1711" s="25">
        <v>1070</v>
      </c>
      <c r="M1711" s="26">
        <v>8.6300000000000008</v>
      </c>
      <c r="N1711" s="27">
        <v>8.6300000000000008</v>
      </c>
      <c r="O1711" s="28">
        <v>7.8454545454545461E-3</v>
      </c>
      <c r="P1711" s="28">
        <v>8.1717699115044251</v>
      </c>
    </row>
    <row r="1712" spans="1:16" x14ac:dyDescent="0.3">
      <c r="A1712" t="s">
        <v>4597</v>
      </c>
      <c r="B1712" s="24">
        <v>101184</v>
      </c>
      <c r="C1712" s="24" t="s">
        <v>1401</v>
      </c>
      <c r="D1712" s="24" t="s">
        <v>1102</v>
      </c>
      <c r="E1712" s="24" t="s">
        <v>51</v>
      </c>
      <c r="F1712" s="24" t="s">
        <v>1142</v>
      </c>
      <c r="G1712" s="24" t="s">
        <v>1402</v>
      </c>
      <c r="H1712" s="24" t="s">
        <v>248</v>
      </c>
      <c r="I1712" s="24" t="s">
        <v>1645</v>
      </c>
      <c r="J1712" s="24" t="s">
        <v>761</v>
      </c>
      <c r="K1712" s="24" t="s">
        <v>1146</v>
      </c>
      <c r="L1712" s="25">
        <v>1070</v>
      </c>
      <c r="M1712" s="26">
        <v>8.6300000000000008</v>
      </c>
      <c r="N1712" s="27">
        <v>8.6300000000000008</v>
      </c>
      <c r="O1712" s="28">
        <v>7.8454545454545461E-3</v>
      </c>
      <c r="P1712" s="28">
        <v>8.1717699115044251</v>
      </c>
    </row>
    <row r="1713" spans="1:16" x14ac:dyDescent="0.3">
      <c r="A1713" t="s">
        <v>4598</v>
      </c>
      <c r="B1713" s="24">
        <v>101186</v>
      </c>
      <c r="C1713" s="24" t="s">
        <v>1273</v>
      </c>
      <c r="D1713" s="24" t="s">
        <v>1102</v>
      </c>
      <c r="E1713" s="24" t="s">
        <v>51</v>
      </c>
      <c r="F1713" s="24" t="s">
        <v>1142</v>
      </c>
      <c r="G1713" s="24" t="s">
        <v>1203</v>
      </c>
      <c r="H1713" s="24" t="s">
        <v>248</v>
      </c>
      <c r="I1713" s="24" t="s">
        <v>1645</v>
      </c>
      <c r="J1713" s="24" t="s">
        <v>761</v>
      </c>
      <c r="K1713" s="24" t="s">
        <v>1146</v>
      </c>
      <c r="L1713" s="25">
        <v>1070</v>
      </c>
      <c r="M1713" s="26">
        <v>8.6300000000000008</v>
      </c>
      <c r="N1713" s="27">
        <v>8.6300000000000008</v>
      </c>
      <c r="O1713" s="28">
        <v>7.8454545454545461E-3</v>
      </c>
      <c r="P1713" s="28">
        <v>8.1717699115044251</v>
      </c>
    </row>
    <row r="1714" spans="1:16" x14ac:dyDescent="0.3">
      <c r="A1714" t="s">
        <v>4599</v>
      </c>
      <c r="B1714" s="24">
        <v>101424</v>
      </c>
      <c r="C1714" s="24" t="s">
        <v>1278</v>
      </c>
      <c r="D1714" s="24" t="s">
        <v>1102</v>
      </c>
      <c r="E1714" s="24" t="s">
        <v>51</v>
      </c>
      <c r="F1714" s="24" t="s">
        <v>1142</v>
      </c>
      <c r="G1714" s="24" t="s">
        <v>1203</v>
      </c>
      <c r="H1714" s="24" t="s">
        <v>248</v>
      </c>
      <c r="I1714" s="24" t="s">
        <v>1645</v>
      </c>
      <c r="J1714" s="24" t="s">
        <v>761</v>
      </c>
      <c r="K1714" s="24" t="s">
        <v>1146</v>
      </c>
      <c r="L1714" s="25">
        <v>1070</v>
      </c>
      <c r="M1714" s="26">
        <v>8.6300000000000008</v>
      </c>
      <c r="N1714" s="27">
        <v>8.6300000000000008</v>
      </c>
      <c r="O1714" s="28">
        <v>7.8454545454545461E-3</v>
      </c>
      <c r="P1714" s="28">
        <v>8.1717699115044251</v>
      </c>
    </row>
    <row r="1715" spans="1:16" x14ac:dyDescent="0.3">
      <c r="A1715" t="s">
        <v>4600</v>
      </c>
      <c r="B1715" s="24">
        <v>114501</v>
      </c>
      <c r="C1715" s="24" t="s">
        <v>1409</v>
      </c>
      <c r="D1715" s="24" t="s">
        <v>1102</v>
      </c>
      <c r="E1715" s="24" t="s">
        <v>51</v>
      </c>
      <c r="F1715" s="24" t="s">
        <v>1142</v>
      </c>
      <c r="G1715" s="24" t="s">
        <v>1402</v>
      </c>
      <c r="H1715" s="24" t="s">
        <v>248</v>
      </c>
      <c r="I1715" s="24" t="s">
        <v>1645</v>
      </c>
      <c r="J1715" s="24" t="s">
        <v>761</v>
      </c>
      <c r="K1715" s="24" t="s">
        <v>1146</v>
      </c>
      <c r="L1715" s="25">
        <v>1070</v>
      </c>
      <c r="M1715" s="26">
        <v>8.6300000000000008</v>
      </c>
      <c r="N1715" s="27">
        <v>8.6300000000000008</v>
      </c>
      <c r="O1715" s="28">
        <v>7.8454545454545461E-3</v>
      </c>
      <c r="P1715" s="28">
        <v>8.1717699115044251</v>
      </c>
    </row>
    <row r="1716" spans="1:16" x14ac:dyDescent="0.3">
      <c r="A1716" t="s">
        <v>4601</v>
      </c>
      <c r="B1716" s="24">
        <v>101424</v>
      </c>
      <c r="C1716" s="24" t="s">
        <v>1278</v>
      </c>
      <c r="D1716" s="24" t="s">
        <v>1102</v>
      </c>
      <c r="E1716" s="24" t="s">
        <v>51</v>
      </c>
      <c r="F1716" s="24" t="s">
        <v>1142</v>
      </c>
      <c r="G1716" s="24" t="s">
        <v>1203</v>
      </c>
      <c r="H1716" s="24" t="s">
        <v>1068</v>
      </c>
      <c r="I1716" s="24" t="s">
        <v>1646</v>
      </c>
      <c r="J1716" s="24" t="s">
        <v>761</v>
      </c>
      <c r="K1716" s="24" t="s">
        <v>1146</v>
      </c>
      <c r="L1716" s="25">
        <v>1070</v>
      </c>
      <c r="M1716" s="26">
        <v>8.74</v>
      </c>
      <c r="N1716" s="27">
        <v>8.74</v>
      </c>
      <c r="O1716" s="28">
        <v>7.9454545454545455E-3</v>
      </c>
      <c r="P1716" s="28">
        <v>8.2759292035398246</v>
      </c>
    </row>
    <row r="1717" spans="1:16" x14ac:dyDescent="0.3">
      <c r="A1717" t="s">
        <v>4602</v>
      </c>
      <c r="B1717" s="24">
        <v>101186</v>
      </c>
      <c r="C1717" s="24" t="s">
        <v>1273</v>
      </c>
      <c r="D1717" s="24" t="s">
        <v>1102</v>
      </c>
      <c r="E1717" s="24" t="s">
        <v>51</v>
      </c>
      <c r="F1717" s="24" t="s">
        <v>1142</v>
      </c>
      <c r="G1717" s="24" t="s">
        <v>1203</v>
      </c>
      <c r="H1717" s="24" t="s">
        <v>249</v>
      </c>
      <c r="I1717" s="24" t="s">
        <v>1647</v>
      </c>
      <c r="J1717" s="24" t="s">
        <v>761</v>
      </c>
      <c r="K1717" s="24" t="s">
        <v>1146</v>
      </c>
      <c r="L1717" s="25">
        <v>1070</v>
      </c>
      <c r="M1717" s="26">
        <v>9.42</v>
      </c>
      <c r="N1717" s="27">
        <v>9.42</v>
      </c>
      <c r="O1717" s="28">
        <v>8.5636363636363635E-3</v>
      </c>
      <c r="P1717" s="28">
        <v>8.9198230088495567</v>
      </c>
    </row>
    <row r="1718" spans="1:16" x14ac:dyDescent="0.3">
      <c r="A1718" t="s">
        <v>4603</v>
      </c>
      <c r="B1718" s="24">
        <v>101424</v>
      </c>
      <c r="C1718" s="24" t="s">
        <v>1278</v>
      </c>
      <c r="D1718" s="24" t="s">
        <v>1102</v>
      </c>
      <c r="E1718" s="24" t="s">
        <v>51</v>
      </c>
      <c r="F1718" s="24" t="s">
        <v>1142</v>
      </c>
      <c r="G1718" s="24" t="s">
        <v>1203</v>
      </c>
      <c r="H1718" s="24" t="s">
        <v>249</v>
      </c>
      <c r="I1718" s="24" t="s">
        <v>1647</v>
      </c>
      <c r="J1718" s="24" t="s">
        <v>761</v>
      </c>
      <c r="K1718" s="24" t="s">
        <v>1146</v>
      </c>
      <c r="L1718" s="25">
        <v>1070</v>
      </c>
      <c r="M1718" s="26">
        <v>9.5299999999999994</v>
      </c>
      <c r="N1718" s="27">
        <v>9.5299999999999994</v>
      </c>
      <c r="O1718" s="28">
        <v>8.6636363636363629E-3</v>
      </c>
      <c r="P1718" s="28">
        <v>9.0239823008849545</v>
      </c>
    </row>
    <row r="1719" spans="1:16" x14ac:dyDescent="0.3">
      <c r="A1719" t="s">
        <v>4604</v>
      </c>
      <c r="B1719" s="24">
        <v>106916</v>
      </c>
      <c r="C1719" s="24" t="s">
        <v>1216</v>
      </c>
      <c r="D1719" s="24" t="s">
        <v>1102</v>
      </c>
      <c r="E1719" s="24" t="s">
        <v>51</v>
      </c>
      <c r="F1719" s="24" t="s">
        <v>1142</v>
      </c>
      <c r="G1719" s="24" t="s">
        <v>1203</v>
      </c>
      <c r="H1719" s="24" t="s">
        <v>249</v>
      </c>
      <c r="I1719" s="24" t="s">
        <v>1647</v>
      </c>
      <c r="J1719" s="24" t="s">
        <v>761</v>
      </c>
      <c r="K1719" s="24" t="s">
        <v>1146</v>
      </c>
      <c r="L1719" s="25">
        <v>1070</v>
      </c>
      <c r="M1719" s="26">
        <v>9.42</v>
      </c>
      <c r="N1719" s="27">
        <v>9.42</v>
      </c>
      <c r="O1719" s="28">
        <v>8.5636363636363635E-3</v>
      </c>
      <c r="P1719" s="28">
        <v>8.9198230088495567</v>
      </c>
    </row>
    <row r="1720" spans="1:16" x14ac:dyDescent="0.3">
      <c r="A1720" t="s">
        <v>4605</v>
      </c>
      <c r="B1720" s="24">
        <v>142310</v>
      </c>
      <c r="C1720" s="24" t="s">
        <v>1474</v>
      </c>
      <c r="D1720" s="24" t="s">
        <v>1102</v>
      </c>
      <c r="E1720" s="24" t="s">
        <v>51</v>
      </c>
      <c r="F1720" s="24" t="s">
        <v>1142</v>
      </c>
      <c r="G1720" s="24" t="s">
        <v>1402</v>
      </c>
      <c r="H1720" s="24" t="s">
        <v>249</v>
      </c>
      <c r="I1720" s="24" t="s">
        <v>1647</v>
      </c>
      <c r="J1720" s="24" t="s">
        <v>761</v>
      </c>
      <c r="K1720" s="24" t="s">
        <v>1146</v>
      </c>
      <c r="L1720" s="25">
        <v>1070</v>
      </c>
      <c r="M1720" s="26">
        <v>9.42</v>
      </c>
      <c r="N1720" s="27">
        <v>9.42</v>
      </c>
      <c r="O1720" s="28">
        <v>8.5636363636363635E-3</v>
      </c>
      <c r="P1720" s="28">
        <v>8.9198230088495567</v>
      </c>
    </row>
    <row r="1721" spans="1:16" x14ac:dyDescent="0.3">
      <c r="A1721" t="s">
        <v>4606</v>
      </c>
      <c r="B1721" s="24">
        <v>106916</v>
      </c>
      <c r="C1721" s="24" t="s">
        <v>1216</v>
      </c>
      <c r="D1721" s="24" t="s">
        <v>1102</v>
      </c>
      <c r="E1721" s="24" t="s">
        <v>51</v>
      </c>
      <c r="F1721" s="24" t="s">
        <v>1142</v>
      </c>
      <c r="G1721" s="24" t="s">
        <v>1203</v>
      </c>
      <c r="H1721" s="24" t="s">
        <v>249</v>
      </c>
      <c r="I1721" s="24" t="s">
        <v>1648</v>
      </c>
      <c r="J1721" s="24" t="s">
        <v>761</v>
      </c>
      <c r="K1721" s="24" t="s">
        <v>1146</v>
      </c>
      <c r="L1721" s="25">
        <v>1070</v>
      </c>
      <c r="M1721" s="26">
        <v>9.42</v>
      </c>
      <c r="N1721" s="27">
        <v>9.42</v>
      </c>
      <c r="O1721" s="28">
        <v>8.5636363636363635E-3</v>
      </c>
      <c r="P1721" s="28">
        <v>8.9198230088495567</v>
      </c>
    </row>
    <row r="1722" spans="1:16" x14ac:dyDescent="0.3">
      <c r="A1722" t="s">
        <v>4607</v>
      </c>
      <c r="B1722" s="24">
        <v>101184</v>
      </c>
      <c r="C1722" s="24" t="s">
        <v>1401</v>
      </c>
      <c r="D1722" s="24" t="s">
        <v>1102</v>
      </c>
      <c r="E1722" s="24" t="s">
        <v>51</v>
      </c>
      <c r="F1722" s="24" t="s">
        <v>1142</v>
      </c>
      <c r="G1722" s="24" t="s">
        <v>1402</v>
      </c>
      <c r="H1722" s="24" t="s">
        <v>198</v>
      </c>
      <c r="I1722" s="24" t="s">
        <v>1649</v>
      </c>
      <c r="J1722" s="24" t="s">
        <v>761</v>
      </c>
      <c r="K1722" s="24" t="s">
        <v>1146</v>
      </c>
      <c r="L1722" s="25">
        <v>1070</v>
      </c>
      <c r="M1722" s="26">
        <v>8.59</v>
      </c>
      <c r="N1722" s="27">
        <v>8.59</v>
      </c>
      <c r="O1722" s="28">
        <v>7.8090909090909088E-3</v>
      </c>
      <c r="P1722" s="28">
        <v>8.133893805309734</v>
      </c>
    </row>
    <row r="1723" spans="1:16" x14ac:dyDescent="0.3">
      <c r="A1723" t="s">
        <v>4608</v>
      </c>
      <c r="B1723" s="24">
        <v>101186</v>
      </c>
      <c r="C1723" s="24" t="s">
        <v>1273</v>
      </c>
      <c r="D1723" s="24" t="s">
        <v>1102</v>
      </c>
      <c r="E1723" s="24" t="s">
        <v>51</v>
      </c>
      <c r="F1723" s="24" t="s">
        <v>1142</v>
      </c>
      <c r="G1723" s="24" t="s">
        <v>1203</v>
      </c>
      <c r="H1723" s="24" t="s">
        <v>199</v>
      </c>
      <c r="I1723" s="24" t="s">
        <v>1650</v>
      </c>
      <c r="J1723" s="24" t="s">
        <v>761</v>
      </c>
      <c r="K1723" s="24" t="s">
        <v>1146</v>
      </c>
      <c r="L1723" s="25">
        <v>1070</v>
      </c>
      <c r="M1723" s="26">
        <v>8.7799999999999994</v>
      </c>
      <c r="N1723" s="27">
        <v>8.7799999999999994</v>
      </c>
      <c r="O1723" s="28">
        <v>7.9818181818181819E-3</v>
      </c>
      <c r="P1723" s="28">
        <v>8.3138053097345122</v>
      </c>
    </row>
    <row r="1724" spans="1:16" x14ac:dyDescent="0.3">
      <c r="A1724" t="s">
        <v>4609</v>
      </c>
      <c r="B1724" s="24">
        <v>100581</v>
      </c>
      <c r="C1724" s="24" t="s">
        <v>1232</v>
      </c>
      <c r="D1724" s="24" t="s">
        <v>1102</v>
      </c>
      <c r="E1724" s="24" t="s">
        <v>51</v>
      </c>
      <c r="F1724" s="24" t="s">
        <v>1142</v>
      </c>
      <c r="G1724" s="24" t="s">
        <v>1233</v>
      </c>
      <c r="H1724" s="24" t="s">
        <v>200</v>
      </c>
      <c r="I1724" s="24" t="s">
        <v>1651</v>
      </c>
      <c r="J1724" s="24" t="s">
        <v>761</v>
      </c>
      <c r="K1724" s="24" t="s">
        <v>1146</v>
      </c>
      <c r="L1724" s="25">
        <v>1070</v>
      </c>
      <c r="M1724" s="26">
        <v>8.9600000000000009</v>
      </c>
      <c r="N1724" s="27">
        <v>8.9600000000000009</v>
      </c>
      <c r="O1724" s="28">
        <v>8.145454545454546E-3</v>
      </c>
      <c r="P1724" s="28">
        <v>8.4842477876106202</v>
      </c>
    </row>
    <row r="1725" spans="1:16" x14ac:dyDescent="0.3">
      <c r="A1725" t="s">
        <v>4610</v>
      </c>
      <c r="B1725" s="24">
        <v>111550</v>
      </c>
      <c r="C1725" s="24" t="s">
        <v>1582</v>
      </c>
      <c r="D1725" s="24" t="s">
        <v>1102</v>
      </c>
      <c r="E1725" s="24" t="s">
        <v>51</v>
      </c>
      <c r="F1725" s="24" t="s">
        <v>1142</v>
      </c>
      <c r="G1725" s="24" t="s">
        <v>1402</v>
      </c>
      <c r="H1725" s="24" t="s">
        <v>200</v>
      </c>
      <c r="I1725" s="24" t="s">
        <v>1651</v>
      </c>
      <c r="J1725" s="24" t="s">
        <v>761</v>
      </c>
      <c r="K1725" s="24" t="s">
        <v>1146</v>
      </c>
      <c r="L1725" s="25">
        <v>1070</v>
      </c>
      <c r="M1725" s="26">
        <v>8.9600000000000009</v>
      </c>
      <c r="N1725" s="27">
        <v>8.9600000000000009</v>
      </c>
      <c r="O1725" s="28">
        <v>8.145454545454546E-3</v>
      </c>
      <c r="P1725" s="28">
        <v>8.4842477876106202</v>
      </c>
    </row>
    <row r="1726" spans="1:16" x14ac:dyDescent="0.3">
      <c r="A1726" t="s">
        <v>4611</v>
      </c>
      <c r="B1726" s="24">
        <v>114501</v>
      </c>
      <c r="C1726" s="24" t="s">
        <v>1409</v>
      </c>
      <c r="D1726" s="24" t="s">
        <v>1102</v>
      </c>
      <c r="E1726" s="24" t="s">
        <v>51</v>
      </c>
      <c r="F1726" s="24" t="s">
        <v>1142</v>
      </c>
      <c r="G1726" s="24" t="s">
        <v>1402</v>
      </c>
      <c r="H1726" s="24" t="s">
        <v>200</v>
      </c>
      <c r="I1726" s="24" t="s">
        <v>1651</v>
      </c>
      <c r="J1726" s="24" t="s">
        <v>761</v>
      </c>
      <c r="K1726" s="24" t="s">
        <v>1146</v>
      </c>
      <c r="L1726" s="25">
        <v>1070</v>
      </c>
      <c r="M1726" s="26">
        <v>8.9600000000000009</v>
      </c>
      <c r="N1726" s="27">
        <v>8.9600000000000009</v>
      </c>
      <c r="O1726" s="28">
        <v>8.145454545454546E-3</v>
      </c>
      <c r="P1726" s="28">
        <v>8.4842477876106202</v>
      </c>
    </row>
    <row r="1727" spans="1:16" x14ac:dyDescent="0.3">
      <c r="A1727" t="s">
        <v>4612</v>
      </c>
      <c r="B1727" s="24">
        <v>101424</v>
      </c>
      <c r="C1727" s="24" t="s">
        <v>1278</v>
      </c>
      <c r="D1727" s="24" t="s">
        <v>1102</v>
      </c>
      <c r="E1727" s="24" t="s">
        <v>51</v>
      </c>
      <c r="F1727" s="24" t="s">
        <v>1142</v>
      </c>
      <c r="G1727" s="24" t="s">
        <v>1203</v>
      </c>
      <c r="H1727" s="24" t="s">
        <v>201</v>
      </c>
      <c r="I1727" s="24" t="s">
        <v>1652</v>
      </c>
      <c r="J1727" s="24" t="s">
        <v>761</v>
      </c>
      <c r="K1727" s="24" t="s">
        <v>1146</v>
      </c>
      <c r="L1727" s="25">
        <v>1070</v>
      </c>
      <c r="M1727" s="26">
        <v>8.91</v>
      </c>
      <c r="N1727" s="27">
        <v>8.91</v>
      </c>
      <c r="O1727" s="28">
        <v>8.0999999999999996E-3</v>
      </c>
      <c r="P1727" s="28">
        <v>8.4369026548672572</v>
      </c>
    </row>
    <row r="1728" spans="1:16" x14ac:dyDescent="0.3">
      <c r="A1728" t="s">
        <v>4612</v>
      </c>
      <c r="B1728" s="24">
        <v>101424</v>
      </c>
      <c r="C1728" s="24" t="s">
        <v>1278</v>
      </c>
      <c r="D1728" s="24" t="s">
        <v>1102</v>
      </c>
      <c r="E1728" s="24" t="s">
        <v>51</v>
      </c>
      <c r="F1728" s="24" t="s">
        <v>1142</v>
      </c>
      <c r="G1728" s="24" t="s">
        <v>1203</v>
      </c>
      <c r="H1728" s="24" t="s">
        <v>201</v>
      </c>
      <c r="I1728" s="24" t="s">
        <v>1652</v>
      </c>
      <c r="J1728" s="24" t="s">
        <v>761</v>
      </c>
      <c r="K1728" s="24" t="s">
        <v>1146</v>
      </c>
      <c r="L1728" s="25">
        <v>1070</v>
      </c>
      <c r="M1728" s="26">
        <v>8.91</v>
      </c>
      <c r="N1728" s="27">
        <v>8.91</v>
      </c>
      <c r="O1728" s="28">
        <v>8.0999999999999996E-3</v>
      </c>
      <c r="P1728" s="28">
        <v>8.4369026548672572</v>
      </c>
    </row>
    <row r="1729" spans="1:16" x14ac:dyDescent="0.3">
      <c r="A1729" t="s">
        <v>4613</v>
      </c>
      <c r="B1729" s="24">
        <v>101186</v>
      </c>
      <c r="C1729" s="24" t="s">
        <v>1273</v>
      </c>
      <c r="D1729" s="24" t="s">
        <v>1102</v>
      </c>
      <c r="E1729" s="24" t="s">
        <v>51</v>
      </c>
      <c r="F1729" s="24" t="s">
        <v>1142</v>
      </c>
      <c r="G1729" s="24" t="s">
        <v>1203</v>
      </c>
      <c r="H1729" s="24" t="s">
        <v>285</v>
      </c>
      <c r="I1729" s="24" t="s">
        <v>1653</v>
      </c>
      <c r="J1729" s="24" t="s">
        <v>761</v>
      </c>
      <c r="K1729" s="24" t="s">
        <v>1146</v>
      </c>
      <c r="L1729" s="25">
        <v>1070</v>
      </c>
      <c r="M1729" s="26">
        <v>8.91</v>
      </c>
      <c r="N1729" s="27">
        <v>8.91</v>
      </c>
      <c r="O1729" s="28">
        <v>8.0999999999999996E-3</v>
      </c>
      <c r="P1729" s="28">
        <v>8.4369026548672572</v>
      </c>
    </row>
    <row r="1730" spans="1:16" x14ac:dyDescent="0.3">
      <c r="A1730" t="s">
        <v>4614</v>
      </c>
      <c r="B1730" s="24">
        <v>111550</v>
      </c>
      <c r="C1730" s="24" t="s">
        <v>1582</v>
      </c>
      <c r="D1730" s="24" t="s">
        <v>1102</v>
      </c>
      <c r="E1730" s="24" t="s">
        <v>51</v>
      </c>
      <c r="F1730" s="24" t="s">
        <v>1142</v>
      </c>
      <c r="G1730" s="24" t="s">
        <v>1402</v>
      </c>
      <c r="H1730" s="24" t="s">
        <v>285</v>
      </c>
      <c r="I1730" s="24" t="s">
        <v>1653</v>
      </c>
      <c r="J1730" s="24" t="s">
        <v>761</v>
      </c>
      <c r="K1730" s="24" t="s">
        <v>1146</v>
      </c>
      <c r="L1730" s="25">
        <v>1070</v>
      </c>
      <c r="M1730" s="26">
        <v>8.91</v>
      </c>
      <c r="N1730" s="27">
        <v>8.91</v>
      </c>
      <c r="O1730" s="28">
        <v>8.0999999999999996E-3</v>
      </c>
      <c r="P1730" s="28">
        <v>8.4369026548672572</v>
      </c>
    </row>
    <row r="1731" spans="1:16" x14ac:dyDescent="0.3">
      <c r="A1731" t="s">
        <v>4615</v>
      </c>
      <c r="B1731" s="24">
        <v>114501</v>
      </c>
      <c r="C1731" s="24" t="s">
        <v>1409</v>
      </c>
      <c r="D1731" s="24" t="s">
        <v>1102</v>
      </c>
      <c r="E1731" s="24" t="s">
        <v>51</v>
      </c>
      <c r="F1731" s="24" t="s">
        <v>1142</v>
      </c>
      <c r="G1731" s="24" t="s">
        <v>1402</v>
      </c>
      <c r="H1731" s="24" t="s">
        <v>285</v>
      </c>
      <c r="I1731" s="24" t="s">
        <v>1653</v>
      </c>
      <c r="J1731" s="24" t="s">
        <v>761</v>
      </c>
      <c r="K1731" s="24" t="s">
        <v>1146</v>
      </c>
      <c r="L1731" s="25">
        <v>1070</v>
      </c>
      <c r="M1731" s="26">
        <v>8.91</v>
      </c>
      <c r="N1731" s="27">
        <v>8.91</v>
      </c>
      <c r="O1731" s="28">
        <v>8.0999999999999996E-3</v>
      </c>
      <c r="P1731" s="28">
        <v>8.4369026548672572</v>
      </c>
    </row>
    <row r="1732" spans="1:16" x14ac:dyDescent="0.3">
      <c r="A1732" t="s">
        <v>4616</v>
      </c>
      <c r="B1732" s="24">
        <v>101186</v>
      </c>
      <c r="C1732" s="24" t="s">
        <v>1273</v>
      </c>
      <c r="D1732" s="24" t="s">
        <v>1102</v>
      </c>
      <c r="E1732" s="24" t="s">
        <v>51</v>
      </c>
      <c r="F1732" s="24" t="s">
        <v>1142</v>
      </c>
      <c r="G1732" s="24" t="s">
        <v>1203</v>
      </c>
      <c r="H1732" s="24" t="s">
        <v>202</v>
      </c>
      <c r="I1732" s="24" t="s">
        <v>1654</v>
      </c>
      <c r="J1732" s="24" t="s">
        <v>761</v>
      </c>
      <c r="K1732" s="24" t="s">
        <v>1146</v>
      </c>
      <c r="L1732" s="25">
        <v>1070</v>
      </c>
      <c r="M1732" s="26">
        <v>8.9600000000000009</v>
      </c>
      <c r="N1732" s="27">
        <v>8.9600000000000009</v>
      </c>
      <c r="O1732" s="28">
        <v>8.145454545454546E-3</v>
      </c>
      <c r="P1732" s="28">
        <v>8.4842477876106202</v>
      </c>
    </row>
    <row r="1733" spans="1:16" x14ac:dyDescent="0.3">
      <c r="A1733" t="s">
        <v>4617</v>
      </c>
      <c r="B1733" s="24">
        <v>106916</v>
      </c>
      <c r="C1733" s="24" t="s">
        <v>1216</v>
      </c>
      <c r="D1733" s="24" t="s">
        <v>1102</v>
      </c>
      <c r="E1733" s="24" t="s">
        <v>51</v>
      </c>
      <c r="F1733" s="24" t="s">
        <v>1142</v>
      </c>
      <c r="G1733" s="24" t="s">
        <v>1203</v>
      </c>
      <c r="H1733" s="24" t="s">
        <v>202</v>
      </c>
      <c r="I1733" s="24" t="s">
        <v>1654</v>
      </c>
      <c r="J1733" s="24" t="s">
        <v>761</v>
      </c>
      <c r="K1733" s="24" t="s">
        <v>1146</v>
      </c>
      <c r="L1733" s="25">
        <v>1070</v>
      </c>
      <c r="M1733" s="26">
        <v>8.9600000000000009</v>
      </c>
      <c r="N1733" s="27">
        <v>8.9600000000000009</v>
      </c>
      <c r="O1733" s="28">
        <v>8.145454545454546E-3</v>
      </c>
      <c r="P1733" s="28">
        <v>8.4842477876106202</v>
      </c>
    </row>
    <row r="1734" spans="1:16" x14ac:dyDescent="0.3">
      <c r="A1734" t="s">
        <v>4618</v>
      </c>
      <c r="B1734" s="24">
        <v>114163</v>
      </c>
      <c r="C1734" s="24" t="s">
        <v>1490</v>
      </c>
      <c r="D1734" s="24" t="s">
        <v>1102</v>
      </c>
      <c r="E1734" s="24" t="s">
        <v>51</v>
      </c>
      <c r="F1734" s="24" t="s">
        <v>1142</v>
      </c>
      <c r="G1734" s="24" t="s">
        <v>1203</v>
      </c>
      <c r="H1734" s="24" t="s">
        <v>202</v>
      </c>
      <c r="I1734" s="24" t="s">
        <v>1654</v>
      </c>
      <c r="J1734" s="24" t="s">
        <v>761</v>
      </c>
      <c r="K1734" s="24" t="s">
        <v>1146</v>
      </c>
      <c r="L1734" s="25">
        <v>1070</v>
      </c>
      <c r="M1734" s="26">
        <v>8.9600000000000009</v>
      </c>
      <c r="N1734" s="27">
        <v>8.9600000000000009</v>
      </c>
      <c r="O1734" s="28">
        <v>8.145454545454546E-3</v>
      </c>
      <c r="P1734" s="28">
        <v>8.4842477876106202</v>
      </c>
    </row>
    <row r="1735" spans="1:16" x14ac:dyDescent="0.3">
      <c r="A1735" t="s">
        <v>4619</v>
      </c>
      <c r="B1735" s="24">
        <v>142310</v>
      </c>
      <c r="C1735" s="24" t="s">
        <v>1474</v>
      </c>
      <c r="D1735" s="24" t="s">
        <v>1102</v>
      </c>
      <c r="E1735" s="24" t="s">
        <v>51</v>
      </c>
      <c r="F1735" s="24" t="s">
        <v>1142</v>
      </c>
      <c r="G1735" s="24" t="s">
        <v>1402</v>
      </c>
      <c r="H1735" s="24" t="s">
        <v>202</v>
      </c>
      <c r="I1735" s="24" t="s">
        <v>1654</v>
      </c>
      <c r="J1735" s="24" t="s">
        <v>761</v>
      </c>
      <c r="K1735" s="24" t="s">
        <v>1146</v>
      </c>
      <c r="L1735" s="25">
        <v>1070</v>
      </c>
      <c r="M1735" s="26">
        <v>8.9600000000000009</v>
      </c>
      <c r="N1735" s="27">
        <v>8.9600000000000009</v>
      </c>
      <c r="O1735" s="28">
        <v>8.145454545454546E-3</v>
      </c>
      <c r="P1735" s="28">
        <v>8.4842477876106202</v>
      </c>
    </row>
    <row r="1736" spans="1:16" x14ac:dyDescent="0.3">
      <c r="A1736" t="s">
        <v>4620</v>
      </c>
      <c r="B1736" s="24">
        <v>114501</v>
      </c>
      <c r="C1736" s="24" t="s">
        <v>1409</v>
      </c>
      <c r="D1736" s="24" t="s">
        <v>1102</v>
      </c>
      <c r="E1736" s="24" t="s">
        <v>51</v>
      </c>
      <c r="F1736" s="24" t="s">
        <v>1142</v>
      </c>
      <c r="G1736" s="24" t="s">
        <v>1402</v>
      </c>
      <c r="H1736" s="24" t="s">
        <v>117</v>
      </c>
      <c r="I1736" s="24" t="s">
        <v>1655</v>
      </c>
      <c r="J1736" s="24" t="s">
        <v>761</v>
      </c>
      <c r="K1736" s="24" t="s">
        <v>1146</v>
      </c>
      <c r="L1736" s="25">
        <v>1070</v>
      </c>
      <c r="M1736" s="26">
        <v>16.3</v>
      </c>
      <c r="N1736" s="27">
        <v>16.3</v>
      </c>
      <c r="O1736" s="28">
        <v>1.4818181818181819E-2</v>
      </c>
      <c r="P1736" s="28">
        <v>15.434513274336283</v>
      </c>
    </row>
    <row r="1737" spans="1:16" x14ac:dyDescent="0.3">
      <c r="A1737" t="s">
        <v>4621</v>
      </c>
      <c r="B1737" s="24">
        <v>100581</v>
      </c>
      <c r="C1737" s="24" t="s">
        <v>1232</v>
      </c>
      <c r="D1737" s="24" t="s">
        <v>1102</v>
      </c>
      <c r="E1737" s="24" t="s">
        <v>51</v>
      </c>
      <c r="F1737" s="24" t="s">
        <v>1142</v>
      </c>
      <c r="G1737" s="24" t="s">
        <v>1233</v>
      </c>
      <c r="H1737" s="24" t="s">
        <v>115</v>
      </c>
      <c r="I1737" s="24" t="s">
        <v>1656</v>
      </c>
      <c r="J1737" s="24" t="s">
        <v>761</v>
      </c>
      <c r="K1737" s="24" t="s">
        <v>1146</v>
      </c>
      <c r="L1737" s="25">
        <v>1070</v>
      </c>
      <c r="M1737" s="26">
        <v>13.35</v>
      </c>
      <c r="N1737" s="27">
        <v>13.35</v>
      </c>
      <c r="O1737" s="28">
        <v>1.2136363636363636E-2</v>
      </c>
      <c r="P1737" s="28">
        <v>12.641150442477876</v>
      </c>
    </row>
    <row r="1738" spans="1:16" x14ac:dyDescent="0.3">
      <c r="A1738" t="s">
        <v>4622</v>
      </c>
      <c r="B1738" s="24">
        <v>100603</v>
      </c>
      <c r="C1738" s="24" t="s">
        <v>1277</v>
      </c>
      <c r="D1738" s="24" t="s">
        <v>1102</v>
      </c>
      <c r="E1738" s="24" t="s">
        <v>51</v>
      </c>
      <c r="F1738" s="24" t="s">
        <v>1142</v>
      </c>
      <c r="G1738" s="24" t="s">
        <v>1082</v>
      </c>
      <c r="H1738" s="24" t="s">
        <v>115</v>
      </c>
      <c r="I1738" s="24" t="s">
        <v>1656</v>
      </c>
      <c r="J1738" s="24" t="s">
        <v>761</v>
      </c>
      <c r="K1738" s="24" t="s">
        <v>1146</v>
      </c>
      <c r="L1738" s="25">
        <v>1070</v>
      </c>
      <c r="M1738" s="26">
        <v>13.35</v>
      </c>
      <c r="N1738" s="27">
        <v>13.35</v>
      </c>
      <c r="O1738" s="28">
        <v>1.2136363636363636E-2</v>
      </c>
      <c r="P1738" s="28">
        <v>12.641150442477876</v>
      </c>
    </row>
    <row r="1739" spans="1:16" x14ac:dyDescent="0.3">
      <c r="A1739" t="s">
        <v>4623</v>
      </c>
      <c r="B1739" s="24">
        <v>101184</v>
      </c>
      <c r="C1739" s="24" t="s">
        <v>1401</v>
      </c>
      <c r="D1739" s="24" t="s">
        <v>1102</v>
      </c>
      <c r="E1739" s="24" t="s">
        <v>51</v>
      </c>
      <c r="F1739" s="24" t="s">
        <v>1142</v>
      </c>
      <c r="G1739" s="24" t="s">
        <v>1402</v>
      </c>
      <c r="H1739" s="24" t="s">
        <v>115</v>
      </c>
      <c r="I1739" s="24" t="s">
        <v>1656</v>
      </c>
      <c r="J1739" s="24" t="s">
        <v>761</v>
      </c>
      <c r="K1739" s="24" t="s">
        <v>1146</v>
      </c>
      <c r="L1739" s="25">
        <v>1070</v>
      </c>
      <c r="M1739" s="26">
        <v>13.35</v>
      </c>
      <c r="N1739" s="27">
        <v>13.35</v>
      </c>
      <c r="O1739" s="28">
        <v>1.2136363636363636E-2</v>
      </c>
      <c r="P1739" s="28">
        <v>12.641150442477876</v>
      </c>
    </row>
    <row r="1740" spans="1:16" x14ac:dyDescent="0.3">
      <c r="A1740" t="s">
        <v>4624</v>
      </c>
      <c r="B1740" s="24">
        <v>101206</v>
      </c>
      <c r="C1740" s="24" t="s">
        <v>1199</v>
      </c>
      <c r="D1740" s="24" t="s">
        <v>1102</v>
      </c>
      <c r="E1740" s="24" t="s">
        <v>51</v>
      </c>
      <c r="F1740" s="24" t="s">
        <v>1142</v>
      </c>
      <c r="G1740" s="24" t="s">
        <v>1200</v>
      </c>
      <c r="H1740" s="24" t="s">
        <v>115</v>
      </c>
      <c r="I1740" s="24" t="s">
        <v>1656</v>
      </c>
      <c r="J1740" s="24" t="s">
        <v>761</v>
      </c>
      <c r="K1740" s="24" t="s">
        <v>1146</v>
      </c>
      <c r="L1740" s="25">
        <v>1070</v>
      </c>
      <c r="M1740" s="26">
        <v>13.35</v>
      </c>
      <c r="N1740" s="27">
        <v>13.35</v>
      </c>
      <c r="O1740" s="28">
        <v>1.2136363636363636E-2</v>
      </c>
      <c r="P1740" s="28">
        <v>12.641150442477876</v>
      </c>
    </row>
    <row r="1741" spans="1:16" x14ac:dyDescent="0.3">
      <c r="A1741" t="s">
        <v>4625</v>
      </c>
      <c r="B1741" s="24">
        <v>106916</v>
      </c>
      <c r="C1741" s="24" t="s">
        <v>1216</v>
      </c>
      <c r="D1741" s="24" t="s">
        <v>1102</v>
      </c>
      <c r="E1741" s="24" t="s">
        <v>51</v>
      </c>
      <c r="F1741" s="24" t="s">
        <v>1142</v>
      </c>
      <c r="G1741" s="24" t="s">
        <v>1203</v>
      </c>
      <c r="H1741" s="24" t="s">
        <v>115</v>
      </c>
      <c r="I1741" s="24" t="s">
        <v>1656</v>
      </c>
      <c r="J1741" s="24" t="s">
        <v>761</v>
      </c>
      <c r="K1741" s="24" t="s">
        <v>1146</v>
      </c>
      <c r="L1741" s="25">
        <v>1070</v>
      </c>
      <c r="M1741" s="26">
        <v>13.35</v>
      </c>
      <c r="N1741" s="27">
        <v>13.35</v>
      </c>
      <c r="O1741" s="28">
        <v>1.2136363636363636E-2</v>
      </c>
      <c r="P1741" s="28">
        <v>12.641150442477876</v>
      </c>
    </row>
    <row r="1742" spans="1:16" x14ac:dyDescent="0.3">
      <c r="A1742" t="s">
        <v>4626</v>
      </c>
      <c r="B1742" s="24">
        <v>111550</v>
      </c>
      <c r="C1742" s="24" t="s">
        <v>1582</v>
      </c>
      <c r="D1742" s="24" t="s">
        <v>1102</v>
      </c>
      <c r="E1742" s="24" t="s">
        <v>51</v>
      </c>
      <c r="F1742" s="24" t="s">
        <v>1142</v>
      </c>
      <c r="G1742" s="24" t="s">
        <v>1402</v>
      </c>
      <c r="H1742" s="24" t="s">
        <v>113</v>
      </c>
      <c r="I1742" s="24" t="s">
        <v>1657</v>
      </c>
      <c r="J1742" s="24" t="s">
        <v>761</v>
      </c>
      <c r="K1742" s="24" t="s">
        <v>1146</v>
      </c>
      <c r="L1742" s="25">
        <v>1070</v>
      </c>
      <c r="M1742" s="26">
        <v>13.03</v>
      </c>
      <c r="N1742" s="27">
        <v>13.03</v>
      </c>
      <c r="O1742" s="28">
        <v>1.1845454545454544E-2</v>
      </c>
      <c r="P1742" s="28">
        <v>12.338141592920353</v>
      </c>
    </row>
    <row r="1743" spans="1:16" x14ac:dyDescent="0.3">
      <c r="A1743" t="s">
        <v>4627</v>
      </c>
      <c r="B1743" s="24">
        <v>101186</v>
      </c>
      <c r="C1743" s="24" t="s">
        <v>1273</v>
      </c>
      <c r="D1743" s="24" t="s">
        <v>1102</v>
      </c>
      <c r="E1743" s="24" t="s">
        <v>51</v>
      </c>
      <c r="F1743" s="24" t="s">
        <v>1142</v>
      </c>
      <c r="G1743" s="24" t="s">
        <v>1203</v>
      </c>
      <c r="H1743" s="24" t="s">
        <v>108</v>
      </c>
      <c r="I1743" s="24" t="s">
        <v>1658</v>
      </c>
      <c r="J1743" s="24" t="s">
        <v>761</v>
      </c>
      <c r="K1743" s="24" t="s">
        <v>1146</v>
      </c>
      <c r="L1743" s="25">
        <v>1070</v>
      </c>
      <c r="M1743" s="26">
        <v>17.5</v>
      </c>
      <c r="N1743" s="27">
        <v>17.5</v>
      </c>
      <c r="O1743" s="28">
        <v>1.5909090909090907E-2</v>
      </c>
      <c r="P1743" s="28">
        <v>16.570796460176989</v>
      </c>
    </row>
    <row r="1744" spans="1:16" x14ac:dyDescent="0.3">
      <c r="A1744" t="s">
        <v>4628</v>
      </c>
      <c r="B1744" s="24">
        <v>101186</v>
      </c>
      <c r="C1744" s="24" t="s">
        <v>1273</v>
      </c>
      <c r="D1744" s="24" t="s">
        <v>1102</v>
      </c>
      <c r="E1744" s="24" t="s">
        <v>51</v>
      </c>
      <c r="F1744" s="24" t="s">
        <v>1142</v>
      </c>
      <c r="G1744" s="24" t="s">
        <v>1203</v>
      </c>
      <c r="H1744" s="24" t="s">
        <v>131</v>
      </c>
      <c r="I1744" s="24" t="s">
        <v>1659</v>
      </c>
      <c r="J1744" s="24" t="s">
        <v>761</v>
      </c>
      <c r="K1744" s="24" t="s">
        <v>1146</v>
      </c>
      <c r="L1744" s="25">
        <v>1070</v>
      </c>
      <c r="M1744" s="26">
        <v>18.079999999999998</v>
      </c>
      <c r="N1744" s="27">
        <v>18.079999999999998</v>
      </c>
      <c r="O1744" s="28">
        <v>1.6436363636363634E-2</v>
      </c>
      <c r="P1744" s="28">
        <v>17.119999999999997</v>
      </c>
    </row>
    <row r="1745" spans="1:16" x14ac:dyDescent="0.3">
      <c r="A1745" t="s">
        <v>4629</v>
      </c>
      <c r="B1745" s="24">
        <v>101186</v>
      </c>
      <c r="C1745" s="24" t="s">
        <v>1273</v>
      </c>
      <c r="D1745" s="24" t="s">
        <v>1102</v>
      </c>
      <c r="E1745" s="24" t="s">
        <v>51</v>
      </c>
      <c r="F1745" s="24" t="s">
        <v>1142</v>
      </c>
      <c r="G1745" s="24" t="s">
        <v>1203</v>
      </c>
      <c r="H1745" s="24" t="s">
        <v>1660</v>
      </c>
      <c r="I1745" s="24" t="s">
        <v>1661</v>
      </c>
      <c r="J1745" s="24" t="s">
        <v>761</v>
      </c>
      <c r="K1745" s="24" t="s">
        <v>1146</v>
      </c>
      <c r="L1745" s="25">
        <v>1070</v>
      </c>
      <c r="M1745" s="26">
        <v>23.25</v>
      </c>
      <c r="N1745" s="27">
        <v>23.25</v>
      </c>
      <c r="O1745" s="28">
        <v>2.1136363636363637E-2</v>
      </c>
      <c r="P1745" s="28">
        <v>22.015486725663717</v>
      </c>
    </row>
    <row r="1746" spans="1:16" x14ac:dyDescent="0.3">
      <c r="A1746" t="s">
        <v>4630</v>
      </c>
      <c r="B1746" s="24">
        <v>101206</v>
      </c>
      <c r="C1746" s="24" t="s">
        <v>1199</v>
      </c>
      <c r="D1746" s="24" t="s">
        <v>1102</v>
      </c>
      <c r="E1746" s="24" t="s">
        <v>51</v>
      </c>
      <c r="F1746" s="24" t="s">
        <v>1142</v>
      </c>
      <c r="G1746" s="24" t="s">
        <v>1200</v>
      </c>
      <c r="H1746" s="24" t="s">
        <v>1660</v>
      </c>
      <c r="I1746" s="24" t="s">
        <v>1661</v>
      </c>
      <c r="J1746" s="24" t="s">
        <v>761</v>
      </c>
      <c r="K1746" s="24" t="s">
        <v>1146</v>
      </c>
      <c r="L1746" s="25">
        <v>1070</v>
      </c>
      <c r="M1746" s="26">
        <v>23.25</v>
      </c>
      <c r="N1746" s="27">
        <v>23.25</v>
      </c>
      <c r="O1746" s="28">
        <v>2.1136363636363637E-2</v>
      </c>
      <c r="P1746" s="28">
        <v>22.015486725663717</v>
      </c>
    </row>
    <row r="1747" spans="1:16" x14ac:dyDescent="0.3">
      <c r="A1747" t="s">
        <v>4631</v>
      </c>
      <c r="B1747" s="24">
        <v>101424</v>
      </c>
      <c r="C1747" s="24" t="s">
        <v>1278</v>
      </c>
      <c r="D1747" s="24" t="s">
        <v>1102</v>
      </c>
      <c r="E1747" s="24" t="s">
        <v>51</v>
      </c>
      <c r="F1747" s="24" t="s">
        <v>1142</v>
      </c>
      <c r="G1747" s="24" t="s">
        <v>1203</v>
      </c>
      <c r="H1747" s="24" t="s">
        <v>2848</v>
      </c>
      <c r="I1747" s="24" t="s">
        <v>1662</v>
      </c>
      <c r="J1747" s="24" t="s">
        <v>761</v>
      </c>
      <c r="K1747" s="24" t="s">
        <v>1146</v>
      </c>
      <c r="L1747" s="25">
        <v>1070</v>
      </c>
      <c r="M1747" s="26">
        <v>23.25</v>
      </c>
      <c r="N1747" s="27">
        <v>23.25</v>
      </c>
      <c r="O1747" s="28">
        <v>2.1136363636363637E-2</v>
      </c>
      <c r="P1747" s="28">
        <v>22.015486725663717</v>
      </c>
    </row>
    <row r="1748" spans="1:16" x14ac:dyDescent="0.3">
      <c r="A1748" t="s">
        <v>4632</v>
      </c>
      <c r="B1748" s="24">
        <v>100581</v>
      </c>
      <c r="C1748" s="24" t="s">
        <v>1232</v>
      </c>
      <c r="D1748" s="24" t="s">
        <v>1102</v>
      </c>
      <c r="E1748" s="24" t="s">
        <v>51</v>
      </c>
      <c r="F1748" s="24" t="s">
        <v>1142</v>
      </c>
      <c r="G1748" s="24" t="s">
        <v>1233</v>
      </c>
      <c r="H1748" s="24" t="s">
        <v>145</v>
      </c>
      <c r="I1748" s="24" t="s">
        <v>1663</v>
      </c>
      <c r="J1748" s="24" t="s">
        <v>761</v>
      </c>
      <c r="K1748" s="24" t="s">
        <v>1146</v>
      </c>
      <c r="L1748" s="25">
        <v>1070</v>
      </c>
      <c r="M1748" s="26">
        <v>11.44</v>
      </c>
      <c r="N1748" s="27">
        <v>11.44</v>
      </c>
      <c r="O1748" s="28">
        <v>1.04E-2</v>
      </c>
      <c r="P1748" s="28">
        <v>10.832566371681414</v>
      </c>
    </row>
    <row r="1749" spans="1:16" x14ac:dyDescent="0.3">
      <c r="A1749" t="s">
        <v>4633</v>
      </c>
      <c r="B1749" s="24">
        <v>101424</v>
      </c>
      <c r="C1749" s="24" t="s">
        <v>1278</v>
      </c>
      <c r="D1749" s="24" t="s">
        <v>1102</v>
      </c>
      <c r="E1749" s="24" t="s">
        <v>51</v>
      </c>
      <c r="F1749" s="24" t="s">
        <v>1142</v>
      </c>
      <c r="G1749" s="24" t="s">
        <v>1203</v>
      </c>
      <c r="H1749" s="24" t="s">
        <v>1063</v>
      </c>
      <c r="I1749" s="24" t="s">
        <v>1664</v>
      </c>
      <c r="J1749" s="24" t="s">
        <v>761</v>
      </c>
      <c r="K1749" s="24" t="s">
        <v>1146</v>
      </c>
      <c r="L1749" s="25">
        <v>1070</v>
      </c>
      <c r="M1749" s="26">
        <v>10.82</v>
      </c>
      <c r="N1749" s="27">
        <v>10.82</v>
      </c>
      <c r="O1749" s="28">
        <v>9.8363636363636361E-3</v>
      </c>
      <c r="P1749" s="28">
        <v>10.245486725663717</v>
      </c>
    </row>
    <row r="1750" spans="1:16" x14ac:dyDescent="0.3">
      <c r="A1750" t="s">
        <v>4634</v>
      </c>
      <c r="B1750" s="24">
        <v>100581</v>
      </c>
      <c r="C1750" s="24" t="s">
        <v>1232</v>
      </c>
      <c r="D1750" s="24" t="s">
        <v>1102</v>
      </c>
      <c r="E1750" s="24" t="s">
        <v>51</v>
      </c>
      <c r="F1750" s="24" t="s">
        <v>1142</v>
      </c>
      <c r="G1750" s="24" t="s">
        <v>1233</v>
      </c>
      <c r="H1750" s="24" t="s">
        <v>251</v>
      </c>
      <c r="I1750" s="24" t="s">
        <v>1665</v>
      </c>
      <c r="J1750" s="24" t="s">
        <v>761</v>
      </c>
      <c r="K1750" s="24" t="s">
        <v>1146</v>
      </c>
      <c r="L1750" s="25">
        <v>1070</v>
      </c>
      <c r="M1750" s="26">
        <v>260</v>
      </c>
      <c r="N1750" s="27">
        <v>260</v>
      </c>
      <c r="O1750" s="28">
        <v>0.23636363636363636</v>
      </c>
      <c r="P1750" s="28">
        <v>246.19469026548671</v>
      </c>
    </row>
    <row r="1751" spans="1:16" x14ac:dyDescent="0.3">
      <c r="A1751" t="s">
        <v>4635</v>
      </c>
      <c r="B1751" s="24">
        <v>101424</v>
      </c>
      <c r="C1751" s="24" t="s">
        <v>1278</v>
      </c>
      <c r="D1751" s="24" t="s">
        <v>1102</v>
      </c>
      <c r="E1751" s="24" t="s">
        <v>51</v>
      </c>
      <c r="F1751" s="24" t="s">
        <v>1142</v>
      </c>
      <c r="G1751" s="24" t="s">
        <v>1203</v>
      </c>
      <c r="H1751" s="24" t="s">
        <v>251</v>
      </c>
      <c r="I1751" s="24" t="s">
        <v>1665</v>
      </c>
      <c r="J1751" s="24" t="s">
        <v>761</v>
      </c>
      <c r="K1751" s="24" t="s">
        <v>1146</v>
      </c>
      <c r="L1751" s="25">
        <v>1070</v>
      </c>
      <c r="M1751" s="26">
        <v>260</v>
      </c>
      <c r="N1751" s="27">
        <v>260</v>
      </c>
      <c r="O1751" s="28">
        <v>0.23636363636363636</v>
      </c>
      <c r="P1751" s="28">
        <v>246.19469026548671</v>
      </c>
    </row>
    <row r="1752" spans="1:16" x14ac:dyDescent="0.3">
      <c r="A1752" t="s">
        <v>4636</v>
      </c>
      <c r="B1752" s="24">
        <v>100581</v>
      </c>
      <c r="C1752" s="24" t="s">
        <v>1232</v>
      </c>
      <c r="D1752" s="24" t="s">
        <v>1102</v>
      </c>
      <c r="E1752" s="24" t="s">
        <v>51</v>
      </c>
      <c r="F1752" s="24" t="s">
        <v>1142</v>
      </c>
      <c r="G1752" s="24" t="s">
        <v>1233</v>
      </c>
      <c r="H1752" s="24" t="s">
        <v>252</v>
      </c>
      <c r="I1752" s="24" t="s">
        <v>1666</v>
      </c>
      <c r="J1752" s="24" t="s">
        <v>761</v>
      </c>
      <c r="K1752" s="24" t="s">
        <v>1146</v>
      </c>
      <c r="L1752" s="25">
        <v>1070</v>
      </c>
      <c r="M1752" s="26">
        <v>160</v>
      </c>
      <c r="N1752" s="27">
        <v>160</v>
      </c>
      <c r="O1752" s="28">
        <v>0.14545454545454545</v>
      </c>
      <c r="P1752" s="28">
        <v>151.50442477876106</v>
      </c>
    </row>
    <row r="1753" spans="1:16" x14ac:dyDescent="0.3">
      <c r="A1753" t="s">
        <v>4637</v>
      </c>
      <c r="B1753" s="24">
        <v>101424</v>
      </c>
      <c r="C1753" s="24" t="s">
        <v>1278</v>
      </c>
      <c r="D1753" s="24" t="s">
        <v>1102</v>
      </c>
      <c r="E1753" s="24" t="s">
        <v>51</v>
      </c>
      <c r="F1753" s="24" t="s">
        <v>1142</v>
      </c>
      <c r="G1753" s="24" t="s">
        <v>1203</v>
      </c>
      <c r="H1753" s="24" t="s">
        <v>252</v>
      </c>
      <c r="I1753" s="24" t="s">
        <v>1666</v>
      </c>
      <c r="J1753" s="24" t="s">
        <v>761</v>
      </c>
      <c r="K1753" s="24" t="s">
        <v>1146</v>
      </c>
      <c r="L1753" s="25">
        <v>1070</v>
      </c>
      <c r="M1753" s="26">
        <v>160</v>
      </c>
      <c r="N1753" s="27">
        <v>160</v>
      </c>
      <c r="O1753" s="28">
        <v>0.14545454545454545</v>
      </c>
      <c r="P1753" s="28">
        <v>151.50442477876106</v>
      </c>
    </row>
    <row r="1754" spans="1:16" x14ac:dyDescent="0.3">
      <c r="A1754" t="s">
        <v>4638</v>
      </c>
      <c r="B1754" s="24">
        <v>100581</v>
      </c>
      <c r="C1754" s="24" t="s">
        <v>1232</v>
      </c>
      <c r="D1754" s="24" t="s">
        <v>1102</v>
      </c>
      <c r="E1754" s="24" t="s">
        <v>51</v>
      </c>
      <c r="F1754" s="24" t="s">
        <v>1142</v>
      </c>
      <c r="G1754" s="24" t="s">
        <v>1233</v>
      </c>
      <c r="H1754" s="24" t="s">
        <v>1667</v>
      </c>
      <c r="I1754" s="24" t="s">
        <v>1668</v>
      </c>
      <c r="J1754" s="24" t="s">
        <v>761</v>
      </c>
      <c r="K1754" s="24" t="s">
        <v>1146</v>
      </c>
      <c r="L1754" s="25">
        <v>1070</v>
      </c>
      <c r="M1754" s="26">
        <v>165</v>
      </c>
      <c r="N1754" s="27">
        <v>165</v>
      </c>
      <c r="O1754" s="28">
        <v>0.15</v>
      </c>
      <c r="P1754" s="28">
        <v>156.23893805309734</v>
      </c>
    </row>
    <row r="1755" spans="1:16" x14ac:dyDescent="0.3">
      <c r="A1755" t="s">
        <v>4639</v>
      </c>
      <c r="B1755" s="24">
        <v>101206</v>
      </c>
      <c r="C1755" s="24" t="s">
        <v>1199</v>
      </c>
      <c r="D1755" s="24" t="s">
        <v>1102</v>
      </c>
      <c r="E1755" s="24" t="s">
        <v>51</v>
      </c>
      <c r="F1755" s="24" t="s">
        <v>1142</v>
      </c>
      <c r="G1755" s="24" t="s">
        <v>1200</v>
      </c>
      <c r="H1755" s="24" t="s">
        <v>1669</v>
      </c>
      <c r="I1755" s="24" t="s">
        <v>1670</v>
      </c>
      <c r="J1755" s="24" t="s">
        <v>761</v>
      </c>
      <c r="K1755" s="24" t="s">
        <v>1146</v>
      </c>
      <c r="L1755" s="25">
        <v>1070</v>
      </c>
      <c r="M1755" s="26">
        <v>17</v>
      </c>
      <c r="N1755" s="27">
        <v>17</v>
      </c>
      <c r="O1755" s="28">
        <v>1.5454545454545455E-2</v>
      </c>
      <c r="P1755" s="28">
        <v>16.097345132743364</v>
      </c>
    </row>
    <row r="1756" spans="1:16" x14ac:dyDescent="0.3">
      <c r="A1756" t="s">
        <v>4640</v>
      </c>
      <c r="B1756" s="24">
        <v>142051</v>
      </c>
      <c r="C1756" s="24" t="s">
        <v>1491</v>
      </c>
      <c r="D1756" s="24" t="s">
        <v>1102</v>
      </c>
      <c r="E1756" s="24" t="s">
        <v>51</v>
      </c>
      <c r="F1756" s="24" t="s">
        <v>1237</v>
      </c>
      <c r="G1756" s="24" t="s">
        <v>1238</v>
      </c>
      <c r="H1756" s="24" t="s">
        <v>1671</v>
      </c>
      <c r="I1756" s="24" t="s">
        <v>1672</v>
      </c>
      <c r="J1756" s="24" t="s">
        <v>761</v>
      </c>
      <c r="K1756" s="24" t="s">
        <v>1146</v>
      </c>
      <c r="L1756" s="25">
        <v>1070</v>
      </c>
      <c r="M1756" s="26">
        <v>13</v>
      </c>
      <c r="N1756" s="27">
        <v>13</v>
      </c>
      <c r="O1756" s="28">
        <v>1.1818181818181818E-2</v>
      </c>
      <c r="P1756" s="28">
        <v>12.309734513274336</v>
      </c>
    </row>
    <row r="1757" spans="1:16" x14ac:dyDescent="0.3">
      <c r="A1757" t="s">
        <v>4641</v>
      </c>
      <c r="B1757" s="24">
        <v>101186</v>
      </c>
      <c r="C1757" s="24" t="s">
        <v>1273</v>
      </c>
      <c r="D1757" s="24" t="s">
        <v>1102</v>
      </c>
      <c r="E1757" s="24" t="s">
        <v>51</v>
      </c>
      <c r="F1757" s="24" t="s">
        <v>1142</v>
      </c>
      <c r="G1757" s="24" t="s">
        <v>1203</v>
      </c>
      <c r="H1757" s="24" t="s">
        <v>82</v>
      </c>
      <c r="I1757" s="24" t="s">
        <v>1673</v>
      </c>
      <c r="J1757" s="24" t="s">
        <v>761</v>
      </c>
      <c r="K1757" s="24" t="s">
        <v>1146</v>
      </c>
      <c r="L1757" s="25">
        <v>1070</v>
      </c>
      <c r="M1757" s="26">
        <v>14.5</v>
      </c>
      <c r="N1757" s="27">
        <v>14.5</v>
      </c>
      <c r="O1757" s="28">
        <v>1.3181818181818182E-2</v>
      </c>
      <c r="P1757" s="28">
        <v>13.730088495575222</v>
      </c>
    </row>
    <row r="1758" spans="1:16" x14ac:dyDescent="0.3">
      <c r="A1758" t="s">
        <v>4642</v>
      </c>
      <c r="B1758" s="24">
        <v>101184</v>
      </c>
      <c r="C1758" s="24" t="s">
        <v>1401</v>
      </c>
      <c r="D1758" s="24" t="s">
        <v>1102</v>
      </c>
      <c r="E1758" s="24" t="s">
        <v>51</v>
      </c>
      <c r="F1758" s="24" t="s">
        <v>1142</v>
      </c>
      <c r="G1758" s="24" t="s">
        <v>1402</v>
      </c>
      <c r="H1758" s="24" t="s">
        <v>89</v>
      </c>
      <c r="I1758" s="24" t="s">
        <v>1674</v>
      </c>
      <c r="J1758" s="24" t="s">
        <v>761</v>
      </c>
      <c r="K1758" s="24" t="s">
        <v>1146</v>
      </c>
      <c r="L1758" s="25">
        <v>1070</v>
      </c>
      <c r="M1758" s="26">
        <v>13.3</v>
      </c>
      <c r="N1758" s="27">
        <v>13.3</v>
      </c>
      <c r="O1758" s="28">
        <v>1.2090909090909091E-2</v>
      </c>
      <c r="P1758" s="28">
        <v>12.593805309734513</v>
      </c>
    </row>
    <row r="1759" spans="1:16" x14ac:dyDescent="0.3">
      <c r="A1759" t="s">
        <v>4643</v>
      </c>
      <c r="B1759" s="24">
        <v>101186</v>
      </c>
      <c r="C1759" s="24" t="s">
        <v>1273</v>
      </c>
      <c r="D1759" s="24" t="s">
        <v>1102</v>
      </c>
      <c r="E1759" s="24" t="s">
        <v>51</v>
      </c>
      <c r="F1759" s="24" t="s">
        <v>1142</v>
      </c>
      <c r="G1759" s="24" t="s">
        <v>1203</v>
      </c>
      <c r="H1759" s="24" t="s">
        <v>89</v>
      </c>
      <c r="I1759" s="24" t="s">
        <v>1674</v>
      </c>
      <c r="J1759" s="24" t="s">
        <v>761</v>
      </c>
      <c r="K1759" s="24" t="s">
        <v>1146</v>
      </c>
      <c r="L1759" s="25">
        <v>1070</v>
      </c>
      <c r="M1759" s="26">
        <v>13.3</v>
      </c>
      <c r="N1759" s="27">
        <v>13.3</v>
      </c>
      <c r="O1759" s="28">
        <v>1.2090909090909091E-2</v>
      </c>
      <c r="P1759" s="28">
        <v>12.593805309734513</v>
      </c>
    </row>
    <row r="1760" spans="1:16" x14ac:dyDescent="0.3">
      <c r="A1760" t="s">
        <v>4644</v>
      </c>
      <c r="B1760" s="24">
        <v>101424</v>
      </c>
      <c r="C1760" s="24" t="s">
        <v>1278</v>
      </c>
      <c r="D1760" s="24" t="s">
        <v>1102</v>
      </c>
      <c r="E1760" s="24" t="s">
        <v>51</v>
      </c>
      <c r="F1760" s="24" t="s">
        <v>1142</v>
      </c>
      <c r="G1760" s="24" t="s">
        <v>1203</v>
      </c>
      <c r="H1760" s="24" t="s">
        <v>89</v>
      </c>
      <c r="I1760" s="24" t="s">
        <v>1674</v>
      </c>
      <c r="J1760" s="24" t="s">
        <v>761</v>
      </c>
      <c r="K1760" s="24" t="s">
        <v>1146</v>
      </c>
      <c r="L1760" s="25">
        <v>1070</v>
      </c>
      <c r="M1760" s="26">
        <v>13.3</v>
      </c>
      <c r="N1760" s="27">
        <v>13.3</v>
      </c>
      <c r="O1760" s="28">
        <v>1.2090909090909091E-2</v>
      </c>
      <c r="P1760" s="28">
        <v>12.593805309734513</v>
      </c>
    </row>
    <row r="1761" spans="1:16" x14ac:dyDescent="0.3">
      <c r="A1761" t="s">
        <v>4645</v>
      </c>
      <c r="B1761" s="24">
        <v>101206</v>
      </c>
      <c r="C1761" s="24" t="s">
        <v>1199</v>
      </c>
      <c r="D1761" s="24" t="s">
        <v>1102</v>
      </c>
      <c r="E1761" s="24" t="s">
        <v>51</v>
      </c>
      <c r="F1761" s="24" t="s">
        <v>1142</v>
      </c>
      <c r="G1761" s="24" t="s">
        <v>1200</v>
      </c>
      <c r="H1761" s="24" t="s">
        <v>1675</v>
      </c>
      <c r="I1761" s="24" t="s">
        <v>1676</v>
      </c>
      <c r="J1761" s="24" t="s">
        <v>761</v>
      </c>
      <c r="K1761" s="24" t="s">
        <v>1146</v>
      </c>
      <c r="L1761" s="25">
        <v>1070</v>
      </c>
      <c r="M1761" s="26">
        <v>17</v>
      </c>
      <c r="N1761" s="27">
        <v>17</v>
      </c>
      <c r="O1761" s="28">
        <v>1.5454545454545455E-2</v>
      </c>
      <c r="P1761" s="28">
        <v>16.097345132743364</v>
      </c>
    </row>
    <row r="1762" spans="1:16" x14ac:dyDescent="0.3">
      <c r="A1762" t="s">
        <v>4646</v>
      </c>
      <c r="B1762" s="24">
        <v>101424</v>
      </c>
      <c r="C1762" s="24" t="s">
        <v>1278</v>
      </c>
      <c r="D1762" s="24" t="s">
        <v>1102</v>
      </c>
      <c r="E1762" s="24" t="s">
        <v>51</v>
      </c>
      <c r="F1762" s="24" t="s">
        <v>1142</v>
      </c>
      <c r="G1762" s="24" t="s">
        <v>1203</v>
      </c>
      <c r="H1762" s="24" t="s">
        <v>1675</v>
      </c>
      <c r="I1762" s="24" t="s">
        <v>1676</v>
      </c>
      <c r="J1762" s="24" t="s">
        <v>761</v>
      </c>
      <c r="K1762" s="24" t="s">
        <v>1146</v>
      </c>
      <c r="L1762" s="25">
        <v>1070</v>
      </c>
      <c r="M1762" s="26">
        <v>17</v>
      </c>
      <c r="N1762" s="27">
        <v>17</v>
      </c>
      <c r="O1762" s="28">
        <v>1.5454545454545455E-2</v>
      </c>
      <c r="P1762" s="28">
        <v>16.097345132743364</v>
      </c>
    </row>
    <row r="1763" spans="1:16" x14ac:dyDescent="0.3">
      <c r="A1763" t="s">
        <v>4647</v>
      </c>
      <c r="B1763" s="24">
        <v>100603</v>
      </c>
      <c r="C1763" s="24" t="s">
        <v>1277</v>
      </c>
      <c r="D1763" s="24" t="s">
        <v>1102</v>
      </c>
      <c r="E1763" s="24" t="s">
        <v>51</v>
      </c>
      <c r="F1763" s="24" t="s">
        <v>1142</v>
      </c>
      <c r="G1763" s="24" t="s">
        <v>1082</v>
      </c>
      <c r="H1763" s="24" t="s">
        <v>120</v>
      </c>
      <c r="I1763" s="24" t="s">
        <v>1677</v>
      </c>
      <c r="J1763" s="24" t="s">
        <v>761</v>
      </c>
      <c r="K1763" s="24" t="s">
        <v>1146</v>
      </c>
      <c r="L1763" s="25">
        <v>1070</v>
      </c>
      <c r="M1763" s="26">
        <v>15.32</v>
      </c>
      <c r="N1763" s="27">
        <v>15.32</v>
      </c>
      <c r="O1763" s="28">
        <v>1.3927272727272727E-2</v>
      </c>
      <c r="P1763" s="28">
        <v>14.506548672566373</v>
      </c>
    </row>
    <row r="1764" spans="1:16" x14ac:dyDescent="0.3">
      <c r="A1764" t="s">
        <v>4648</v>
      </c>
      <c r="B1764" s="24">
        <v>101186</v>
      </c>
      <c r="C1764" s="24" t="s">
        <v>1273</v>
      </c>
      <c r="D1764" s="24" t="s">
        <v>1102</v>
      </c>
      <c r="E1764" s="24" t="s">
        <v>51</v>
      </c>
      <c r="F1764" s="24" t="s">
        <v>1142</v>
      </c>
      <c r="G1764" s="24" t="s">
        <v>1203</v>
      </c>
      <c r="H1764" s="24" t="s">
        <v>119</v>
      </c>
      <c r="I1764" s="24" t="s">
        <v>1678</v>
      </c>
      <c r="J1764" s="24" t="s">
        <v>761</v>
      </c>
      <c r="K1764" s="24" t="s">
        <v>1146</v>
      </c>
      <c r="L1764" s="25">
        <v>1070</v>
      </c>
      <c r="M1764" s="26">
        <v>17.3</v>
      </c>
      <c r="N1764" s="27">
        <v>17.3</v>
      </c>
      <c r="O1764" s="28">
        <v>1.5727272727272729E-2</v>
      </c>
      <c r="P1764" s="28">
        <v>16.381415929203541</v>
      </c>
    </row>
    <row r="1765" spans="1:16" x14ac:dyDescent="0.3">
      <c r="A1765" t="s">
        <v>4649</v>
      </c>
      <c r="B1765" s="24">
        <v>100603</v>
      </c>
      <c r="C1765" s="24" t="s">
        <v>1277</v>
      </c>
      <c r="D1765" s="24" t="s">
        <v>1102</v>
      </c>
      <c r="E1765" s="24" t="s">
        <v>51</v>
      </c>
      <c r="F1765" s="24" t="s">
        <v>1142</v>
      </c>
      <c r="G1765" s="24" t="s">
        <v>1082</v>
      </c>
      <c r="H1765" s="24" t="s">
        <v>136</v>
      </c>
      <c r="I1765" s="24" t="s">
        <v>1679</v>
      </c>
      <c r="J1765" s="24" t="s">
        <v>761</v>
      </c>
      <c r="K1765" s="24" t="s">
        <v>1146</v>
      </c>
      <c r="L1765" s="25">
        <v>1070</v>
      </c>
      <c r="M1765" s="26">
        <v>20.7</v>
      </c>
      <c r="N1765" s="27">
        <v>20.7</v>
      </c>
      <c r="O1765" s="28">
        <v>1.8818181818181817E-2</v>
      </c>
      <c r="P1765" s="28">
        <v>19.600884955752214</v>
      </c>
    </row>
    <row r="1766" spans="1:16" x14ac:dyDescent="0.3">
      <c r="A1766" t="s">
        <v>4650</v>
      </c>
      <c r="B1766" s="24">
        <v>101186</v>
      </c>
      <c r="C1766" s="24" t="s">
        <v>1273</v>
      </c>
      <c r="D1766" s="24" t="s">
        <v>1102</v>
      </c>
      <c r="E1766" s="24" t="s">
        <v>51</v>
      </c>
      <c r="F1766" s="24" t="s">
        <v>1142</v>
      </c>
      <c r="G1766" s="24" t="s">
        <v>1203</v>
      </c>
      <c r="H1766" s="24" t="s">
        <v>136</v>
      </c>
      <c r="I1766" s="24" t="s">
        <v>1679</v>
      </c>
      <c r="J1766" s="24" t="s">
        <v>761</v>
      </c>
      <c r="K1766" s="24" t="s">
        <v>1146</v>
      </c>
      <c r="L1766" s="25">
        <v>1070</v>
      </c>
      <c r="M1766" s="26">
        <v>20.7</v>
      </c>
      <c r="N1766" s="27">
        <v>20.7</v>
      </c>
      <c r="O1766" s="28">
        <v>1.8818181818181817E-2</v>
      </c>
      <c r="P1766" s="28">
        <v>19.600884955752214</v>
      </c>
    </row>
    <row r="1767" spans="1:16" x14ac:dyDescent="0.3">
      <c r="A1767" t="s">
        <v>4651</v>
      </c>
      <c r="B1767" s="24">
        <v>101206</v>
      </c>
      <c r="C1767" s="24" t="s">
        <v>1199</v>
      </c>
      <c r="D1767" s="24" t="s">
        <v>1102</v>
      </c>
      <c r="E1767" s="24" t="s">
        <v>51</v>
      </c>
      <c r="F1767" s="24" t="s">
        <v>1142</v>
      </c>
      <c r="G1767" s="24" t="s">
        <v>1200</v>
      </c>
      <c r="H1767" s="24" t="s">
        <v>136</v>
      </c>
      <c r="I1767" s="24" t="s">
        <v>1679</v>
      </c>
      <c r="J1767" s="24" t="s">
        <v>761</v>
      </c>
      <c r="K1767" s="24" t="s">
        <v>1146</v>
      </c>
      <c r="L1767" s="25">
        <v>1070</v>
      </c>
      <c r="M1767" s="26">
        <v>20.7</v>
      </c>
      <c r="N1767" s="27">
        <v>20.7</v>
      </c>
      <c r="O1767" s="28">
        <v>1.8818181818181817E-2</v>
      </c>
      <c r="P1767" s="28">
        <v>19.600884955752214</v>
      </c>
    </row>
    <row r="1768" spans="1:16" x14ac:dyDescent="0.3">
      <c r="A1768" t="s">
        <v>4652</v>
      </c>
      <c r="B1768" s="24">
        <v>101424</v>
      </c>
      <c r="C1768" s="24" t="s">
        <v>1278</v>
      </c>
      <c r="D1768" s="24" t="s">
        <v>1102</v>
      </c>
      <c r="E1768" s="24" t="s">
        <v>51</v>
      </c>
      <c r="F1768" s="24" t="s">
        <v>1142</v>
      </c>
      <c r="G1768" s="24" t="s">
        <v>1203</v>
      </c>
      <c r="H1768" s="24" t="s">
        <v>1061</v>
      </c>
      <c r="I1768" s="24" t="s">
        <v>1680</v>
      </c>
      <c r="J1768" s="24" t="s">
        <v>761</v>
      </c>
      <c r="K1768" s="24" t="s">
        <v>1146</v>
      </c>
      <c r="L1768" s="25">
        <v>1070</v>
      </c>
      <c r="M1768" s="26">
        <v>16.62</v>
      </c>
      <c r="N1768" s="27">
        <v>16.62</v>
      </c>
      <c r="O1768" s="28">
        <v>1.5109090909090911E-2</v>
      </c>
      <c r="P1768" s="28">
        <v>15.737522123893807</v>
      </c>
    </row>
    <row r="1769" spans="1:16" x14ac:dyDescent="0.3">
      <c r="A1769" t="s">
        <v>4653</v>
      </c>
      <c r="B1769" s="24">
        <v>100581</v>
      </c>
      <c r="C1769" s="24" t="s">
        <v>1232</v>
      </c>
      <c r="D1769" s="24" t="s">
        <v>1102</v>
      </c>
      <c r="E1769" s="24" t="s">
        <v>51</v>
      </c>
      <c r="F1769" s="24" t="s">
        <v>1142</v>
      </c>
      <c r="G1769" s="24" t="s">
        <v>1233</v>
      </c>
      <c r="H1769" s="24" t="s">
        <v>326</v>
      </c>
      <c r="I1769" s="24" t="s">
        <v>1681</v>
      </c>
      <c r="J1769" s="24" t="s">
        <v>761</v>
      </c>
      <c r="K1769" s="24" t="s">
        <v>1146</v>
      </c>
      <c r="L1769" s="25">
        <v>1070</v>
      </c>
      <c r="M1769" s="26">
        <v>9.9</v>
      </c>
      <c r="N1769" s="27">
        <v>9.9</v>
      </c>
      <c r="O1769" s="28">
        <v>9.0000000000000011E-3</v>
      </c>
      <c r="P1769" s="28">
        <v>9.3743362831858406</v>
      </c>
    </row>
    <row r="1770" spans="1:16" x14ac:dyDescent="0.3">
      <c r="A1770" t="s">
        <v>4654</v>
      </c>
      <c r="B1770" s="24">
        <v>100603</v>
      </c>
      <c r="C1770" s="24" t="s">
        <v>1277</v>
      </c>
      <c r="D1770" s="24" t="s">
        <v>1102</v>
      </c>
      <c r="E1770" s="24" t="s">
        <v>51</v>
      </c>
      <c r="F1770" s="24" t="s">
        <v>1142</v>
      </c>
      <c r="G1770" s="24" t="s">
        <v>1082</v>
      </c>
      <c r="H1770" s="24" t="s">
        <v>326</v>
      </c>
      <c r="I1770" s="24" t="s">
        <v>1681</v>
      </c>
      <c r="J1770" s="24" t="s">
        <v>761</v>
      </c>
      <c r="K1770" s="24" t="s">
        <v>1146</v>
      </c>
      <c r="L1770" s="25">
        <v>1070</v>
      </c>
      <c r="M1770" s="26">
        <v>8.5</v>
      </c>
      <c r="N1770" s="27">
        <v>8.5</v>
      </c>
      <c r="O1770" s="28">
        <v>7.7272727272727276E-3</v>
      </c>
      <c r="P1770" s="28">
        <v>8.0486725663716818</v>
      </c>
    </row>
    <row r="1771" spans="1:16" x14ac:dyDescent="0.3">
      <c r="A1771" t="s">
        <v>4655</v>
      </c>
      <c r="B1771" s="24">
        <v>101186</v>
      </c>
      <c r="C1771" s="24" t="s">
        <v>1273</v>
      </c>
      <c r="D1771" s="24" t="s">
        <v>1102</v>
      </c>
      <c r="E1771" s="24" t="s">
        <v>51</v>
      </c>
      <c r="F1771" s="24" t="s">
        <v>1142</v>
      </c>
      <c r="G1771" s="24" t="s">
        <v>1203</v>
      </c>
      <c r="H1771" s="24" t="s">
        <v>326</v>
      </c>
      <c r="I1771" s="24" t="s">
        <v>1681</v>
      </c>
      <c r="J1771" s="24" t="s">
        <v>761</v>
      </c>
      <c r="K1771" s="24" t="s">
        <v>1146</v>
      </c>
      <c r="L1771" s="25">
        <v>1070</v>
      </c>
      <c r="M1771" s="26">
        <v>8.5</v>
      </c>
      <c r="N1771" s="27">
        <v>8.5</v>
      </c>
      <c r="O1771" s="28">
        <v>7.7272727272727276E-3</v>
      </c>
      <c r="P1771" s="28">
        <v>8.0486725663716818</v>
      </c>
    </row>
    <row r="1772" spans="1:16" x14ac:dyDescent="0.3">
      <c r="A1772" t="s">
        <v>4656</v>
      </c>
      <c r="B1772" s="24">
        <v>101424</v>
      </c>
      <c r="C1772" s="24" t="s">
        <v>1278</v>
      </c>
      <c r="D1772" s="24" t="s">
        <v>1102</v>
      </c>
      <c r="E1772" s="24" t="s">
        <v>51</v>
      </c>
      <c r="F1772" s="24" t="s">
        <v>1142</v>
      </c>
      <c r="G1772" s="24" t="s">
        <v>1203</v>
      </c>
      <c r="H1772" s="24" t="s">
        <v>326</v>
      </c>
      <c r="I1772" s="24" t="s">
        <v>1681</v>
      </c>
      <c r="J1772" s="24" t="s">
        <v>761</v>
      </c>
      <c r="K1772" s="24" t="s">
        <v>1146</v>
      </c>
      <c r="L1772" s="25">
        <v>1070</v>
      </c>
      <c r="M1772" s="26">
        <v>8.5</v>
      </c>
      <c r="N1772" s="27">
        <v>8.5</v>
      </c>
      <c r="O1772" s="28">
        <v>7.7272727272727276E-3</v>
      </c>
      <c r="P1772" s="28">
        <v>8.0486725663716818</v>
      </c>
    </row>
    <row r="1773" spans="1:16" x14ac:dyDescent="0.3">
      <c r="A1773" t="s">
        <v>4657</v>
      </c>
      <c r="B1773" s="24">
        <v>111550</v>
      </c>
      <c r="C1773" s="24" t="s">
        <v>1582</v>
      </c>
      <c r="D1773" s="24" t="s">
        <v>1102</v>
      </c>
      <c r="E1773" s="24" t="s">
        <v>51</v>
      </c>
      <c r="F1773" s="24" t="s">
        <v>1142</v>
      </c>
      <c r="G1773" s="24" t="s">
        <v>1402</v>
      </c>
      <c r="H1773" s="24" t="s">
        <v>326</v>
      </c>
      <c r="I1773" s="24" t="s">
        <v>1681</v>
      </c>
      <c r="J1773" s="24" t="s">
        <v>761</v>
      </c>
      <c r="K1773" s="24" t="s">
        <v>1146</v>
      </c>
      <c r="L1773" s="25">
        <v>1070</v>
      </c>
      <c r="M1773" s="26">
        <v>8.5</v>
      </c>
      <c r="N1773" s="27">
        <v>8.5</v>
      </c>
      <c r="O1773" s="28">
        <v>7.7272727272727276E-3</v>
      </c>
      <c r="P1773" s="28">
        <v>8.0486725663716818</v>
      </c>
    </row>
    <row r="1774" spans="1:16" x14ac:dyDescent="0.3">
      <c r="A1774" t="s">
        <v>4658</v>
      </c>
      <c r="B1774" s="24">
        <v>114163</v>
      </c>
      <c r="C1774" s="24" t="s">
        <v>1490</v>
      </c>
      <c r="D1774" s="24" t="s">
        <v>1102</v>
      </c>
      <c r="E1774" s="24" t="s">
        <v>51</v>
      </c>
      <c r="F1774" s="24" t="s">
        <v>1142</v>
      </c>
      <c r="G1774" s="24" t="s">
        <v>1203</v>
      </c>
      <c r="H1774" s="24" t="s">
        <v>326</v>
      </c>
      <c r="I1774" s="24" t="s">
        <v>1681</v>
      </c>
      <c r="J1774" s="24" t="s">
        <v>761</v>
      </c>
      <c r="K1774" s="24" t="s">
        <v>1146</v>
      </c>
      <c r="L1774" s="25">
        <v>1070</v>
      </c>
      <c r="M1774" s="26">
        <v>8.5</v>
      </c>
      <c r="N1774" s="27">
        <v>8.5</v>
      </c>
      <c r="O1774" s="28">
        <v>7.7272727272727276E-3</v>
      </c>
      <c r="P1774" s="28">
        <v>8.0486725663716818</v>
      </c>
    </row>
    <row r="1775" spans="1:16" x14ac:dyDescent="0.3">
      <c r="A1775" t="s">
        <v>4659</v>
      </c>
      <c r="B1775" s="24">
        <v>114501</v>
      </c>
      <c r="C1775" s="24" t="s">
        <v>1409</v>
      </c>
      <c r="D1775" s="24" t="s">
        <v>1102</v>
      </c>
      <c r="E1775" s="24" t="s">
        <v>51</v>
      </c>
      <c r="F1775" s="24" t="s">
        <v>1142</v>
      </c>
      <c r="G1775" s="24" t="s">
        <v>1402</v>
      </c>
      <c r="H1775" s="24" t="s">
        <v>326</v>
      </c>
      <c r="I1775" s="24" t="s">
        <v>1681</v>
      </c>
      <c r="J1775" s="24" t="s">
        <v>761</v>
      </c>
      <c r="K1775" s="24" t="s">
        <v>1146</v>
      </c>
      <c r="L1775" s="25">
        <v>1070</v>
      </c>
      <c r="M1775" s="26">
        <v>8.5</v>
      </c>
      <c r="N1775" s="27">
        <v>8.5</v>
      </c>
      <c r="O1775" s="28">
        <v>7.7272727272727276E-3</v>
      </c>
      <c r="P1775" s="28">
        <v>8.0486725663716818</v>
      </c>
    </row>
    <row r="1776" spans="1:16" x14ac:dyDescent="0.3">
      <c r="A1776" t="s">
        <v>4660</v>
      </c>
      <c r="B1776" s="24">
        <v>101424</v>
      </c>
      <c r="C1776" s="24" t="s">
        <v>1278</v>
      </c>
      <c r="D1776" s="24" t="s">
        <v>1102</v>
      </c>
      <c r="E1776" s="24" t="s">
        <v>51</v>
      </c>
      <c r="F1776" s="24" t="s">
        <v>1142</v>
      </c>
      <c r="G1776" s="24" t="s">
        <v>1203</v>
      </c>
      <c r="H1776" s="24" t="s">
        <v>2849</v>
      </c>
      <c r="I1776" s="24" t="s">
        <v>1682</v>
      </c>
      <c r="J1776" s="24" t="s">
        <v>761</v>
      </c>
      <c r="K1776" s="24" t="s">
        <v>1146</v>
      </c>
      <c r="L1776" s="25">
        <v>1070</v>
      </c>
      <c r="M1776" s="26">
        <v>8.5</v>
      </c>
      <c r="N1776" s="27">
        <v>8.5</v>
      </c>
      <c r="O1776" s="28">
        <v>7.7272727272727276E-3</v>
      </c>
      <c r="P1776" s="28">
        <v>8.0486725663716818</v>
      </c>
    </row>
    <row r="1777" spans="1:16" x14ac:dyDescent="0.3">
      <c r="A1777" t="s">
        <v>4661</v>
      </c>
      <c r="B1777" s="24">
        <v>100581</v>
      </c>
      <c r="C1777" s="24" t="s">
        <v>1232</v>
      </c>
      <c r="D1777" s="24" t="s">
        <v>1102</v>
      </c>
      <c r="E1777" s="24" t="s">
        <v>51</v>
      </c>
      <c r="F1777" s="24" t="s">
        <v>1142</v>
      </c>
      <c r="G1777" s="24" t="s">
        <v>1233</v>
      </c>
      <c r="H1777" s="24" t="s">
        <v>327</v>
      </c>
      <c r="I1777" s="24" t="s">
        <v>1683</v>
      </c>
      <c r="J1777" s="24" t="s">
        <v>761</v>
      </c>
      <c r="K1777" s="24" t="s">
        <v>1146</v>
      </c>
      <c r="L1777" s="25">
        <v>1070</v>
      </c>
      <c r="M1777" s="26">
        <v>23.5</v>
      </c>
      <c r="N1777" s="27">
        <v>23.5</v>
      </c>
      <c r="O1777" s="28">
        <v>2.1363636363636362E-2</v>
      </c>
      <c r="P1777" s="28">
        <v>22.252212389380531</v>
      </c>
    </row>
    <row r="1778" spans="1:16" x14ac:dyDescent="0.3">
      <c r="A1778" t="s">
        <v>4662</v>
      </c>
      <c r="B1778" s="24">
        <v>101186</v>
      </c>
      <c r="C1778" s="24" t="s">
        <v>1273</v>
      </c>
      <c r="D1778" s="24" t="s">
        <v>1102</v>
      </c>
      <c r="E1778" s="24" t="s">
        <v>51</v>
      </c>
      <c r="F1778" s="24" t="s">
        <v>1142</v>
      </c>
      <c r="G1778" s="24" t="s">
        <v>1203</v>
      </c>
      <c r="H1778" s="24" t="s">
        <v>327</v>
      </c>
      <c r="I1778" s="24" t="s">
        <v>1683</v>
      </c>
      <c r="J1778" s="24" t="s">
        <v>761</v>
      </c>
      <c r="K1778" s="24" t="s">
        <v>1146</v>
      </c>
      <c r="L1778" s="25">
        <v>1070</v>
      </c>
      <c r="M1778" s="26">
        <v>8.9</v>
      </c>
      <c r="N1778" s="27">
        <v>8.9</v>
      </c>
      <c r="O1778" s="28">
        <v>8.0909090909090913E-3</v>
      </c>
      <c r="P1778" s="28">
        <v>8.4274336283185836</v>
      </c>
    </row>
    <row r="1779" spans="1:16" x14ac:dyDescent="0.3">
      <c r="A1779" t="s">
        <v>4663</v>
      </c>
      <c r="B1779" s="24">
        <v>101424</v>
      </c>
      <c r="C1779" s="24" t="s">
        <v>1278</v>
      </c>
      <c r="D1779" s="24" t="s">
        <v>1102</v>
      </c>
      <c r="E1779" s="24" t="s">
        <v>51</v>
      </c>
      <c r="F1779" s="24" t="s">
        <v>1142</v>
      </c>
      <c r="G1779" s="24" t="s">
        <v>1203</v>
      </c>
      <c r="H1779" s="24" t="s">
        <v>2850</v>
      </c>
      <c r="I1779" s="24" t="s">
        <v>1684</v>
      </c>
      <c r="J1779" s="24" t="s">
        <v>761</v>
      </c>
      <c r="K1779" s="24" t="s">
        <v>1146</v>
      </c>
      <c r="L1779" s="25">
        <v>1070</v>
      </c>
      <c r="M1779" s="26">
        <v>24.75</v>
      </c>
      <c r="N1779" s="27">
        <v>24.75</v>
      </c>
      <c r="O1779" s="28">
        <v>2.2499999999999999E-2</v>
      </c>
      <c r="P1779" s="28">
        <v>23.435840707964601</v>
      </c>
    </row>
    <row r="1780" spans="1:16" x14ac:dyDescent="0.3">
      <c r="A1780" t="s">
        <v>4664</v>
      </c>
      <c r="B1780" s="24">
        <v>100581</v>
      </c>
      <c r="C1780" s="24" t="s">
        <v>1232</v>
      </c>
      <c r="D1780" s="24" t="s">
        <v>1102</v>
      </c>
      <c r="E1780" s="24" t="s">
        <v>51</v>
      </c>
      <c r="F1780" s="24" t="s">
        <v>1142</v>
      </c>
      <c r="G1780" s="24" t="s">
        <v>1233</v>
      </c>
      <c r="H1780" s="24" t="s">
        <v>142</v>
      </c>
      <c r="I1780" s="24" t="s">
        <v>1685</v>
      </c>
      <c r="J1780" s="24" t="s">
        <v>761</v>
      </c>
      <c r="K1780" s="24" t="s">
        <v>1146</v>
      </c>
      <c r="L1780" s="25">
        <v>1070</v>
      </c>
      <c r="M1780" s="26">
        <v>11.56</v>
      </c>
      <c r="N1780" s="27">
        <v>11.56</v>
      </c>
      <c r="O1780" s="28">
        <v>1.0509090909090909E-2</v>
      </c>
      <c r="P1780" s="28">
        <v>10.946194690265488</v>
      </c>
    </row>
    <row r="1781" spans="1:16" x14ac:dyDescent="0.3">
      <c r="A1781" t="s">
        <v>4665</v>
      </c>
      <c r="B1781" s="24">
        <v>101186</v>
      </c>
      <c r="C1781" s="24" t="s">
        <v>1273</v>
      </c>
      <c r="D1781" s="24" t="s">
        <v>1102</v>
      </c>
      <c r="E1781" s="24" t="s">
        <v>51</v>
      </c>
      <c r="F1781" s="24" t="s">
        <v>1142</v>
      </c>
      <c r="G1781" s="24" t="s">
        <v>1203</v>
      </c>
      <c r="H1781" s="24" t="s">
        <v>142</v>
      </c>
      <c r="I1781" s="24" t="s">
        <v>1685</v>
      </c>
      <c r="J1781" s="24" t="s">
        <v>761</v>
      </c>
      <c r="K1781" s="24" t="s">
        <v>1146</v>
      </c>
      <c r="L1781" s="25">
        <v>1070</v>
      </c>
      <c r="M1781" s="26">
        <v>11.56</v>
      </c>
      <c r="N1781" s="27">
        <v>11.56</v>
      </c>
      <c r="O1781" s="28">
        <v>1.0509090909090909E-2</v>
      </c>
      <c r="P1781" s="28">
        <v>10.946194690265488</v>
      </c>
    </row>
    <row r="1782" spans="1:16" x14ac:dyDescent="0.3">
      <c r="A1782" t="s">
        <v>4666</v>
      </c>
      <c r="B1782" s="24">
        <v>101206</v>
      </c>
      <c r="C1782" s="24" t="s">
        <v>1199</v>
      </c>
      <c r="D1782" s="24" t="s">
        <v>1102</v>
      </c>
      <c r="E1782" s="24" t="s">
        <v>51</v>
      </c>
      <c r="F1782" s="24" t="s">
        <v>1142</v>
      </c>
      <c r="G1782" s="24" t="s">
        <v>1200</v>
      </c>
      <c r="H1782" s="24" t="s">
        <v>142</v>
      </c>
      <c r="I1782" s="24" t="s">
        <v>1685</v>
      </c>
      <c r="J1782" s="24" t="s">
        <v>761</v>
      </c>
      <c r="K1782" s="24" t="s">
        <v>1146</v>
      </c>
      <c r="L1782" s="25">
        <v>1070</v>
      </c>
      <c r="M1782" s="26">
        <v>11.56</v>
      </c>
      <c r="N1782" s="27">
        <v>11.56</v>
      </c>
      <c r="O1782" s="28">
        <v>1.0509090909090909E-2</v>
      </c>
      <c r="P1782" s="28">
        <v>10.946194690265488</v>
      </c>
    </row>
    <row r="1783" spans="1:16" x14ac:dyDescent="0.3">
      <c r="A1783" t="s">
        <v>4667</v>
      </c>
      <c r="B1783" s="24">
        <v>106916</v>
      </c>
      <c r="C1783" s="24" t="s">
        <v>1216</v>
      </c>
      <c r="D1783" s="24" t="s">
        <v>1102</v>
      </c>
      <c r="E1783" s="24" t="s">
        <v>51</v>
      </c>
      <c r="F1783" s="24" t="s">
        <v>1142</v>
      </c>
      <c r="G1783" s="24" t="s">
        <v>1203</v>
      </c>
      <c r="H1783" s="24" t="s">
        <v>142</v>
      </c>
      <c r="I1783" s="24" t="s">
        <v>1685</v>
      </c>
      <c r="J1783" s="24" t="s">
        <v>761</v>
      </c>
      <c r="K1783" s="24" t="s">
        <v>1146</v>
      </c>
      <c r="L1783" s="25">
        <v>1070</v>
      </c>
      <c r="M1783" s="26">
        <v>11.56</v>
      </c>
      <c r="N1783" s="27">
        <v>11.56</v>
      </c>
      <c r="O1783" s="28">
        <v>1.0509090909090909E-2</v>
      </c>
      <c r="P1783" s="28">
        <v>10.946194690265488</v>
      </c>
    </row>
    <row r="1784" spans="1:16" x14ac:dyDescent="0.3">
      <c r="A1784" t="s">
        <v>4668</v>
      </c>
      <c r="B1784" s="24">
        <v>100581</v>
      </c>
      <c r="C1784" s="24" t="s">
        <v>1232</v>
      </c>
      <c r="D1784" s="24" t="s">
        <v>1102</v>
      </c>
      <c r="E1784" s="24" t="s">
        <v>51</v>
      </c>
      <c r="F1784" s="24" t="s">
        <v>1142</v>
      </c>
      <c r="G1784" s="24" t="s">
        <v>1233</v>
      </c>
      <c r="H1784" s="24" t="s">
        <v>203</v>
      </c>
      <c r="I1784" s="24" t="s">
        <v>1686</v>
      </c>
      <c r="J1784" s="24" t="s">
        <v>761</v>
      </c>
      <c r="K1784" s="24" t="s">
        <v>1146</v>
      </c>
      <c r="L1784" s="25">
        <v>1070</v>
      </c>
      <c r="M1784" s="26">
        <v>8.4600000000000009</v>
      </c>
      <c r="N1784" s="27">
        <v>8.4600000000000009</v>
      </c>
      <c r="O1784" s="28">
        <v>7.690909090909092E-3</v>
      </c>
      <c r="P1784" s="28">
        <v>8.0107964601769925</v>
      </c>
    </row>
    <row r="1785" spans="1:16" x14ac:dyDescent="0.3">
      <c r="A1785" t="s">
        <v>4669</v>
      </c>
      <c r="B1785" s="24">
        <v>101184</v>
      </c>
      <c r="C1785" s="24" t="s">
        <v>1401</v>
      </c>
      <c r="D1785" s="24" t="s">
        <v>1102</v>
      </c>
      <c r="E1785" s="24" t="s">
        <v>51</v>
      </c>
      <c r="F1785" s="24" t="s">
        <v>1142</v>
      </c>
      <c r="G1785" s="24" t="s">
        <v>1402</v>
      </c>
      <c r="H1785" s="24" t="s">
        <v>203</v>
      </c>
      <c r="I1785" s="24" t="s">
        <v>1686</v>
      </c>
      <c r="J1785" s="24" t="s">
        <v>761</v>
      </c>
      <c r="K1785" s="24" t="s">
        <v>1146</v>
      </c>
      <c r="L1785" s="25">
        <v>1070</v>
      </c>
      <c r="M1785" s="26">
        <v>8.4600000000000009</v>
      </c>
      <c r="N1785" s="27">
        <v>8.4600000000000009</v>
      </c>
      <c r="O1785" s="28">
        <v>7.690909090909092E-3</v>
      </c>
      <c r="P1785" s="28">
        <v>8.0107964601769925</v>
      </c>
    </row>
    <row r="1786" spans="1:16" x14ac:dyDescent="0.3">
      <c r="A1786" t="s">
        <v>4670</v>
      </c>
      <c r="B1786" s="24">
        <v>101186</v>
      </c>
      <c r="C1786" s="24" t="s">
        <v>1273</v>
      </c>
      <c r="D1786" s="24" t="s">
        <v>1102</v>
      </c>
      <c r="E1786" s="24" t="s">
        <v>51</v>
      </c>
      <c r="F1786" s="24" t="s">
        <v>1142</v>
      </c>
      <c r="G1786" s="24" t="s">
        <v>1203</v>
      </c>
      <c r="H1786" s="24" t="s">
        <v>203</v>
      </c>
      <c r="I1786" s="24" t="s">
        <v>1686</v>
      </c>
      <c r="J1786" s="24" t="s">
        <v>761</v>
      </c>
      <c r="K1786" s="24" t="s">
        <v>1146</v>
      </c>
      <c r="L1786" s="25">
        <v>1070</v>
      </c>
      <c r="M1786" s="26">
        <v>8.4600000000000009</v>
      </c>
      <c r="N1786" s="27">
        <v>8.4600000000000009</v>
      </c>
      <c r="O1786" s="28">
        <v>7.690909090909092E-3</v>
      </c>
      <c r="P1786" s="28">
        <v>8.0107964601769925</v>
      </c>
    </row>
    <row r="1787" spans="1:16" x14ac:dyDescent="0.3">
      <c r="A1787" t="s">
        <v>4671</v>
      </c>
      <c r="B1787" s="24">
        <v>101206</v>
      </c>
      <c r="C1787" s="24" t="s">
        <v>1199</v>
      </c>
      <c r="D1787" s="24" t="s">
        <v>1102</v>
      </c>
      <c r="E1787" s="24" t="s">
        <v>51</v>
      </c>
      <c r="F1787" s="24" t="s">
        <v>1142</v>
      </c>
      <c r="G1787" s="24" t="s">
        <v>1200</v>
      </c>
      <c r="H1787" s="24" t="s">
        <v>203</v>
      </c>
      <c r="I1787" s="24" t="s">
        <v>1686</v>
      </c>
      <c r="J1787" s="24" t="s">
        <v>761</v>
      </c>
      <c r="K1787" s="24" t="s">
        <v>1146</v>
      </c>
      <c r="L1787" s="25">
        <v>1070</v>
      </c>
      <c r="M1787" s="26">
        <v>8.4600000000000009</v>
      </c>
      <c r="N1787" s="27">
        <v>8.4600000000000009</v>
      </c>
      <c r="O1787" s="28">
        <v>7.690909090909092E-3</v>
      </c>
      <c r="P1787" s="28">
        <v>8.0107964601769925</v>
      </c>
    </row>
    <row r="1788" spans="1:16" x14ac:dyDescent="0.3">
      <c r="A1788" t="s">
        <v>4672</v>
      </c>
      <c r="B1788" s="24">
        <v>114501</v>
      </c>
      <c r="C1788" s="24" t="s">
        <v>1409</v>
      </c>
      <c r="D1788" s="24" t="s">
        <v>1102</v>
      </c>
      <c r="E1788" s="24" t="s">
        <v>51</v>
      </c>
      <c r="F1788" s="24" t="s">
        <v>1142</v>
      </c>
      <c r="G1788" s="24" t="s">
        <v>1402</v>
      </c>
      <c r="H1788" s="24" t="s">
        <v>203</v>
      </c>
      <c r="I1788" s="24" t="s">
        <v>1686</v>
      </c>
      <c r="J1788" s="24" t="s">
        <v>761</v>
      </c>
      <c r="K1788" s="24" t="s">
        <v>1146</v>
      </c>
      <c r="L1788" s="25">
        <v>1070</v>
      </c>
      <c r="M1788" s="26">
        <v>8.4600000000000009</v>
      </c>
      <c r="N1788" s="27">
        <v>8.4600000000000009</v>
      </c>
      <c r="O1788" s="28">
        <v>7.690909090909092E-3</v>
      </c>
      <c r="P1788" s="28">
        <v>8.0107964601769925</v>
      </c>
    </row>
    <row r="1789" spans="1:16" x14ac:dyDescent="0.3">
      <c r="A1789" t="s">
        <v>4673</v>
      </c>
      <c r="B1789" s="24">
        <v>101186</v>
      </c>
      <c r="C1789" s="24" t="s">
        <v>1273</v>
      </c>
      <c r="D1789" s="24" t="s">
        <v>1102</v>
      </c>
      <c r="E1789" s="24" t="s">
        <v>51</v>
      </c>
      <c r="F1789" s="24" t="s">
        <v>1142</v>
      </c>
      <c r="G1789" s="24" t="s">
        <v>1203</v>
      </c>
      <c r="H1789" s="24" t="s">
        <v>208</v>
      </c>
      <c r="I1789" s="24" t="s">
        <v>1687</v>
      </c>
      <c r="J1789" s="24" t="s">
        <v>761</v>
      </c>
      <c r="K1789" s="24" t="s">
        <v>1146</v>
      </c>
      <c r="L1789" s="25">
        <v>1070</v>
      </c>
      <c r="M1789" s="26">
        <v>11.12</v>
      </c>
      <c r="N1789" s="27">
        <v>11.12</v>
      </c>
      <c r="O1789" s="28">
        <v>1.0109090909090908E-2</v>
      </c>
      <c r="P1789" s="28">
        <v>10.529557522123893</v>
      </c>
    </row>
    <row r="1790" spans="1:16" x14ac:dyDescent="0.3">
      <c r="A1790" t="s">
        <v>4674</v>
      </c>
      <c r="B1790" s="24">
        <v>101424</v>
      </c>
      <c r="C1790" s="24" t="s">
        <v>1278</v>
      </c>
      <c r="D1790" s="24" t="s">
        <v>1102</v>
      </c>
      <c r="E1790" s="24" t="s">
        <v>51</v>
      </c>
      <c r="F1790" s="24" t="s">
        <v>1142</v>
      </c>
      <c r="G1790" s="24" t="s">
        <v>1203</v>
      </c>
      <c r="H1790" s="24" t="s">
        <v>208</v>
      </c>
      <c r="I1790" s="24" t="s">
        <v>1687</v>
      </c>
      <c r="J1790" s="24" t="s">
        <v>761</v>
      </c>
      <c r="K1790" s="24" t="s">
        <v>1146</v>
      </c>
      <c r="L1790" s="25">
        <v>1070</v>
      </c>
      <c r="M1790" s="26">
        <v>11.12</v>
      </c>
      <c r="N1790" s="27">
        <v>11.12</v>
      </c>
      <c r="O1790" s="28">
        <v>1.0109090909090908E-2</v>
      </c>
      <c r="P1790" s="28">
        <v>10.529557522123893</v>
      </c>
    </row>
    <row r="1791" spans="1:16" x14ac:dyDescent="0.3">
      <c r="A1791" t="s">
        <v>4675</v>
      </c>
      <c r="B1791" s="24">
        <v>106916</v>
      </c>
      <c r="C1791" s="24" t="s">
        <v>1216</v>
      </c>
      <c r="D1791" s="24" t="s">
        <v>1102</v>
      </c>
      <c r="E1791" s="24" t="s">
        <v>51</v>
      </c>
      <c r="F1791" s="24" t="s">
        <v>1142</v>
      </c>
      <c r="G1791" s="24" t="s">
        <v>1203</v>
      </c>
      <c r="H1791" s="24" t="s">
        <v>208</v>
      </c>
      <c r="I1791" s="24" t="s">
        <v>1687</v>
      </c>
      <c r="J1791" s="24" t="s">
        <v>761</v>
      </c>
      <c r="K1791" s="24" t="s">
        <v>1146</v>
      </c>
      <c r="L1791" s="25">
        <v>1070</v>
      </c>
      <c r="M1791" s="26">
        <v>11.12</v>
      </c>
      <c r="N1791" s="27">
        <v>11.12</v>
      </c>
      <c r="O1791" s="28">
        <v>1.0109090909090908E-2</v>
      </c>
      <c r="P1791" s="28">
        <v>10.529557522123893</v>
      </c>
    </row>
    <row r="1792" spans="1:16" x14ac:dyDescent="0.3">
      <c r="A1792" t="s">
        <v>4676</v>
      </c>
      <c r="B1792" s="24">
        <v>111550</v>
      </c>
      <c r="C1792" s="24" t="s">
        <v>1582</v>
      </c>
      <c r="D1792" s="24" t="s">
        <v>1102</v>
      </c>
      <c r="E1792" s="24" t="s">
        <v>51</v>
      </c>
      <c r="F1792" s="24" t="s">
        <v>1142</v>
      </c>
      <c r="G1792" s="24" t="s">
        <v>1402</v>
      </c>
      <c r="H1792" s="24" t="s">
        <v>208</v>
      </c>
      <c r="I1792" s="24" t="s">
        <v>1687</v>
      </c>
      <c r="J1792" s="24" t="s">
        <v>761</v>
      </c>
      <c r="K1792" s="24" t="s">
        <v>1146</v>
      </c>
      <c r="L1792" s="25">
        <v>1070</v>
      </c>
      <c r="M1792" s="26">
        <v>11.12</v>
      </c>
      <c r="N1792" s="27">
        <v>11.12</v>
      </c>
      <c r="O1792" s="28">
        <v>1.0109090909090908E-2</v>
      </c>
      <c r="P1792" s="28">
        <v>10.529557522123893</v>
      </c>
    </row>
    <row r="1793" spans="1:16" x14ac:dyDescent="0.3">
      <c r="A1793" t="s">
        <v>4677</v>
      </c>
      <c r="B1793" s="24">
        <v>114501</v>
      </c>
      <c r="C1793" s="24" t="s">
        <v>1409</v>
      </c>
      <c r="D1793" s="24" t="s">
        <v>1102</v>
      </c>
      <c r="E1793" s="24" t="s">
        <v>51</v>
      </c>
      <c r="F1793" s="24" t="s">
        <v>1142</v>
      </c>
      <c r="G1793" s="24" t="s">
        <v>1402</v>
      </c>
      <c r="H1793" s="24" t="s">
        <v>208</v>
      </c>
      <c r="I1793" s="24" t="s">
        <v>1687</v>
      </c>
      <c r="J1793" s="24" t="s">
        <v>761</v>
      </c>
      <c r="K1793" s="24" t="s">
        <v>1146</v>
      </c>
      <c r="L1793" s="25">
        <v>1070</v>
      </c>
      <c r="M1793" s="26">
        <v>11.12</v>
      </c>
      <c r="N1793" s="27">
        <v>11.12</v>
      </c>
      <c r="O1793" s="28">
        <v>1.0109090909090908E-2</v>
      </c>
      <c r="P1793" s="28">
        <v>10.529557522123893</v>
      </c>
    </row>
    <row r="1794" spans="1:16" x14ac:dyDescent="0.3">
      <c r="A1794" t="s">
        <v>4678</v>
      </c>
      <c r="B1794" s="24">
        <v>101424</v>
      </c>
      <c r="C1794" s="24" t="s">
        <v>1278</v>
      </c>
      <c r="D1794" s="24" t="s">
        <v>1102</v>
      </c>
      <c r="E1794" s="24" t="s">
        <v>51</v>
      </c>
      <c r="F1794" s="24" t="s">
        <v>1142</v>
      </c>
      <c r="G1794" s="24" t="s">
        <v>1203</v>
      </c>
      <c r="H1794" s="24" t="s">
        <v>121</v>
      </c>
      <c r="I1794" s="24" t="s">
        <v>1688</v>
      </c>
      <c r="J1794" s="24" t="s">
        <v>761</v>
      </c>
      <c r="K1794" s="24" t="s">
        <v>1146</v>
      </c>
      <c r="L1794" s="25">
        <v>1070</v>
      </c>
      <c r="M1794" s="26">
        <v>11.69</v>
      </c>
      <c r="N1794" s="27">
        <v>11.69</v>
      </c>
      <c r="O1794" s="28">
        <v>1.0627272727272727E-2</v>
      </c>
      <c r="P1794" s="28">
        <v>11.069292035398229</v>
      </c>
    </row>
    <row r="1795" spans="1:16" x14ac:dyDescent="0.3">
      <c r="A1795" t="s">
        <v>4679</v>
      </c>
      <c r="B1795" s="24">
        <v>100581</v>
      </c>
      <c r="C1795" s="24" t="s">
        <v>1232</v>
      </c>
      <c r="D1795" s="24" t="s">
        <v>1102</v>
      </c>
      <c r="E1795" s="24" t="s">
        <v>51</v>
      </c>
      <c r="F1795" s="24" t="s">
        <v>1142</v>
      </c>
      <c r="G1795" s="24" t="s">
        <v>1233</v>
      </c>
      <c r="H1795" s="24" t="s">
        <v>209</v>
      </c>
      <c r="I1795" s="24" t="s">
        <v>1689</v>
      </c>
      <c r="J1795" s="24" t="s">
        <v>761</v>
      </c>
      <c r="K1795" s="24" t="s">
        <v>1146</v>
      </c>
      <c r="L1795" s="25">
        <v>1070</v>
      </c>
      <c r="M1795" s="26">
        <v>8.74</v>
      </c>
      <c r="N1795" s="27">
        <v>8.74</v>
      </c>
      <c r="O1795" s="28">
        <v>7.9454545454545455E-3</v>
      </c>
      <c r="P1795" s="28">
        <v>8.2759292035398246</v>
      </c>
    </row>
    <row r="1796" spans="1:16" x14ac:dyDescent="0.3">
      <c r="A1796" t="s">
        <v>4680</v>
      </c>
      <c r="B1796" s="24">
        <v>100603</v>
      </c>
      <c r="C1796" s="24" t="s">
        <v>1277</v>
      </c>
      <c r="D1796" s="24" t="s">
        <v>1102</v>
      </c>
      <c r="E1796" s="24" t="s">
        <v>51</v>
      </c>
      <c r="F1796" s="24" t="s">
        <v>1142</v>
      </c>
      <c r="G1796" s="24" t="s">
        <v>1082</v>
      </c>
      <c r="H1796" s="24" t="s">
        <v>209</v>
      </c>
      <c r="I1796" s="24" t="s">
        <v>1689</v>
      </c>
      <c r="J1796" s="24" t="s">
        <v>761</v>
      </c>
      <c r="K1796" s="24" t="s">
        <v>1146</v>
      </c>
      <c r="L1796" s="25">
        <v>1070</v>
      </c>
      <c r="M1796" s="26">
        <v>8.74</v>
      </c>
      <c r="N1796" s="27">
        <v>8.74</v>
      </c>
      <c r="O1796" s="28">
        <v>7.9454545454545455E-3</v>
      </c>
      <c r="P1796" s="28">
        <v>8.2759292035398246</v>
      </c>
    </row>
    <row r="1797" spans="1:16" x14ac:dyDescent="0.3">
      <c r="A1797" t="s">
        <v>4681</v>
      </c>
      <c r="B1797" s="24">
        <v>101184</v>
      </c>
      <c r="C1797" s="24" t="s">
        <v>1401</v>
      </c>
      <c r="D1797" s="24" t="s">
        <v>1102</v>
      </c>
      <c r="E1797" s="24" t="s">
        <v>51</v>
      </c>
      <c r="F1797" s="24" t="s">
        <v>1142</v>
      </c>
      <c r="G1797" s="24" t="s">
        <v>1402</v>
      </c>
      <c r="H1797" s="24" t="s">
        <v>209</v>
      </c>
      <c r="I1797" s="24" t="s">
        <v>1689</v>
      </c>
      <c r="J1797" s="24" t="s">
        <v>761</v>
      </c>
      <c r="K1797" s="24" t="s">
        <v>1146</v>
      </c>
      <c r="L1797" s="25">
        <v>1070</v>
      </c>
      <c r="M1797" s="26">
        <v>8.74</v>
      </c>
      <c r="N1797" s="27">
        <v>8.74</v>
      </c>
      <c r="O1797" s="28">
        <v>7.9454545454545455E-3</v>
      </c>
      <c r="P1797" s="28">
        <v>8.2759292035398246</v>
      </c>
    </row>
    <row r="1798" spans="1:16" x14ac:dyDescent="0.3">
      <c r="A1798" t="s">
        <v>4682</v>
      </c>
      <c r="B1798" s="24">
        <v>101186</v>
      </c>
      <c r="C1798" s="24" t="s">
        <v>1273</v>
      </c>
      <c r="D1798" s="24" t="s">
        <v>1102</v>
      </c>
      <c r="E1798" s="24" t="s">
        <v>51</v>
      </c>
      <c r="F1798" s="24" t="s">
        <v>1142</v>
      </c>
      <c r="G1798" s="24" t="s">
        <v>1203</v>
      </c>
      <c r="H1798" s="24" t="s">
        <v>209</v>
      </c>
      <c r="I1798" s="24" t="s">
        <v>1689</v>
      </c>
      <c r="J1798" s="24" t="s">
        <v>761</v>
      </c>
      <c r="K1798" s="24" t="s">
        <v>1146</v>
      </c>
      <c r="L1798" s="25">
        <v>1070</v>
      </c>
      <c r="M1798" s="26">
        <v>8.74</v>
      </c>
      <c r="N1798" s="27">
        <v>8.74</v>
      </c>
      <c r="O1798" s="28">
        <v>7.9454545454545455E-3</v>
      </c>
      <c r="P1798" s="28">
        <v>8.2759292035398246</v>
      </c>
    </row>
    <row r="1799" spans="1:16" x14ac:dyDescent="0.3">
      <c r="A1799" t="s">
        <v>4683</v>
      </c>
      <c r="B1799" s="24">
        <v>101206</v>
      </c>
      <c r="C1799" s="24" t="s">
        <v>1199</v>
      </c>
      <c r="D1799" s="24" t="s">
        <v>1102</v>
      </c>
      <c r="E1799" s="24" t="s">
        <v>51</v>
      </c>
      <c r="F1799" s="24" t="s">
        <v>1142</v>
      </c>
      <c r="G1799" s="24" t="s">
        <v>1200</v>
      </c>
      <c r="H1799" s="24" t="s">
        <v>209</v>
      </c>
      <c r="I1799" s="24" t="s">
        <v>1689</v>
      </c>
      <c r="J1799" s="24" t="s">
        <v>761</v>
      </c>
      <c r="K1799" s="24" t="s">
        <v>1146</v>
      </c>
      <c r="L1799" s="25">
        <v>1070</v>
      </c>
      <c r="M1799" s="26">
        <v>8.74</v>
      </c>
      <c r="N1799" s="27">
        <v>8.74</v>
      </c>
      <c r="O1799" s="28">
        <v>7.9454545454545455E-3</v>
      </c>
      <c r="P1799" s="28">
        <v>8.2759292035398246</v>
      </c>
    </row>
    <row r="1800" spans="1:16" x14ac:dyDescent="0.3">
      <c r="A1800" t="s">
        <v>4684</v>
      </c>
      <c r="B1800" s="24">
        <v>101424</v>
      </c>
      <c r="C1800" s="24" t="s">
        <v>1278</v>
      </c>
      <c r="D1800" s="24" t="s">
        <v>1102</v>
      </c>
      <c r="E1800" s="24" t="s">
        <v>51</v>
      </c>
      <c r="F1800" s="24" t="s">
        <v>1142</v>
      </c>
      <c r="G1800" s="24" t="s">
        <v>1203</v>
      </c>
      <c r="H1800" s="24" t="s">
        <v>209</v>
      </c>
      <c r="I1800" s="24" t="s">
        <v>1689</v>
      </c>
      <c r="J1800" s="24" t="s">
        <v>761</v>
      </c>
      <c r="K1800" s="24" t="s">
        <v>1146</v>
      </c>
      <c r="L1800" s="25">
        <v>1070</v>
      </c>
      <c r="M1800" s="26">
        <v>8.74</v>
      </c>
      <c r="N1800" s="27">
        <v>8.74</v>
      </c>
      <c r="O1800" s="28">
        <v>7.9454545454545455E-3</v>
      </c>
      <c r="P1800" s="28">
        <v>8.2759292035398246</v>
      </c>
    </row>
    <row r="1801" spans="1:16" x14ac:dyDescent="0.3">
      <c r="A1801" t="s">
        <v>4685</v>
      </c>
      <c r="B1801" s="24">
        <v>111550</v>
      </c>
      <c r="C1801" s="24" t="s">
        <v>1582</v>
      </c>
      <c r="D1801" s="24" t="s">
        <v>1102</v>
      </c>
      <c r="E1801" s="24" t="s">
        <v>51</v>
      </c>
      <c r="F1801" s="24" t="s">
        <v>1142</v>
      </c>
      <c r="G1801" s="24" t="s">
        <v>1402</v>
      </c>
      <c r="H1801" s="24" t="s">
        <v>209</v>
      </c>
      <c r="I1801" s="24" t="s">
        <v>1689</v>
      </c>
      <c r="J1801" s="24" t="s">
        <v>761</v>
      </c>
      <c r="K1801" s="24" t="s">
        <v>1146</v>
      </c>
      <c r="L1801" s="25">
        <v>1070</v>
      </c>
      <c r="M1801" s="26">
        <v>8.74</v>
      </c>
      <c r="N1801" s="27">
        <v>8.74</v>
      </c>
      <c r="O1801" s="28">
        <v>7.9454545454545455E-3</v>
      </c>
      <c r="P1801" s="28">
        <v>8.2759292035398246</v>
      </c>
    </row>
    <row r="1802" spans="1:16" x14ac:dyDescent="0.3">
      <c r="A1802" t="s">
        <v>4686</v>
      </c>
      <c r="B1802" s="24">
        <v>114501</v>
      </c>
      <c r="C1802" s="24" t="s">
        <v>1409</v>
      </c>
      <c r="D1802" s="24" t="s">
        <v>1102</v>
      </c>
      <c r="E1802" s="24" t="s">
        <v>51</v>
      </c>
      <c r="F1802" s="24" t="s">
        <v>1142</v>
      </c>
      <c r="G1802" s="24" t="s">
        <v>1402</v>
      </c>
      <c r="H1802" s="24" t="s">
        <v>209</v>
      </c>
      <c r="I1802" s="24" t="s">
        <v>1689</v>
      </c>
      <c r="J1802" s="24" t="s">
        <v>761</v>
      </c>
      <c r="K1802" s="24" t="s">
        <v>1146</v>
      </c>
      <c r="L1802" s="25">
        <v>1070</v>
      </c>
      <c r="M1802" s="26">
        <v>8.74</v>
      </c>
      <c r="N1802" s="27">
        <v>8.74</v>
      </c>
      <c r="O1802" s="28">
        <v>7.9454545454545455E-3</v>
      </c>
      <c r="P1802" s="28">
        <v>8.2759292035398246</v>
      </c>
    </row>
    <row r="1803" spans="1:16" x14ac:dyDescent="0.3">
      <c r="A1803" t="s">
        <v>4687</v>
      </c>
      <c r="B1803" s="24">
        <v>101184</v>
      </c>
      <c r="C1803" s="24" t="s">
        <v>1401</v>
      </c>
      <c r="D1803" s="24" t="s">
        <v>1102</v>
      </c>
      <c r="E1803" s="24" t="s">
        <v>51</v>
      </c>
      <c r="F1803" s="24" t="s">
        <v>1142</v>
      </c>
      <c r="G1803" s="24" t="s">
        <v>1402</v>
      </c>
      <c r="H1803" s="24" t="s">
        <v>1690</v>
      </c>
      <c r="I1803" s="24" t="s">
        <v>1691</v>
      </c>
      <c r="J1803" s="24" t="s">
        <v>761</v>
      </c>
      <c r="K1803" s="24" t="s">
        <v>1146</v>
      </c>
      <c r="L1803" s="25">
        <v>1070</v>
      </c>
      <c r="M1803" s="26">
        <v>17.940000000000001</v>
      </c>
      <c r="N1803" s="27">
        <v>17.940000000000001</v>
      </c>
      <c r="O1803" s="28">
        <v>1.6309090909090912E-2</v>
      </c>
      <c r="P1803" s="28">
        <v>16.987433628318588</v>
      </c>
    </row>
    <row r="1804" spans="1:16" x14ac:dyDescent="0.3">
      <c r="A1804" t="s">
        <v>4688</v>
      </c>
      <c r="B1804" s="24">
        <v>114501</v>
      </c>
      <c r="C1804" s="24" t="s">
        <v>1409</v>
      </c>
      <c r="D1804" s="24" t="s">
        <v>1102</v>
      </c>
      <c r="E1804" s="24" t="s">
        <v>51</v>
      </c>
      <c r="F1804" s="24" t="s">
        <v>1142</v>
      </c>
      <c r="G1804" s="24" t="s">
        <v>1402</v>
      </c>
      <c r="H1804" s="24" t="s">
        <v>1690</v>
      </c>
      <c r="I1804" s="24" t="s">
        <v>1691</v>
      </c>
      <c r="J1804" s="24" t="s">
        <v>761</v>
      </c>
      <c r="K1804" s="24" t="s">
        <v>1146</v>
      </c>
      <c r="L1804" s="25">
        <v>1070</v>
      </c>
      <c r="M1804" s="26">
        <v>17.940000000000001</v>
      </c>
      <c r="N1804" s="27">
        <v>17.940000000000001</v>
      </c>
      <c r="O1804" s="28">
        <v>1.6309090909090912E-2</v>
      </c>
      <c r="P1804" s="28">
        <v>16.987433628318588</v>
      </c>
    </row>
    <row r="1805" spans="1:16" x14ac:dyDescent="0.3">
      <c r="A1805" t="s">
        <v>4689</v>
      </c>
      <c r="B1805" s="24">
        <v>101424</v>
      </c>
      <c r="C1805" s="24" t="s">
        <v>1278</v>
      </c>
      <c r="D1805" s="24" t="s">
        <v>1102</v>
      </c>
      <c r="E1805" s="24" t="s">
        <v>51</v>
      </c>
      <c r="F1805" s="24" t="s">
        <v>1142</v>
      </c>
      <c r="G1805" s="24" t="s">
        <v>1203</v>
      </c>
      <c r="H1805" s="24" t="s">
        <v>237</v>
      </c>
      <c r="I1805" s="24" t="s">
        <v>1692</v>
      </c>
      <c r="J1805" s="24" t="s">
        <v>761</v>
      </c>
      <c r="K1805" s="24" t="s">
        <v>1146</v>
      </c>
      <c r="L1805" s="25">
        <v>1070</v>
      </c>
      <c r="M1805" s="26">
        <v>14.6</v>
      </c>
      <c r="N1805" s="27">
        <v>14.6</v>
      </c>
      <c r="O1805" s="28">
        <v>1.3272727272727273E-2</v>
      </c>
      <c r="P1805" s="28">
        <v>13.824778761061946</v>
      </c>
    </row>
    <row r="1806" spans="1:16" x14ac:dyDescent="0.3">
      <c r="A1806" t="s">
        <v>4690</v>
      </c>
      <c r="B1806" s="24">
        <v>106916</v>
      </c>
      <c r="C1806" s="24" t="s">
        <v>1216</v>
      </c>
      <c r="D1806" s="24" t="s">
        <v>1102</v>
      </c>
      <c r="E1806" s="24" t="s">
        <v>51</v>
      </c>
      <c r="F1806" s="24" t="s">
        <v>1142</v>
      </c>
      <c r="G1806" s="24" t="s">
        <v>1203</v>
      </c>
      <c r="H1806" s="24" t="s">
        <v>237</v>
      </c>
      <c r="I1806" s="24" t="s">
        <v>1692</v>
      </c>
      <c r="J1806" s="24" t="s">
        <v>761</v>
      </c>
      <c r="K1806" s="24" t="s">
        <v>1146</v>
      </c>
      <c r="L1806" s="25">
        <v>1070</v>
      </c>
      <c r="M1806" s="26">
        <v>14.6</v>
      </c>
      <c r="N1806" s="27">
        <v>14.6</v>
      </c>
      <c r="O1806" s="28">
        <v>1.3272727272727273E-2</v>
      </c>
      <c r="P1806" s="28">
        <v>13.824778761061946</v>
      </c>
    </row>
    <row r="1807" spans="1:16" x14ac:dyDescent="0.3">
      <c r="A1807" t="s">
        <v>4691</v>
      </c>
      <c r="B1807" s="24">
        <v>101186</v>
      </c>
      <c r="C1807" s="24" t="s">
        <v>1273</v>
      </c>
      <c r="D1807" s="24" t="s">
        <v>1102</v>
      </c>
      <c r="E1807" s="24" t="s">
        <v>51</v>
      </c>
      <c r="F1807" s="24" t="s">
        <v>1142</v>
      </c>
      <c r="G1807" s="24" t="s">
        <v>1203</v>
      </c>
      <c r="H1807" s="24" t="s">
        <v>109</v>
      </c>
      <c r="I1807" s="24" t="s">
        <v>1693</v>
      </c>
      <c r="J1807" s="24" t="s">
        <v>761</v>
      </c>
      <c r="K1807" s="24" t="s">
        <v>1146</v>
      </c>
      <c r="L1807" s="25">
        <v>1070</v>
      </c>
      <c r="M1807" s="26">
        <v>24.5</v>
      </c>
      <c r="N1807" s="27">
        <v>24.5</v>
      </c>
      <c r="O1807" s="28">
        <v>2.2272727272727274E-2</v>
      </c>
      <c r="P1807" s="28">
        <v>23.199115044247787</v>
      </c>
    </row>
    <row r="1808" spans="1:16" x14ac:dyDescent="0.3">
      <c r="A1808" t="s">
        <v>4692</v>
      </c>
      <c r="B1808" s="24">
        <v>101206</v>
      </c>
      <c r="C1808" s="24" t="s">
        <v>1199</v>
      </c>
      <c r="D1808" s="24" t="s">
        <v>1102</v>
      </c>
      <c r="E1808" s="24" t="s">
        <v>51</v>
      </c>
      <c r="F1808" s="24" t="s">
        <v>1142</v>
      </c>
      <c r="G1808" s="24" t="s">
        <v>1200</v>
      </c>
      <c r="H1808" s="24" t="s">
        <v>109</v>
      </c>
      <c r="I1808" s="24" t="s">
        <v>1693</v>
      </c>
      <c r="J1808" s="24" t="s">
        <v>761</v>
      </c>
      <c r="K1808" s="24" t="s">
        <v>1146</v>
      </c>
      <c r="L1808" s="25">
        <v>1070</v>
      </c>
      <c r="M1808" s="26">
        <v>24.5</v>
      </c>
      <c r="N1808" s="27">
        <v>24.5</v>
      </c>
      <c r="O1808" s="28">
        <v>2.2272727272727274E-2</v>
      </c>
      <c r="P1808" s="28">
        <v>23.199115044247787</v>
      </c>
    </row>
    <row r="1809" spans="1:16" x14ac:dyDescent="0.3">
      <c r="A1809" t="s">
        <v>4693</v>
      </c>
      <c r="B1809" s="24">
        <v>111550</v>
      </c>
      <c r="C1809" s="24" t="s">
        <v>1582</v>
      </c>
      <c r="D1809" s="24" t="s">
        <v>1102</v>
      </c>
      <c r="E1809" s="24" t="s">
        <v>51</v>
      </c>
      <c r="F1809" s="24" t="s">
        <v>1142</v>
      </c>
      <c r="G1809" s="24" t="s">
        <v>1402</v>
      </c>
      <c r="H1809" s="24" t="s">
        <v>109</v>
      </c>
      <c r="I1809" s="24" t="s">
        <v>1693</v>
      </c>
      <c r="J1809" s="24" t="s">
        <v>761</v>
      </c>
      <c r="K1809" s="24" t="s">
        <v>1146</v>
      </c>
      <c r="L1809" s="25">
        <v>1070</v>
      </c>
      <c r="M1809" s="26">
        <v>24.5</v>
      </c>
      <c r="N1809" s="27">
        <v>24.5</v>
      </c>
      <c r="O1809" s="28">
        <v>2.2272727272727274E-2</v>
      </c>
      <c r="P1809" s="28">
        <v>23.199115044247787</v>
      </c>
    </row>
    <row r="1810" spans="1:16" x14ac:dyDescent="0.3">
      <c r="A1810" t="s">
        <v>4694</v>
      </c>
      <c r="B1810" s="24">
        <v>100603</v>
      </c>
      <c r="C1810" s="24" t="s">
        <v>1277</v>
      </c>
      <c r="D1810" s="24" t="s">
        <v>1102</v>
      </c>
      <c r="E1810" s="24" t="s">
        <v>51</v>
      </c>
      <c r="F1810" s="24" t="s">
        <v>1142</v>
      </c>
      <c r="G1810" s="24" t="s">
        <v>1082</v>
      </c>
      <c r="H1810" s="24" t="s">
        <v>302</v>
      </c>
      <c r="I1810" s="24" t="s">
        <v>1694</v>
      </c>
      <c r="J1810" s="24" t="s">
        <v>761</v>
      </c>
      <c r="K1810" s="24" t="s">
        <v>1146</v>
      </c>
      <c r="L1810" s="25">
        <v>1070</v>
      </c>
      <c r="M1810" s="26">
        <v>8.99</v>
      </c>
      <c r="N1810" s="27">
        <v>8.99</v>
      </c>
      <c r="O1810" s="28">
        <v>8.1727272727272725E-3</v>
      </c>
      <c r="P1810" s="28">
        <v>8.5126548672566376</v>
      </c>
    </row>
    <row r="1811" spans="1:16" x14ac:dyDescent="0.3">
      <c r="A1811" t="s">
        <v>4695</v>
      </c>
      <c r="B1811" s="24">
        <v>101184</v>
      </c>
      <c r="C1811" s="24" t="s">
        <v>1401</v>
      </c>
      <c r="D1811" s="24" t="s">
        <v>1102</v>
      </c>
      <c r="E1811" s="24" t="s">
        <v>51</v>
      </c>
      <c r="F1811" s="24" t="s">
        <v>1142</v>
      </c>
      <c r="G1811" s="24" t="s">
        <v>1402</v>
      </c>
      <c r="H1811" s="24" t="s">
        <v>302</v>
      </c>
      <c r="I1811" s="24" t="s">
        <v>1694</v>
      </c>
      <c r="J1811" s="24" t="s">
        <v>761</v>
      </c>
      <c r="K1811" s="24" t="s">
        <v>1146</v>
      </c>
      <c r="L1811" s="25">
        <v>1070</v>
      </c>
      <c r="M1811" s="26">
        <v>8.99</v>
      </c>
      <c r="N1811" s="27">
        <v>8.99</v>
      </c>
      <c r="O1811" s="28">
        <v>8.1727272727272725E-3</v>
      </c>
      <c r="P1811" s="28">
        <v>8.5126548672566376</v>
      </c>
    </row>
    <row r="1812" spans="1:16" x14ac:dyDescent="0.3">
      <c r="A1812" t="s">
        <v>4696</v>
      </c>
      <c r="B1812" s="24">
        <v>101186</v>
      </c>
      <c r="C1812" s="24" t="s">
        <v>1273</v>
      </c>
      <c r="D1812" s="24" t="s">
        <v>1102</v>
      </c>
      <c r="E1812" s="24" t="s">
        <v>51</v>
      </c>
      <c r="F1812" s="24" t="s">
        <v>1142</v>
      </c>
      <c r="G1812" s="24" t="s">
        <v>1203</v>
      </c>
      <c r="H1812" s="24" t="s">
        <v>302</v>
      </c>
      <c r="I1812" s="24" t="s">
        <v>1694</v>
      </c>
      <c r="J1812" s="24" t="s">
        <v>761</v>
      </c>
      <c r="K1812" s="24" t="s">
        <v>1146</v>
      </c>
      <c r="L1812" s="25">
        <v>1070</v>
      </c>
      <c r="M1812" s="26">
        <v>8.99</v>
      </c>
      <c r="N1812" s="27">
        <v>8.99</v>
      </c>
      <c r="O1812" s="28">
        <v>8.1727272727272725E-3</v>
      </c>
      <c r="P1812" s="28">
        <v>8.5126548672566376</v>
      </c>
    </row>
    <row r="1813" spans="1:16" x14ac:dyDescent="0.3">
      <c r="A1813" t="s">
        <v>4697</v>
      </c>
      <c r="B1813" s="24">
        <v>100581</v>
      </c>
      <c r="C1813" s="24" t="s">
        <v>1232</v>
      </c>
      <c r="D1813" s="24" t="s">
        <v>1102</v>
      </c>
      <c r="E1813" s="24" t="s">
        <v>51</v>
      </c>
      <c r="F1813" s="24" t="s">
        <v>1142</v>
      </c>
      <c r="G1813" s="24" t="s">
        <v>1233</v>
      </c>
      <c r="H1813" s="24" t="s">
        <v>303</v>
      </c>
      <c r="I1813" s="24" t="s">
        <v>1695</v>
      </c>
      <c r="J1813" s="24" t="s">
        <v>761</v>
      </c>
      <c r="K1813" s="24" t="s">
        <v>1146</v>
      </c>
      <c r="L1813" s="25">
        <v>1070</v>
      </c>
      <c r="M1813" s="26">
        <v>8.99</v>
      </c>
      <c r="N1813" s="27">
        <v>8.99</v>
      </c>
      <c r="O1813" s="28">
        <v>8.1727272727272725E-3</v>
      </c>
      <c r="P1813" s="28">
        <v>8.5126548672566376</v>
      </c>
    </row>
    <row r="1814" spans="1:16" x14ac:dyDescent="0.3">
      <c r="A1814" t="s">
        <v>4698</v>
      </c>
      <c r="B1814" s="24">
        <v>101186</v>
      </c>
      <c r="C1814" s="24" t="s">
        <v>1273</v>
      </c>
      <c r="D1814" s="24" t="s">
        <v>1102</v>
      </c>
      <c r="E1814" s="24" t="s">
        <v>51</v>
      </c>
      <c r="F1814" s="24" t="s">
        <v>1142</v>
      </c>
      <c r="G1814" s="24" t="s">
        <v>1203</v>
      </c>
      <c r="H1814" s="24" t="s">
        <v>303</v>
      </c>
      <c r="I1814" s="24" t="s">
        <v>1695</v>
      </c>
      <c r="J1814" s="24" t="s">
        <v>761</v>
      </c>
      <c r="K1814" s="24" t="s">
        <v>1146</v>
      </c>
      <c r="L1814" s="25">
        <v>1070</v>
      </c>
      <c r="M1814" s="26">
        <v>8.99</v>
      </c>
      <c r="N1814" s="27">
        <v>8.99</v>
      </c>
      <c r="O1814" s="28">
        <v>8.1727272727272725E-3</v>
      </c>
      <c r="P1814" s="28">
        <v>8.5126548672566376</v>
      </c>
    </row>
    <row r="1815" spans="1:16" x14ac:dyDescent="0.3">
      <c r="A1815" t="s">
        <v>4699</v>
      </c>
      <c r="B1815" s="24">
        <v>114501</v>
      </c>
      <c r="C1815" s="24" t="s">
        <v>1409</v>
      </c>
      <c r="D1815" s="24" t="s">
        <v>1102</v>
      </c>
      <c r="E1815" s="24" t="s">
        <v>51</v>
      </c>
      <c r="F1815" s="24" t="s">
        <v>1142</v>
      </c>
      <c r="G1815" s="24" t="s">
        <v>1402</v>
      </c>
      <c r="H1815" s="24" t="s">
        <v>122</v>
      </c>
      <c r="I1815" s="24" t="s">
        <v>1696</v>
      </c>
      <c r="J1815" s="24" t="s">
        <v>761</v>
      </c>
      <c r="K1815" s="24" t="s">
        <v>1146</v>
      </c>
      <c r="L1815" s="25">
        <v>1070</v>
      </c>
      <c r="M1815" s="26">
        <v>12.29</v>
      </c>
      <c r="N1815" s="27">
        <v>12.29</v>
      </c>
      <c r="O1815" s="28">
        <v>1.1172727272727272E-2</v>
      </c>
      <c r="P1815" s="28">
        <v>11.637433628318583</v>
      </c>
    </row>
    <row r="1816" spans="1:16" x14ac:dyDescent="0.3">
      <c r="A1816" t="s">
        <v>4700</v>
      </c>
      <c r="B1816" s="24">
        <v>142051</v>
      </c>
      <c r="C1816" s="24" t="s">
        <v>1491</v>
      </c>
      <c r="D1816" s="24" t="s">
        <v>1102</v>
      </c>
      <c r="E1816" s="24" t="s">
        <v>51</v>
      </c>
      <c r="F1816" s="24" t="s">
        <v>1237</v>
      </c>
      <c r="G1816" s="24" t="s">
        <v>1238</v>
      </c>
      <c r="H1816" s="24" t="s">
        <v>70</v>
      </c>
      <c r="I1816" s="24" t="s">
        <v>1697</v>
      </c>
      <c r="J1816" s="24" t="s">
        <v>761</v>
      </c>
      <c r="K1816" s="24" t="s">
        <v>1146</v>
      </c>
      <c r="L1816" s="25">
        <v>1070</v>
      </c>
      <c r="M1816" s="26">
        <v>14.5</v>
      </c>
      <c r="N1816" s="27">
        <v>14.5</v>
      </c>
      <c r="O1816" s="28">
        <v>1.3181818181818182E-2</v>
      </c>
      <c r="P1816" s="28">
        <v>13.730088495575222</v>
      </c>
    </row>
    <row r="1817" spans="1:16" x14ac:dyDescent="0.3">
      <c r="A1817" t="s">
        <v>4701</v>
      </c>
      <c r="B1817" s="24">
        <v>142051</v>
      </c>
      <c r="C1817" s="24" t="s">
        <v>1491</v>
      </c>
      <c r="D1817" s="24" t="s">
        <v>1102</v>
      </c>
      <c r="E1817" s="24" t="s">
        <v>51</v>
      </c>
      <c r="F1817" s="24" t="s">
        <v>1237</v>
      </c>
      <c r="G1817" s="24" t="s">
        <v>1238</v>
      </c>
      <c r="H1817" s="24" t="s">
        <v>257</v>
      </c>
      <c r="I1817" s="24" t="s">
        <v>1698</v>
      </c>
      <c r="J1817" s="24" t="s">
        <v>761</v>
      </c>
      <c r="K1817" s="24" t="s">
        <v>1146</v>
      </c>
      <c r="L1817" s="25">
        <v>1070</v>
      </c>
      <c r="M1817" s="26">
        <v>14.5</v>
      </c>
      <c r="N1817" s="27">
        <v>14.5</v>
      </c>
      <c r="O1817" s="28">
        <v>1.3181818181818182E-2</v>
      </c>
      <c r="P1817" s="28">
        <v>13.730088495575222</v>
      </c>
    </row>
    <row r="1818" spans="1:16" x14ac:dyDescent="0.3">
      <c r="A1818" t="s">
        <v>4702</v>
      </c>
      <c r="B1818" s="24">
        <v>100581</v>
      </c>
      <c r="C1818" s="24" t="s">
        <v>1232</v>
      </c>
      <c r="D1818" s="24" t="s">
        <v>1102</v>
      </c>
      <c r="E1818" s="24" t="s">
        <v>51</v>
      </c>
      <c r="F1818" s="24" t="s">
        <v>1142</v>
      </c>
      <c r="G1818" s="24" t="s">
        <v>1233</v>
      </c>
      <c r="H1818" s="24" t="s">
        <v>306</v>
      </c>
      <c r="I1818" s="24" t="s">
        <v>1699</v>
      </c>
      <c r="J1818" s="24" t="s">
        <v>761</v>
      </c>
      <c r="K1818" s="24" t="s">
        <v>1146</v>
      </c>
      <c r="L1818" s="25">
        <v>1070</v>
      </c>
      <c r="M1818" s="26">
        <v>9.31</v>
      </c>
      <c r="N1818" s="27">
        <v>9.31</v>
      </c>
      <c r="O1818" s="28">
        <v>8.4636363636363642E-3</v>
      </c>
      <c r="P1818" s="28">
        <v>8.8156637168141607</v>
      </c>
    </row>
    <row r="1819" spans="1:16" x14ac:dyDescent="0.3">
      <c r="A1819" t="s">
        <v>4703</v>
      </c>
      <c r="B1819" s="24">
        <v>100603</v>
      </c>
      <c r="C1819" s="24" t="s">
        <v>1277</v>
      </c>
      <c r="D1819" s="24" t="s">
        <v>1102</v>
      </c>
      <c r="E1819" s="24" t="s">
        <v>51</v>
      </c>
      <c r="F1819" s="24" t="s">
        <v>1142</v>
      </c>
      <c r="G1819" s="24" t="s">
        <v>1082</v>
      </c>
      <c r="H1819" s="24" t="s">
        <v>306</v>
      </c>
      <c r="I1819" s="24" t="s">
        <v>1699</v>
      </c>
      <c r="J1819" s="24" t="s">
        <v>761</v>
      </c>
      <c r="K1819" s="24" t="s">
        <v>1146</v>
      </c>
      <c r="L1819" s="25">
        <v>1070</v>
      </c>
      <c r="M1819" s="26">
        <v>9.4</v>
      </c>
      <c r="N1819" s="27">
        <v>9.4</v>
      </c>
      <c r="O1819" s="28">
        <v>8.5454545454545453E-3</v>
      </c>
      <c r="P1819" s="28">
        <v>8.9008849557522129</v>
      </c>
    </row>
    <row r="1820" spans="1:16" x14ac:dyDescent="0.3">
      <c r="A1820" t="s">
        <v>4704</v>
      </c>
      <c r="B1820" s="24">
        <v>101184</v>
      </c>
      <c r="C1820" s="24" t="s">
        <v>1401</v>
      </c>
      <c r="D1820" s="24" t="s">
        <v>1102</v>
      </c>
      <c r="E1820" s="24" t="s">
        <v>51</v>
      </c>
      <c r="F1820" s="24" t="s">
        <v>1142</v>
      </c>
      <c r="G1820" s="24" t="s">
        <v>1402</v>
      </c>
      <c r="H1820" s="24" t="s">
        <v>306</v>
      </c>
      <c r="I1820" s="24" t="s">
        <v>1699</v>
      </c>
      <c r="J1820" s="24" t="s">
        <v>761</v>
      </c>
      <c r="K1820" s="24" t="s">
        <v>1146</v>
      </c>
      <c r="L1820" s="25">
        <v>1070</v>
      </c>
      <c r="M1820" s="26">
        <v>9.31</v>
      </c>
      <c r="N1820" s="27">
        <v>9.31</v>
      </c>
      <c r="O1820" s="28">
        <v>8.4636363636363642E-3</v>
      </c>
      <c r="P1820" s="28">
        <v>8.8156637168141607</v>
      </c>
    </row>
    <row r="1821" spans="1:16" x14ac:dyDescent="0.3">
      <c r="A1821" t="s">
        <v>4705</v>
      </c>
      <c r="B1821" s="24">
        <v>101186</v>
      </c>
      <c r="C1821" s="24" t="s">
        <v>1273</v>
      </c>
      <c r="D1821" s="24" t="s">
        <v>1102</v>
      </c>
      <c r="E1821" s="24" t="s">
        <v>51</v>
      </c>
      <c r="F1821" s="24" t="s">
        <v>1142</v>
      </c>
      <c r="G1821" s="24" t="s">
        <v>1203</v>
      </c>
      <c r="H1821" s="24" t="s">
        <v>306</v>
      </c>
      <c r="I1821" s="24" t="s">
        <v>1699</v>
      </c>
      <c r="J1821" s="24" t="s">
        <v>761</v>
      </c>
      <c r="K1821" s="24" t="s">
        <v>1146</v>
      </c>
      <c r="L1821" s="25">
        <v>1070</v>
      </c>
      <c r="M1821" s="26">
        <v>9.31</v>
      </c>
      <c r="N1821" s="27">
        <v>9.31</v>
      </c>
      <c r="O1821" s="28">
        <v>8.4636363636363642E-3</v>
      </c>
      <c r="P1821" s="28">
        <v>8.8156637168141607</v>
      </c>
    </row>
    <row r="1822" spans="1:16" x14ac:dyDescent="0.3">
      <c r="A1822" t="s">
        <v>4706</v>
      </c>
      <c r="B1822" s="24">
        <v>111550</v>
      </c>
      <c r="C1822" s="24" t="s">
        <v>1582</v>
      </c>
      <c r="D1822" s="24" t="s">
        <v>1102</v>
      </c>
      <c r="E1822" s="24" t="s">
        <v>51</v>
      </c>
      <c r="F1822" s="24" t="s">
        <v>1142</v>
      </c>
      <c r="G1822" s="24" t="s">
        <v>1402</v>
      </c>
      <c r="H1822" s="24" t="s">
        <v>306</v>
      </c>
      <c r="I1822" s="24" t="s">
        <v>1699</v>
      </c>
      <c r="J1822" s="24" t="s">
        <v>761</v>
      </c>
      <c r="K1822" s="24" t="s">
        <v>1146</v>
      </c>
      <c r="L1822" s="25">
        <v>1070</v>
      </c>
      <c r="M1822" s="26">
        <v>9.31</v>
      </c>
      <c r="N1822" s="27">
        <v>9.31</v>
      </c>
      <c r="O1822" s="28">
        <v>8.4636363636363642E-3</v>
      </c>
      <c r="P1822" s="28">
        <v>8.8156637168141607</v>
      </c>
    </row>
    <row r="1823" spans="1:16" x14ac:dyDescent="0.3">
      <c r="A1823" t="s">
        <v>4707</v>
      </c>
      <c r="B1823" s="24">
        <v>114501</v>
      </c>
      <c r="C1823" s="24" t="s">
        <v>1409</v>
      </c>
      <c r="D1823" s="24" t="s">
        <v>1102</v>
      </c>
      <c r="E1823" s="24" t="s">
        <v>51</v>
      </c>
      <c r="F1823" s="24" t="s">
        <v>1142</v>
      </c>
      <c r="G1823" s="24" t="s">
        <v>1402</v>
      </c>
      <c r="H1823" s="24" t="s">
        <v>306</v>
      </c>
      <c r="I1823" s="24" t="s">
        <v>1699</v>
      </c>
      <c r="J1823" s="24" t="s">
        <v>761</v>
      </c>
      <c r="K1823" s="24" t="s">
        <v>1146</v>
      </c>
      <c r="L1823" s="25">
        <v>1070</v>
      </c>
      <c r="M1823" s="26">
        <v>9.31</v>
      </c>
      <c r="N1823" s="27">
        <v>9.31</v>
      </c>
      <c r="O1823" s="28">
        <v>8.4636363636363642E-3</v>
      </c>
      <c r="P1823" s="28">
        <v>8.8156637168141607</v>
      </c>
    </row>
    <row r="1824" spans="1:16" x14ac:dyDescent="0.3">
      <c r="A1824" t="s">
        <v>4708</v>
      </c>
      <c r="B1824" s="24">
        <v>101186</v>
      </c>
      <c r="C1824" s="24" t="s">
        <v>1273</v>
      </c>
      <c r="D1824" s="24" t="s">
        <v>1102</v>
      </c>
      <c r="E1824" s="24" t="s">
        <v>51</v>
      </c>
      <c r="F1824" s="24" t="s">
        <v>1142</v>
      </c>
      <c r="G1824" s="24" t="s">
        <v>1203</v>
      </c>
      <c r="H1824" s="24" t="s">
        <v>307</v>
      </c>
      <c r="I1824" s="24" t="s">
        <v>1700</v>
      </c>
      <c r="J1824" s="24" t="s">
        <v>761</v>
      </c>
      <c r="K1824" s="24" t="s">
        <v>1146</v>
      </c>
      <c r="L1824" s="25">
        <v>1070</v>
      </c>
      <c r="M1824" s="26">
        <v>10.4</v>
      </c>
      <c r="N1824" s="27">
        <v>10.4</v>
      </c>
      <c r="O1824" s="28">
        <v>9.4545454545454551E-3</v>
      </c>
      <c r="P1824" s="28">
        <v>9.8477876106194682</v>
      </c>
    </row>
    <row r="1825" spans="1:16" x14ac:dyDescent="0.3">
      <c r="A1825" t="s">
        <v>4709</v>
      </c>
      <c r="B1825" s="24">
        <v>106916</v>
      </c>
      <c r="C1825" s="24" t="s">
        <v>1216</v>
      </c>
      <c r="D1825" s="24" t="s">
        <v>1102</v>
      </c>
      <c r="E1825" s="24" t="s">
        <v>51</v>
      </c>
      <c r="F1825" s="24" t="s">
        <v>1142</v>
      </c>
      <c r="G1825" s="24" t="s">
        <v>1203</v>
      </c>
      <c r="H1825" s="24" t="s">
        <v>307</v>
      </c>
      <c r="I1825" s="24" t="s">
        <v>1700</v>
      </c>
      <c r="J1825" s="24" t="s">
        <v>761</v>
      </c>
      <c r="K1825" s="24" t="s">
        <v>1146</v>
      </c>
      <c r="L1825" s="25">
        <v>1070</v>
      </c>
      <c r="M1825" s="26">
        <v>10.4</v>
      </c>
      <c r="N1825" s="27">
        <v>10.4</v>
      </c>
      <c r="O1825" s="28">
        <v>9.4545454545454551E-3</v>
      </c>
      <c r="P1825" s="28">
        <v>9.8477876106194682</v>
      </c>
    </row>
    <row r="1826" spans="1:16" x14ac:dyDescent="0.3">
      <c r="A1826" t="s">
        <v>4710</v>
      </c>
      <c r="B1826" s="24">
        <v>114163</v>
      </c>
      <c r="C1826" s="24" t="s">
        <v>1490</v>
      </c>
      <c r="D1826" s="24" t="s">
        <v>1102</v>
      </c>
      <c r="E1826" s="24" t="s">
        <v>51</v>
      </c>
      <c r="F1826" s="24" t="s">
        <v>1142</v>
      </c>
      <c r="G1826" s="24" t="s">
        <v>1203</v>
      </c>
      <c r="H1826" s="24" t="s">
        <v>307</v>
      </c>
      <c r="I1826" s="24" t="s">
        <v>1700</v>
      </c>
      <c r="J1826" s="24" t="s">
        <v>761</v>
      </c>
      <c r="K1826" s="24" t="s">
        <v>1146</v>
      </c>
      <c r="L1826" s="25">
        <v>1070</v>
      </c>
      <c r="M1826" s="26">
        <v>10.4</v>
      </c>
      <c r="N1826" s="27">
        <v>10.4</v>
      </c>
      <c r="O1826" s="28">
        <v>9.4545454545454551E-3</v>
      </c>
      <c r="P1826" s="28">
        <v>9.8477876106194682</v>
      </c>
    </row>
    <row r="1827" spans="1:16" x14ac:dyDescent="0.3">
      <c r="A1827" t="s">
        <v>4711</v>
      </c>
      <c r="B1827" s="24">
        <v>106916</v>
      </c>
      <c r="C1827" s="24" t="s">
        <v>1216</v>
      </c>
      <c r="D1827" s="24" t="s">
        <v>1102</v>
      </c>
      <c r="E1827" s="24" t="s">
        <v>51</v>
      </c>
      <c r="F1827" s="24" t="s">
        <v>1142</v>
      </c>
      <c r="G1827" s="24" t="s">
        <v>1203</v>
      </c>
      <c r="H1827" s="24" t="s">
        <v>307</v>
      </c>
      <c r="I1827" s="24" t="s">
        <v>1700</v>
      </c>
      <c r="J1827" s="24" t="s">
        <v>761</v>
      </c>
      <c r="K1827" s="24" t="s">
        <v>1146</v>
      </c>
      <c r="L1827" s="25">
        <v>1070</v>
      </c>
      <c r="M1827" s="26">
        <v>10.4</v>
      </c>
      <c r="N1827" s="27">
        <v>10.4</v>
      </c>
      <c r="O1827" s="28">
        <v>9.4545454545454551E-3</v>
      </c>
      <c r="P1827" s="28">
        <v>9.8477876106194682</v>
      </c>
    </row>
    <row r="1828" spans="1:16" x14ac:dyDescent="0.3">
      <c r="A1828" t="s">
        <v>4712</v>
      </c>
      <c r="B1828" s="24">
        <v>100603</v>
      </c>
      <c r="C1828" s="24" t="s">
        <v>1277</v>
      </c>
      <c r="D1828" s="24" t="s">
        <v>1102</v>
      </c>
      <c r="E1828" s="24" t="s">
        <v>51</v>
      </c>
      <c r="F1828" s="24" t="s">
        <v>1142</v>
      </c>
      <c r="G1828" s="24" t="s">
        <v>1082</v>
      </c>
      <c r="H1828" s="24" t="s">
        <v>304</v>
      </c>
      <c r="I1828" s="24" t="s">
        <v>1701</v>
      </c>
      <c r="J1828" s="24" t="s">
        <v>761</v>
      </c>
      <c r="K1828" s="24" t="s">
        <v>1146</v>
      </c>
      <c r="L1828" s="25">
        <v>1070</v>
      </c>
      <c r="M1828" s="26">
        <v>8.77</v>
      </c>
      <c r="N1828" s="27">
        <v>8.77</v>
      </c>
      <c r="O1828" s="28">
        <v>7.972727272727272E-3</v>
      </c>
      <c r="P1828" s="28">
        <v>8.3043362831858403</v>
      </c>
    </row>
    <row r="1829" spans="1:16" x14ac:dyDescent="0.3">
      <c r="A1829" t="s">
        <v>4713</v>
      </c>
      <c r="B1829" s="24">
        <v>101184</v>
      </c>
      <c r="C1829" s="24" t="s">
        <v>1401</v>
      </c>
      <c r="D1829" s="24" t="s">
        <v>1102</v>
      </c>
      <c r="E1829" s="24" t="s">
        <v>51</v>
      </c>
      <c r="F1829" s="24" t="s">
        <v>1142</v>
      </c>
      <c r="G1829" s="24" t="s">
        <v>1402</v>
      </c>
      <c r="H1829" s="24" t="s">
        <v>304</v>
      </c>
      <c r="I1829" s="24" t="s">
        <v>1701</v>
      </c>
      <c r="J1829" s="24" t="s">
        <v>761</v>
      </c>
      <c r="K1829" s="24" t="s">
        <v>1146</v>
      </c>
      <c r="L1829" s="25">
        <v>1070</v>
      </c>
      <c r="M1829" s="26">
        <v>8.77</v>
      </c>
      <c r="N1829" s="27">
        <v>8.77</v>
      </c>
      <c r="O1829" s="28">
        <v>7.972727272727272E-3</v>
      </c>
      <c r="P1829" s="28">
        <v>8.3043362831858403</v>
      </c>
    </row>
    <row r="1830" spans="1:16" x14ac:dyDescent="0.3">
      <c r="A1830" t="s">
        <v>4714</v>
      </c>
      <c r="B1830" s="24">
        <v>111550</v>
      </c>
      <c r="C1830" s="24" t="s">
        <v>1582</v>
      </c>
      <c r="D1830" s="24" t="s">
        <v>1102</v>
      </c>
      <c r="E1830" s="24" t="s">
        <v>51</v>
      </c>
      <c r="F1830" s="24" t="s">
        <v>1142</v>
      </c>
      <c r="G1830" s="24" t="s">
        <v>1402</v>
      </c>
      <c r="H1830" s="24" t="s">
        <v>304</v>
      </c>
      <c r="I1830" s="24" t="s">
        <v>1701</v>
      </c>
      <c r="J1830" s="24" t="s">
        <v>761</v>
      </c>
      <c r="K1830" s="24" t="s">
        <v>1146</v>
      </c>
      <c r="L1830" s="25">
        <v>1070</v>
      </c>
      <c r="M1830" s="26">
        <v>8.77</v>
      </c>
      <c r="N1830" s="27">
        <v>8.77</v>
      </c>
      <c r="O1830" s="28">
        <v>7.972727272727272E-3</v>
      </c>
      <c r="P1830" s="28">
        <v>8.3043362831858403</v>
      </c>
    </row>
    <row r="1831" spans="1:16" x14ac:dyDescent="0.3">
      <c r="A1831" t="s">
        <v>4715</v>
      </c>
      <c r="B1831" s="24">
        <v>114501</v>
      </c>
      <c r="C1831" s="24" t="s">
        <v>1409</v>
      </c>
      <c r="D1831" s="24" t="s">
        <v>1102</v>
      </c>
      <c r="E1831" s="24" t="s">
        <v>51</v>
      </c>
      <c r="F1831" s="24" t="s">
        <v>1142</v>
      </c>
      <c r="G1831" s="24" t="s">
        <v>1402</v>
      </c>
      <c r="H1831" s="24" t="s">
        <v>304</v>
      </c>
      <c r="I1831" s="24" t="s">
        <v>1701</v>
      </c>
      <c r="J1831" s="24" t="s">
        <v>761</v>
      </c>
      <c r="K1831" s="24" t="s">
        <v>1146</v>
      </c>
      <c r="L1831" s="25">
        <v>1070</v>
      </c>
      <c r="M1831" s="26">
        <v>8.77</v>
      </c>
      <c r="N1831" s="27">
        <v>8.77</v>
      </c>
      <c r="O1831" s="28">
        <v>7.972727272727272E-3</v>
      </c>
      <c r="P1831" s="28">
        <v>8.3043362831858403</v>
      </c>
    </row>
    <row r="1832" spans="1:16" x14ac:dyDescent="0.3">
      <c r="A1832" t="s">
        <v>4716</v>
      </c>
      <c r="B1832" s="24">
        <v>101186</v>
      </c>
      <c r="C1832" s="24" t="s">
        <v>1273</v>
      </c>
      <c r="D1832" s="24" t="s">
        <v>1102</v>
      </c>
      <c r="E1832" s="24" t="s">
        <v>51</v>
      </c>
      <c r="F1832" s="24" t="s">
        <v>1142</v>
      </c>
      <c r="G1832" s="24" t="s">
        <v>1203</v>
      </c>
      <c r="H1832" s="24" t="s">
        <v>305</v>
      </c>
      <c r="I1832" s="24" t="s">
        <v>1702</v>
      </c>
      <c r="J1832" s="24" t="s">
        <v>761</v>
      </c>
      <c r="K1832" s="24" t="s">
        <v>1146</v>
      </c>
      <c r="L1832" s="25">
        <v>1070</v>
      </c>
      <c r="M1832" s="26">
        <v>9.35</v>
      </c>
      <c r="N1832" s="27">
        <v>9.35</v>
      </c>
      <c r="O1832" s="28">
        <v>8.4999999999999989E-3</v>
      </c>
      <c r="P1832" s="28">
        <v>8.85353982300885</v>
      </c>
    </row>
    <row r="1833" spans="1:16" x14ac:dyDescent="0.3">
      <c r="A1833" t="s">
        <v>4717</v>
      </c>
      <c r="B1833" s="24">
        <v>106916</v>
      </c>
      <c r="C1833" s="24" t="s">
        <v>1216</v>
      </c>
      <c r="D1833" s="24" t="s">
        <v>1102</v>
      </c>
      <c r="E1833" s="24" t="s">
        <v>51</v>
      </c>
      <c r="F1833" s="24" t="s">
        <v>1142</v>
      </c>
      <c r="G1833" s="24" t="s">
        <v>1203</v>
      </c>
      <c r="H1833" s="24" t="s">
        <v>305</v>
      </c>
      <c r="I1833" s="24" t="s">
        <v>1702</v>
      </c>
      <c r="J1833" s="24" t="s">
        <v>761</v>
      </c>
      <c r="K1833" s="24" t="s">
        <v>1146</v>
      </c>
      <c r="L1833" s="25">
        <v>1070</v>
      </c>
      <c r="M1833" s="26">
        <v>10.51</v>
      </c>
      <c r="N1833" s="27">
        <v>10.51</v>
      </c>
      <c r="O1833" s="28">
        <v>9.5545454545454545E-3</v>
      </c>
      <c r="P1833" s="28">
        <v>9.9519469026548659</v>
      </c>
    </row>
    <row r="1834" spans="1:16" x14ac:dyDescent="0.3">
      <c r="A1834" t="s">
        <v>4718</v>
      </c>
      <c r="B1834" s="24">
        <v>100581</v>
      </c>
      <c r="C1834" s="24" t="s">
        <v>1232</v>
      </c>
      <c r="D1834" s="24" t="s">
        <v>1102</v>
      </c>
      <c r="E1834" s="24" t="s">
        <v>51</v>
      </c>
      <c r="F1834" s="24" t="s">
        <v>1142</v>
      </c>
      <c r="G1834" s="24" t="s">
        <v>1233</v>
      </c>
      <c r="H1834" s="24" t="s">
        <v>324</v>
      </c>
      <c r="I1834" s="24" t="s">
        <v>1703</v>
      </c>
      <c r="J1834" s="24" t="s">
        <v>761</v>
      </c>
      <c r="K1834" s="24" t="s">
        <v>1146</v>
      </c>
      <c r="L1834" s="25">
        <v>1070</v>
      </c>
      <c r="M1834" s="26">
        <v>14.98</v>
      </c>
      <c r="N1834" s="27">
        <v>14.98</v>
      </c>
      <c r="O1834" s="28">
        <v>1.3618181818181819E-2</v>
      </c>
      <c r="P1834" s="28">
        <v>14.184601769911504</v>
      </c>
    </row>
    <row r="1835" spans="1:16" x14ac:dyDescent="0.3">
      <c r="A1835" t="s">
        <v>4719</v>
      </c>
      <c r="B1835" s="24">
        <v>100603</v>
      </c>
      <c r="C1835" s="24" t="s">
        <v>1277</v>
      </c>
      <c r="D1835" s="24" t="s">
        <v>1102</v>
      </c>
      <c r="E1835" s="24" t="s">
        <v>51</v>
      </c>
      <c r="F1835" s="24" t="s">
        <v>1142</v>
      </c>
      <c r="G1835" s="24" t="s">
        <v>1082</v>
      </c>
      <c r="H1835" s="24" t="s">
        <v>324</v>
      </c>
      <c r="I1835" s="24" t="s">
        <v>1703</v>
      </c>
      <c r="J1835" s="24" t="s">
        <v>761</v>
      </c>
      <c r="K1835" s="24" t="s">
        <v>1146</v>
      </c>
      <c r="L1835" s="25">
        <v>1070</v>
      </c>
      <c r="M1835" s="26">
        <v>14.98</v>
      </c>
      <c r="N1835" s="27">
        <v>14.98</v>
      </c>
      <c r="O1835" s="28">
        <v>1.3618181818181819E-2</v>
      </c>
      <c r="P1835" s="28">
        <v>14.184601769911504</v>
      </c>
    </row>
    <row r="1836" spans="1:16" x14ac:dyDescent="0.3">
      <c r="A1836" t="s">
        <v>4720</v>
      </c>
      <c r="B1836" s="24">
        <v>101186</v>
      </c>
      <c r="C1836" s="24" t="s">
        <v>1273</v>
      </c>
      <c r="D1836" s="24" t="s">
        <v>1102</v>
      </c>
      <c r="E1836" s="24" t="s">
        <v>51</v>
      </c>
      <c r="F1836" s="24" t="s">
        <v>1142</v>
      </c>
      <c r="G1836" s="24" t="s">
        <v>1203</v>
      </c>
      <c r="H1836" s="24" t="s">
        <v>324</v>
      </c>
      <c r="I1836" s="24" t="s">
        <v>1703</v>
      </c>
      <c r="J1836" s="24" t="s">
        <v>761</v>
      </c>
      <c r="K1836" s="24" t="s">
        <v>1146</v>
      </c>
      <c r="L1836" s="25">
        <v>1070</v>
      </c>
      <c r="M1836" s="26">
        <v>14.98</v>
      </c>
      <c r="N1836" s="27">
        <v>14.98</v>
      </c>
      <c r="O1836" s="28">
        <v>1.3618181818181819E-2</v>
      </c>
      <c r="P1836" s="28">
        <v>14.184601769911504</v>
      </c>
    </row>
    <row r="1837" spans="1:16" x14ac:dyDescent="0.3">
      <c r="A1837" t="s">
        <v>4721</v>
      </c>
      <c r="B1837" s="24">
        <v>101424</v>
      </c>
      <c r="C1837" s="24" t="s">
        <v>1278</v>
      </c>
      <c r="D1837" s="24" t="s">
        <v>1102</v>
      </c>
      <c r="E1837" s="24" t="s">
        <v>51</v>
      </c>
      <c r="F1837" s="24" t="s">
        <v>1142</v>
      </c>
      <c r="G1837" s="24" t="s">
        <v>1203</v>
      </c>
      <c r="H1837" s="24" t="s">
        <v>324</v>
      </c>
      <c r="I1837" s="24" t="s">
        <v>1703</v>
      </c>
      <c r="J1837" s="24" t="s">
        <v>761</v>
      </c>
      <c r="K1837" s="24" t="s">
        <v>1146</v>
      </c>
      <c r="L1837" s="25">
        <v>1070</v>
      </c>
      <c r="M1837" s="26">
        <v>14.98</v>
      </c>
      <c r="N1837" s="27">
        <v>14.98</v>
      </c>
      <c r="O1837" s="28">
        <v>1.3618181818181819E-2</v>
      </c>
      <c r="P1837" s="28">
        <v>14.184601769911504</v>
      </c>
    </row>
    <row r="1838" spans="1:16" x14ac:dyDescent="0.3">
      <c r="A1838" t="s">
        <v>4722</v>
      </c>
      <c r="B1838" s="24">
        <v>111550</v>
      </c>
      <c r="C1838" s="24" t="s">
        <v>1582</v>
      </c>
      <c r="D1838" s="24" t="s">
        <v>1102</v>
      </c>
      <c r="E1838" s="24" t="s">
        <v>51</v>
      </c>
      <c r="F1838" s="24" t="s">
        <v>1142</v>
      </c>
      <c r="G1838" s="24" t="s">
        <v>1402</v>
      </c>
      <c r="H1838" s="24" t="s">
        <v>324</v>
      </c>
      <c r="I1838" s="24" t="s">
        <v>1703</v>
      </c>
      <c r="J1838" s="24" t="s">
        <v>761</v>
      </c>
      <c r="K1838" s="24" t="s">
        <v>1146</v>
      </c>
      <c r="L1838" s="25">
        <v>1070</v>
      </c>
      <c r="M1838" s="26">
        <v>14.98</v>
      </c>
      <c r="N1838" s="27">
        <v>14.98</v>
      </c>
      <c r="O1838" s="28">
        <v>1.3618181818181819E-2</v>
      </c>
      <c r="P1838" s="28">
        <v>14.184601769911504</v>
      </c>
    </row>
    <row r="1839" spans="1:16" x14ac:dyDescent="0.3">
      <c r="A1839" t="s">
        <v>4723</v>
      </c>
      <c r="B1839" s="24">
        <v>114501</v>
      </c>
      <c r="C1839" s="24" t="s">
        <v>1409</v>
      </c>
      <c r="D1839" s="24" t="s">
        <v>1102</v>
      </c>
      <c r="E1839" s="24" t="s">
        <v>51</v>
      </c>
      <c r="F1839" s="24" t="s">
        <v>1142</v>
      </c>
      <c r="G1839" s="24" t="s">
        <v>1402</v>
      </c>
      <c r="H1839" s="24" t="s">
        <v>324</v>
      </c>
      <c r="I1839" s="24" t="s">
        <v>1703</v>
      </c>
      <c r="J1839" s="24" t="s">
        <v>761</v>
      </c>
      <c r="K1839" s="24" t="s">
        <v>1146</v>
      </c>
      <c r="L1839" s="25">
        <v>1070</v>
      </c>
      <c r="M1839" s="26">
        <v>14.98</v>
      </c>
      <c r="N1839" s="27">
        <v>14.98</v>
      </c>
      <c r="O1839" s="28">
        <v>1.3618181818181819E-2</v>
      </c>
      <c r="P1839" s="28">
        <v>14.184601769911504</v>
      </c>
    </row>
    <row r="1840" spans="1:16" x14ac:dyDescent="0.3">
      <c r="A1840" t="s">
        <v>4724</v>
      </c>
      <c r="B1840" s="24">
        <v>100603</v>
      </c>
      <c r="C1840" s="24" t="s">
        <v>1277</v>
      </c>
      <c r="D1840" s="24" t="s">
        <v>1102</v>
      </c>
      <c r="E1840" s="24" t="s">
        <v>51</v>
      </c>
      <c r="F1840" s="24" t="s">
        <v>1142</v>
      </c>
      <c r="G1840" s="24" t="s">
        <v>1082</v>
      </c>
      <c r="H1840" s="24" t="s">
        <v>308</v>
      </c>
      <c r="I1840" s="24" t="s">
        <v>1704</v>
      </c>
      <c r="J1840" s="24" t="s">
        <v>761</v>
      </c>
      <c r="K1840" s="24" t="s">
        <v>1146</v>
      </c>
      <c r="L1840" s="25">
        <v>1070</v>
      </c>
      <c r="M1840" s="26">
        <v>9.99</v>
      </c>
      <c r="N1840" s="27">
        <v>9.99</v>
      </c>
      <c r="O1840" s="28">
        <v>9.0818181818181822E-3</v>
      </c>
      <c r="P1840" s="28">
        <v>9.4595575221238946</v>
      </c>
    </row>
    <row r="1841" spans="1:16" x14ac:dyDescent="0.3">
      <c r="A1841" t="s">
        <v>4725</v>
      </c>
      <c r="B1841" s="24">
        <v>101184</v>
      </c>
      <c r="C1841" s="24" t="s">
        <v>1401</v>
      </c>
      <c r="D1841" s="24" t="s">
        <v>1102</v>
      </c>
      <c r="E1841" s="24" t="s">
        <v>51</v>
      </c>
      <c r="F1841" s="24" t="s">
        <v>1142</v>
      </c>
      <c r="G1841" s="24" t="s">
        <v>1402</v>
      </c>
      <c r="H1841" s="24" t="s">
        <v>308</v>
      </c>
      <c r="I1841" s="24" t="s">
        <v>1704</v>
      </c>
      <c r="J1841" s="24" t="s">
        <v>761</v>
      </c>
      <c r="K1841" s="24" t="s">
        <v>1146</v>
      </c>
      <c r="L1841" s="25">
        <v>1070</v>
      </c>
      <c r="M1841" s="26">
        <v>9.99</v>
      </c>
      <c r="N1841" s="27">
        <v>9.99</v>
      </c>
      <c r="O1841" s="28">
        <v>9.0818181818181822E-3</v>
      </c>
      <c r="P1841" s="28">
        <v>9.4595575221238946</v>
      </c>
    </row>
    <row r="1842" spans="1:16" x14ac:dyDescent="0.3">
      <c r="A1842" t="s">
        <v>4726</v>
      </c>
      <c r="B1842" s="24">
        <v>101186</v>
      </c>
      <c r="C1842" s="24" t="s">
        <v>1273</v>
      </c>
      <c r="D1842" s="24" t="s">
        <v>1102</v>
      </c>
      <c r="E1842" s="24" t="s">
        <v>51</v>
      </c>
      <c r="F1842" s="24" t="s">
        <v>1142</v>
      </c>
      <c r="G1842" s="24" t="s">
        <v>1203</v>
      </c>
      <c r="H1842" s="24" t="s">
        <v>308</v>
      </c>
      <c r="I1842" s="24" t="s">
        <v>1704</v>
      </c>
      <c r="J1842" s="24" t="s">
        <v>761</v>
      </c>
      <c r="K1842" s="24" t="s">
        <v>1146</v>
      </c>
      <c r="L1842" s="25">
        <v>1070</v>
      </c>
      <c r="M1842" s="26">
        <v>9.99</v>
      </c>
      <c r="N1842" s="27">
        <v>9.99</v>
      </c>
      <c r="O1842" s="28">
        <v>9.0818181818181822E-3</v>
      </c>
      <c r="P1842" s="28">
        <v>9.4595575221238946</v>
      </c>
    </row>
    <row r="1843" spans="1:16" x14ac:dyDescent="0.3">
      <c r="A1843" t="s">
        <v>4727</v>
      </c>
      <c r="B1843" s="24">
        <v>106916</v>
      </c>
      <c r="C1843" s="24" t="s">
        <v>1216</v>
      </c>
      <c r="D1843" s="24" t="s">
        <v>1102</v>
      </c>
      <c r="E1843" s="24" t="s">
        <v>51</v>
      </c>
      <c r="F1843" s="24" t="s">
        <v>1142</v>
      </c>
      <c r="G1843" s="24" t="s">
        <v>1203</v>
      </c>
      <c r="H1843" s="24" t="s">
        <v>308</v>
      </c>
      <c r="I1843" s="24" t="s">
        <v>1704</v>
      </c>
      <c r="J1843" s="24" t="s">
        <v>761</v>
      </c>
      <c r="K1843" s="24" t="s">
        <v>1146</v>
      </c>
      <c r="L1843" s="25">
        <v>1070</v>
      </c>
      <c r="M1843" s="26">
        <v>9.99</v>
      </c>
      <c r="N1843" s="27">
        <v>9.99</v>
      </c>
      <c r="O1843" s="28">
        <v>9.0818181818181822E-3</v>
      </c>
      <c r="P1843" s="28">
        <v>9.4595575221238946</v>
      </c>
    </row>
    <row r="1844" spans="1:16" x14ac:dyDescent="0.3">
      <c r="A1844" t="s">
        <v>4728</v>
      </c>
      <c r="B1844" s="24">
        <v>111550</v>
      </c>
      <c r="C1844" s="24" t="s">
        <v>1582</v>
      </c>
      <c r="D1844" s="24" t="s">
        <v>1102</v>
      </c>
      <c r="E1844" s="24" t="s">
        <v>51</v>
      </c>
      <c r="F1844" s="24" t="s">
        <v>1142</v>
      </c>
      <c r="G1844" s="24" t="s">
        <v>1402</v>
      </c>
      <c r="H1844" s="24" t="s">
        <v>308</v>
      </c>
      <c r="I1844" s="24" t="s">
        <v>1704</v>
      </c>
      <c r="J1844" s="24" t="s">
        <v>761</v>
      </c>
      <c r="K1844" s="24" t="s">
        <v>1146</v>
      </c>
      <c r="L1844" s="25">
        <v>1070</v>
      </c>
      <c r="M1844" s="26">
        <v>9.99</v>
      </c>
      <c r="N1844" s="27">
        <v>9.99</v>
      </c>
      <c r="O1844" s="28">
        <v>9.0818181818181822E-3</v>
      </c>
      <c r="P1844" s="28">
        <v>9.4595575221238946</v>
      </c>
    </row>
    <row r="1845" spans="1:16" x14ac:dyDescent="0.3">
      <c r="A1845" t="s">
        <v>4729</v>
      </c>
      <c r="B1845" s="24">
        <v>114163</v>
      </c>
      <c r="C1845" s="24" t="s">
        <v>1490</v>
      </c>
      <c r="D1845" s="24" t="s">
        <v>1102</v>
      </c>
      <c r="E1845" s="24" t="s">
        <v>51</v>
      </c>
      <c r="F1845" s="24" t="s">
        <v>1142</v>
      </c>
      <c r="G1845" s="24" t="s">
        <v>1203</v>
      </c>
      <c r="H1845" s="24" t="s">
        <v>308</v>
      </c>
      <c r="I1845" s="24" t="s">
        <v>1704</v>
      </c>
      <c r="J1845" s="24" t="s">
        <v>761</v>
      </c>
      <c r="K1845" s="24" t="s">
        <v>1146</v>
      </c>
      <c r="L1845" s="25">
        <v>1070</v>
      </c>
      <c r="M1845" s="26">
        <v>9.99</v>
      </c>
      <c r="N1845" s="27">
        <v>9.99</v>
      </c>
      <c r="O1845" s="28">
        <v>9.0818181818181822E-3</v>
      </c>
      <c r="P1845" s="28">
        <v>9.4595575221238946</v>
      </c>
    </row>
    <row r="1846" spans="1:16" x14ac:dyDescent="0.3">
      <c r="A1846" t="s">
        <v>4730</v>
      </c>
      <c r="B1846" s="24">
        <v>114501</v>
      </c>
      <c r="C1846" s="24" t="s">
        <v>1409</v>
      </c>
      <c r="D1846" s="24" t="s">
        <v>1102</v>
      </c>
      <c r="E1846" s="24" t="s">
        <v>51</v>
      </c>
      <c r="F1846" s="24" t="s">
        <v>1142</v>
      </c>
      <c r="G1846" s="24" t="s">
        <v>1402</v>
      </c>
      <c r="H1846" s="24" t="s">
        <v>308</v>
      </c>
      <c r="I1846" s="24" t="s">
        <v>1704</v>
      </c>
      <c r="J1846" s="24" t="s">
        <v>761</v>
      </c>
      <c r="K1846" s="24" t="s">
        <v>1146</v>
      </c>
      <c r="L1846" s="25">
        <v>1070</v>
      </c>
      <c r="M1846" s="26">
        <v>9.99</v>
      </c>
      <c r="N1846" s="27">
        <v>9.99</v>
      </c>
      <c r="O1846" s="28">
        <v>9.0818181818181822E-3</v>
      </c>
      <c r="P1846" s="28">
        <v>9.4595575221238946</v>
      </c>
    </row>
    <row r="1847" spans="1:16" x14ac:dyDescent="0.3">
      <c r="A1847" t="s">
        <v>4731</v>
      </c>
      <c r="B1847" s="24">
        <v>100603</v>
      </c>
      <c r="C1847" s="24" t="s">
        <v>1277</v>
      </c>
      <c r="D1847" s="24" t="s">
        <v>1102</v>
      </c>
      <c r="E1847" s="24" t="s">
        <v>51</v>
      </c>
      <c r="F1847" s="24" t="s">
        <v>1142</v>
      </c>
      <c r="G1847" s="24" t="s">
        <v>1082</v>
      </c>
      <c r="H1847" s="24" t="s">
        <v>118</v>
      </c>
      <c r="I1847" s="24" t="s">
        <v>1705</v>
      </c>
      <c r="J1847" s="24" t="s">
        <v>761</v>
      </c>
      <c r="K1847" s="24" t="s">
        <v>1146</v>
      </c>
      <c r="L1847" s="25">
        <v>1070</v>
      </c>
      <c r="M1847" s="26">
        <v>9.7899999999999991</v>
      </c>
      <c r="N1847" s="27">
        <v>9.7899999999999991</v>
      </c>
      <c r="O1847" s="28">
        <v>8.8999999999999999E-3</v>
      </c>
      <c r="P1847" s="28">
        <v>9.270176991150441</v>
      </c>
    </row>
    <row r="1848" spans="1:16" x14ac:dyDescent="0.3">
      <c r="A1848" t="s">
        <v>4732</v>
      </c>
      <c r="B1848" s="24">
        <v>101206</v>
      </c>
      <c r="C1848" s="24" t="s">
        <v>1199</v>
      </c>
      <c r="D1848" s="24" t="s">
        <v>1102</v>
      </c>
      <c r="E1848" s="24" t="s">
        <v>51</v>
      </c>
      <c r="F1848" s="24" t="s">
        <v>1142</v>
      </c>
      <c r="G1848" s="24" t="s">
        <v>1200</v>
      </c>
      <c r="H1848" s="24" t="s">
        <v>118</v>
      </c>
      <c r="I1848" s="24" t="s">
        <v>1705</v>
      </c>
      <c r="J1848" s="24" t="s">
        <v>761</v>
      </c>
      <c r="K1848" s="24" t="s">
        <v>1146</v>
      </c>
      <c r="L1848" s="25">
        <v>1070</v>
      </c>
      <c r="M1848" s="26">
        <v>9.7899999999999991</v>
      </c>
      <c r="N1848" s="27">
        <v>9.7899999999999991</v>
      </c>
      <c r="O1848" s="28">
        <v>8.8999999999999999E-3</v>
      </c>
      <c r="P1848" s="28">
        <v>9.270176991150441</v>
      </c>
    </row>
    <row r="1849" spans="1:16" x14ac:dyDescent="0.3">
      <c r="A1849" t="s">
        <v>4733</v>
      </c>
      <c r="B1849" s="24">
        <v>101186</v>
      </c>
      <c r="C1849" s="24" t="s">
        <v>1273</v>
      </c>
      <c r="D1849" s="24" t="s">
        <v>1102</v>
      </c>
      <c r="E1849" s="24" t="s">
        <v>51</v>
      </c>
      <c r="F1849" s="24" t="s">
        <v>1142</v>
      </c>
      <c r="G1849" s="24" t="s">
        <v>1203</v>
      </c>
      <c r="H1849" s="24" t="s">
        <v>110</v>
      </c>
      <c r="I1849" s="24" t="s">
        <v>1706</v>
      </c>
      <c r="J1849" s="24" t="s">
        <v>761</v>
      </c>
      <c r="K1849" s="24" t="s">
        <v>1146</v>
      </c>
      <c r="L1849" s="25">
        <v>1070</v>
      </c>
      <c r="M1849" s="26">
        <v>27</v>
      </c>
      <c r="N1849" s="27">
        <v>27</v>
      </c>
      <c r="O1849" s="28">
        <v>2.4545454545454544E-2</v>
      </c>
      <c r="P1849" s="28">
        <v>25.56637168141593</v>
      </c>
    </row>
    <row r="1850" spans="1:16" x14ac:dyDescent="0.3">
      <c r="A1850" t="s">
        <v>4734</v>
      </c>
      <c r="B1850" s="24">
        <v>106916</v>
      </c>
      <c r="C1850" s="24" t="s">
        <v>1216</v>
      </c>
      <c r="D1850" s="24" t="s">
        <v>1102</v>
      </c>
      <c r="E1850" s="24" t="s">
        <v>51</v>
      </c>
      <c r="F1850" s="24" t="s">
        <v>1142</v>
      </c>
      <c r="G1850" s="24" t="s">
        <v>1203</v>
      </c>
      <c r="H1850" s="24" t="s">
        <v>110</v>
      </c>
      <c r="I1850" s="24" t="s">
        <v>1706</v>
      </c>
      <c r="J1850" s="24" t="s">
        <v>761</v>
      </c>
      <c r="K1850" s="24" t="s">
        <v>1146</v>
      </c>
      <c r="L1850" s="25">
        <v>1070</v>
      </c>
      <c r="M1850" s="26">
        <v>27</v>
      </c>
      <c r="N1850" s="27">
        <v>27</v>
      </c>
      <c r="O1850" s="28">
        <v>2.4545454545454544E-2</v>
      </c>
      <c r="P1850" s="28">
        <v>25.56637168141593</v>
      </c>
    </row>
    <row r="1851" spans="1:16" x14ac:dyDescent="0.3">
      <c r="A1851" t="s">
        <v>4735</v>
      </c>
      <c r="B1851" s="24">
        <v>101186</v>
      </c>
      <c r="C1851" s="24" t="s">
        <v>1273</v>
      </c>
      <c r="D1851" s="24" t="s">
        <v>1102</v>
      </c>
      <c r="E1851" s="24" t="s">
        <v>51</v>
      </c>
      <c r="F1851" s="24" t="s">
        <v>1142</v>
      </c>
      <c r="G1851" s="24" t="s">
        <v>1203</v>
      </c>
      <c r="H1851" s="24" t="s">
        <v>146</v>
      </c>
      <c r="I1851" s="24" t="s">
        <v>1707</v>
      </c>
      <c r="J1851" s="24" t="s">
        <v>761</v>
      </c>
      <c r="K1851" s="24" t="s">
        <v>1146</v>
      </c>
      <c r="L1851" s="25">
        <v>1070</v>
      </c>
      <c r="M1851" s="26">
        <v>12.35</v>
      </c>
      <c r="N1851" s="27">
        <v>12.35</v>
      </c>
      <c r="O1851" s="28">
        <v>1.1227272727272726E-2</v>
      </c>
      <c r="P1851" s="28">
        <v>11.694247787610619</v>
      </c>
    </row>
    <row r="1852" spans="1:16" x14ac:dyDescent="0.3">
      <c r="A1852" t="s">
        <v>4736</v>
      </c>
      <c r="B1852" s="24">
        <v>101206</v>
      </c>
      <c r="C1852" s="24" t="s">
        <v>1199</v>
      </c>
      <c r="D1852" s="24" t="s">
        <v>1102</v>
      </c>
      <c r="E1852" s="24" t="s">
        <v>51</v>
      </c>
      <c r="F1852" s="24" t="s">
        <v>1142</v>
      </c>
      <c r="G1852" s="24" t="s">
        <v>1200</v>
      </c>
      <c r="H1852" s="24" t="s">
        <v>146</v>
      </c>
      <c r="I1852" s="24" t="s">
        <v>1707</v>
      </c>
      <c r="J1852" s="24" t="s">
        <v>761</v>
      </c>
      <c r="K1852" s="24" t="s">
        <v>1146</v>
      </c>
      <c r="L1852" s="25">
        <v>1070</v>
      </c>
      <c r="M1852" s="26">
        <v>12.35</v>
      </c>
      <c r="N1852" s="27">
        <v>12.35</v>
      </c>
      <c r="O1852" s="28">
        <v>1.1227272727272726E-2</v>
      </c>
      <c r="P1852" s="28">
        <v>11.694247787610619</v>
      </c>
    </row>
    <row r="1853" spans="1:16" x14ac:dyDescent="0.3">
      <c r="A1853" t="s">
        <v>4737</v>
      </c>
      <c r="B1853" s="24">
        <v>111550</v>
      </c>
      <c r="C1853" s="24" t="s">
        <v>1582</v>
      </c>
      <c r="D1853" s="24" t="s">
        <v>1102</v>
      </c>
      <c r="E1853" s="24" t="s">
        <v>51</v>
      </c>
      <c r="F1853" s="24" t="s">
        <v>1142</v>
      </c>
      <c r="G1853" s="24" t="s">
        <v>1402</v>
      </c>
      <c r="H1853" s="24" t="s">
        <v>146</v>
      </c>
      <c r="I1853" s="24" t="s">
        <v>1707</v>
      </c>
      <c r="J1853" s="24" t="s">
        <v>761</v>
      </c>
      <c r="K1853" s="24" t="s">
        <v>1146</v>
      </c>
      <c r="L1853" s="25">
        <v>1070</v>
      </c>
      <c r="M1853" s="26">
        <v>12.35</v>
      </c>
      <c r="N1853" s="27">
        <v>12.35</v>
      </c>
      <c r="O1853" s="28">
        <v>1.1227272727272726E-2</v>
      </c>
      <c r="P1853" s="28">
        <v>11.694247787610619</v>
      </c>
    </row>
    <row r="1854" spans="1:16" x14ac:dyDescent="0.3">
      <c r="A1854" t="s">
        <v>4738</v>
      </c>
      <c r="B1854" s="24">
        <v>101186</v>
      </c>
      <c r="C1854" s="24" t="s">
        <v>1273</v>
      </c>
      <c r="D1854" s="24" t="s">
        <v>1102</v>
      </c>
      <c r="E1854" s="24" t="s">
        <v>51</v>
      </c>
      <c r="F1854" s="24" t="s">
        <v>1142</v>
      </c>
      <c r="G1854" s="24" t="s">
        <v>1203</v>
      </c>
      <c r="H1854" s="24" t="s">
        <v>1064</v>
      </c>
      <c r="I1854" s="24" t="s">
        <v>1708</v>
      </c>
      <c r="J1854" s="24" t="s">
        <v>761</v>
      </c>
      <c r="K1854" s="24" t="s">
        <v>1146</v>
      </c>
      <c r="L1854" s="25">
        <v>1070</v>
      </c>
      <c r="M1854" s="26">
        <v>11.3</v>
      </c>
      <c r="N1854" s="27">
        <v>11.3</v>
      </c>
      <c r="O1854" s="28">
        <v>1.0272727272727274E-2</v>
      </c>
      <c r="P1854" s="28">
        <v>10.7</v>
      </c>
    </row>
    <row r="1855" spans="1:16" x14ac:dyDescent="0.3">
      <c r="A1855" t="s">
        <v>4739</v>
      </c>
      <c r="B1855" s="24">
        <v>101206</v>
      </c>
      <c r="C1855" s="24" t="s">
        <v>1199</v>
      </c>
      <c r="D1855" s="24" t="s">
        <v>1102</v>
      </c>
      <c r="E1855" s="24" t="s">
        <v>51</v>
      </c>
      <c r="F1855" s="24" t="s">
        <v>1142</v>
      </c>
      <c r="G1855" s="24" t="s">
        <v>1200</v>
      </c>
      <c r="H1855" s="24" t="s">
        <v>1064</v>
      </c>
      <c r="I1855" s="24" t="s">
        <v>1708</v>
      </c>
      <c r="J1855" s="24" t="s">
        <v>761</v>
      </c>
      <c r="K1855" s="24" t="s">
        <v>1146</v>
      </c>
      <c r="L1855" s="25">
        <v>1070</v>
      </c>
      <c r="M1855" s="26">
        <v>11.3</v>
      </c>
      <c r="N1855" s="27">
        <v>11.3</v>
      </c>
      <c r="O1855" s="28">
        <v>1.0272727272727274E-2</v>
      </c>
      <c r="P1855" s="28">
        <v>10.7</v>
      </c>
    </row>
    <row r="1856" spans="1:16" x14ac:dyDescent="0.3">
      <c r="A1856" t="s">
        <v>4740</v>
      </c>
      <c r="B1856" s="24">
        <v>101184</v>
      </c>
      <c r="C1856" s="24" t="s">
        <v>1401</v>
      </c>
      <c r="D1856" s="24" t="s">
        <v>1102</v>
      </c>
      <c r="E1856" s="24" t="s">
        <v>51</v>
      </c>
      <c r="F1856" s="24" t="s">
        <v>1142</v>
      </c>
      <c r="G1856" s="24" t="s">
        <v>1402</v>
      </c>
      <c r="H1856" s="24" t="s">
        <v>280</v>
      </c>
      <c r="I1856" s="24" t="s">
        <v>1709</v>
      </c>
      <c r="J1856" s="24" t="s">
        <v>761</v>
      </c>
      <c r="K1856" s="24" t="s">
        <v>1146</v>
      </c>
      <c r="L1856" s="25">
        <v>1070</v>
      </c>
      <c r="M1856" s="26">
        <v>10.63</v>
      </c>
      <c r="N1856" s="27">
        <v>10.63</v>
      </c>
      <c r="O1856" s="28">
        <v>9.6636363636363638E-3</v>
      </c>
      <c r="P1856" s="28">
        <v>10.065575221238939</v>
      </c>
    </row>
    <row r="1857" spans="1:16" x14ac:dyDescent="0.3">
      <c r="A1857" t="s">
        <v>4741</v>
      </c>
      <c r="B1857" s="24">
        <v>100581</v>
      </c>
      <c r="C1857" s="24" t="s">
        <v>1232</v>
      </c>
      <c r="D1857" s="24" t="s">
        <v>1102</v>
      </c>
      <c r="E1857" s="24" t="s">
        <v>51</v>
      </c>
      <c r="F1857" s="24" t="s">
        <v>1142</v>
      </c>
      <c r="G1857" s="24" t="s">
        <v>1233</v>
      </c>
      <c r="H1857" s="24" t="s">
        <v>182</v>
      </c>
      <c r="I1857" s="24" t="s">
        <v>1710</v>
      </c>
      <c r="J1857" s="24" t="s">
        <v>761</v>
      </c>
      <c r="K1857" s="24" t="s">
        <v>1146</v>
      </c>
      <c r="L1857" s="25">
        <v>1070</v>
      </c>
      <c r="M1857" s="26">
        <v>12.02</v>
      </c>
      <c r="N1857" s="27">
        <v>12.02</v>
      </c>
      <c r="O1857" s="28">
        <v>1.0927272727272726E-2</v>
      </c>
      <c r="P1857" s="28">
        <v>11.381769911504424</v>
      </c>
    </row>
    <row r="1858" spans="1:16" x14ac:dyDescent="0.3">
      <c r="A1858" t="s">
        <v>4742</v>
      </c>
      <c r="B1858" s="24">
        <v>101186</v>
      </c>
      <c r="C1858" s="24" t="s">
        <v>1273</v>
      </c>
      <c r="D1858" s="24" t="s">
        <v>1102</v>
      </c>
      <c r="E1858" s="24" t="s">
        <v>51</v>
      </c>
      <c r="F1858" s="24" t="s">
        <v>1142</v>
      </c>
      <c r="G1858" s="24" t="s">
        <v>1203</v>
      </c>
      <c r="H1858" s="24" t="s">
        <v>182</v>
      </c>
      <c r="I1858" s="24" t="s">
        <v>1710</v>
      </c>
      <c r="J1858" s="24" t="s">
        <v>761</v>
      </c>
      <c r="K1858" s="24" t="s">
        <v>1146</v>
      </c>
      <c r="L1858" s="25">
        <v>1070</v>
      </c>
      <c r="M1858" s="26">
        <v>12.02</v>
      </c>
      <c r="N1858" s="27">
        <v>12.02</v>
      </c>
      <c r="O1858" s="28">
        <v>1.0927272727272726E-2</v>
      </c>
      <c r="P1858" s="28">
        <v>11.381769911504424</v>
      </c>
    </row>
    <row r="1859" spans="1:16" x14ac:dyDescent="0.3">
      <c r="A1859" t="s">
        <v>4743</v>
      </c>
      <c r="B1859" s="24">
        <v>101206</v>
      </c>
      <c r="C1859" s="24" t="s">
        <v>1199</v>
      </c>
      <c r="D1859" s="24" t="s">
        <v>1102</v>
      </c>
      <c r="E1859" s="24" t="s">
        <v>51</v>
      </c>
      <c r="F1859" s="24" t="s">
        <v>1142</v>
      </c>
      <c r="G1859" s="24" t="s">
        <v>1200</v>
      </c>
      <c r="H1859" s="24" t="s">
        <v>182</v>
      </c>
      <c r="I1859" s="24" t="s">
        <v>1710</v>
      </c>
      <c r="J1859" s="24" t="s">
        <v>761</v>
      </c>
      <c r="K1859" s="24" t="s">
        <v>1146</v>
      </c>
      <c r="L1859" s="25">
        <v>1070</v>
      </c>
      <c r="M1859" s="26">
        <v>12.02</v>
      </c>
      <c r="N1859" s="27">
        <v>12.02</v>
      </c>
      <c r="O1859" s="28">
        <v>1.0927272727272726E-2</v>
      </c>
      <c r="P1859" s="28">
        <v>11.381769911504424</v>
      </c>
    </row>
    <row r="1860" spans="1:16" x14ac:dyDescent="0.3">
      <c r="A1860" t="s">
        <v>4744</v>
      </c>
      <c r="B1860" s="24">
        <v>111550</v>
      </c>
      <c r="C1860" s="24" t="s">
        <v>1582</v>
      </c>
      <c r="D1860" s="24" t="s">
        <v>1102</v>
      </c>
      <c r="E1860" s="24" t="s">
        <v>51</v>
      </c>
      <c r="F1860" s="24" t="s">
        <v>1142</v>
      </c>
      <c r="G1860" s="24" t="s">
        <v>1402</v>
      </c>
      <c r="H1860" s="24" t="s">
        <v>182</v>
      </c>
      <c r="I1860" s="24" t="s">
        <v>1710</v>
      </c>
      <c r="J1860" s="24" t="s">
        <v>761</v>
      </c>
      <c r="K1860" s="24" t="s">
        <v>1146</v>
      </c>
      <c r="L1860" s="25">
        <v>1070</v>
      </c>
      <c r="M1860" s="26">
        <v>12.02</v>
      </c>
      <c r="N1860" s="27">
        <v>12.02</v>
      </c>
      <c r="O1860" s="28">
        <v>1.0927272727272726E-2</v>
      </c>
      <c r="P1860" s="28">
        <v>11.381769911504424</v>
      </c>
    </row>
    <row r="1861" spans="1:16" x14ac:dyDescent="0.3">
      <c r="A1861" t="s">
        <v>4745</v>
      </c>
      <c r="B1861" s="24">
        <v>114501</v>
      </c>
      <c r="C1861" s="24" t="s">
        <v>1409</v>
      </c>
      <c r="D1861" s="24" t="s">
        <v>1102</v>
      </c>
      <c r="E1861" s="24" t="s">
        <v>51</v>
      </c>
      <c r="F1861" s="24" t="s">
        <v>1142</v>
      </c>
      <c r="G1861" s="24" t="s">
        <v>1402</v>
      </c>
      <c r="H1861" s="24" t="s">
        <v>182</v>
      </c>
      <c r="I1861" s="24" t="s">
        <v>1710</v>
      </c>
      <c r="J1861" s="24" t="s">
        <v>761</v>
      </c>
      <c r="K1861" s="24" t="s">
        <v>1146</v>
      </c>
      <c r="L1861" s="25">
        <v>1070</v>
      </c>
      <c r="M1861" s="26">
        <v>12.02</v>
      </c>
      <c r="N1861" s="27">
        <v>12.02</v>
      </c>
      <c r="O1861" s="28">
        <v>1.0927272727272726E-2</v>
      </c>
      <c r="P1861" s="28">
        <v>11.381769911504424</v>
      </c>
    </row>
    <row r="1862" spans="1:16" x14ac:dyDescent="0.3">
      <c r="A1862" t="s">
        <v>4746</v>
      </c>
      <c r="B1862" s="24">
        <v>111550</v>
      </c>
      <c r="C1862" s="24" t="s">
        <v>1582</v>
      </c>
      <c r="D1862" s="24" t="s">
        <v>1102</v>
      </c>
      <c r="E1862" s="24" t="s">
        <v>51</v>
      </c>
      <c r="F1862" s="24" t="s">
        <v>1142</v>
      </c>
      <c r="G1862" s="24" t="s">
        <v>1402</v>
      </c>
      <c r="H1862" s="24" t="s">
        <v>69</v>
      </c>
      <c r="I1862" s="24" t="s">
        <v>1711</v>
      </c>
      <c r="J1862" s="24" t="s">
        <v>761</v>
      </c>
      <c r="K1862" s="24" t="s">
        <v>1146</v>
      </c>
      <c r="L1862" s="25">
        <v>1070</v>
      </c>
      <c r="M1862" s="26">
        <v>16.88</v>
      </c>
      <c r="N1862" s="27">
        <v>16.88</v>
      </c>
      <c r="O1862" s="28">
        <v>1.5345454545454544E-2</v>
      </c>
      <c r="P1862" s="28">
        <v>15.98371681415929</v>
      </c>
    </row>
    <row r="1863" spans="1:16" x14ac:dyDescent="0.3">
      <c r="A1863" t="s">
        <v>4747</v>
      </c>
      <c r="B1863" s="24">
        <v>300015</v>
      </c>
      <c r="C1863" s="24" t="s">
        <v>1236</v>
      </c>
      <c r="D1863" s="24" t="s">
        <v>1102</v>
      </c>
      <c r="E1863" s="24" t="s">
        <v>51</v>
      </c>
      <c r="F1863" s="24" t="s">
        <v>1237</v>
      </c>
      <c r="G1863" s="24" t="s">
        <v>1238</v>
      </c>
      <c r="H1863" s="24" t="s">
        <v>1712</v>
      </c>
      <c r="I1863" s="24" t="s">
        <v>1713</v>
      </c>
      <c r="J1863" s="24" t="s">
        <v>761</v>
      </c>
      <c r="K1863" s="24" t="s">
        <v>1146</v>
      </c>
      <c r="L1863" s="25">
        <v>1070</v>
      </c>
      <c r="M1863" s="26">
        <v>18.059999999999999</v>
      </c>
      <c r="N1863" s="27">
        <v>18.059999999999999</v>
      </c>
      <c r="O1863" s="28">
        <v>1.6418181818181818E-2</v>
      </c>
      <c r="P1863" s="28">
        <v>17.101061946902654</v>
      </c>
    </row>
    <row r="1864" spans="1:16" x14ac:dyDescent="0.3">
      <c r="A1864" t="s">
        <v>4748</v>
      </c>
      <c r="B1864" s="24">
        <v>142051</v>
      </c>
      <c r="C1864" s="24" t="s">
        <v>1491</v>
      </c>
      <c r="D1864" s="24" t="s">
        <v>1102</v>
      </c>
      <c r="E1864" s="24" t="s">
        <v>51</v>
      </c>
      <c r="F1864" s="24" t="s">
        <v>1237</v>
      </c>
      <c r="G1864" s="24" t="s">
        <v>1238</v>
      </c>
      <c r="H1864" s="24" t="s">
        <v>74</v>
      </c>
      <c r="I1864" s="24" t="s">
        <v>1714</v>
      </c>
      <c r="J1864" s="24" t="s">
        <v>761</v>
      </c>
      <c r="K1864" s="24" t="s">
        <v>1146</v>
      </c>
      <c r="L1864" s="25">
        <v>1070</v>
      </c>
      <c r="M1864" s="26">
        <v>1</v>
      </c>
      <c r="N1864" s="27">
        <v>1</v>
      </c>
      <c r="O1864" s="28">
        <v>9.0909090909090909E-4</v>
      </c>
      <c r="P1864" s="28">
        <v>0.94690265486725667</v>
      </c>
    </row>
    <row r="1865" spans="1:16" x14ac:dyDescent="0.3">
      <c r="A1865" t="s">
        <v>4749</v>
      </c>
      <c r="B1865" s="24">
        <v>101186</v>
      </c>
      <c r="C1865" s="24" t="s">
        <v>1273</v>
      </c>
      <c r="D1865" s="24" t="s">
        <v>1102</v>
      </c>
      <c r="E1865" s="24" t="s">
        <v>51</v>
      </c>
      <c r="F1865" s="24" t="s">
        <v>1142</v>
      </c>
      <c r="G1865" s="24" t="s">
        <v>1203</v>
      </c>
      <c r="H1865" s="24" t="s">
        <v>126</v>
      </c>
      <c r="I1865" s="24" t="s">
        <v>1715</v>
      </c>
      <c r="J1865" s="24" t="s">
        <v>761</v>
      </c>
      <c r="K1865" s="24" t="s">
        <v>1146</v>
      </c>
      <c r="L1865" s="25">
        <v>1070</v>
      </c>
      <c r="M1865" s="26">
        <v>14.62</v>
      </c>
      <c r="N1865" s="27">
        <v>14.62</v>
      </c>
      <c r="O1865" s="28">
        <v>1.3290909090909089E-2</v>
      </c>
      <c r="P1865" s="28">
        <v>13.843716814159292</v>
      </c>
    </row>
    <row r="1866" spans="1:16" x14ac:dyDescent="0.3">
      <c r="A1866" t="s">
        <v>4750</v>
      </c>
      <c r="B1866" s="24">
        <v>100603</v>
      </c>
      <c r="C1866" s="24" t="s">
        <v>1277</v>
      </c>
      <c r="D1866" s="24" t="s">
        <v>1102</v>
      </c>
      <c r="E1866" s="24" t="s">
        <v>51</v>
      </c>
      <c r="F1866" s="24" t="s">
        <v>1142</v>
      </c>
      <c r="G1866" s="24" t="s">
        <v>1082</v>
      </c>
      <c r="H1866" s="24" t="s">
        <v>116</v>
      </c>
      <c r="I1866" s="24" t="s">
        <v>1716</v>
      </c>
      <c r="J1866" s="24" t="s">
        <v>761</v>
      </c>
      <c r="K1866" s="24" t="s">
        <v>1146</v>
      </c>
      <c r="L1866" s="25">
        <v>1070</v>
      </c>
      <c r="M1866" s="26">
        <v>16</v>
      </c>
      <c r="N1866" s="27">
        <v>16</v>
      </c>
      <c r="O1866" s="28">
        <v>1.4545454545454545E-2</v>
      </c>
      <c r="P1866" s="28">
        <v>15.150442477876107</v>
      </c>
    </row>
    <row r="1867" spans="1:16" x14ac:dyDescent="0.3">
      <c r="A1867" t="s">
        <v>4751</v>
      </c>
      <c r="B1867" s="24">
        <v>101184</v>
      </c>
      <c r="C1867" s="24" t="s">
        <v>1401</v>
      </c>
      <c r="D1867" s="24" t="s">
        <v>1102</v>
      </c>
      <c r="E1867" s="24" t="s">
        <v>51</v>
      </c>
      <c r="F1867" s="24" t="s">
        <v>1142</v>
      </c>
      <c r="G1867" s="24" t="s">
        <v>1402</v>
      </c>
      <c r="H1867" s="24" t="s">
        <v>116</v>
      </c>
      <c r="I1867" s="24" t="s">
        <v>1716</v>
      </c>
      <c r="J1867" s="24" t="s">
        <v>761</v>
      </c>
      <c r="K1867" s="24" t="s">
        <v>1146</v>
      </c>
      <c r="L1867" s="25">
        <v>1070</v>
      </c>
      <c r="M1867" s="26">
        <v>16</v>
      </c>
      <c r="N1867" s="27">
        <v>16</v>
      </c>
      <c r="O1867" s="28">
        <v>1.4545454545454545E-2</v>
      </c>
      <c r="P1867" s="28">
        <v>15.150442477876107</v>
      </c>
    </row>
    <row r="1868" spans="1:16" x14ac:dyDescent="0.3">
      <c r="A1868" t="s">
        <v>4752</v>
      </c>
      <c r="B1868" s="24">
        <v>101206</v>
      </c>
      <c r="C1868" s="24" t="s">
        <v>1199</v>
      </c>
      <c r="D1868" s="24" t="s">
        <v>1102</v>
      </c>
      <c r="E1868" s="24" t="s">
        <v>51</v>
      </c>
      <c r="F1868" s="24" t="s">
        <v>1142</v>
      </c>
      <c r="G1868" s="24" t="s">
        <v>1200</v>
      </c>
      <c r="H1868" s="24" t="s">
        <v>81</v>
      </c>
      <c r="I1868" s="24" t="s">
        <v>1717</v>
      </c>
      <c r="J1868" s="24" t="s">
        <v>761</v>
      </c>
      <c r="K1868" s="24" t="s">
        <v>1146</v>
      </c>
      <c r="L1868" s="25">
        <v>1070</v>
      </c>
      <c r="M1868" s="26">
        <v>16</v>
      </c>
      <c r="N1868" s="27">
        <v>16</v>
      </c>
      <c r="O1868" s="28">
        <v>1.4545454545454545E-2</v>
      </c>
      <c r="P1868" s="28">
        <v>15.150442477876107</v>
      </c>
    </row>
    <row r="1869" spans="1:16" x14ac:dyDescent="0.3">
      <c r="A1869" t="s">
        <v>4753</v>
      </c>
      <c r="B1869" s="24">
        <v>101424</v>
      </c>
      <c r="C1869" s="24" t="s">
        <v>1278</v>
      </c>
      <c r="D1869" s="24" t="s">
        <v>1102</v>
      </c>
      <c r="E1869" s="24" t="s">
        <v>51</v>
      </c>
      <c r="F1869" s="24" t="s">
        <v>1142</v>
      </c>
      <c r="G1869" s="24" t="s">
        <v>1203</v>
      </c>
      <c r="H1869" s="24" t="s">
        <v>81</v>
      </c>
      <c r="I1869" s="24" t="s">
        <v>1717</v>
      </c>
      <c r="J1869" s="24" t="s">
        <v>761</v>
      </c>
      <c r="K1869" s="24" t="s">
        <v>1146</v>
      </c>
      <c r="L1869" s="25">
        <v>1070</v>
      </c>
      <c r="M1869" s="26">
        <v>16</v>
      </c>
      <c r="N1869" s="27">
        <v>16</v>
      </c>
      <c r="O1869" s="28">
        <v>1.4545454545454545E-2</v>
      </c>
      <c r="P1869" s="28">
        <v>15.150442477876107</v>
      </c>
    </row>
    <row r="1870" spans="1:16" x14ac:dyDescent="0.3">
      <c r="A1870" t="s">
        <v>4754</v>
      </c>
      <c r="B1870" s="24">
        <v>106916</v>
      </c>
      <c r="C1870" s="24" t="s">
        <v>1216</v>
      </c>
      <c r="D1870" s="24" t="s">
        <v>1102</v>
      </c>
      <c r="E1870" s="24" t="s">
        <v>51</v>
      </c>
      <c r="F1870" s="24" t="s">
        <v>1142</v>
      </c>
      <c r="G1870" s="24" t="s">
        <v>1203</v>
      </c>
      <c r="H1870" s="24" t="s">
        <v>81</v>
      </c>
      <c r="I1870" s="24" t="s">
        <v>1717</v>
      </c>
      <c r="J1870" s="24" t="s">
        <v>761</v>
      </c>
      <c r="K1870" s="24" t="s">
        <v>1146</v>
      </c>
      <c r="L1870" s="25">
        <v>1070</v>
      </c>
      <c r="M1870" s="26">
        <v>16</v>
      </c>
      <c r="N1870" s="27">
        <v>16</v>
      </c>
      <c r="O1870" s="28">
        <v>1.4545454545454545E-2</v>
      </c>
      <c r="P1870" s="28">
        <v>15.150442477876107</v>
      </c>
    </row>
    <row r="1871" spans="1:16" x14ac:dyDescent="0.3">
      <c r="A1871" t="s">
        <v>4755</v>
      </c>
      <c r="B1871" s="24">
        <v>111550</v>
      </c>
      <c r="C1871" s="24" t="s">
        <v>1582</v>
      </c>
      <c r="D1871" s="24" t="s">
        <v>1102</v>
      </c>
      <c r="E1871" s="24" t="s">
        <v>51</v>
      </c>
      <c r="F1871" s="24" t="s">
        <v>1142</v>
      </c>
      <c r="G1871" s="24" t="s">
        <v>1402</v>
      </c>
      <c r="H1871" s="24" t="s">
        <v>81</v>
      </c>
      <c r="I1871" s="24" t="s">
        <v>1717</v>
      </c>
      <c r="J1871" s="24" t="s">
        <v>761</v>
      </c>
      <c r="K1871" s="24" t="s">
        <v>1146</v>
      </c>
      <c r="L1871" s="25">
        <v>1070</v>
      </c>
      <c r="M1871" s="26">
        <v>16</v>
      </c>
      <c r="N1871" s="27">
        <v>16</v>
      </c>
      <c r="O1871" s="28">
        <v>1.4545454545454545E-2</v>
      </c>
      <c r="P1871" s="28">
        <v>15.150442477876107</v>
      </c>
    </row>
    <row r="1872" spans="1:16" x14ac:dyDescent="0.3">
      <c r="A1872" t="s">
        <v>4756</v>
      </c>
      <c r="B1872" s="24">
        <v>101186</v>
      </c>
      <c r="C1872" s="24" t="s">
        <v>1273</v>
      </c>
      <c r="D1872" s="24" t="s">
        <v>1102</v>
      </c>
      <c r="E1872" s="24" t="s">
        <v>51</v>
      </c>
      <c r="F1872" s="24" t="s">
        <v>1142</v>
      </c>
      <c r="G1872" s="24" t="s">
        <v>1203</v>
      </c>
      <c r="H1872" s="24" t="s">
        <v>1718</v>
      </c>
      <c r="I1872" s="24" t="s">
        <v>1719</v>
      </c>
      <c r="J1872" s="24" t="s">
        <v>761</v>
      </c>
      <c r="K1872" s="24" t="s">
        <v>1146</v>
      </c>
      <c r="L1872" s="25">
        <v>1070</v>
      </c>
      <c r="M1872" s="26">
        <v>21</v>
      </c>
      <c r="N1872" s="27">
        <v>21</v>
      </c>
      <c r="O1872" s="28">
        <v>1.9090909090909092E-2</v>
      </c>
      <c r="P1872" s="28">
        <v>19.884955752212388</v>
      </c>
    </row>
    <row r="1873" spans="1:16" x14ac:dyDescent="0.3">
      <c r="A1873" t="s">
        <v>4757</v>
      </c>
      <c r="B1873" s="24">
        <v>111550</v>
      </c>
      <c r="C1873" s="24" t="s">
        <v>1582</v>
      </c>
      <c r="D1873" s="24" t="s">
        <v>1102</v>
      </c>
      <c r="E1873" s="24" t="s">
        <v>51</v>
      </c>
      <c r="F1873" s="24" t="s">
        <v>1142</v>
      </c>
      <c r="G1873" s="24" t="s">
        <v>1402</v>
      </c>
      <c r="H1873" s="24" t="s">
        <v>309</v>
      </c>
      <c r="I1873" s="24" t="s">
        <v>1720</v>
      </c>
      <c r="J1873" s="24" t="s">
        <v>761</v>
      </c>
      <c r="K1873" s="24" t="s">
        <v>1146</v>
      </c>
      <c r="L1873" s="25">
        <v>1070</v>
      </c>
      <c r="M1873" s="26">
        <v>17.7</v>
      </c>
      <c r="N1873" s="27">
        <v>17.7</v>
      </c>
      <c r="O1873" s="28">
        <v>1.609090909090909E-2</v>
      </c>
      <c r="P1873" s="28">
        <v>16.760176991150441</v>
      </c>
    </row>
    <row r="1874" spans="1:16" x14ac:dyDescent="0.3">
      <c r="A1874" t="s">
        <v>4758</v>
      </c>
      <c r="B1874" s="24">
        <v>114501</v>
      </c>
      <c r="C1874" s="24" t="s">
        <v>1409</v>
      </c>
      <c r="D1874" s="24" t="s">
        <v>1102</v>
      </c>
      <c r="E1874" s="24" t="s">
        <v>51</v>
      </c>
      <c r="F1874" s="24" t="s">
        <v>1142</v>
      </c>
      <c r="G1874" s="24" t="s">
        <v>1402</v>
      </c>
      <c r="H1874" s="24" t="s">
        <v>309</v>
      </c>
      <c r="I1874" s="24" t="s">
        <v>1720</v>
      </c>
      <c r="J1874" s="24" t="s">
        <v>761</v>
      </c>
      <c r="K1874" s="24" t="s">
        <v>1146</v>
      </c>
      <c r="L1874" s="25">
        <v>1070</v>
      </c>
      <c r="M1874" s="26">
        <v>17.7</v>
      </c>
      <c r="N1874" s="27">
        <v>17.7</v>
      </c>
      <c r="O1874" s="28">
        <v>1.609090909090909E-2</v>
      </c>
      <c r="P1874" s="28">
        <v>16.760176991150441</v>
      </c>
    </row>
    <row r="1875" spans="1:16" x14ac:dyDescent="0.3">
      <c r="A1875" t="s">
        <v>4759</v>
      </c>
      <c r="B1875" s="24">
        <v>101424</v>
      </c>
      <c r="C1875" s="24" t="s">
        <v>1278</v>
      </c>
      <c r="D1875" s="24" t="s">
        <v>1102</v>
      </c>
      <c r="E1875" s="24" t="s">
        <v>51</v>
      </c>
      <c r="F1875" s="24" t="s">
        <v>1142</v>
      </c>
      <c r="G1875" s="24" t="s">
        <v>1203</v>
      </c>
      <c r="H1875" s="24" t="s">
        <v>191</v>
      </c>
      <c r="I1875" s="24" t="s">
        <v>1721</v>
      </c>
      <c r="J1875" s="24" t="s">
        <v>761</v>
      </c>
      <c r="K1875" s="24" t="s">
        <v>1146</v>
      </c>
      <c r="L1875" s="25">
        <v>1070</v>
      </c>
      <c r="M1875" s="26">
        <v>21.38</v>
      </c>
      <c r="N1875" s="27">
        <v>21.38</v>
      </c>
      <c r="O1875" s="28">
        <v>1.9436363636363637E-2</v>
      </c>
      <c r="P1875" s="28">
        <v>20.244778761061944</v>
      </c>
    </row>
    <row r="1876" spans="1:16" x14ac:dyDescent="0.3">
      <c r="A1876" t="s">
        <v>4760</v>
      </c>
      <c r="B1876" s="24">
        <v>100603</v>
      </c>
      <c r="C1876" s="24" t="s">
        <v>1277</v>
      </c>
      <c r="D1876" s="24" t="s">
        <v>1102</v>
      </c>
      <c r="E1876" s="24" t="s">
        <v>51</v>
      </c>
      <c r="F1876" s="24" t="s">
        <v>1142</v>
      </c>
      <c r="G1876" s="24" t="s">
        <v>1082</v>
      </c>
      <c r="H1876" s="24" t="s">
        <v>310</v>
      </c>
      <c r="I1876" s="24" t="s">
        <v>1722</v>
      </c>
      <c r="J1876" s="24" t="s">
        <v>761</v>
      </c>
      <c r="K1876" s="24" t="s">
        <v>1146</v>
      </c>
      <c r="L1876" s="25">
        <v>1070</v>
      </c>
      <c r="M1876" s="26">
        <v>12.5</v>
      </c>
      <c r="N1876" s="27">
        <v>12.5</v>
      </c>
      <c r="O1876" s="28">
        <v>1.1363636363636364E-2</v>
      </c>
      <c r="P1876" s="28">
        <v>11.836283185840708</v>
      </c>
    </row>
    <row r="1877" spans="1:16" x14ac:dyDescent="0.3">
      <c r="A1877" t="s">
        <v>4761</v>
      </c>
      <c r="B1877" s="24">
        <v>100581</v>
      </c>
      <c r="C1877" s="24" t="s">
        <v>1232</v>
      </c>
      <c r="D1877" s="24" t="s">
        <v>1102</v>
      </c>
      <c r="E1877" s="24" t="s">
        <v>51</v>
      </c>
      <c r="F1877" s="24" t="s">
        <v>1142</v>
      </c>
      <c r="G1877" s="24" t="s">
        <v>1233</v>
      </c>
      <c r="H1877" s="24" t="s">
        <v>311</v>
      </c>
      <c r="I1877" s="24" t="s">
        <v>1723</v>
      </c>
      <c r="J1877" s="24" t="s">
        <v>761</v>
      </c>
      <c r="K1877" s="24" t="s">
        <v>1146</v>
      </c>
      <c r="L1877" s="25">
        <v>1070</v>
      </c>
      <c r="M1877" s="26">
        <v>31.56</v>
      </c>
      <c r="N1877" s="27">
        <v>31.56</v>
      </c>
      <c r="O1877" s="28">
        <v>2.869090909090909E-2</v>
      </c>
      <c r="P1877" s="28">
        <v>29.884247787610615</v>
      </c>
    </row>
    <row r="1878" spans="1:16" x14ac:dyDescent="0.3">
      <c r="A1878" t="s">
        <v>4762</v>
      </c>
      <c r="B1878" s="24">
        <v>100603</v>
      </c>
      <c r="C1878" s="24" t="s">
        <v>1277</v>
      </c>
      <c r="D1878" s="24" t="s">
        <v>1102</v>
      </c>
      <c r="E1878" s="24" t="s">
        <v>51</v>
      </c>
      <c r="F1878" s="24" t="s">
        <v>1142</v>
      </c>
      <c r="G1878" s="24" t="s">
        <v>1082</v>
      </c>
      <c r="H1878" s="24" t="s">
        <v>311</v>
      </c>
      <c r="I1878" s="24" t="s">
        <v>1723</v>
      </c>
      <c r="J1878" s="24" t="s">
        <v>761</v>
      </c>
      <c r="K1878" s="24" t="s">
        <v>1146</v>
      </c>
      <c r="L1878" s="25">
        <v>1070</v>
      </c>
      <c r="M1878" s="26">
        <v>31.56</v>
      </c>
      <c r="N1878" s="27">
        <v>31.56</v>
      </c>
      <c r="O1878" s="28">
        <v>2.869090909090909E-2</v>
      </c>
      <c r="P1878" s="28">
        <v>29.884247787610615</v>
      </c>
    </row>
    <row r="1879" spans="1:16" x14ac:dyDescent="0.3">
      <c r="A1879" t="s">
        <v>4763</v>
      </c>
      <c r="B1879" s="24">
        <v>101186</v>
      </c>
      <c r="C1879" s="24" t="s">
        <v>1273</v>
      </c>
      <c r="D1879" s="24" t="s">
        <v>1102</v>
      </c>
      <c r="E1879" s="24" t="s">
        <v>51</v>
      </c>
      <c r="F1879" s="24" t="s">
        <v>1142</v>
      </c>
      <c r="G1879" s="24" t="s">
        <v>1203</v>
      </c>
      <c r="H1879" s="24" t="s">
        <v>311</v>
      </c>
      <c r="I1879" s="24" t="s">
        <v>1723</v>
      </c>
      <c r="J1879" s="24" t="s">
        <v>761</v>
      </c>
      <c r="K1879" s="24" t="s">
        <v>1146</v>
      </c>
      <c r="L1879" s="25">
        <v>1070</v>
      </c>
      <c r="M1879" s="26">
        <v>31.56</v>
      </c>
      <c r="N1879" s="27">
        <v>31.56</v>
      </c>
      <c r="O1879" s="28">
        <v>2.869090909090909E-2</v>
      </c>
      <c r="P1879" s="28">
        <v>29.884247787610615</v>
      </c>
    </row>
    <row r="1880" spans="1:16" x14ac:dyDescent="0.3">
      <c r="A1880" t="s">
        <v>4764</v>
      </c>
      <c r="B1880" s="24">
        <v>101424</v>
      </c>
      <c r="C1880" s="24" t="s">
        <v>1278</v>
      </c>
      <c r="D1880" s="24" t="s">
        <v>1102</v>
      </c>
      <c r="E1880" s="24" t="s">
        <v>51</v>
      </c>
      <c r="F1880" s="24" t="s">
        <v>1142</v>
      </c>
      <c r="G1880" s="24" t="s">
        <v>1203</v>
      </c>
      <c r="H1880" s="24" t="s">
        <v>311</v>
      </c>
      <c r="I1880" s="24" t="s">
        <v>1723</v>
      </c>
      <c r="J1880" s="24" t="s">
        <v>761</v>
      </c>
      <c r="K1880" s="24" t="s">
        <v>1146</v>
      </c>
      <c r="L1880" s="25">
        <v>1070</v>
      </c>
      <c r="M1880" s="26">
        <v>31.56</v>
      </c>
      <c r="N1880" s="27">
        <v>31.56</v>
      </c>
      <c r="O1880" s="28">
        <v>2.869090909090909E-2</v>
      </c>
      <c r="P1880" s="28">
        <v>29.884247787610615</v>
      </c>
    </row>
    <row r="1881" spans="1:16" x14ac:dyDescent="0.3">
      <c r="A1881" t="s">
        <v>4765</v>
      </c>
      <c r="B1881" s="24">
        <v>111550</v>
      </c>
      <c r="C1881" s="24" t="s">
        <v>1582</v>
      </c>
      <c r="D1881" s="24" t="s">
        <v>1102</v>
      </c>
      <c r="E1881" s="24" t="s">
        <v>51</v>
      </c>
      <c r="F1881" s="24" t="s">
        <v>1142</v>
      </c>
      <c r="G1881" s="24" t="s">
        <v>1402</v>
      </c>
      <c r="H1881" s="24" t="s">
        <v>311</v>
      </c>
      <c r="I1881" s="24" t="s">
        <v>1723</v>
      </c>
      <c r="J1881" s="24" t="s">
        <v>761</v>
      </c>
      <c r="K1881" s="24" t="s">
        <v>1146</v>
      </c>
      <c r="L1881" s="25">
        <v>1070</v>
      </c>
      <c r="M1881" s="26">
        <v>31.56</v>
      </c>
      <c r="N1881" s="27">
        <v>31.56</v>
      </c>
      <c r="O1881" s="28">
        <v>2.869090909090909E-2</v>
      </c>
      <c r="P1881" s="28">
        <v>29.884247787610615</v>
      </c>
    </row>
    <row r="1882" spans="1:16" x14ac:dyDescent="0.3">
      <c r="A1882" t="s">
        <v>4766</v>
      </c>
      <c r="B1882" s="24">
        <v>142310</v>
      </c>
      <c r="C1882" s="24" t="s">
        <v>1474</v>
      </c>
      <c r="D1882" s="24" t="s">
        <v>1102</v>
      </c>
      <c r="E1882" s="24" t="s">
        <v>51</v>
      </c>
      <c r="F1882" s="24" t="s">
        <v>1142</v>
      </c>
      <c r="G1882" s="24" t="s">
        <v>1402</v>
      </c>
      <c r="H1882" s="24" t="s">
        <v>311</v>
      </c>
      <c r="I1882" s="24" t="s">
        <v>1723</v>
      </c>
      <c r="J1882" s="24" t="s">
        <v>761</v>
      </c>
      <c r="K1882" s="24" t="s">
        <v>1146</v>
      </c>
      <c r="L1882" s="25">
        <v>1070</v>
      </c>
      <c r="M1882" s="26">
        <v>31.56</v>
      </c>
      <c r="N1882" s="27">
        <v>31.56</v>
      </c>
      <c r="O1882" s="28">
        <v>2.869090909090909E-2</v>
      </c>
      <c r="P1882" s="28">
        <v>29.884247787610615</v>
      </c>
    </row>
    <row r="1883" spans="1:16" x14ac:dyDescent="0.3">
      <c r="A1883" t="s">
        <v>4767</v>
      </c>
      <c r="B1883" s="24">
        <v>100581</v>
      </c>
      <c r="C1883" s="24" t="s">
        <v>1232</v>
      </c>
      <c r="D1883" s="24" t="s">
        <v>1102</v>
      </c>
      <c r="E1883" s="24" t="s">
        <v>51</v>
      </c>
      <c r="F1883" s="24" t="s">
        <v>1142</v>
      </c>
      <c r="G1883" s="24" t="s">
        <v>1233</v>
      </c>
      <c r="H1883" s="24" t="s">
        <v>312</v>
      </c>
      <c r="I1883" s="24" t="s">
        <v>1724</v>
      </c>
      <c r="J1883" s="24" t="s">
        <v>761</v>
      </c>
      <c r="K1883" s="24" t="s">
        <v>1146</v>
      </c>
      <c r="L1883" s="25">
        <v>1070</v>
      </c>
      <c r="M1883" s="26">
        <v>31.56</v>
      </c>
      <c r="N1883" s="27">
        <v>31.56</v>
      </c>
      <c r="O1883" s="28">
        <v>2.869090909090909E-2</v>
      </c>
      <c r="P1883" s="28">
        <v>29.884247787610615</v>
      </c>
    </row>
    <row r="1884" spans="1:16" x14ac:dyDescent="0.3">
      <c r="A1884" t="s">
        <v>4768</v>
      </c>
      <c r="B1884" s="24">
        <v>100603</v>
      </c>
      <c r="C1884" s="24" t="s">
        <v>1277</v>
      </c>
      <c r="D1884" s="24" t="s">
        <v>1102</v>
      </c>
      <c r="E1884" s="24" t="s">
        <v>51</v>
      </c>
      <c r="F1884" s="24" t="s">
        <v>1142</v>
      </c>
      <c r="G1884" s="24" t="s">
        <v>1082</v>
      </c>
      <c r="H1884" s="24" t="s">
        <v>312</v>
      </c>
      <c r="I1884" s="24" t="s">
        <v>1724</v>
      </c>
      <c r="J1884" s="24" t="s">
        <v>761</v>
      </c>
      <c r="K1884" s="24" t="s">
        <v>1146</v>
      </c>
      <c r="L1884" s="25">
        <v>1070</v>
      </c>
      <c r="M1884" s="26">
        <v>31.56</v>
      </c>
      <c r="N1884" s="27">
        <v>31.56</v>
      </c>
      <c r="O1884" s="28">
        <v>2.869090909090909E-2</v>
      </c>
      <c r="P1884" s="28">
        <v>29.884247787610615</v>
      </c>
    </row>
    <row r="1885" spans="1:16" x14ac:dyDescent="0.3">
      <c r="A1885" t="s">
        <v>4769</v>
      </c>
      <c r="B1885" s="24">
        <v>101186</v>
      </c>
      <c r="C1885" s="24" t="s">
        <v>1273</v>
      </c>
      <c r="D1885" s="24" t="s">
        <v>1102</v>
      </c>
      <c r="E1885" s="24" t="s">
        <v>51</v>
      </c>
      <c r="F1885" s="24" t="s">
        <v>1142</v>
      </c>
      <c r="G1885" s="24" t="s">
        <v>1203</v>
      </c>
      <c r="H1885" s="24" t="s">
        <v>312</v>
      </c>
      <c r="I1885" s="24" t="s">
        <v>1724</v>
      </c>
      <c r="J1885" s="24" t="s">
        <v>761</v>
      </c>
      <c r="K1885" s="24" t="s">
        <v>1146</v>
      </c>
      <c r="L1885" s="25">
        <v>1070</v>
      </c>
      <c r="M1885" s="26">
        <v>31.56</v>
      </c>
      <c r="N1885" s="27">
        <v>31.56</v>
      </c>
      <c r="O1885" s="28">
        <v>2.869090909090909E-2</v>
      </c>
      <c r="P1885" s="28">
        <v>29.884247787610615</v>
      </c>
    </row>
    <row r="1886" spans="1:16" x14ac:dyDescent="0.3">
      <c r="A1886" t="s">
        <v>4770</v>
      </c>
      <c r="B1886" s="24">
        <v>111550</v>
      </c>
      <c r="C1886" s="24" t="s">
        <v>1582</v>
      </c>
      <c r="D1886" s="24" t="s">
        <v>1102</v>
      </c>
      <c r="E1886" s="24" t="s">
        <v>51</v>
      </c>
      <c r="F1886" s="24" t="s">
        <v>1142</v>
      </c>
      <c r="G1886" s="24" t="s">
        <v>1402</v>
      </c>
      <c r="H1886" s="24" t="s">
        <v>312</v>
      </c>
      <c r="I1886" s="24" t="s">
        <v>1724</v>
      </c>
      <c r="J1886" s="24" t="s">
        <v>761</v>
      </c>
      <c r="K1886" s="24" t="s">
        <v>1146</v>
      </c>
      <c r="L1886" s="25">
        <v>1070</v>
      </c>
      <c r="M1886" s="26">
        <v>31.56</v>
      </c>
      <c r="N1886" s="27">
        <v>31.56</v>
      </c>
      <c r="O1886" s="28">
        <v>2.869090909090909E-2</v>
      </c>
      <c r="P1886" s="28">
        <v>29.884247787610615</v>
      </c>
    </row>
    <row r="1887" spans="1:16" x14ac:dyDescent="0.3">
      <c r="A1887" t="s">
        <v>4771</v>
      </c>
      <c r="B1887" s="24">
        <v>101186</v>
      </c>
      <c r="C1887" s="24" t="s">
        <v>1273</v>
      </c>
      <c r="D1887" s="24" t="s">
        <v>1102</v>
      </c>
      <c r="E1887" s="24" t="s">
        <v>51</v>
      </c>
      <c r="F1887" s="24" t="s">
        <v>1142</v>
      </c>
      <c r="G1887" s="24" t="s">
        <v>1203</v>
      </c>
      <c r="H1887" s="24" t="s">
        <v>123</v>
      </c>
      <c r="I1887" s="24" t="s">
        <v>1725</v>
      </c>
      <c r="J1887" s="24" t="s">
        <v>761</v>
      </c>
      <c r="K1887" s="24" t="s">
        <v>1146</v>
      </c>
      <c r="L1887" s="25">
        <v>1070</v>
      </c>
      <c r="M1887" s="26">
        <v>17.87</v>
      </c>
      <c r="N1887" s="27">
        <v>17.87</v>
      </c>
      <c r="O1887" s="28">
        <v>1.6245454545454546E-2</v>
      </c>
      <c r="P1887" s="28">
        <v>16.921150442477877</v>
      </c>
    </row>
    <row r="1888" spans="1:16" x14ac:dyDescent="0.3">
      <c r="A1888" t="s">
        <v>4772</v>
      </c>
      <c r="B1888" s="24">
        <v>111550</v>
      </c>
      <c r="C1888" s="24" t="s">
        <v>1582</v>
      </c>
      <c r="D1888" s="24" t="s">
        <v>1102</v>
      </c>
      <c r="E1888" s="24" t="s">
        <v>51</v>
      </c>
      <c r="F1888" s="24" t="s">
        <v>1142</v>
      </c>
      <c r="G1888" s="24" t="s">
        <v>1402</v>
      </c>
      <c r="H1888" s="24" t="s">
        <v>123</v>
      </c>
      <c r="I1888" s="24" t="s">
        <v>1725</v>
      </c>
      <c r="J1888" s="24" t="s">
        <v>761</v>
      </c>
      <c r="K1888" s="24" t="s">
        <v>1146</v>
      </c>
      <c r="L1888" s="25">
        <v>1070</v>
      </c>
      <c r="M1888" s="26">
        <v>17.87</v>
      </c>
      <c r="N1888" s="27">
        <v>17.87</v>
      </c>
      <c r="O1888" s="28">
        <v>1.6245454545454546E-2</v>
      </c>
      <c r="P1888" s="28">
        <v>16.921150442477877</v>
      </c>
    </row>
    <row r="1889" spans="1:16" x14ac:dyDescent="0.3">
      <c r="A1889" t="s">
        <v>4773</v>
      </c>
      <c r="B1889" s="24">
        <v>101186</v>
      </c>
      <c r="C1889" s="24" t="s">
        <v>1273</v>
      </c>
      <c r="D1889" s="24" t="s">
        <v>1102</v>
      </c>
      <c r="E1889" s="24" t="s">
        <v>51</v>
      </c>
      <c r="F1889" s="24" t="s">
        <v>1142</v>
      </c>
      <c r="G1889" s="24" t="s">
        <v>1203</v>
      </c>
      <c r="H1889" s="24" t="s">
        <v>124</v>
      </c>
      <c r="I1889" s="24" t="s">
        <v>1726</v>
      </c>
      <c r="J1889" s="24" t="s">
        <v>761</v>
      </c>
      <c r="K1889" s="24" t="s">
        <v>1146</v>
      </c>
      <c r="L1889" s="25">
        <v>1070</v>
      </c>
      <c r="M1889" s="26">
        <v>20.37</v>
      </c>
      <c r="N1889" s="27">
        <v>20.37</v>
      </c>
      <c r="O1889" s="28">
        <v>1.8518181818181819E-2</v>
      </c>
      <c r="P1889" s="28">
        <v>19.288407079646021</v>
      </c>
    </row>
    <row r="1890" spans="1:16" x14ac:dyDescent="0.3">
      <c r="A1890" t="s">
        <v>4774</v>
      </c>
      <c r="B1890" s="24">
        <v>106916</v>
      </c>
      <c r="C1890" s="24" t="s">
        <v>1216</v>
      </c>
      <c r="D1890" s="24" t="s">
        <v>1102</v>
      </c>
      <c r="E1890" s="24" t="s">
        <v>51</v>
      </c>
      <c r="F1890" s="24" t="s">
        <v>1142</v>
      </c>
      <c r="G1890" s="24" t="s">
        <v>1203</v>
      </c>
      <c r="H1890" s="24" t="s">
        <v>124</v>
      </c>
      <c r="I1890" s="24" t="s">
        <v>1726</v>
      </c>
      <c r="J1890" s="24" t="s">
        <v>761</v>
      </c>
      <c r="K1890" s="24" t="s">
        <v>1146</v>
      </c>
      <c r="L1890" s="25">
        <v>1070</v>
      </c>
      <c r="M1890" s="26">
        <v>20.37</v>
      </c>
      <c r="N1890" s="27">
        <v>20.37</v>
      </c>
      <c r="O1890" s="28">
        <v>1.8518181818181819E-2</v>
      </c>
      <c r="P1890" s="28">
        <v>19.288407079646021</v>
      </c>
    </row>
    <row r="1891" spans="1:16" x14ac:dyDescent="0.3">
      <c r="A1891" t="s">
        <v>4775</v>
      </c>
      <c r="B1891" s="24">
        <v>100581</v>
      </c>
      <c r="C1891" s="24" t="s">
        <v>1232</v>
      </c>
      <c r="D1891" s="24" t="s">
        <v>1102</v>
      </c>
      <c r="E1891" s="24" t="s">
        <v>51</v>
      </c>
      <c r="F1891" s="24" t="s">
        <v>1142</v>
      </c>
      <c r="G1891" s="24" t="s">
        <v>1233</v>
      </c>
      <c r="H1891" s="24" t="s">
        <v>86</v>
      </c>
      <c r="I1891" s="24" t="s">
        <v>1727</v>
      </c>
      <c r="J1891" s="24" t="s">
        <v>761</v>
      </c>
      <c r="K1891" s="24" t="s">
        <v>1146</v>
      </c>
      <c r="L1891" s="25">
        <v>1070</v>
      </c>
      <c r="M1891" s="26">
        <v>25.5</v>
      </c>
      <c r="N1891" s="27">
        <v>25.5</v>
      </c>
      <c r="O1891" s="28">
        <v>2.3181818181818182E-2</v>
      </c>
      <c r="P1891" s="28">
        <v>24.146017699115045</v>
      </c>
    </row>
    <row r="1892" spans="1:16" x14ac:dyDescent="0.3">
      <c r="A1892" t="s">
        <v>4776</v>
      </c>
      <c r="B1892" s="24">
        <v>100603</v>
      </c>
      <c r="C1892" s="24" t="s">
        <v>1277</v>
      </c>
      <c r="D1892" s="24" t="s">
        <v>1102</v>
      </c>
      <c r="E1892" s="24" t="s">
        <v>51</v>
      </c>
      <c r="F1892" s="24" t="s">
        <v>1142</v>
      </c>
      <c r="G1892" s="24" t="s">
        <v>1082</v>
      </c>
      <c r="H1892" s="24" t="s">
        <v>86</v>
      </c>
      <c r="I1892" s="24" t="s">
        <v>1727</v>
      </c>
      <c r="J1892" s="24" t="s">
        <v>761</v>
      </c>
      <c r="K1892" s="24" t="s">
        <v>1146</v>
      </c>
      <c r="L1892" s="25">
        <v>1070</v>
      </c>
      <c r="M1892" s="26">
        <v>25.5</v>
      </c>
      <c r="N1892" s="27">
        <v>25.5</v>
      </c>
      <c r="O1892" s="28">
        <v>2.3181818181818182E-2</v>
      </c>
      <c r="P1892" s="28">
        <v>24.146017699115045</v>
      </c>
    </row>
    <row r="1893" spans="1:16" x14ac:dyDescent="0.3">
      <c r="A1893" t="s">
        <v>4777</v>
      </c>
      <c r="B1893" s="24">
        <v>101206</v>
      </c>
      <c r="C1893" s="24" t="s">
        <v>1199</v>
      </c>
      <c r="D1893" s="24" t="s">
        <v>1102</v>
      </c>
      <c r="E1893" s="24" t="s">
        <v>51</v>
      </c>
      <c r="F1893" s="24" t="s">
        <v>1142</v>
      </c>
      <c r="G1893" s="24" t="s">
        <v>1200</v>
      </c>
      <c r="H1893" s="24" t="s">
        <v>86</v>
      </c>
      <c r="I1893" s="24" t="s">
        <v>1727</v>
      </c>
      <c r="J1893" s="24" t="s">
        <v>761</v>
      </c>
      <c r="K1893" s="24" t="s">
        <v>1146</v>
      </c>
      <c r="L1893" s="25">
        <v>1070</v>
      </c>
      <c r="M1893" s="26">
        <v>25.5</v>
      </c>
      <c r="N1893" s="27">
        <v>25.5</v>
      </c>
      <c r="O1893" s="28">
        <v>2.3181818181818182E-2</v>
      </c>
      <c r="P1893" s="28">
        <v>24.146017699115045</v>
      </c>
    </row>
    <row r="1894" spans="1:16" x14ac:dyDescent="0.3">
      <c r="A1894" t="s">
        <v>4778</v>
      </c>
      <c r="B1894" s="24">
        <v>101186</v>
      </c>
      <c r="C1894" s="24" t="s">
        <v>1273</v>
      </c>
      <c r="D1894" s="24" t="s">
        <v>1102</v>
      </c>
      <c r="E1894" s="24" t="s">
        <v>51</v>
      </c>
      <c r="F1894" s="24" t="s">
        <v>1142</v>
      </c>
      <c r="G1894" s="24" t="s">
        <v>1203</v>
      </c>
      <c r="H1894" s="24" t="s">
        <v>147</v>
      </c>
      <c r="I1894" s="24" t="s">
        <v>1728</v>
      </c>
      <c r="J1894" s="24" t="s">
        <v>761</v>
      </c>
      <c r="K1894" s="24" t="s">
        <v>1146</v>
      </c>
      <c r="L1894" s="25">
        <v>1070</v>
      </c>
      <c r="M1894" s="26">
        <v>13.9</v>
      </c>
      <c r="N1894" s="27">
        <v>13.9</v>
      </c>
      <c r="O1894" s="28">
        <v>1.2636363636363637E-2</v>
      </c>
      <c r="P1894" s="28">
        <v>13.161946902654867</v>
      </c>
    </row>
    <row r="1895" spans="1:16" x14ac:dyDescent="0.3">
      <c r="A1895" t="s">
        <v>4779</v>
      </c>
      <c r="B1895" s="24">
        <v>101424</v>
      </c>
      <c r="C1895" s="24" t="s">
        <v>1278</v>
      </c>
      <c r="D1895" s="24" t="s">
        <v>1102</v>
      </c>
      <c r="E1895" s="24" t="s">
        <v>51</v>
      </c>
      <c r="F1895" s="24" t="s">
        <v>1142</v>
      </c>
      <c r="G1895" s="24" t="s">
        <v>1203</v>
      </c>
      <c r="H1895" s="24" t="s">
        <v>148</v>
      </c>
      <c r="I1895" s="24" t="s">
        <v>1729</v>
      </c>
      <c r="J1895" s="24" t="s">
        <v>761</v>
      </c>
      <c r="K1895" s="24" t="s">
        <v>1146</v>
      </c>
      <c r="L1895" s="25">
        <v>1070</v>
      </c>
      <c r="M1895" s="26">
        <v>12.6</v>
      </c>
      <c r="N1895" s="27">
        <v>12.6</v>
      </c>
      <c r="O1895" s="28">
        <v>1.1454545454545453E-2</v>
      </c>
      <c r="P1895" s="28">
        <v>11.930973451327434</v>
      </c>
    </row>
    <row r="1896" spans="1:16" x14ac:dyDescent="0.3">
      <c r="A1896" t="s">
        <v>4780</v>
      </c>
      <c r="B1896" s="24">
        <v>101186</v>
      </c>
      <c r="C1896" s="24" t="s">
        <v>1273</v>
      </c>
      <c r="D1896" s="24" t="s">
        <v>1102</v>
      </c>
      <c r="E1896" s="24" t="s">
        <v>51</v>
      </c>
      <c r="F1896" s="24" t="s">
        <v>1142</v>
      </c>
      <c r="G1896" s="24" t="s">
        <v>1203</v>
      </c>
      <c r="H1896" s="24" t="s">
        <v>149</v>
      </c>
      <c r="I1896" s="24" t="s">
        <v>1730</v>
      </c>
      <c r="J1896" s="24" t="s">
        <v>761</v>
      </c>
      <c r="K1896" s="24" t="s">
        <v>1146</v>
      </c>
      <c r="L1896" s="25">
        <v>1070</v>
      </c>
      <c r="M1896" s="26">
        <v>16.5</v>
      </c>
      <c r="N1896" s="27">
        <v>16.5</v>
      </c>
      <c r="O1896" s="28">
        <v>1.4999999999999999E-2</v>
      </c>
      <c r="P1896" s="28">
        <v>15.623893805309734</v>
      </c>
    </row>
    <row r="1897" spans="1:16" x14ac:dyDescent="0.3">
      <c r="A1897" t="s">
        <v>4781</v>
      </c>
      <c r="B1897" s="24">
        <v>101186</v>
      </c>
      <c r="C1897" s="24" t="s">
        <v>1273</v>
      </c>
      <c r="D1897" s="24" t="s">
        <v>1102</v>
      </c>
      <c r="E1897" s="24" t="s">
        <v>51</v>
      </c>
      <c r="F1897" s="24" t="s">
        <v>1142</v>
      </c>
      <c r="G1897" s="24" t="s">
        <v>1203</v>
      </c>
      <c r="H1897" s="24" t="s">
        <v>1731</v>
      </c>
      <c r="I1897" s="24" t="s">
        <v>1732</v>
      </c>
      <c r="J1897" s="24" t="s">
        <v>761</v>
      </c>
      <c r="K1897" s="24" t="s">
        <v>1146</v>
      </c>
      <c r="L1897" s="25">
        <v>1070</v>
      </c>
      <c r="M1897" s="26">
        <v>18.600000000000001</v>
      </c>
      <c r="N1897" s="27">
        <v>18.600000000000001</v>
      </c>
      <c r="O1897" s="28">
        <v>1.6909090909090912E-2</v>
      </c>
      <c r="P1897" s="28">
        <v>17.612389380530974</v>
      </c>
    </row>
    <row r="1898" spans="1:16" x14ac:dyDescent="0.3">
      <c r="A1898" t="s">
        <v>4782</v>
      </c>
      <c r="B1898" s="24">
        <v>101184</v>
      </c>
      <c r="C1898" s="24" t="s">
        <v>1401</v>
      </c>
      <c r="D1898" s="24" t="s">
        <v>1102</v>
      </c>
      <c r="E1898" s="24" t="s">
        <v>51</v>
      </c>
      <c r="F1898" s="24" t="s">
        <v>1142</v>
      </c>
      <c r="G1898" s="24" t="s">
        <v>1402</v>
      </c>
      <c r="H1898" s="24" t="s">
        <v>150</v>
      </c>
      <c r="I1898" s="24" t="s">
        <v>1733</v>
      </c>
      <c r="J1898" s="24" t="s">
        <v>761</v>
      </c>
      <c r="K1898" s="24" t="s">
        <v>1146</v>
      </c>
      <c r="L1898" s="25">
        <v>1070</v>
      </c>
      <c r="M1898" s="26">
        <v>17.46</v>
      </c>
      <c r="N1898" s="27">
        <v>17.46</v>
      </c>
      <c r="O1898" s="28">
        <v>1.5872727272727274E-2</v>
      </c>
      <c r="P1898" s="28">
        <v>16.532920353982302</v>
      </c>
    </row>
    <row r="1899" spans="1:16" x14ac:dyDescent="0.3">
      <c r="A1899" t="s">
        <v>4783</v>
      </c>
      <c r="B1899" s="24">
        <v>101186</v>
      </c>
      <c r="C1899" s="24" t="s">
        <v>1273</v>
      </c>
      <c r="D1899" s="24" t="s">
        <v>1102</v>
      </c>
      <c r="E1899" s="24" t="s">
        <v>51</v>
      </c>
      <c r="F1899" s="24" t="s">
        <v>1142</v>
      </c>
      <c r="G1899" s="24" t="s">
        <v>1203</v>
      </c>
      <c r="H1899" s="24" t="s">
        <v>150</v>
      </c>
      <c r="I1899" s="24" t="s">
        <v>1733</v>
      </c>
      <c r="J1899" s="24" t="s">
        <v>761</v>
      </c>
      <c r="K1899" s="24" t="s">
        <v>1146</v>
      </c>
      <c r="L1899" s="25">
        <v>1070</v>
      </c>
      <c r="M1899" s="26">
        <v>17.46</v>
      </c>
      <c r="N1899" s="27">
        <v>17.46</v>
      </c>
      <c r="O1899" s="28">
        <v>1.5872727272727274E-2</v>
      </c>
      <c r="P1899" s="28">
        <v>16.532920353982302</v>
      </c>
    </row>
    <row r="1900" spans="1:16" x14ac:dyDescent="0.3">
      <c r="A1900" t="s">
        <v>4784</v>
      </c>
      <c r="B1900" s="24">
        <v>101206</v>
      </c>
      <c r="C1900" s="24" t="s">
        <v>1199</v>
      </c>
      <c r="D1900" s="24" t="s">
        <v>1102</v>
      </c>
      <c r="E1900" s="24" t="s">
        <v>51</v>
      </c>
      <c r="F1900" s="24" t="s">
        <v>1142</v>
      </c>
      <c r="G1900" s="24" t="s">
        <v>1200</v>
      </c>
      <c r="H1900" s="24" t="s">
        <v>150</v>
      </c>
      <c r="I1900" s="24" t="s">
        <v>1733</v>
      </c>
      <c r="J1900" s="24" t="s">
        <v>761</v>
      </c>
      <c r="K1900" s="24" t="s">
        <v>1146</v>
      </c>
      <c r="L1900" s="25">
        <v>1070</v>
      </c>
      <c r="M1900" s="26">
        <v>17.46</v>
      </c>
      <c r="N1900" s="27">
        <v>17.46</v>
      </c>
      <c r="O1900" s="28">
        <v>1.5872727272727274E-2</v>
      </c>
      <c r="P1900" s="28">
        <v>16.532920353982302</v>
      </c>
    </row>
    <row r="1901" spans="1:16" x14ac:dyDescent="0.3">
      <c r="A1901" t="s">
        <v>4785</v>
      </c>
      <c r="B1901" s="24">
        <v>101424</v>
      </c>
      <c r="C1901" s="24" t="s">
        <v>1278</v>
      </c>
      <c r="D1901" s="24" t="s">
        <v>1102</v>
      </c>
      <c r="E1901" s="24" t="s">
        <v>51</v>
      </c>
      <c r="F1901" s="24" t="s">
        <v>1142</v>
      </c>
      <c r="G1901" s="24" t="s">
        <v>1203</v>
      </c>
      <c r="H1901" s="24" t="s">
        <v>150</v>
      </c>
      <c r="I1901" s="24" t="s">
        <v>1733</v>
      </c>
      <c r="J1901" s="24" t="s">
        <v>761</v>
      </c>
      <c r="K1901" s="24" t="s">
        <v>1146</v>
      </c>
      <c r="L1901" s="25">
        <v>1070</v>
      </c>
      <c r="M1901" s="26">
        <v>17.46</v>
      </c>
      <c r="N1901" s="27">
        <v>17.46</v>
      </c>
      <c r="O1901" s="28">
        <v>1.5872727272727274E-2</v>
      </c>
      <c r="P1901" s="28">
        <v>16.532920353982302</v>
      </c>
    </row>
    <row r="1902" spans="1:16" x14ac:dyDescent="0.3">
      <c r="A1902" t="s">
        <v>4786</v>
      </c>
      <c r="B1902" s="24">
        <v>106916</v>
      </c>
      <c r="C1902" s="24" t="s">
        <v>1216</v>
      </c>
      <c r="D1902" s="24" t="s">
        <v>1102</v>
      </c>
      <c r="E1902" s="24" t="s">
        <v>51</v>
      </c>
      <c r="F1902" s="24" t="s">
        <v>1142</v>
      </c>
      <c r="G1902" s="24" t="s">
        <v>1203</v>
      </c>
      <c r="H1902" s="24" t="s">
        <v>150</v>
      </c>
      <c r="I1902" s="24" t="s">
        <v>1733</v>
      </c>
      <c r="J1902" s="24" t="s">
        <v>761</v>
      </c>
      <c r="K1902" s="24" t="s">
        <v>1146</v>
      </c>
      <c r="L1902" s="25">
        <v>1070</v>
      </c>
      <c r="M1902" s="26">
        <v>17.46</v>
      </c>
      <c r="N1902" s="27">
        <v>17.46</v>
      </c>
      <c r="O1902" s="28">
        <v>1.5872727272727274E-2</v>
      </c>
      <c r="P1902" s="28">
        <v>16.532920353982302</v>
      </c>
    </row>
    <row r="1903" spans="1:16" x14ac:dyDescent="0.3">
      <c r="A1903" t="s">
        <v>4787</v>
      </c>
      <c r="B1903" s="24">
        <v>101186</v>
      </c>
      <c r="C1903" s="24" t="s">
        <v>1273</v>
      </c>
      <c r="D1903" s="24" t="s">
        <v>1102</v>
      </c>
      <c r="E1903" s="24" t="s">
        <v>51</v>
      </c>
      <c r="F1903" s="24" t="s">
        <v>1142</v>
      </c>
      <c r="G1903" s="24" t="s">
        <v>1203</v>
      </c>
      <c r="H1903" s="24" t="s">
        <v>137</v>
      </c>
      <c r="I1903" s="24" t="s">
        <v>1734</v>
      </c>
      <c r="J1903" s="24" t="s">
        <v>761</v>
      </c>
      <c r="K1903" s="24" t="s">
        <v>1146</v>
      </c>
      <c r="L1903" s="25">
        <v>1070</v>
      </c>
      <c r="M1903" s="26">
        <v>22.6</v>
      </c>
      <c r="N1903" s="27">
        <v>22.6</v>
      </c>
      <c r="O1903" s="28">
        <v>2.0545454545454547E-2</v>
      </c>
      <c r="P1903" s="28">
        <v>21.4</v>
      </c>
    </row>
    <row r="1904" spans="1:16" x14ac:dyDescent="0.3">
      <c r="A1904" t="s">
        <v>4788</v>
      </c>
      <c r="B1904" s="24">
        <v>106916</v>
      </c>
      <c r="C1904" s="24" t="s">
        <v>1216</v>
      </c>
      <c r="D1904" s="24" t="s">
        <v>1102</v>
      </c>
      <c r="E1904" s="24" t="s">
        <v>51</v>
      </c>
      <c r="F1904" s="24" t="s">
        <v>1142</v>
      </c>
      <c r="G1904" s="24" t="s">
        <v>1203</v>
      </c>
      <c r="H1904" s="24" t="s">
        <v>137</v>
      </c>
      <c r="I1904" s="24" t="s">
        <v>1734</v>
      </c>
      <c r="J1904" s="24" t="s">
        <v>761</v>
      </c>
      <c r="K1904" s="24" t="s">
        <v>1146</v>
      </c>
      <c r="L1904" s="25">
        <v>1070</v>
      </c>
      <c r="M1904" s="26">
        <v>22.6</v>
      </c>
      <c r="N1904" s="27">
        <v>22.6</v>
      </c>
      <c r="O1904" s="28">
        <v>2.0545454545454547E-2</v>
      </c>
      <c r="P1904" s="28">
        <v>21.4</v>
      </c>
    </row>
    <row r="1905" spans="1:16" x14ac:dyDescent="0.3">
      <c r="A1905" t="s">
        <v>4789</v>
      </c>
      <c r="B1905" s="24">
        <v>114163</v>
      </c>
      <c r="C1905" s="24" t="s">
        <v>1490</v>
      </c>
      <c r="D1905" s="24" t="s">
        <v>1102</v>
      </c>
      <c r="E1905" s="24" t="s">
        <v>51</v>
      </c>
      <c r="F1905" s="24" t="s">
        <v>1142</v>
      </c>
      <c r="G1905" s="24" t="s">
        <v>1203</v>
      </c>
      <c r="H1905" s="24" t="s">
        <v>137</v>
      </c>
      <c r="I1905" s="24" t="s">
        <v>1734</v>
      </c>
      <c r="J1905" s="24" t="s">
        <v>761</v>
      </c>
      <c r="K1905" s="24" t="s">
        <v>1146</v>
      </c>
      <c r="L1905" s="25">
        <v>1070</v>
      </c>
      <c r="M1905" s="26">
        <v>22.6</v>
      </c>
      <c r="N1905" s="27">
        <v>22.6</v>
      </c>
      <c r="O1905" s="28">
        <v>2.0545454545454547E-2</v>
      </c>
      <c r="P1905" s="28">
        <v>21.4</v>
      </c>
    </row>
    <row r="1906" spans="1:16" x14ac:dyDescent="0.3">
      <c r="A1906" t="s">
        <v>4790</v>
      </c>
      <c r="B1906" s="24">
        <v>100581</v>
      </c>
      <c r="C1906" s="24" t="s">
        <v>1232</v>
      </c>
      <c r="D1906" s="24" t="s">
        <v>1102</v>
      </c>
      <c r="E1906" s="24" t="s">
        <v>51</v>
      </c>
      <c r="F1906" s="24" t="s">
        <v>1142</v>
      </c>
      <c r="G1906" s="24" t="s">
        <v>1233</v>
      </c>
      <c r="H1906" s="24" t="s">
        <v>172</v>
      </c>
      <c r="I1906" s="24" t="s">
        <v>1735</v>
      </c>
      <c r="J1906" s="24" t="s">
        <v>761</v>
      </c>
      <c r="K1906" s="24" t="s">
        <v>1146</v>
      </c>
      <c r="L1906" s="25">
        <v>1070</v>
      </c>
      <c r="M1906" s="26">
        <v>19.34</v>
      </c>
      <c r="N1906" s="27">
        <v>19.34</v>
      </c>
      <c r="O1906" s="28">
        <v>1.7581818181818181E-2</v>
      </c>
      <c r="P1906" s="28">
        <v>18.313097345132743</v>
      </c>
    </row>
    <row r="1907" spans="1:16" x14ac:dyDescent="0.3">
      <c r="A1907" t="s">
        <v>4791</v>
      </c>
      <c r="B1907" s="24">
        <v>100603</v>
      </c>
      <c r="C1907" s="24" t="s">
        <v>1277</v>
      </c>
      <c r="D1907" s="24" t="s">
        <v>1102</v>
      </c>
      <c r="E1907" s="24" t="s">
        <v>51</v>
      </c>
      <c r="F1907" s="24" t="s">
        <v>1142</v>
      </c>
      <c r="G1907" s="24" t="s">
        <v>1082</v>
      </c>
      <c r="H1907" s="24" t="s">
        <v>172</v>
      </c>
      <c r="I1907" s="24" t="s">
        <v>1735</v>
      </c>
      <c r="J1907" s="24" t="s">
        <v>761</v>
      </c>
      <c r="K1907" s="24" t="s">
        <v>1146</v>
      </c>
      <c r="L1907" s="25">
        <v>1070</v>
      </c>
      <c r="M1907" s="26">
        <v>19.34</v>
      </c>
      <c r="N1907" s="27">
        <v>19.34</v>
      </c>
      <c r="O1907" s="28">
        <v>1.7581818181818181E-2</v>
      </c>
      <c r="P1907" s="28">
        <v>18.313097345132743</v>
      </c>
    </row>
    <row r="1908" spans="1:16" x14ac:dyDescent="0.3">
      <c r="A1908" t="s">
        <v>4792</v>
      </c>
      <c r="B1908" s="24">
        <v>101186</v>
      </c>
      <c r="C1908" s="24" t="s">
        <v>1273</v>
      </c>
      <c r="D1908" s="24" t="s">
        <v>1102</v>
      </c>
      <c r="E1908" s="24" t="s">
        <v>51</v>
      </c>
      <c r="F1908" s="24" t="s">
        <v>1142</v>
      </c>
      <c r="G1908" s="24" t="s">
        <v>1203</v>
      </c>
      <c r="H1908" s="24" t="s">
        <v>172</v>
      </c>
      <c r="I1908" s="24" t="s">
        <v>1735</v>
      </c>
      <c r="J1908" s="24" t="s">
        <v>761</v>
      </c>
      <c r="K1908" s="24" t="s">
        <v>1146</v>
      </c>
      <c r="L1908" s="25">
        <v>1070</v>
      </c>
      <c r="M1908" s="26">
        <v>19.34</v>
      </c>
      <c r="N1908" s="27">
        <v>19.34</v>
      </c>
      <c r="O1908" s="28">
        <v>1.7581818181818181E-2</v>
      </c>
      <c r="P1908" s="28">
        <v>18.313097345132743</v>
      </c>
    </row>
    <row r="1909" spans="1:16" x14ac:dyDescent="0.3">
      <c r="A1909" t="s">
        <v>4793</v>
      </c>
      <c r="B1909" s="24">
        <v>101206</v>
      </c>
      <c r="C1909" s="24" t="s">
        <v>1199</v>
      </c>
      <c r="D1909" s="24" t="s">
        <v>1102</v>
      </c>
      <c r="E1909" s="24" t="s">
        <v>51</v>
      </c>
      <c r="F1909" s="24" t="s">
        <v>1142</v>
      </c>
      <c r="G1909" s="24" t="s">
        <v>1200</v>
      </c>
      <c r="H1909" s="24" t="s">
        <v>172</v>
      </c>
      <c r="I1909" s="24" t="s">
        <v>1735</v>
      </c>
      <c r="J1909" s="24" t="s">
        <v>761</v>
      </c>
      <c r="K1909" s="24" t="s">
        <v>1146</v>
      </c>
      <c r="L1909" s="25">
        <v>1070</v>
      </c>
      <c r="M1909" s="26">
        <v>19.34</v>
      </c>
      <c r="N1909" s="27">
        <v>19.34</v>
      </c>
      <c r="O1909" s="28">
        <v>1.7581818181818181E-2</v>
      </c>
      <c r="P1909" s="28">
        <v>18.313097345132743</v>
      </c>
    </row>
    <row r="1910" spans="1:16" x14ac:dyDescent="0.3">
      <c r="A1910" t="s">
        <v>4794</v>
      </c>
      <c r="B1910" s="24">
        <v>101424</v>
      </c>
      <c r="C1910" s="24" t="s">
        <v>1278</v>
      </c>
      <c r="D1910" s="24" t="s">
        <v>1102</v>
      </c>
      <c r="E1910" s="24" t="s">
        <v>51</v>
      </c>
      <c r="F1910" s="24" t="s">
        <v>1142</v>
      </c>
      <c r="G1910" s="24" t="s">
        <v>1203</v>
      </c>
      <c r="H1910" s="24" t="s">
        <v>172</v>
      </c>
      <c r="I1910" s="24" t="s">
        <v>1735</v>
      </c>
      <c r="J1910" s="24" t="s">
        <v>761</v>
      </c>
      <c r="K1910" s="24" t="s">
        <v>1146</v>
      </c>
      <c r="L1910" s="25">
        <v>1070</v>
      </c>
      <c r="M1910" s="26">
        <v>19.34</v>
      </c>
      <c r="N1910" s="27">
        <v>19.34</v>
      </c>
      <c r="O1910" s="28">
        <v>1.7581818181818181E-2</v>
      </c>
      <c r="P1910" s="28">
        <v>18.313097345132743</v>
      </c>
    </row>
    <row r="1911" spans="1:16" x14ac:dyDescent="0.3">
      <c r="A1911" t="s">
        <v>4795</v>
      </c>
      <c r="B1911" s="24">
        <v>111550</v>
      </c>
      <c r="C1911" s="24" t="s">
        <v>1582</v>
      </c>
      <c r="D1911" s="24" t="s">
        <v>1102</v>
      </c>
      <c r="E1911" s="24" t="s">
        <v>51</v>
      </c>
      <c r="F1911" s="24" t="s">
        <v>1142</v>
      </c>
      <c r="G1911" s="24" t="s">
        <v>1402</v>
      </c>
      <c r="H1911" s="24" t="s">
        <v>172</v>
      </c>
      <c r="I1911" s="24" t="s">
        <v>1735</v>
      </c>
      <c r="J1911" s="24" t="s">
        <v>761</v>
      </c>
      <c r="K1911" s="24" t="s">
        <v>1146</v>
      </c>
      <c r="L1911" s="25">
        <v>1070</v>
      </c>
      <c r="M1911" s="26">
        <v>19.34</v>
      </c>
      <c r="N1911" s="27">
        <v>19.34</v>
      </c>
      <c r="O1911" s="28">
        <v>1.7581818181818181E-2</v>
      </c>
      <c r="P1911" s="28">
        <v>18.313097345132743</v>
      </c>
    </row>
    <row r="1912" spans="1:16" x14ac:dyDescent="0.3">
      <c r="A1912" t="s">
        <v>4796</v>
      </c>
      <c r="B1912" s="24">
        <v>114501</v>
      </c>
      <c r="C1912" s="24" t="s">
        <v>1409</v>
      </c>
      <c r="D1912" s="24" t="s">
        <v>1102</v>
      </c>
      <c r="E1912" s="24" t="s">
        <v>51</v>
      </c>
      <c r="F1912" s="24" t="s">
        <v>1142</v>
      </c>
      <c r="G1912" s="24" t="s">
        <v>1402</v>
      </c>
      <c r="H1912" s="24" t="s">
        <v>172</v>
      </c>
      <c r="I1912" s="24" t="s">
        <v>1735</v>
      </c>
      <c r="J1912" s="24" t="s">
        <v>761</v>
      </c>
      <c r="K1912" s="24" t="s">
        <v>1146</v>
      </c>
      <c r="L1912" s="25">
        <v>1070</v>
      </c>
      <c r="M1912" s="26">
        <v>19.34</v>
      </c>
      <c r="N1912" s="27">
        <v>19.34</v>
      </c>
      <c r="O1912" s="28">
        <v>1.7581818181818181E-2</v>
      </c>
      <c r="P1912" s="28">
        <v>18.313097345132743</v>
      </c>
    </row>
    <row r="1913" spans="1:16" x14ac:dyDescent="0.3">
      <c r="A1913" t="s">
        <v>4797</v>
      </c>
      <c r="B1913" s="24">
        <v>100603</v>
      </c>
      <c r="C1913" s="24" t="s">
        <v>1277</v>
      </c>
      <c r="D1913" s="24" t="s">
        <v>1102</v>
      </c>
      <c r="E1913" s="24" t="s">
        <v>51</v>
      </c>
      <c r="F1913" s="24" t="s">
        <v>1142</v>
      </c>
      <c r="G1913" s="24" t="s">
        <v>1082</v>
      </c>
      <c r="H1913" s="24" t="s">
        <v>167</v>
      </c>
      <c r="I1913" s="24" t="s">
        <v>1736</v>
      </c>
      <c r="J1913" s="24" t="s">
        <v>761</v>
      </c>
      <c r="K1913" s="24" t="s">
        <v>1146</v>
      </c>
      <c r="L1913" s="25">
        <v>1070</v>
      </c>
      <c r="M1913" s="26">
        <v>10.02</v>
      </c>
      <c r="N1913" s="27">
        <v>10.02</v>
      </c>
      <c r="O1913" s="28">
        <v>9.1090909090909087E-3</v>
      </c>
      <c r="P1913" s="28">
        <v>9.487964601769912</v>
      </c>
    </row>
    <row r="1914" spans="1:16" x14ac:dyDescent="0.3">
      <c r="A1914" t="s">
        <v>4798</v>
      </c>
      <c r="B1914" s="24">
        <v>101206</v>
      </c>
      <c r="C1914" s="24" t="s">
        <v>1199</v>
      </c>
      <c r="D1914" s="24" t="s">
        <v>1102</v>
      </c>
      <c r="E1914" s="24" t="s">
        <v>51</v>
      </c>
      <c r="F1914" s="24" t="s">
        <v>1142</v>
      </c>
      <c r="G1914" s="24" t="s">
        <v>1200</v>
      </c>
      <c r="H1914" s="24" t="s">
        <v>167</v>
      </c>
      <c r="I1914" s="24" t="s">
        <v>1736</v>
      </c>
      <c r="J1914" s="24" t="s">
        <v>761</v>
      </c>
      <c r="K1914" s="24" t="s">
        <v>1146</v>
      </c>
      <c r="L1914" s="25">
        <v>1070</v>
      </c>
      <c r="M1914" s="26">
        <v>10.02</v>
      </c>
      <c r="N1914" s="27">
        <v>10.02</v>
      </c>
      <c r="O1914" s="28">
        <v>9.1090909090909087E-3</v>
      </c>
      <c r="P1914" s="28">
        <v>9.487964601769912</v>
      </c>
    </row>
    <row r="1915" spans="1:16" x14ac:dyDescent="0.3">
      <c r="A1915" t="s">
        <v>4799</v>
      </c>
      <c r="B1915" s="24">
        <v>101424</v>
      </c>
      <c r="C1915" s="24" t="s">
        <v>1278</v>
      </c>
      <c r="D1915" s="24" t="s">
        <v>1102</v>
      </c>
      <c r="E1915" s="24" t="s">
        <v>51</v>
      </c>
      <c r="F1915" s="24" t="s">
        <v>1142</v>
      </c>
      <c r="G1915" s="24" t="s">
        <v>1203</v>
      </c>
      <c r="H1915" s="24" t="s">
        <v>167</v>
      </c>
      <c r="I1915" s="24" t="s">
        <v>1736</v>
      </c>
      <c r="J1915" s="24" t="s">
        <v>761</v>
      </c>
      <c r="K1915" s="24" t="s">
        <v>1146</v>
      </c>
      <c r="L1915" s="25">
        <v>1070</v>
      </c>
      <c r="M1915" s="26">
        <v>10.02</v>
      </c>
      <c r="N1915" s="27">
        <v>10.02</v>
      </c>
      <c r="O1915" s="28">
        <v>9.1090909090909087E-3</v>
      </c>
      <c r="P1915" s="28">
        <v>9.487964601769912</v>
      </c>
    </row>
    <row r="1916" spans="1:16" x14ac:dyDescent="0.3">
      <c r="A1916" t="s">
        <v>4800</v>
      </c>
      <c r="B1916" s="24">
        <v>111550</v>
      </c>
      <c r="C1916" s="24" t="s">
        <v>1582</v>
      </c>
      <c r="D1916" s="24" t="s">
        <v>1102</v>
      </c>
      <c r="E1916" s="24" t="s">
        <v>51</v>
      </c>
      <c r="F1916" s="24" t="s">
        <v>1142</v>
      </c>
      <c r="G1916" s="24" t="s">
        <v>1402</v>
      </c>
      <c r="H1916" s="24" t="s">
        <v>167</v>
      </c>
      <c r="I1916" s="24" t="s">
        <v>1736</v>
      </c>
      <c r="J1916" s="24" t="s">
        <v>761</v>
      </c>
      <c r="K1916" s="24" t="s">
        <v>1146</v>
      </c>
      <c r="L1916" s="25">
        <v>1070</v>
      </c>
      <c r="M1916" s="26">
        <v>10.02</v>
      </c>
      <c r="N1916" s="27">
        <v>10.02</v>
      </c>
      <c r="O1916" s="28">
        <v>9.1090909090909087E-3</v>
      </c>
      <c r="P1916" s="28">
        <v>9.487964601769912</v>
      </c>
    </row>
    <row r="1917" spans="1:16" x14ac:dyDescent="0.3">
      <c r="A1917" t="s">
        <v>4801</v>
      </c>
      <c r="B1917" s="24">
        <v>114501</v>
      </c>
      <c r="C1917" s="24" t="s">
        <v>1409</v>
      </c>
      <c r="D1917" s="24" t="s">
        <v>1102</v>
      </c>
      <c r="E1917" s="24" t="s">
        <v>51</v>
      </c>
      <c r="F1917" s="24" t="s">
        <v>1142</v>
      </c>
      <c r="G1917" s="24" t="s">
        <v>1402</v>
      </c>
      <c r="H1917" s="24" t="s">
        <v>167</v>
      </c>
      <c r="I1917" s="24" t="s">
        <v>1736</v>
      </c>
      <c r="J1917" s="24" t="s">
        <v>761</v>
      </c>
      <c r="K1917" s="24" t="s">
        <v>1146</v>
      </c>
      <c r="L1917" s="25">
        <v>1070</v>
      </c>
      <c r="M1917" s="26">
        <v>10.02</v>
      </c>
      <c r="N1917" s="27">
        <v>10.02</v>
      </c>
      <c r="O1917" s="28">
        <v>9.1090909090909087E-3</v>
      </c>
      <c r="P1917" s="28">
        <v>9.487964601769912</v>
      </c>
    </row>
    <row r="1918" spans="1:16" x14ac:dyDescent="0.3">
      <c r="A1918" t="s">
        <v>4802</v>
      </c>
      <c r="B1918" s="24">
        <v>142310</v>
      </c>
      <c r="C1918" s="24" t="s">
        <v>1474</v>
      </c>
      <c r="D1918" s="24" t="s">
        <v>1102</v>
      </c>
      <c r="E1918" s="24" t="s">
        <v>51</v>
      </c>
      <c r="F1918" s="24" t="s">
        <v>1142</v>
      </c>
      <c r="G1918" s="24" t="s">
        <v>1402</v>
      </c>
      <c r="H1918" s="24" t="s">
        <v>167</v>
      </c>
      <c r="I1918" s="24" t="s">
        <v>1736</v>
      </c>
      <c r="J1918" s="24" t="s">
        <v>761</v>
      </c>
      <c r="K1918" s="24" t="s">
        <v>1146</v>
      </c>
      <c r="L1918" s="25">
        <v>1070</v>
      </c>
      <c r="M1918" s="26">
        <v>10.02</v>
      </c>
      <c r="N1918" s="27">
        <v>10.02</v>
      </c>
      <c r="O1918" s="28">
        <v>9.1090909090909087E-3</v>
      </c>
      <c r="P1918" s="28">
        <v>9.487964601769912</v>
      </c>
    </row>
    <row r="1919" spans="1:16" x14ac:dyDescent="0.3">
      <c r="A1919" t="s">
        <v>4803</v>
      </c>
      <c r="B1919" s="24">
        <v>101186</v>
      </c>
      <c r="C1919" s="24" t="s">
        <v>1273</v>
      </c>
      <c r="D1919" s="24" t="s">
        <v>1102</v>
      </c>
      <c r="E1919" s="24" t="s">
        <v>51</v>
      </c>
      <c r="F1919" s="24" t="s">
        <v>1142</v>
      </c>
      <c r="G1919" s="24" t="s">
        <v>1203</v>
      </c>
      <c r="H1919" s="24" t="s">
        <v>168</v>
      </c>
      <c r="I1919" s="24" t="s">
        <v>1737</v>
      </c>
      <c r="J1919" s="24" t="s">
        <v>761</v>
      </c>
      <c r="K1919" s="24" t="s">
        <v>1146</v>
      </c>
      <c r="L1919" s="25">
        <v>1070</v>
      </c>
      <c r="M1919" s="26">
        <v>11.49</v>
      </c>
      <c r="N1919" s="27">
        <v>11.49</v>
      </c>
      <c r="O1919" s="28">
        <v>1.0445454545454546E-2</v>
      </c>
      <c r="P1919" s="28">
        <v>10.879911504424779</v>
      </c>
    </row>
    <row r="1920" spans="1:16" x14ac:dyDescent="0.3">
      <c r="A1920" t="s">
        <v>4804</v>
      </c>
      <c r="B1920" s="24">
        <v>142310</v>
      </c>
      <c r="C1920" s="24" t="s">
        <v>1474</v>
      </c>
      <c r="D1920" s="24" t="s">
        <v>1102</v>
      </c>
      <c r="E1920" s="24" t="s">
        <v>51</v>
      </c>
      <c r="F1920" s="24" t="s">
        <v>1142</v>
      </c>
      <c r="G1920" s="24" t="s">
        <v>1402</v>
      </c>
      <c r="H1920" s="24" t="s">
        <v>168</v>
      </c>
      <c r="I1920" s="24" t="s">
        <v>1737</v>
      </c>
      <c r="J1920" s="24" t="s">
        <v>761</v>
      </c>
      <c r="K1920" s="24" t="s">
        <v>1146</v>
      </c>
      <c r="L1920" s="25">
        <v>1070</v>
      </c>
      <c r="M1920" s="26">
        <v>11.49</v>
      </c>
      <c r="N1920" s="27">
        <v>11.49</v>
      </c>
      <c r="O1920" s="28">
        <v>1.0445454545454546E-2</v>
      </c>
      <c r="P1920" s="28">
        <v>10.879911504424779</v>
      </c>
    </row>
    <row r="1921" spans="1:16" x14ac:dyDescent="0.3">
      <c r="A1921" t="s">
        <v>4805</v>
      </c>
      <c r="B1921" s="24">
        <v>101424</v>
      </c>
      <c r="C1921" s="24" t="s">
        <v>1278</v>
      </c>
      <c r="D1921" s="24" t="s">
        <v>1102</v>
      </c>
      <c r="E1921" s="24" t="s">
        <v>51</v>
      </c>
      <c r="F1921" s="24" t="s">
        <v>1142</v>
      </c>
      <c r="G1921" s="24" t="s">
        <v>1203</v>
      </c>
      <c r="H1921" s="24" t="s">
        <v>219</v>
      </c>
      <c r="I1921" s="24" t="s">
        <v>1738</v>
      </c>
      <c r="J1921" s="24" t="s">
        <v>761</v>
      </c>
      <c r="K1921" s="24" t="s">
        <v>1146</v>
      </c>
      <c r="L1921" s="25">
        <v>1070</v>
      </c>
      <c r="M1921" s="26">
        <v>12.57</v>
      </c>
      <c r="N1921" s="27">
        <v>12.57</v>
      </c>
      <c r="O1921" s="28">
        <v>1.1427272727272727E-2</v>
      </c>
      <c r="P1921" s="28">
        <v>11.902566371681415</v>
      </c>
    </row>
    <row r="1922" spans="1:16" x14ac:dyDescent="0.3">
      <c r="A1922" t="s">
        <v>4806</v>
      </c>
      <c r="B1922" s="24">
        <v>100603</v>
      </c>
      <c r="C1922" s="24" t="s">
        <v>1277</v>
      </c>
      <c r="D1922" s="24" t="s">
        <v>1102</v>
      </c>
      <c r="E1922" s="24" t="s">
        <v>51</v>
      </c>
      <c r="F1922" s="24" t="s">
        <v>1142</v>
      </c>
      <c r="G1922" s="24" t="s">
        <v>1082</v>
      </c>
      <c r="H1922" s="24" t="s">
        <v>111</v>
      </c>
      <c r="I1922" s="24" t="s">
        <v>1739</v>
      </c>
      <c r="J1922" s="24" t="s">
        <v>761</v>
      </c>
      <c r="K1922" s="24" t="s">
        <v>1146</v>
      </c>
      <c r="L1922" s="25">
        <v>1070</v>
      </c>
      <c r="M1922" s="26">
        <v>27.5</v>
      </c>
      <c r="N1922" s="27">
        <v>27.5</v>
      </c>
      <c r="O1922" s="28">
        <v>2.5000000000000001E-2</v>
      </c>
      <c r="P1922" s="28">
        <v>26.039823008849556</v>
      </c>
    </row>
    <row r="1923" spans="1:16" x14ac:dyDescent="0.3">
      <c r="A1923" t="s">
        <v>4807</v>
      </c>
      <c r="B1923" s="24">
        <v>101424</v>
      </c>
      <c r="C1923" s="24" t="s">
        <v>1278</v>
      </c>
      <c r="D1923" s="24" t="s">
        <v>1102</v>
      </c>
      <c r="E1923" s="24" t="s">
        <v>51</v>
      </c>
      <c r="F1923" s="24" t="s">
        <v>1142</v>
      </c>
      <c r="G1923" s="24" t="s">
        <v>1203</v>
      </c>
      <c r="H1923" s="24" t="s">
        <v>111</v>
      </c>
      <c r="I1923" s="24" t="s">
        <v>1739</v>
      </c>
      <c r="J1923" s="24" t="s">
        <v>761</v>
      </c>
      <c r="K1923" s="24" t="s">
        <v>1146</v>
      </c>
      <c r="L1923" s="25">
        <v>1070</v>
      </c>
      <c r="M1923" s="26">
        <v>27.5</v>
      </c>
      <c r="N1923" s="27">
        <v>27.5</v>
      </c>
      <c r="O1923" s="28">
        <v>2.5000000000000001E-2</v>
      </c>
      <c r="P1923" s="28">
        <v>26.039823008849556</v>
      </c>
    </row>
    <row r="1924" spans="1:16" x14ac:dyDescent="0.3">
      <c r="A1924" t="s">
        <v>4808</v>
      </c>
      <c r="B1924" s="24">
        <v>101424</v>
      </c>
      <c r="C1924" s="24" t="s">
        <v>1278</v>
      </c>
      <c r="D1924" s="24" t="s">
        <v>1102</v>
      </c>
      <c r="E1924" s="24" t="s">
        <v>51</v>
      </c>
      <c r="F1924" s="24" t="s">
        <v>1142</v>
      </c>
      <c r="G1924" s="24" t="s">
        <v>1203</v>
      </c>
      <c r="H1924" s="24" t="s">
        <v>2851</v>
      </c>
      <c r="I1924" s="24" t="s">
        <v>1740</v>
      </c>
      <c r="J1924" s="24" t="s">
        <v>761</v>
      </c>
      <c r="K1924" s="24" t="s">
        <v>1146</v>
      </c>
      <c r="L1924" s="25">
        <v>1070</v>
      </c>
      <c r="M1924" s="26">
        <v>29.5</v>
      </c>
      <c r="N1924" s="27">
        <v>29.5</v>
      </c>
      <c r="O1924" s="28">
        <v>2.6818181818181817E-2</v>
      </c>
      <c r="P1924" s="28">
        <v>27.93362831858407</v>
      </c>
    </row>
    <row r="1925" spans="1:16" x14ac:dyDescent="0.3">
      <c r="A1925" t="s">
        <v>4809</v>
      </c>
      <c r="B1925" s="24">
        <v>101186</v>
      </c>
      <c r="C1925" s="24" t="s">
        <v>1273</v>
      </c>
      <c r="D1925" s="24" t="s">
        <v>1102</v>
      </c>
      <c r="E1925" s="24" t="s">
        <v>51</v>
      </c>
      <c r="F1925" s="24" t="s">
        <v>1142</v>
      </c>
      <c r="G1925" s="24" t="s">
        <v>1203</v>
      </c>
      <c r="H1925" s="24" t="s">
        <v>151</v>
      </c>
      <c r="I1925" s="24" t="s">
        <v>1741</v>
      </c>
      <c r="J1925" s="24" t="s">
        <v>761</v>
      </c>
      <c r="K1925" s="24" t="s">
        <v>1146</v>
      </c>
      <c r="L1925" s="25">
        <v>1070</v>
      </c>
      <c r="M1925" s="26">
        <v>18.03</v>
      </c>
      <c r="N1925" s="27">
        <v>18.03</v>
      </c>
      <c r="O1925" s="28">
        <v>1.6390909090909091E-2</v>
      </c>
      <c r="P1925" s="28">
        <v>17.072654867256638</v>
      </c>
    </row>
    <row r="1926" spans="1:16" x14ac:dyDescent="0.3">
      <c r="A1926" t="s">
        <v>4810</v>
      </c>
      <c r="B1926" s="24">
        <v>101424</v>
      </c>
      <c r="C1926" s="24" t="s">
        <v>1278</v>
      </c>
      <c r="D1926" s="24" t="s">
        <v>1102</v>
      </c>
      <c r="E1926" s="24" t="s">
        <v>51</v>
      </c>
      <c r="F1926" s="24" t="s">
        <v>1142</v>
      </c>
      <c r="G1926" s="24" t="s">
        <v>1203</v>
      </c>
      <c r="H1926" s="24" t="s">
        <v>151</v>
      </c>
      <c r="I1926" s="24" t="s">
        <v>1741</v>
      </c>
      <c r="J1926" s="24" t="s">
        <v>761</v>
      </c>
      <c r="K1926" s="24" t="s">
        <v>1146</v>
      </c>
      <c r="L1926" s="25">
        <v>1070</v>
      </c>
      <c r="M1926" s="26">
        <v>18.03</v>
      </c>
      <c r="N1926" s="27">
        <v>18.03</v>
      </c>
      <c r="O1926" s="28">
        <v>1.6390909090909091E-2</v>
      </c>
      <c r="P1926" s="28">
        <v>17.072654867256638</v>
      </c>
    </row>
    <row r="1927" spans="1:16" x14ac:dyDescent="0.3">
      <c r="A1927" t="s">
        <v>4811</v>
      </c>
      <c r="B1927" s="24">
        <v>111550</v>
      </c>
      <c r="C1927" s="24" t="s">
        <v>1582</v>
      </c>
      <c r="D1927" s="24" t="s">
        <v>1102</v>
      </c>
      <c r="E1927" s="24" t="s">
        <v>51</v>
      </c>
      <c r="F1927" s="24" t="s">
        <v>1142</v>
      </c>
      <c r="G1927" s="24" t="s">
        <v>1402</v>
      </c>
      <c r="H1927" s="24" t="s">
        <v>151</v>
      </c>
      <c r="I1927" s="24" t="s">
        <v>1741</v>
      </c>
      <c r="J1927" s="24" t="s">
        <v>761</v>
      </c>
      <c r="K1927" s="24" t="s">
        <v>1146</v>
      </c>
      <c r="L1927" s="25">
        <v>1070</v>
      </c>
      <c r="M1927" s="26">
        <v>18.03</v>
      </c>
      <c r="N1927" s="27">
        <v>18.03</v>
      </c>
      <c r="O1927" s="28">
        <v>1.6390909090909091E-2</v>
      </c>
      <c r="P1927" s="28">
        <v>17.072654867256638</v>
      </c>
    </row>
    <row r="1928" spans="1:16" x14ac:dyDescent="0.3">
      <c r="A1928" t="s">
        <v>4812</v>
      </c>
      <c r="B1928" s="24">
        <v>100581</v>
      </c>
      <c r="C1928" s="24" t="s">
        <v>1232</v>
      </c>
      <c r="D1928" s="24" t="s">
        <v>1102</v>
      </c>
      <c r="E1928" s="24" t="s">
        <v>51</v>
      </c>
      <c r="F1928" s="24" t="s">
        <v>1142</v>
      </c>
      <c r="G1928" s="24" t="s">
        <v>1233</v>
      </c>
      <c r="H1928" s="24" t="s">
        <v>328</v>
      </c>
      <c r="I1928" s="24" t="s">
        <v>1742</v>
      </c>
      <c r="J1928" s="24" t="s">
        <v>761</v>
      </c>
      <c r="K1928" s="24" t="s">
        <v>1146</v>
      </c>
      <c r="L1928" s="25">
        <v>1070</v>
      </c>
      <c r="M1928" s="26">
        <v>13.97</v>
      </c>
      <c r="N1928" s="27">
        <v>13.97</v>
      </c>
      <c r="O1928" s="28">
        <v>1.2700000000000001E-2</v>
      </c>
      <c r="P1928" s="28">
        <v>13.228230088495577</v>
      </c>
    </row>
    <row r="1929" spans="1:16" x14ac:dyDescent="0.3">
      <c r="A1929" t="s">
        <v>4813</v>
      </c>
      <c r="B1929" s="24">
        <v>100603</v>
      </c>
      <c r="C1929" s="24" t="s">
        <v>1277</v>
      </c>
      <c r="D1929" s="24" t="s">
        <v>1102</v>
      </c>
      <c r="E1929" s="24" t="s">
        <v>51</v>
      </c>
      <c r="F1929" s="24" t="s">
        <v>1142</v>
      </c>
      <c r="G1929" s="24" t="s">
        <v>1082</v>
      </c>
      <c r="H1929" s="24" t="s">
        <v>328</v>
      </c>
      <c r="I1929" s="24" t="s">
        <v>1742</v>
      </c>
      <c r="J1929" s="24" t="s">
        <v>761</v>
      </c>
      <c r="K1929" s="24" t="s">
        <v>1146</v>
      </c>
      <c r="L1929" s="25">
        <v>1070</v>
      </c>
      <c r="M1929" s="26">
        <v>12</v>
      </c>
      <c r="N1929" s="27">
        <v>12</v>
      </c>
      <c r="O1929" s="28">
        <v>1.090909090909091E-2</v>
      </c>
      <c r="P1929" s="28">
        <v>11.36283185840708</v>
      </c>
    </row>
    <row r="1930" spans="1:16" x14ac:dyDescent="0.3">
      <c r="A1930" t="s">
        <v>4814</v>
      </c>
      <c r="B1930" s="24">
        <v>101184</v>
      </c>
      <c r="C1930" s="24" t="s">
        <v>1401</v>
      </c>
      <c r="D1930" s="24" t="s">
        <v>1102</v>
      </c>
      <c r="E1930" s="24" t="s">
        <v>51</v>
      </c>
      <c r="F1930" s="24" t="s">
        <v>1142</v>
      </c>
      <c r="G1930" s="24" t="s">
        <v>1402</v>
      </c>
      <c r="H1930" s="24" t="s">
        <v>328</v>
      </c>
      <c r="I1930" s="24" t="s">
        <v>1742</v>
      </c>
      <c r="J1930" s="24" t="s">
        <v>761</v>
      </c>
      <c r="K1930" s="24" t="s">
        <v>1146</v>
      </c>
      <c r="L1930" s="25">
        <v>1070</v>
      </c>
      <c r="M1930" s="26">
        <v>12</v>
      </c>
      <c r="N1930" s="27">
        <v>12</v>
      </c>
      <c r="O1930" s="28">
        <v>1.090909090909091E-2</v>
      </c>
      <c r="P1930" s="28">
        <v>11.36283185840708</v>
      </c>
    </row>
    <row r="1931" spans="1:16" x14ac:dyDescent="0.3">
      <c r="A1931" t="s">
        <v>4815</v>
      </c>
      <c r="B1931" s="24">
        <v>101186</v>
      </c>
      <c r="C1931" s="24" t="s">
        <v>1273</v>
      </c>
      <c r="D1931" s="24" t="s">
        <v>1102</v>
      </c>
      <c r="E1931" s="24" t="s">
        <v>51</v>
      </c>
      <c r="F1931" s="24" t="s">
        <v>1142</v>
      </c>
      <c r="G1931" s="24" t="s">
        <v>1203</v>
      </c>
      <c r="H1931" s="24" t="s">
        <v>328</v>
      </c>
      <c r="I1931" s="24" t="s">
        <v>1742</v>
      </c>
      <c r="J1931" s="24" t="s">
        <v>761</v>
      </c>
      <c r="K1931" s="24" t="s">
        <v>1146</v>
      </c>
      <c r="L1931" s="25">
        <v>1070</v>
      </c>
      <c r="M1931" s="26">
        <v>12</v>
      </c>
      <c r="N1931" s="27">
        <v>12</v>
      </c>
      <c r="O1931" s="28">
        <v>1.090909090909091E-2</v>
      </c>
      <c r="P1931" s="28">
        <v>11.36283185840708</v>
      </c>
    </row>
    <row r="1932" spans="1:16" x14ac:dyDescent="0.3">
      <c r="A1932" t="s">
        <v>4816</v>
      </c>
      <c r="B1932" s="24">
        <v>101206</v>
      </c>
      <c r="C1932" s="24" t="s">
        <v>1199</v>
      </c>
      <c r="D1932" s="24" t="s">
        <v>1102</v>
      </c>
      <c r="E1932" s="24" t="s">
        <v>51</v>
      </c>
      <c r="F1932" s="24" t="s">
        <v>1142</v>
      </c>
      <c r="G1932" s="24" t="s">
        <v>1200</v>
      </c>
      <c r="H1932" s="24" t="s">
        <v>328</v>
      </c>
      <c r="I1932" s="24" t="s">
        <v>1742</v>
      </c>
      <c r="J1932" s="24" t="s">
        <v>761</v>
      </c>
      <c r="K1932" s="24" t="s">
        <v>1146</v>
      </c>
      <c r="L1932" s="25">
        <v>1070</v>
      </c>
      <c r="M1932" s="26">
        <v>12</v>
      </c>
      <c r="N1932" s="27">
        <v>12</v>
      </c>
      <c r="O1932" s="28">
        <v>1.090909090909091E-2</v>
      </c>
      <c r="P1932" s="28">
        <v>11.36283185840708</v>
      </c>
    </row>
    <row r="1933" spans="1:16" x14ac:dyDescent="0.3">
      <c r="A1933" t="s">
        <v>4817</v>
      </c>
      <c r="B1933" s="24">
        <v>101424</v>
      </c>
      <c r="C1933" s="24" t="s">
        <v>1278</v>
      </c>
      <c r="D1933" s="24" t="s">
        <v>1102</v>
      </c>
      <c r="E1933" s="24" t="s">
        <v>51</v>
      </c>
      <c r="F1933" s="24" t="s">
        <v>1142</v>
      </c>
      <c r="G1933" s="24" t="s">
        <v>1203</v>
      </c>
      <c r="H1933" s="24" t="s">
        <v>328</v>
      </c>
      <c r="I1933" s="24" t="s">
        <v>1742</v>
      </c>
      <c r="J1933" s="24" t="s">
        <v>761</v>
      </c>
      <c r="K1933" s="24" t="s">
        <v>1146</v>
      </c>
      <c r="L1933" s="25">
        <v>1070</v>
      </c>
      <c r="M1933" s="26">
        <v>12</v>
      </c>
      <c r="N1933" s="27">
        <v>12</v>
      </c>
      <c r="O1933" s="28">
        <v>1.090909090909091E-2</v>
      </c>
      <c r="P1933" s="28">
        <v>11.36283185840708</v>
      </c>
    </row>
    <row r="1934" spans="1:16" x14ac:dyDescent="0.3">
      <c r="A1934" t="s">
        <v>4818</v>
      </c>
      <c r="B1934" s="24">
        <v>114163</v>
      </c>
      <c r="C1934" s="24" t="s">
        <v>1490</v>
      </c>
      <c r="D1934" s="24" t="s">
        <v>1102</v>
      </c>
      <c r="E1934" s="24" t="s">
        <v>51</v>
      </c>
      <c r="F1934" s="24" t="s">
        <v>1142</v>
      </c>
      <c r="G1934" s="24" t="s">
        <v>1203</v>
      </c>
      <c r="H1934" s="24" t="s">
        <v>328</v>
      </c>
      <c r="I1934" s="24" t="s">
        <v>1742</v>
      </c>
      <c r="J1934" s="24" t="s">
        <v>761</v>
      </c>
      <c r="K1934" s="24" t="s">
        <v>1146</v>
      </c>
      <c r="L1934" s="25">
        <v>1070</v>
      </c>
      <c r="M1934" s="26">
        <v>12</v>
      </c>
      <c r="N1934" s="27">
        <v>12</v>
      </c>
      <c r="O1934" s="28">
        <v>1.090909090909091E-2</v>
      </c>
      <c r="P1934" s="28">
        <v>11.36283185840708</v>
      </c>
    </row>
    <row r="1935" spans="1:16" x14ac:dyDescent="0.3">
      <c r="A1935" t="s">
        <v>4819</v>
      </c>
      <c r="B1935" s="24">
        <v>114501</v>
      </c>
      <c r="C1935" s="24" t="s">
        <v>1409</v>
      </c>
      <c r="D1935" s="24" t="s">
        <v>1102</v>
      </c>
      <c r="E1935" s="24" t="s">
        <v>51</v>
      </c>
      <c r="F1935" s="24" t="s">
        <v>1142</v>
      </c>
      <c r="G1935" s="24" t="s">
        <v>1402</v>
      </c>
      <c r="H1935" s="24" t="s">
        <v>328</v>
      </c>
      <c r="I1935" s="24" t="s">
        <v>1742</v>
      </c>
      <c r="J1935" s="24" t="s">
        <v>761</v>
      </c>
      <c r="K1935" s="24" t="s">
        <v>1146</v>
      </c>
      <c r="L1935" s="25">
        <v>1070</v>
      </c>
      <c r="M1935" s="26">
        <v>12</v>
      </c>
      <c r="N1935" s="27">
        <v>12</v>
      </c>
      <c r="O1935" s="28">
        <v>1.090909090909091E-2</v>
      </c>
      <c r="P1935" s="28">
        <v>11.36283185840708</v>
      </c>
    </row>
    <row r="1936" spans="1:16" x14ac:dyDescent="0.3">
      <c r="A1936" t="s">
        <v>4820</v>
      </c>
      <c r="B1936" s="24">
        <v>142310</v>
      </c>
      <c r="C1936" s="24" t="s">
        <v>1474</v>
      </c>
      <c r="D1936" s="24" t="s">
        <v>1102</v>
      </c>
      <c r="E1936" s="24" t="s">
        <v>51</v>
      </c>
      <c r="F1936" s="24" t="s">
        <v>1142</v>
      </c>
      <c r="G1936" s="24" t="s">
        <v>1402</v>
      </c>
      <c r="H1936" s="24" t="s">
        <v>328</v>
      </c>
      <c r="I1936" s="24" t="s">
        <v>1742</v>
      </c>
      <c r="J1936" s="24" t="s">
        <v>761</v>
      </c>
      <c r="K1936" s="24" t="s">
        <v>1146</v>
      </c>
      <c r="L1936" s="25">
        <v>1070</v>
      </c>
      <c r="M1936" s="26">
        <v>12</v>
      </c>
      <c r="N1936" s="27">
        <v>12</v>
      </c>
      <c r="O1936" s="28">
        <v>1.090909090909091E-2</v>
      </c>
      <c r="P1936" s="28">
        <v>11.36283185840708</v>
      </c>
    </row>
    <row r="1937" spans="1:16" x14ac:dyDescent="0.3">
      <c r="A1937" t="s">
        <v>4821</v>
      </c>
      <c r="B1937" s="24">
        <v>101424</v>
      </c>
      <c r="C1937" s="24" t="s">
        <v>1278</v>
      </c>
      <c r="D1937" s="24" t="s">
        <v>1102</v>
      </c>
      <c r="E1937" s="24" t="s">
        <v>51</v>
      </c>
      <c r="F1937" s="24" t="s">
        <v>1142</v>
      </c>
      <c r="G1937" s="24" t="s">
        <v>1203</v>
      </c>
      <c r="H1937" s="24" t="s">
        <v>330</v>
      </c>
      <c r="I1937" s="24" t="s">
        <v>1743</v>
      </c>
      <c r="J1937" s="24" t="s">
        <v>761</v>
      </c>
      <c r="K1937" s="24" t="s">
        <v>1146</v>
      </c>
      <c r="L1937" s="25">
        <v>1070</v>
      </c>
      <c r="M1937" s="26">
        <v>12</v>
      </c>
      <c r="N1937" s="27">
        <v>12</v>
      </c>
      <c r="O1937" s="28">
        <v>1.090909090909091E-2</v>
      </c>
      <c r="P1937" s="28">
        <v>11.36283185840708</v>
      </c>
    </row>
    <row r="1938" spans="1:16" x14ac:dyDescent="0.3">
      <c r="A1938" t="s">
        <v>4821</v>
      </c>
      <c r="B1938" s="24">
        <v>101424</v>
      </c>
      <c r="C1938" s="24" t="s">
        <v>1278</v>
      </c>
      <c r="D1938" s="24" t="s">
        <v>1102</v>
      </c>
      <c r="E1938" s="24" t="s">
        <v>51</v>
      </c>
      <c r="F1938" s="24" t="s">
        <v>1142</v>
      </c>
      <c r="G1938" s="24" t="s">
        <v>1203</v>
      </c>
      <c r="H1938" s="24" t="s">
        <v>330</v>
      </c>
      <c r="I1938" s="24" t="s">
        <v>1743</v>
      </c>
      <c r="J1938" s="24" t="s">
        <v>761</v>
      </c>
      <c r="K1938" s="24" t="s">
        <v>1146</v>
      </c>
      <c r="L1938" s="25">
        <v>1070</v>
      </c>
      <c r="M1938" s="26">
        <v>12</v>
      </c>
      <c r="N1938" s="27">
        <v>12</v>
      </c>
      <c r="O1938" s="28">
        <v>1.090909090909091E-2</v>
      </c>
      <c r="P1938" s="28">
        <v>11.36283185840708</v>
      </c>
    </row>
    <row r="1939" spans="1:16" x14ac:dyDescent="0.3">
      <c r="A1939" t="s">
        <v>4822</v>
      </c>
      <c r="B1939" s="24">
        <v>100581</v>
      </c>
      <c r="C1939" s="24" t="s">
        <v>1232</v>
      </c>
      <c r="D1939" s="24" t="s">
        <v>1102</v>
      </c>
      <c r="E1939" s="24" t="s">
        <v>51</v>
      </c>
      <c r="F1939" s="24" t="s">
        <v>1142</v>
      </c>
      <c r="G1939" s="24" t="s">
        <v>1233</v>
      </c>
      <c r="H1939" s="24" t="s">
        <v>329</v>
      </c>
      <c r="I1939" s="24" t="s">
        <v>1742</v>
      </c>
      <c r="J1939" s="24" t="s">
        <v>761</v>
      </c>
      <c r="K1939" s="24" t="s">
        <v>1146</v>
      </c>
      <c r="L1939" s="25">
        <v>1070</v>
      </c>
      <c r="M1939" s="26">
        <v>12</v>
      </c>
      <c r="N1939" s="27">
        <v>12</v>
      </c>
      <c r="O1939" s="28">
        <v>1.090909090909091E-2</v>
      </c>
      <c r="P1939" s="28">
        <v>11.36283185840708</v>
      </c>
    </row>
    <row r="1940" spans="1:16" x14ac:dyDescent="0.3">
      <c r="A1940" t="s">
        <v>4823</v>
      </c>
      <c r="B1940" s="24">
        <v>100603</v>
      </c>
      <c r="C1940" s="24" t="s">
        <v>1277</v>
      </c>
      <c r="D1940" s="24" t="s">
        <v>1102</v>
      </c>
      <c r="E1940" s="24" t="s">
        <v>51</v>
      </c>
      <c r="F1940" s="24" t="s">
        <v>1142</v>
      </c>
      <c r="G1940" s="24" t="s">
        <v>1082</v>
      </c>
      <c r="H1940" s="24" t="s">
        <v>329</v>
      </c>
      <c r="I1940" s="24" t="s">
        <v>1742</v>
      </c>
      <c r="J1940" s="24" t="s">
        <v>761</v>
      </c>
      <c r="K1940" s="24" t="s">
        <v>1146</v>
      </c>
      <c r="L1940" s="25">
        <v>1070</v>
      </c>
      <c r="M1940" s="26">
        <v>12</v>
      </c>
      <c r="N1940" s="27">
        <v>12</v>
      </c>
      <c r="O1940" s="28">
        <v>1.090909090909091E-2</v>
      </c>
      <c r="P1940" s="28">
        <v>11.36283185840708</v>
      </c>
    </row>
    <row r="1941" spans="1:16" x14ac:dyDescent="0.3">
      <c r="A1941" t="s">
        <v>4824</v>
      </c>
      <c r="B1941" s="24">
        <v>101184</v>
      </c>
      <c r="C1941" s="24" t="s">
        <v>1401</v>
      </c>
      <c r="D1941" s="24" t="s">
        <v>1102</v>
      </c>
      <c r="E1941" s="24" t="s">
        <v>51</v>
      </c>
      <c r="F1941" s="24" t="s">
        <v>1142</v>
      </c>
      <c r="G1941" s="24" t="s">
        <v>1402</v>
      </c>
      <c r="H1941" s="24" t="s">
        <v>329</v>
      </c>
      <c r="I1941" s="24" t="s">
        <v>1742</v>
      </c>
      <c r="J1941" s="24" t="s">
        <v>761</v>
      </c>
      <c r="K1941" s="24" t="s">
        <v>1146</v>
      </c>
      <c r="L1941" s="25">
        <v>1070</v>
      </c>
      <c r="M1941" s="26">
        <v>12</v>
      </c>
      <c r="N1941" s="27">
        <v>12</v>
      </c>
      <c r="O1941" s="28">
        <v>1.090909090909091E-2</v>
      </c>
      <c r="P1941" s="28">
        <v>11.36283185840708</v>
      </c>
    </row>
    <row r="1942" spans="1:16" x14ac:dyDescent="0.3">
      <c r="A1942" t="s">
        <v>4825</v>
      </c>
      <c r="B1942" s="24">
        <v>101186</v>
      </c>
      <c r="C1942" s="24" t="s">
        <v>1273</v>
      </c>
      <c r="D1942" s="24" t="s">
        <v>1102</v>
      </c>
      <c r="E1942" s="24" t="s">
        <v>51</v>
      </c>
      <c r="F1942" s="24" t="s">
        <v>1142</v>
      </c>
      <c r="G1942" s="24" t="s">
        <v>1203</v>
      </c>
      <c r="H1942" s="24" t="s">
        <v>329</v>
      </c>
      <c r="I1942" s="24" t="s">
        <v>1742</v>
      </c>
      <c r="J1942" s="24" t="s">
        <v>761</v>
      </c>
      <c r="K1942" s="24" t="s">
        <v>1146</v>
      </c>
      <c r="L1942" s="25">
        <v>1070</v>
      </c>
      <c r="M1942" s="26">
        <v>12</v>
      </c>
      <c r="N1942" s="27">
        <v>12</v>
      </c>
      <c r="O1942" s="28">
        <v>1.090909090909091E-2</v>
      </c>
      <c r="P1942" s="28">
        <v>11.36283185840708</v>
      </c>
    </row>
    <row r="1943" spans="1:16" x14ac:dyDescent="0.3">
      <c r="A1943" t="s">
        <v>4826</v>
      </c>
      <c r="B1943" s="24">
        <v>101206</v>
      </c>
      <c r="C1943" s="24" t="s">
        <v>1199</v>
      </c>
      <c r="D1943" s="24" t="s">
        <v>1102</v>
      </c>
      <c r="E1943" s="24" t="s">
        <v>51</v>
      </c>
      <c r="F1943" s="24" t="s">
        <v>1142</v>
      </c>
      <c r="G1943" s="24" t="s">
        <v>1200</v>
      </c>
      <c r="H1943" s="24" t="s">
        <v>329</v>
      </c>
      <c r="I1943" s="24" t="s">
        <v>1742</v>
      </c>
      <c r="J1943" s="24" t="s">
        <v>761</v>
      </c>
      <c r="K1943" s="24" t="s">
        <v>1146</v>
      </c>
      <c r="L1943" s="25">
        <v>1070</v>
      </c>
      <c r="M1943" s="26">
        <v>12</v>
      </c>
      <c r="N1943" s="27">
        <v>12</v>
      </c>
      <c r="O1943" s="28">
        <v>1.090909090909091E-2</v>
      </c>
      <c r="P1943" s="28">
        <v>11.36283185840708</v>
      </c>
    </row>
    <row r="1944" spans="1:16" x14ac:dyDescent="0.3">
      <c r="A1944" t="s">
        <v>4827</v>
      </c>
      <c r="B1944" s="24">
        <v>101424</v>
      </c>
      <c r="C1944" s="24" t="s">
        <v>1278</v>
      </c>
      <c r="D1944" s="24" t="s">
        <v>1102</v>
      </c>
      <c r="E1944" s="24" t="s">
        <v>51</v>
      </c>
      <c r="F1944" s="24" t="s">
        <v>1142</v>
      </c>
      <c r="G1944" s="24" t="s">
        <v>1203</v>
      </c>
      <c r="H1944" s="24" t="s">
        <v>329</v>
      </c>
      <c r="I1944" s="24" t="s">
        <v>1742</v>
      </c>
      <c r="J1944" s="24" t="s">
        <v>761</v>
      </c>
      <c r="K1944" s="24" t="s">
        <v>1146</v>
      </c>
      <c r="L1944" s="25">
        <v>1070</v>
      </c>
      <c r="M1944" s="26">
        <v>12</v>
      </c>
      <c r="N1944" s="27">
        <v>12</v>
      </c>
      <c r="O1944" s="28">
        <v>1.090909090909091E-2</v>
      </c>
      <c r="P1944" s="28">
        <v>11.36283185840708</v>
      </c>
    </row>
    <row r="1945" spans="1:16" x14ac:dyDescent="0.3">
      <c r="A1945" t="s">
        <v>4828</v>
      </c>
      <c r="B1945" s="24">
        <v>111550</v>
      </c>
      <c r="C1945" s="24" t="s">
        <v>1582</v>
      </c>
      <c r="D1945" s="24" t="s">
        <v>1102</v>
      </c>
      <c r="E1945" s="24" t="s">
        <v>51</v>
      </c>
      <c r="F1945" s="24" t="s">
        <v>1142</v>
      </c>
      <c r="G1945" s="24" t="s">
        <v>1402</v>
      </c>
      <c r="H1945" s="24" t="s">
        <v>329</v>
      </c>
      <c r="I1945" s="24" t="s">
        <v>1742</v>
      </c>
      <c r="J1945" s="24" t="s">
        <v>761</v>
      </c>
      <c r="K1945" s="24" t="s">
        <v>1146</v>
      </c>
      <c r="L1945" s="25">
        <v>1070</v>
      </c>
      <c r="M1945" s="26">
        <v>12</v>
      </c>
      <c r="N1945" s="27">
        <v>12</v>
      </c>
      <c r="O1945" s="28">
        <v>1.090909090909091E-2</v>
      </c>
      <c r="P1945" s="28">
        <v>11.36283185840708</v>
      </c>
    </row>
    <row r="1946" spans="1:16" x14ac:dyDescent="0.3">
      <c r="A1946" t="s">
        <v>4829</v>
      </c>
      <c r="B1946" s="24">
        <v>114163</v>
      </c>
      <c r="C1946" s="24" t="s">
        <v>1490</v>
      </c>
      <c r="D1946" s="24" t="s">
        <v>1102</v>
      </c>
      <c r="E1946" s="24" t="s">
        <v>51</v>
      </c>
      <c r="F1946" s="24" t="s">
        <v>1142</v>
      </c>
      <c r="G1946" s="24" t="s">
        <v>1203</v>
      </c>
      <c r="H1946" s="24" t="s">
        <v>329</v>
      </c>
      <c r="I1946" s="24" t="s">
        <v>1742</v>
      </c>
      <c r="J1946" s="24" t="s">
        <v>761</v>
      </c>
      <c r="K1946" s="24" t="s">
        <v>1146</v>
      </c>
      <c r="L1946" s="25">
        <v>1070</v>
      </c>
      <c r="M1946" s="26">
        <v>12</v>
      </c>
      <c r="N1946" s="27">
        <v>12</v>
      </c>
      <c r="O1946" s="28">
        <v>1.090909090909091E-2</v>
      </c>
      <c r="P1946" s="28">
        <v>11.36283185840708</v>
      </c>
    </row>
    <row r="1947" spans="1:16" x14ac:dyDescent="0.3">
      <c r="A1947" t="s">
        <v>4830</v>
      </c>
      <c r="B1947" s="24">
        <v>114501</v>
      </c>
      <c r="C1947" s="24" t="s">
        <v>1409</v>
      </c>
      <c r="D1947" s="24" t="s">
        <v>1102</v>
      </c>
      <c r="E1947" s="24" t="s">
        <v>51</v>
      </c>
      <c r="F1947" s="24" t="s">
        <v>1142</v>
      </c>
      <c r="G1947" s="24" t="s">
        <v>1402</v>
      </c>
      <c r="H1947" s="24" t="s">
        <v>329</v>
      </c>
      <c r="I1947" s="24" t="s">
        <v>1742</v>
      </c>
      <c r="J1947" s="24" t="s">
        <v>761</v>
      </c>
      <c r="K1947" s="24" t="s">
        <v>1146</v>
      </c>
      <c r="L1947" s="25">
        <v>1070</v>
      </c>
      <c r="M1947" s="26">
        <v>12</v>
      </c>
      <c r="N1947" s="27">
        <v>12</v>
      </c>
      <c r="O1947" s="28">
        <v>1.090909090909091E-2</v>
      </c>
      <c r="P1947" s="28">
        <v>11.36283185840708</v>
      </c>
    </row>
    <row r="1948" spans="1:16" x14ac:dyDescent="0.3">
      <c r="A1948" t="s">
        <v>4831</v>
      </c>
      <c r="B1948" s="24">
        <v>142310</v>
      </c>
      <c r="C1948" s="24" t="s">
        <v>1474</v>
      </c>
      <c r="D1948" s="24" t="s">
        <v>1102</v>
      </c>
      <c r="E1948" s="24" t="s">
        <v>51</v>
      </c>
      <c r="F1948" s="24" t="s">
        <v>1142</v>
      </c>
      <c r="G1948" s="24" t="s">
        <v>1402</v>
      </c>
      <c r="H1948" s="24" t="s">
        <v>329</v>
      </c>
      <c r="I1948" s="24" t="s">
        <v>1742</v>
      </c>
      <c r="J1948" s="24" t="s">
        <v>761</v>
      </c>
      <c r="K1948" s="24" t="s">
        <v>1146</v>
      </c>
      <c r="L1948" s="25">
        <v>1070</v>
      </c>
      <c r="M1948" s="26">
        <v>12</v>
      </c>
      <c r="N1948" s="27">
        <v>12</v>
      </c>
      <c r="O1948" s="28">
        <v>1.090909090909091E-2</v>
      </c>
      <c r="P1948" s="28">
        <v>11.36283185840708</v>
      </c>
    </row>
    <row r="1949" spans="1:16" x14ac:dyDescent="0.3">
      <c r="A1949" t="s">
        <v>4832</v>
      </c>
      <c r="B1949" s="24">
        <v>100581</v>
      </c>
      <c r="C1949" s="24" t="s">
        <v>1232</v>
      </c>
      <c r="D1949" s="24" t="s">
        <v>1102</v>
      </c>
      <c r="E1949" s="24" t="s">
        <v>51</v>
      </c>
      <c r="F1949" s="24" t="s">
        <v>1142</v>
      </c>
      <c r="G1949" s="24" t="s">
        <v>1233</v>
      </c>
      <c r="H1949" s="24" t="s">
        <v>78</v>
      </c>
      <c r="I1949" s="24" t="s">
        <v>1744</v>
      </c>
      <c r="J1949" s="24" t="s">
        <v>761</v>
      </c>
      <c r="K1949" s="24" t="s">
        <v>1146</v>
      </c>
      <c r="L1949" s="25">
        <v>1070</v>
      </c>
      <c r="M1949" s="26">
        <v>14.35</v>
      </c>
      <c r="N1949" s="27">
        <v>14.35</v>
      </c>
      <c r="O1949" s="28">
        <v>1.3045454545454546E-2</v>
      </c>
      <c r="P1949" s="28">
        <v>13.588053097345133</v>
      </c>
    </row>
    <row r="1950" spans="1:16" x14ac:dyDescent="0.3">
      <c r="A1950" t="s">
        <v>4833</v>
      </c>
      <c r="B1950" s="24">
        <v>101186</v>
      </c>
      <c r="C1950" s="24" t="s">
        <v>1273</v>
      </c>
      <c r="D1950" s="24" t="s">
        <v>1102</v>
      </c>
      <c r="E1950" s="24" t="s">
        <v>51</v>
      </c>
      <c r="F1950" s="24" t="s">
        <v>1142</v>
      </c>
      <c r="G1950" s="24" t="s">
        <v>1203</v>
      </c>
      <c r="H1950" s="24" t="s">
        <v>78</v>
      </c>
      <c r="I1950" s="24" t="s">
        <v>1744</v>
      </c>
      <c r="J1950" s="24" t="s">
        <v>761</v>
      </c>
      <c r="K1950" s="24" t="s">
        <v>1146</v>
      </c>
      <c r="L1950" s="25">
        <v>1070</v>
      </c>
      <c r="M1950" s="26">
        <v>12</v>
      </c>
      <c r="N1950" s="27">
        <v>12</v>
      </c>
      <c r="O1950" s="28">
        <v>1.090909090909091E-2</v>
      </c>
      <c r="P1950" s="28">
        <v>11.36283185840708</v>
      </c>
    </row>
    <row r="1951" spans="1:16" x14ac:dyDescent="0.3">
      <c r="A1951" t="s">
        <v>4834</v>
      </c>
      <c r="B1951" s="24">
        <v>114163</v>
      </c>
      <c r="C1951" s="24" t="s">
        <v>1490</v>
      </c>
      <c r="D1951" s="24" t="s">
        <v>1102</v>
      </c>
      <c r="E1951" s="24" t="s">
        <v>51</v>
      </c>
      <c r="F1951" s="24" t="s">
        <v>1142</v>
      </c>
      <c r="G1951" s="24" t="s">
        <v>1203</v>
      </c>
      <c r="H1951" s="24" t="s">
        <v>78</v>
      </c>
      <c r="I1951" s="24" t="s">
        <v>1744</v>
      </c>
      <c r="J1951" s="24" t="s">
        <v>761</v>
      </c>
      <c r="K1951" s="24" t="s">
        <v>1146</v>
      </c>
      <c r="L1951" s="25">
        <v>1070</v>
      </c>
      <c r="M1951" s="26">
        <v>12</v>
      </c>
      <c r="N1951" s="27">
        <v>12</v>
      </c>
      <c r="O1951" s="28">
        <v>1.090909090909091E-2</v>
      </c>
      <c r="P1951" s="28">
        <v>11.36283185840708</v>
      </c>
    </row>
    <row r="1952" spans="1:16" x14ac:dyDescent="0.3">
      <c r="A1952" t="s">
        <v>4835</v>
      </c>
      <c r="B1952" s="24">
        <v>142310</v>
      </c>
      <c r="C1952" s="24" t="s">
        <v>1474</v>
      </c>
      <c r="D1952" s="24" t="s">
        <v>1102</v>
      </c>
      <c r="E1952" s="24" t="s">
        <v>51</v>
      </c>
      <c r="F1952" s="24" t="s">
        <v>1142</v>
      </c>
      <c r="G1952" s="24" t="s">
        <v>1402</v>
      </c>
      <c r="H1952" s="24" t="s">
        <v>78</v>
      </c>
      <c r="I1952" s="24" t="s">
        <v>1744</v>
      </c>
      <c r="J1952" s="24" t="s">
        <v>761</v>
      </c>
      <c r="K1952" s="24" t="s">
        <v>1146</v>
      </c>
      <c r="L1952" s="25">
        <v>1070</v>
      </c>
      <c r="M1952" s="26">
        <v>12</v>
      </c>
      <c r="N1952" s="27">
        <v>12</v>
      </c>
      <c r="O1952" s="28">
        <v>1.090909090909091E-2</v>
      </c>
      <c r="P1952" s="28">
        <v>11.36283185840708</v>
      </c>
    </row>
    <row r="1953" spans="1:16" x14ac:dyDescent="0.3">
      <c r="A1953" t="s">
        <v>4836</v>
      </c>
      <c r="B1953" s="24">
        <v>142051</v>
      </c>
      <c r="C1953" s="24" t="s">
        <v>1491</v>
      </c>
      <c r="D1953" s="24" t="s">
        <v>1102</v>
      </c>
      <c r="E1953" s="24" t="s">
        <v>51</v>
      </c>
      <c r="F1953" s="24" t="s">
        <v>1237</v>
      </c>
      <c r="G1953" s="24" t="s">
        <v>1238</v>
      </c>
      <c r="H1953" s="24" t="s">
        <v>162</v>
      </c>
      <c r="I1953" s="24" t="s">
        <v>1745</v>
      </c>
      <c r="J1953" s="24" t="s">
        <v>761</v>
      </c>
      <c r="K1953" s="24" t="s">
        <v>1146</v>
      </c>
      <c r="L1953" s="25">
        <v>1070</v>
      </c>
      <c r="M1953" s="26">
        <v>13</v>
      </c>
      <c r="N1953" s="27">
        <v>13</v>
      </c>
      <c r="O1953" s="28">
        <v>1.1818181818181818E-2</v>
      </c>
      <c r="P1953" s="28">
        <v>12.309734513274336</v>
      </c>
    </row>
    <row r="1954" spans="1:16" x14ac:dyDescent="0.3">
      <c r="A1954" t="s">
        <v>4837</v>
      </c>
      <c r="B1954" s="24">
        <v>101424</v>
      </c>
      <c r="C1954" s="24" t="s">
        <v>1278</v>
      </c>
      <c r="D1954" s="24" t="s">
        <v>1102</v>
      </c>
      <c r="E1954" s="24" t="s">
        <v>51</v>
      </c>
      <c r="F1954" s="24" t="s">
        <v>1142</v>
      </c>
      <c r="G1954" s="24" t="s">
        <v>1203</v>
      </c>
      <c r="H1954" s="24" t="s">
        <v>2852</v>
      </c>
      <c r="I1954" s="24" t="s">
        <v>1746</v>
      </c>
      <c r="J1954" s="24" t="s">
        <v>761</v>
      </c>
      <c r="K1954" s="24" t="s">
        <v>1146</v>
      </c>
      <c r="L1954" s="25">
        <v>1070</v>
      </c>
      <c r="M1954" s="26">
        <v>16.5</v>
      </c>
      <c r="N1954" s="27">
        <v>16.5</v>
      </c>
      <c r="O1954" s="28">
        <v>1.4999999999999999E-2</v>
      </c>
      <c r="P1954" s="28">
        <v>15.623893805309734</v>
      </c>
    </row>
    <row r="1955" spans="1:16" x14ac:dyDescent="0.3">
      <c r="A1955" t="s">
        <v>4838</v>
      </c>
      <c r="B1955" s="24">
        <v>100581</v>
      </c>
      <c r="C1955" s="24" t="s">
        <v>1232</v>
      </c>
      <c r="D1955" s="24" t="s">
        <v>1102</v>
      </c>
      <c r="E1955" s="24" t="s">
        <v>51</v>
      </c>
      <c r="F1955" s="24" t="s">
        <v>1142</v>
      </c>
      <c r="G1955" s="24" t="s">
        <v>1233</v>
      </c>
      <c r="H1955" s="24" t="s">
        <v>91</v>
      </c>
      <c r="I1955" s="24" t="s">
        <v>1747</v>
      </c>
      <c r="J1955" s="24" t="s">
        <v>761</v>
      </c>
      <c r="K1955" s="24" t="s">
        <v>1146</v>
      </c>
      <c r="L1955" s="25">
        <v>1070</v>
      </c>
      <c r="M1955" s="26">
        <v>29</v>
      </c>
      <c r="N1955" s="27">
        <v>29</v>
      </c>
      <c r="O1955" s="28">
        <v>2.6363636363636363E-2</v>
      </c>
      <c r="P1955" s="28">
        <v>27.460176991150444</v>
      </c>
    </row>
    <row r="1956" spans="1:16" x14ac:dyDescent="0.3">
      <c r="A1956" t="s">
        <v>4839</v>
      </c>
      <c r="B1956" s="24">
        <v>106916</v>
      </c>
      <c r="C1956" s="24" t="s">
        <v>1216</v>
      </c>
      <c r="D1956" s="24" t="s">
        <v>1102</v>
      </c>
      <c r="E1956" s="24" t="s">
        <v>51</v>
      </c>
      <c r="F1956" s="24" t="s">
        <v>1142</v>
      </c>
      <c r="G1956" s="24" t="s">
        <v>1203</v>
      </c>
      <c r="H1956" s="24" t="s">
        <v>91</v>
      </c>
      <c r="I1956" s="24" t="s">
        <v>1747</v>
      </c>
      <c r="J1956" s="24" t="s">
        <v>761</v>
      </c>
      <c r="K1956" s="24" t="s">
        <v>1146</v>
      </c>
      <c r="L1956" s="25">
        <v>1070</v>
      </c>
      <c r="M1956" s="26">
        <v>29</v>
      </c>
      <c r="N1956" s="27">
        <v>29</v>
      </c>
      <c r="O1956" s="28">
        <v>2.6363636363636363E-2</v>
      </c>
      <c r="P1956" s="28">
        <v>27.460176991150444</v>
      </c>
    </row>
    <row r="1957" spans="1:16" x14ac:dyDescent="0.3">
      <c r="A1957" t="s">
        <v>4840</v>
      </c>
      <c r="B1957" s="24">
        <v>111550</v>
      </c>
      <c r="C1957" s="24" t="s">
        <v>1582</v>
      </c>
      <c r="D1957" s="24" t="s">
        <v>1102</v>
      </c>
      <c r="E1957" s="24" t="s">
        <v>51</v>
      </c>
      <c r="F1957" s="24" t="s">
        <v>1142</v>
      </c>
      <c r="G1957" s="24" t="s">
        <v>1402</v>
      </c>
      <c r="H1957" s="24" t="s">
        <v>91</v>
      </c>
      <c r="I1957" s="24" t="s">
        <v>1747</v>
      </c>
      <c r="J1957" s="24" t="s">
        <v>761</v>
      </c>
      <c r="K1957" s="24" t="s">
        <v>1146</v>
      </c>
      <c r="L1957" s="25">
        <v>1070</v>
      </c>
      <c r="M1957" s="26">
        <v>29</v>
      </c>
      <c r="N1957" s="27">
        <v>29</v>
      </c>
      <c r="O1957" s="28">
        <v>2.6363636363636363E-2</v>
      </c>
      <c r="P1957" s="28">
        <v>27.460176991150444</v>
      </c>
    </row>
    <row r="1958" spans="1:16" x14ac:dyDescent="0.3">
      <c r="A1958" t="s">
        <v>4841</v>
      </c>
      <c r="B1958" s="24">
        <v>100603</v>
      </c>
      <c r="C1958" s="24" t="s">
        <v>1277</v>
      </c>
      <c r="D1958" s="24" t="s">
        <v>1102</v>
      </c>
      <c r="E1958" s="24" t="s">
        <v>51</v>
      </c>
      <c r="F1958" s="24" t="s">
        <v>1142</v>
      </c>
      <c r="G1958" s="24" t="s">
        <v>1082</v>
      </c>
      <c r="H1958" s="24" t="s">
        <v>1748</v>
      </c>
      <c r="I1958" s="24" t="s">
        <v>1749</v>
      </c>
      <c r="J1958" s="24" t="s">
        <v>761</v>
      </c>
      <c r="K1958" s="24" t="s">
        <v>1146</v>
      </c>
      <c r="L1958" s="25">
        <v>1070</v>
      </c>
      <c r="M1958" s="26">
        <v>38</v>
      </c>
      <c r="N1958" s="27">
        <v>38</v>
      </c>
      <c r="O1958" s="28">
        <v>3.4545454545454546E-2</v>
      </c>
      <c r="P1958" s="28">
        <v>35.982300884955755</v>
      </c>
    </row>
    <row r="1959" spans="1:16" x14ac:dyDescent="0.3">
      <c r="A1959" t="s">
        <v>4842</v>
      </c>
      <c r="B1959" s="24">
        <v>101186</v>
      </c>
      <c r="C1959" s="24" t="s">
        <v>1273</v>
      </c>
      <c r="D1959" s="24" t="s">
        <v>1102</v>
      </c>
      <c r="E1959" s="24" t="s">
        <v>51</v>
      </c>
      <c r="F1959" s="24" t="s">
        <v>1142</v>
      </c>
      <c r="G1959" s="24" t="s">
        <v>1203</v>
      </c>
      <c r="H1959" s="24" t="s">
        <v>76</v>
      </c>
      <c r="I1959" s="24" t="s">
        <v>1744</v>
      </c>
      <c r="J1959" s="24" t="s">
        <v>761</v>
      </c>
      <c r="K1959" s="24" t="s">
        <v>1146</v>
      </c>
      <c r="L1959" s="25">
        <v>1070</v>
      </c>
      <c r="M1959" s="26">
        <v>12.38</v>
      </c>
      <c r="N1959" s="27">
        <v>12.38</v>
      </c>
      <c r="O1959" s="28">
        <v>1.1254545454545455E-2</v>
      </c>
      <c r="P1959" s="28">
        <v>11.722654867256637</v>
      </c>
    </row>
    <row r="1960" spans="1:16" x14ac:dyDescent="0.3">
      <c r="A1960" t="s">
        <v>4843</v>
      </c>
      <c r="B1960" s="24">
        <v>142310</v>
      </c>
      <c r="C1960" s="24" t="s">
        <v>1474</v>
      </c>
      <c r="D1960" s="24" t="s">
        <v>1102</v>
      </c>
      <c r="E1960" s="24" t="s">
        <v>51</v>
      </c>
      <c r="F1960" s="24" t="s">
        <v>1142</v>
      </c>
      <c r="G1960" s="24" t="s">
        <v>1402</v>
      </c>
      <c r="H1960" s="24" t="s">
        <v>76</v>
      </c>
      <c r="I1960" s="24" t="s">
        <v>1744</v>
      </c>
      <c r="J1960" s="24" t="s">
        <v>761</v>
      </c>
      <c r="K1960" s="24" t="s">
        <v>1146</v>
      </c>
      <c r="L1960" s="25">
        <v>1070</v>
      </c>
      <c r="M1960" s="26">
        <v>12.38</v>
      </c>
      <c r="N1960" s="27">
        <v>12.38</v>
      </c>
      <c r="O1960" s="28">
        <v>1.1254545454545455E-2</v>
      </c>
      <c r="P1960" s="28">
        <v>11.722654867256637</v>
      </c>
    </row>
    <row r="1961" spans="1:16" x14ac:dyDescent="0.3">
      <c r="A1961" t="s">
        <v>4844</v>
      </c>
      <c r="B1961" s="24">
        <v>100581</v>
      </c>
      <c r="C1961" s="24" t="s">
        <v>1232</v>
      </c>
      <c r="D1961" s="24" t="s">
        <v>1102</v>
      </c>
      <c r="E1961" s="24" t="s">
        <v>51</v>
      </c>
      <c r="F1961" s="24" t="s">
        <v>1142</v>
      </c>
      <c r="G1961" s="24" t="s">
        <v>1233</v>
      </c>
      <c r="H1961" s="24" t="s">
        <v>77</v>
      </c>
      <c r="I1961" s="24" t="s">
        <v>1750</v>
      </c>
      <c r="J1961" s="24" t="s">
        <v>761</v>
      </c>
      <c r="K1961" s="24" t="s">
        <v>1146</v>
      </c>
      <c r="L1961" s="25">
        <v>1070</v>
      </c>
      <c r="M1961" s="26">
        <v>15.18</v>
      </c>
      <c r="N1961" s="27">
        <v>15.18</v>
      </c>
      <c r="O1961" s="28">
        <v>1.38E-2</v>
      </c>
      <c r="P1961" s="28">
        <v>14.373982300884956</v>
      </c>
    </row>
    <row r="1962" spans="1:16" x14ac:dyDescent="0.3">
      <c r="A1962" t="s">
        <v>4845</v>
      </c>
      <c r="B1962" s="24">
        <v>100603</v>
      </c>
      <c r="C1962" s="24" t="s">
        <v>1277</v>
      </c>
      <c r="D1962" s="24" t="s">
        <v>1102</v>
      </c>
      <c r="E1962" s="24" t="s">
        <v>51</v>
      </c>
      <c r="F1962" s="24" t="s">
        <v>1142</v>
      </c>
      <c r="G1962" s="24" t="s">
        <v>1082</v>
      </c>
      <c r="H1962" s="24" t="s">
        <v>77</v>
      </c>
      <c r="I1962" s="24" t="s">
        <v>1750</v>
      </c>
      <c r="J1962" s="24" t="s">
        <v>761</v>
      </c>
      <c r="K1962" s="24" t="s">
        <v>1146</v>
      </c>
      <c r="L1962" s="25">
        <v>1070</v>
      </c>
      <c r="M1962" s="26">
        <v>13.21</v>
      </c>
      <c r="N1962" s="27">
        <v>13.21</v>
      </c>
      <c r="O1962" s="28">
        <v>1.200909090909091E-2</v>
      </c>
      <c r="P1962" s="28">
        <v>12.508584070796461</v>
      </c>
    </row>
    <row r="1963" spans="1:16" x14ac:dyDescent="0.3">
      <c r="A1963" t="s">
        <v>4846</v>
      </c>
      <c r="B1963" s="24">
        <v>101184</v>
      </c>
      <c r="C1963" s="24" t="s">
        <v>1401</v>
      </c>
      <c r="D1963" s="24" t="s">
        <v>1102</v>
      </c>
      <c r="E1963" s="24" t="s">
        <v>51</v>
      </c>
      <c r="F1963" s="24" t="s">
        <v>1142</v>
      </c>
      <c r="G1963" s="24" t="s">
        <v>1402</v>
      </c>
      <c r="H1963" s="24" t="s">
        <v>77</v>
      </c>
      <c r="I1963" s="24" t="s">
        <v>1750</v>
      </c>
      <c r="J1963" s="24" t="s">
        <v>761</v>
      </c>
      <c r="K1963" s="24" t="s">
        <v>1146</v>
      </c>
      <c r="L1963" s="25">
        <v>1070</v>
      </c>
      <c r="M1963" s="26">
        <v>15.18</v>
      </c>
      <c r="N1963" s="27">
        <v>15.18</v>
      </c>
      <c r="O1963" s="28">
        <v>1.38E-2</v>
      </c>
      <c r="P1963" s="28">
        <v>14.373982300884956</v>
      </c>
    </row>
    <row r="1964" spans="1:16" x14ac:dyDescent="0.3">
      <c r="A1964" t="s">
        <v>4847</v>
      </c>
      <c r="B1964" s="24">
        <v>101186</v>
      </c>
      <c r="C1964" s="24" t="s">
        <v>1273</v>
      </c>
      <c r="D1964" s="24" t="s">
        <v>1102</v>
      </c>
      <c r="E1964" s="24" t="s">
        <v>51</v>
      </c>
      <c r="F1964" s="24" t="s">
        <v>1142</v>
      </c>
      <c r="G1964" s="24" t="s">
        <v>1203</v>
      </c>
      <c r="H1964" s="24" t="s">
        <v>77</v>
      </c>
      <c r="I1964" s="24" t="s">
        <v>1750</v>
      </c>
      <c r="J1964" s="24" t="s">
        <v>761</v>
      </c>
      <c r="K1964" s="24" t="s">
        <v>1146</v>
      </c>
      <c r="L1964" s="25">
        <v>1070</v>
      </c>
      <c r="M1964" s="26">
        <v>15.18</v>
      </c>
      <c r="N1964" s="27">
        <v>15.18</v>
      </c>
      <c r="O1964" s="28">
        <v>1.38E-2</v>
      </c>
      <c r="P1964" s="28">
        <v>14.373982300884956</v>
      </c>
    </row>
    <row r="1965" spans="1:16" x14ac:dyDescent="0.3">
      <c r="A1965" t="s">
        <v>4848</v>
      </c>
      <c r="B1965" s="24">
        <v>101184</v>
      </c>
      <c r="C1965" s="24" t="s">
        <v>1401</v>
      </c>
      <c r="D1965" s="24" t="s">
        <v>1102</v>
      </c>
      <c r="E1965" s="24" t="s">
        <v>51</v>
      </c>
      <c r="F1965" s="24" t="s">
        <v>1142</v>
      </c>
      <c r="G1965" s="24" t="s">
        <v>1402</v>
      </c>
      <c r="H1965" s="24" t="s">
        <v>286</v>
      </c>
      <c r="I1965" s="24" t="s">
        <v>1751</v>
      </c>
      <c r="J1965" s="24" t="s">
        <v>761</v>
      </c>
      <c r="K1965" s="24" t="s">
        <v>1146</v>
      </c>
      <c r="L1965" s="25">
        <v>1070</v>
      </c>
      <c r="M1965" s="26">
        <v>12.78</v>
      </c>
      <c r="N1965" s="27">
        <v>12.78</v>
      </c>
      <c r="O1965" s="28">
        <v>1.1618181818181817E-2</v>
      </c>
      <c r="P1965" s="28">
        <v>12.101415929203538</v>
      </c>
    </row>
    <row r="1966" spans="1:16" x14ac:dyDescent="0.3">
      <c r="A1966" t="s">
        <v>4849</v>
      </c>
      <c r="B1966" s="24">
        <v>111550</v>
      </c>
      <c r="C1966" s="24" t="s">
        <v>1582</v>
      </c>
      <c r="D1966" s="24" t="s">
        <v>1102</v>
      </c>
      <c r="E1966" s="24" t="s">
        <v>51</v>
      </c>
      <c r="F1966" s="24" t="s">
        <v>1142</v>
      </c>
      <c r="G1966" s="24" t="s">
        <v>1402</v>
      </c>
      <c r="H1966" s="24" t="s">
        <v>286</v>
      </c>
      <c r="I1966" s="24" t="s">
        <v>1751</v>
      </c>
      <c r="J1966" s="24" t="s">
        <v>761</v>
      </c>
      <c r="K1966" s="24" t="s">
        <v>1146</v>
      </c>
      <c r="L1966" s="25">
        <v>1070</v>
      </c>
      <c r="M1966" s="26">
        <v>12.78</v>
      </c>
      <c r="N1966" s="27">
        <v>12.78</v>
      </c>
      <c r="O1966" s="28">
        <v>1.1618181818181817E-2</v>
      </c>
      <c r="P1966" s="28">
        <v>12.101415929203538</v>
      </c>
    </row>
    <row r="1967" spans="1:16" x14ac:dyDescent="0.3">
      <c r="A1967" t="s">
        <v>4850</v>
      </c>
      <c r="B1967" s="24">
        <v>114501</v>
      </c>
      <c r="C1967" s="24" t="s">
        <v>1409</v>
      </c>
      <c r="D1967" s="24" t="s">
        <v>1102</v>
      </c>
      <c r="E1967" s="24" t="s">
        <v>51</v>
      </c>
      <c r="F1967" s="24" t="s">
        <v>1142</v>
      </c>
      <c r="G1967" s="24" t="s">
        <v>1402</v>
      </c>
      <c r="H1967" s="24" t="s">
        <v>286</v>
      </c>
      <c r="I1967" s="24" t="s">
        <v>1751</v>
      </c>
      <c r="J1967" s="24" t="s">
        <v>761</v>
      </c>
      <c r="K1967" s="24" t="s">
        <v>1146</v>
      </c>
      <c r="L1967" s="25">
        <v>1070</v>
      </c>
      <c r="M1967" s="26">
        <v>12.78</v>
      </c>
      <c r="N1967" s="27">
        <v>12.78</v>
      </c>
      <c r="O1967" s="28">
        <v>1.1618181818181817E-2</v>
      </c>
      <c r="P1967" s="28">
        <v>12.101415929203538</v>
      </c>
    </row>
    <row r="1968" spans="1:16" x14ac:dyDescent="0.3">
      <c r="A1968" t="s">
        <v>4851</v>
      </c>
      <c r="B1968" s="24">
        <v>100581</v>
      </c>
      <c r="C1968" s="24" t="s">
        <v>1232</v>
      </c>
      <c r="D1968" s="24" t="s">
        <v>1102</v>
      </c>
      <c r="E1968" s="24" t="s">
        <v>51</v>
      </c>
      <c r="F1968" s="24" t="s">
        <v>1142</v>
      </c>
      <c r="G1968" s="24" t="s">
        <v>1233</v>
      </c>
      <c r="H1968" s="24" t="s">
        <v>204</v>
      </c>
      <c r="I1968" s="24" t="s">
        <v>1752</v>
      </c>
      <c r="J1968" s="24" t="s">
        <v>761</v>
      </c>
      <c r="K1968" s="24" t="s">
        <v>1146</v>
      </c>
      <c r="L1968" s="25">
        <v>1070</v>
      </c>
      <c r="M1968" s="26">
        <v>17.16</v>
      </c>
      <c r="N1968" s="27">
        <v>17.16</v>
      </c>
      <c r="O1968" s="28">
        <v>1.5599999999999999E-2</v>
      </c>
      <c r="P1968" s="28">
        <v>16.248849557522124</v>
      </c>
    </row>
    <row r="1969" spans="1:16" x14ac:dyDescent="0.3">
      <c r="A1969" t="s">
        <v>4852</v>
      </c>
      <c r="B1969" s="24">
        <v>101184</v>
      </c>
      <c r="C1969" s="24" t="s">
        <v>1401</v>
      </c>
      <c r="D1969" s="24" t="s">
        <v>1102</v>
      </c>
      <c r="E1969" s="24" t="s">
        <v>51</v>
      </c>
      <c r="F1969" s="24" t="s">
        <v>1142</v>
      </c>
      <c r="G1969" s="24" t="s">
        <v>1402</v>
      </c>
      <c r="H1969" s="24" t="s">
        <v>204</v>
      </c>
      <c r="I1969" s="24" t="s">
        <v>1752</v>
      </c>
      <c r="J1969" s="24" t="s">
        <v>761</v>
      </c>
      <c r="K1969" s="24" t="s">
        <v>1146</v>
      </c>
      <c r="L1969" s="25">
        <v>1070</v>
      </c>
      <c r="M1969" s="26">
        <v>17.16</v>
      </c>
      <c r="N1969" s="27">
        <v>17.16</v>
      </c>
      <c r="O1969" s="28">
        <v>1.5599999999999999E-2</v>
      </c>
      <c r="P1969" s="28">
        <v>16.248849557522124</v>
      </c>
    </row>
    <row r="1970" spans="1:16" x14ac:dyDescent="0.3">
      <c r="A1970" t="s">
        <v>4853</v>
      </c>
      <c r="B1970" s="24">
        <v>101186</v>
      </c>
      <c r="C1970" s="24" t="s">
        <v>1273</v>
      </c>
      <c r="D1970" s="24" t="s">
        <v>1102</v>
      </c>
      <c r="E1970" s="24" t="s">
        <v>51</v>
      </c>
      <c r="F1970" s="24" t="s">
        <v>1142</v>
      </c>
      <c r="G1970" s="24" t="s">
        <v>1203</v>
      </c>
      <c r="H1970" s="24" t="s">
        <v>204</v>
      </c>
      <c r="I1970" s="24" t="s">
        <v>1752</v>
      </c>
      <c r="J1970" s="24" t="s">
        <v>761</v>
      </c>
      <c r="K1970" s="24" t="s">
        <v>1146</v>
      </c>
      <c r="L1970" s="25">
        <v>1070</v>
      </c>
      <c r="M1970" s="26">
        <v>17.16</v>
      </c>
      <c r="N1970" s="27">
        <v>17.16</v>
      </c>
      <c r="O1970" s="28">
        <v>1.5599999999999999E-2</v>
      </c>
      <c r="P1970" s="28">
        <v>16.248849557522124</v>
      </c>
    </row>
    <row r="1971" spans="1:16" x14ac:dyDescent="0.3">
      <c r="A1971" t="s">
        <v>4854</v>
      </c>
      <c r="B1971" s="24">
        <v>111550</v>
      </c>
      <c r="C1971" s="24" t="s">
        <v>1582</v>
      </c>
      <c r="D1971" s="24" t="s">
        <v>1102</v>
      </c>
      <c r="E1971" s="24" t="s">
        <v>51</v>
      </c>
      <c r="F1971" s="24" t="s">
        <v>1142</v>
      </c>
      <c r="G1971" s="24" t="s">
        <v>1402</v>
      </c>
      <c r="H1971" s="24" t="s">
        <v>204</v>
      </c>
      <c r="I1971" s="24" t="s">
        <v>1752</v>
      </c>
      <c r="J1971" s="24" t="s">
        <v>761</v>
      </c>
      <c r="K1971" s="24" t="s">
        <v>1146</v>
      </c>
      <c r="L1971" s="25">
        <v>1070</v>
      </c>
      <c r="M1971" s="26">
        <v>17.16</v>
      </c>
      <c r="N1971" s="27">
        <v>17.16</v>
      </c>
      <c r="O1971" s="28">
        <v>1.5599999999999999E-2</v>
      </c>
      <c r="P1971" s="28">
        <v>16.248849557522124</v>
      </c>
    </row>
    <row r="1972" spans="1:16" x14ac:dyDescent="0.3">
      <c r="A1972" t="s">
        <v>4855</v>
      </c>
      <c r="B1972" s="24">
        <v>114501</v>
      </c>
      <c r="C1972" s="24" t="s">
        <v>1409</v>
      </c>
      <c r="D1972" s="24" t="s">
        <v>1102</v>
      </c>
      <c r="E1972" s="24" t="s">
        <v>51</v>
      </c>
      <c r="F1972" s="24" t="s">
        <v>1142</v>
      </c>
      <c r="G1972" s="24" t="s">
        <v>1402</v>
      </c>
      <c r="H1972" s="24" t="s">
        <v>204</v>
      </c>
      <c r="I1972" s="24" t="s">
        <v>1752</v>
      </c>
      <c r="J1972" s="24" t="s">
        <v>761</v>
      </c>
      <c r="K1972" s="24" t="s">
        <v>1146</v>
      </c>
      <c r="L1972" s="25">
        <v>1070</v>
      </c>
      <c r="M1972" s="26">
        <v>17.16</v>
      </c>
      <c r="N1972" s="27">
        <v>17.16</v>
      </c>
      <c r="O1972" s="28">
        <v>1.5599999999999999E-2</v>
      </c>
      <c r="P1972" s="28">
        <v>16.248849557522124</v>
      </c>
    </row>
    <row r="1973" spans="1:16" x14ac:dyDescent="0.3">
      <c r="A1973" t="s">
        <v>4856</v>
      </c>
      <c r="B1973" s="24">
        <v>100581</v>
      </c>
      <c r="C1973" s="24" t="s">
        <v>1232</v>
      </c>
      <c r="D1973" s="24" t="s">
        <v>1102</v>
      </c>
      <c r="E1973" s="24" t="s">
        <v>51</v>
      </c>
      <c r="F1973" s="24" t="s">
        <v>1142</v>
      </c>
      <c r="G1973" s="24" t="s">
        <v>1233</v>
      </c>
      <c r="H1973" s="24" t="s">
        <v>1066</v>
      </c>
      <c r="I1973" s="24" t="s">
        <v>1753</v>
      </c>
      <c r="J1973" s="24" t="s">
        <v>761</v>
      </c>
      <c r="K1973" s="24" t="s">
        <v>1146</v>
      </c>
      <c r="L1973" s="25">
        <v>1070</v>
      </c>
      <c r="M1973" s="26">
        <v>18.37</v>
      </c>
      <c r="N1973" s="27">
        <v>18.37</v>
      </c>
      <c r="O1973" s="28">
        <v>1.67E-2</v>
      </c>
      <c r="P1973" s="28">
        <v>17.394601769911507</v>
      </c>
    </row>
    <row r="1974" spans="1:16" x14ac:dyDescent="0.3">
      <c r="A1974" t="s">
        <v>4857</v>
      </c>
      <c r="B1974" s="24">
        <v>101186</v>
      </c>
      <c r="C1974" s="24" t="s">
        <v>1273</v>
      </c>
      <c r="D1974" s="24" t="s">
        <v>1102</v>
      </c>
      <c r="E1974" s="24" t="s">
        <v>51</v>
      </c>
      <c r="F1974" s="24" t="s">
        <v>1142</v>
      </c>
      <c r="G1974" s="24" t="s">
        <v>1203</v>
      </c>
      <c r="H1974" s="24" t="s">
        <v>177</v>
      </c>
      <c r="I1974" s="24" t="s">
        <v>1754</v>
      </c>
      <c r="J1974" s="24" t="s">
        <v>761</v>
      </c>
      <c r="K1974" s="24" t="s">
        <v>1146</v>
      </c>
      <c r="L1974" s="25">
        <v>1070</v>
      </c>
      <c r="M1974" s="26">
        <v>19.75</v>
      </c>
      <c r="N1974" s="27">
        <v>19.75</v>
      </c>
      <c r="O1974" s="28">
        <v>1.7954545454545456E-2</v>
      </c>
      <c r="P1974" s="28">
        <v>18.701327433628318</v>
      </c>
    </row>
    <row r="1975" spans="1:16" x14ac:dyDescent="0.3">
      <c r="A1975" t="s">
        <v>4858</v>
      </c>
      <c r="B1975" s="24">
        <v>106916</v>
      </c>
      <c r="C1975" s="24" t="s">
        <v>1216</v>
      </c>
      <c r="D1975" s="24" t="s">
        <v>1102</v>
      </c>
      <c r="E1975" s="24" t="s">
        <v>51</v>
      </c>
      <c r="F1975" s="24" t="s">
        <v>1142</v>
      </c>
      <c r="G1975" s="24" t="s">
        <v>1203</v>
      </c>
      <c r="H1975" s="24" t="s">
        <v>177</v>
      </c>
      <c r="I1975" s="24" t="s">
        <v>1754</v>
      </c>
      <c r="J1975" s="24" t="s">
        <v>761</v>
      </c>
      <c r="K1975" s="24" t="s">
        <v>1146</v>
      </c>
      <c r="L1975" s="25">
        <v>1070</v>
      </c>
      <c r="M1975" s="26">
        <v>19.75</v>
      </c>
      <c r="N1975" s="27">
        <v>19.75</v>
      </c>
      <c r="O1975" s="28">
        <v>1.7954545454545456E-2</v>
      </c>
      <c r="P1975" s="28">
        <v>18.701327433628318</v>
      </c>
    </row>
    <row r="1976" spans="1:16" x14ac:dyDescent="0.3">
      <c r="A1976" t="s">
        <v>4859</v>
      </c>
      <c r="B1976" s="24">
        <v>100603</v>
      </c>
      <c r="C1976" s="24" t="s">
        <v>1277</v>
      </c>
      <c r="D1976" s="24" t="s">
        <v>1102</v>
      </c>
      <c r="E1976" s="24" t="s">
        <v>51</v>
      </c>
      <c r="F1976" s="24" t="s">
        <v>1142</v>
      </c>
      <c r="G1976" s="24" t="s">
        <v>1082</v>
      </c>
      <c r="H1976" s="24" t="s">
        <v>173</v>
      </c>
      <c r="I1976" s="24" t="s">
        <v>1755</v>
      </c>
      <c r="J1976" s="24" t="s">
        <v>761</v>
      </c>
      <c r="K1976" s="24" t="s">
        <v>1146</v>
      </c>
      <c r="L1976" s="25">
        <v>1070</v>
      </c>
      <c r="M1976" s="26">
        <v>15.8</v>
      </c>
      <c r="N1976" s="27">
        <v>15.8</v>
      </c>
      <c r="O1976" s="28">
        <v>1.4363636363636365E-2</v>
      </c>
      <c r="P1976" s="28">
        <v>14.961061946902655</v>
      </c>
    </row>
    <row r="1977" spans="1:16" x14ac:dyDescent="0.3">
      <c r="A1977" t="s">
        <v>4860</v>
      </c>
      <c r="B1977" s="24">
        <v>101186</v>
      </c>
      <c r="C1977" s="24" t="s">
        <v>1273</v>
      </c>
      <c r="D1977" s="24" t="s">
        <v>1102</v>
      </c>
      <c r="E1977" s="24" t="s">
        <v>51</v>
      </c>
      <c r="F1977" s="24" t="s">
        <v>1142</v>
      </c>
      <c r="G1977" s="24" t="s">
        <v>1203</v>
      </c>
      <c r="H1977" s="24" t="s">
        <v>100</v>
      </c>
      <c r="I1977" s="24" t="s">
        <v>1756</v>
      </c>
      <c r="J1977" s="24" t="s">
        <v>761</v>
      </c>
      <c r="K1977" s="24" t="s">
        <v>1146</v>
      </c>
      <c r="L1977" s="25">
        <v>1070</v>
      </c>
      <c r="M1977" s="26">
        <v>43.97</v>
      </c>
      <c r="N1977" s="27">
        <v>43.97</v>
      </c>
      <c r="O1977" s="28">
        <v>3.9972727272727271E-2</v>
      </c>
      <c r="P1977" s="28">
        <v>41.635309734513278</v>
      </c>
    </row>
    <row r="1978" spans="1:16" x14ac:dyDescent="0.3">
      <c r="A1978" t="s">
        <v>4861</v>
      </c>
      <c r="B1978" s="24">
        <v>142301</v>
      </c>
      <c r="C1978" s="24" t="s">
        <v>1757</v>
      </c>
      <c r="D1978" s="24" t="s">
        <v>1102</v>
      </c>
      <c r="E1978" s="24" t="s">
        <v>51</v>
      </c>
      <c r="F1978" s="24" t="s">
        <v>1386</v>
      </c>
      <c r="G1978" s="24" t="s">
        <v>1387</v>
      </c>
      <c r="H1978" s="24" t="s">
        <v>258</v>
      </c>
      <c r="I1978" s="24" t="s">
        <v>1758</v>
      </c>
      <c r="J1978" s="24" t="s">
        <v>761</v>
      </c>
      <c r="K1978" s="24" t="s">
        <v>1146</v>
      </c>
      <c r="L1978" s="25">
        <v>1070</v>
      </c>
      <c r="M1978" s="26">
        <v>17.399999999999999</v>
      </c>
      <c r="N1978" s="27">
        <v>17.399999999999999</v>
      </c>
      <c r="O1978" s="28">
        <v>1.5818181818181818E-2</v>
      </c>
      <c r="P1978" s="28">
        <v>16.476106194690267</v>
      </c>
    </row>
    <row r="1979" spans="1:16" x14ac:dyDescent="0.3">
      <c r="A1979" t="s">
        <v>4862</v>
      </c>
      <c r="B1979" s="24">
        <v>100603</v>
      </c>
      <c r="C1979" s="24" t="s">
        <v>1277</v>
      </c>
      <c r="D1979" s="24" t="s">
        <v>1102</v>
      </c>
      <c r="E1979" s="24" t="s">
        <v>51</v>
      </c>
      <c r="F1979" s="24" t="s">
        <v>1142</v>
      </c>
      <c r="G1979" s="24" t="s">
        <v>1082</v>
      </c>
      <c r="H1979" s="24" t="s">
        <v>338</v>
      </c>
      <c r="I1979" s="24" t="s">
        <v>1759</v>
      </c>
      <c r="J1979" s="24" t="s">
        <v>761</v>
      </c>
      <c r="K1979" s="24" t="s">
        <v>1146</v>
      </c>
      <c r="L1979" s="25">
        <v>1070</v>
      </c>
      <c r="M1979" s="26">
        <v>16.8</v>
      </c>
      <c r="N1979" s="27">
        <v>16.8</v>
      </c>
      <c r="O1979" s="28">
        <v>1.5272727272727273E-2</v>
      </c>
      <c r="P1979" s="28">
        <v>15.907964601769912</v>
      </c>
    </row>
    <row r="1980" spans="1:16" x14ac:dyDescent="0.3">
      <c r="A1980" t="s">
        <v>4863</v>
      </c>
      <c r="B1980" s="24">
        <v>101184</v>
      </c>
      <c r="C1980" s="24" t="s">
        <v>1401</v>
      </c>
      <c r="D1980" s="24" t="s">
        <v>1102</v>
      </c>
      <c r="E1980" s="24" t="s">
        <v>51</v>
      </c>
      <c r="F1980" s="24" t="s">
        <v>1142</v>
      </c>
      <c r="G1980" s="24" t="s">
        <v>1402</v>
      </c>
      <c r="H1980" s="24" t="s">
        <v>338</v>
      </c>
      <c r="I1980" s="24" t="s">
        <v>1759</v>
      </c>
      <c r="J1980" s="24" t="s">
        <v>761</v>
      </c>
      <c r="K1980" s="24" t="s">
        <v>1146</v>
      </c>
      <c r="L1980" s="25">
        <v>1070</v>
      </c>
      <c r="M1980" s="26">
        <v>16.8</v>
      </c>
      <c r="N1980" s="27">
        <v>16.8</v>
      </c>
      <c r="O1980" s="28">
        <v>1.5272727272727273E-2</v>
      </c>
      <c r="P1980" s="28">
        <v>15.907964601769912</v>
      </c>
    </row>
    <row r="1981" spans="1:16" x14ac:dyDescent="0.3">
      <c r="A1981" t="s">
        <v>4864</v>
      </c>
      <c r="B1981" s="24">
        <v>101186</v>
      </c>
      <c r="C1981" s="24" t="s">
        <v>1273</v>
      </c>
      <c r="D1981" s="24" t="s">
        <v>1102</v>
      </c>
      <c r="E1981" s="24" t="s">
        <v>51</v>
      </c>
      <c r="F1981" s="24" t="s">
        <v>1142</v>
      </c>
      <c r="G1981" s="24" t="s">
        <v>1203</v>
      </c>
      <c r="H1981" s="24" t="s">
        <v>338</v>
      </c>
      <c r="I1981" s="24" t="s">
        <v>1759</v>
      </c>
      <c r="J1981" s="24" t="s">
        <v>761</v>
      </c>
      <c r="K1981" s="24" t="s">
        <v>1146</v>
      </c>
      <c r="L1981" s="25">
        <v>1070</v>
      </c>
      <c r="M1981" s="26">
        <v>16.8</v>
      </c>
      <c r="N1981" s="27">
        <v>16.8</v>
      </c>
      <c r="O1981" s="28">
        <v>1.5272727272727273E-2</v>
      </c>
      <c r="P1981" s="28">
        <v>15.907964601769912</v>
      </c>
    </row>
    <row r="1982" spans="1:16" x14ac:dyDescent="0.3">
      <c r="A1982" t="s">
        <v>4865</v>
      </c>
      <c r="B1982" s="24">
        <v>101206</v>
      </c>
      <c r="C1982" s="24" t="s">
        <v>1199</v>
      </c>
      <c r="D1982" s="24" t="s">
        <v>1102</v>
      </c>
      <c r="E1982" s="24" t="s">
        <v>51</v>
      </c>
      <c r="F1982" s="24" t="s">
        <v>1142</v>
      </c>
      <c r="G1982" s="24" t="s">
        <v>1200</v>
      </c>
      <c r="H1982" s="24" t="s">
        <v>338</v>
      </c>
      <c r="I1982" s="24" t="s">
        <v>1759</v>
      </c>
      <c r="J1982" s="24" t="s">
        <v>761</v>
      </c>
      <c r="K1982" s="24" t="s">
        <v>1146</v>
      </c>
      <c r="L1982" s="25">
        <v>1070</v>
      </c>
      <c r="M1982" s="26">
        <v>16.8</v>
      </c>
      <c r="N1982" s="27">
        <v>16.8</v>
      </c>
      <c r="O1982" s="28">
        <v>1.5272727272727273E-2</v>
      </c>
      <c r="P1982" s="28">
        <v>15.907964601769912</v>
      </c>
    </row>
    <row r="1983" spans="1:16" x14ac:dyDescent="0.3">
      <c r="A1983" t="s">
        <v>4866</v>
      </c>
      <c r="B1983" s="24">
        <v>101424</v>
      </c>
      <c r="C1983" s="24" t="s">
        <v>1278</v>
      </c>
      <c r="D1983" s="24" t="s">
        <v>1102</v>
      </c>
      <c r="E1983" s="24" t="s">
        <v>51</v>
      </c>
      <c r="F1983" s="24" t="s">
        <v>1142</v>
      </c>
      <c r="G1983" s="24" t="s">
        <v>1203</v>
      </c>
      <c r="H1983" s="24" t="s">
        <v>338</v>
      </c>
      <c r="I1983" s="24" t="s">
        <v>1759</v>
      </c>
      <c r="J1983" s="24" t="s">
        <v>761</v>
      </c>
      <c r="K1983" s="24" t="s">
        <v>1146</v>
      </c>
      <c r="L1983" s="25">
        <v>1070</v>
      </c>
      <c r="M1983" s="26">
        <v>16.8</v>
      </c>
      <c r="N1983" s="27">
        <v>16.8</v>
      </c>
      <c r="O1983" s="28">
        <v>1.5272727272727273E-2</v>
      </c>
      <c r="P1983" s="28">
        <v>15.907964601769912</v>
      </c>
    </row>
    <row r="1984" spans="1:16" x14ac:dyDescent="0.3">
      <c r="A1984" t="s">
        <v>4867</v>
      </c>
      <c r="B1984" s="24">
        <v>114163</v>
      </c>
      <c r="C1984" s="24" t="s">
        <v>1490</v>
      </c>
      <c r="D1984" s="24" t="s">
        <v>1102</v>
      </c>
      <c r="E1984" s="24" t="s">
        <v>51</v>
      </c>
      <c r="F1984" s="24" t="s">
        <v>1142</v>
      </c>
      <c r="G1984" s="24" t="s">
        <v>1203</v>
      </c>
      <c r="H1984" s="24" t="s">
        <v>338</v>
      </c>
      <c r="I1984" s="24" t="s">
        <v>1759</v>
      </c>
      <c r="J1984" s="24" t="s">
        <v>761</v>
      </c>
      <c r="K1984" s="24" t="s">
        <v>1146</v>
      </c>
      <c r="L1984" s="25">
        <v>1070</v>
      </c>
      <c r="M1984" s="26">
        <v>16.8</v>
      </c>
      <c r="N1984" s="27">
        <v>16.8</v>
      </c>
      <c r="O1984" s="28">
        <v>1.5272727272727273E-2</v>
      </c>
      <c r="P1984" s="28">
        <v>15.907964601769912</v>
      </c>
    </row>
    <row r="1985" spans="1:16" x14ac:dyDescent="0.3">
      <c r="A1985" t="s">
        <v>4868</v>
      </c>
      <c r="B1985" s="24">
        <v>114501</v>
      </c>
      <c r="C1985" s="24" t="s">
        <v>1409</v>
      </c>
      <c r="D1985" s="24" t="s">
        <v>1102</v>
      </c>
      <c r="E1985" s="24" t="s">
        <v>51</v>
      </c>
      <c r="F1985" s="24" t="s">
        <v>1142</v>
      </c>
      <c r="G1985" s="24" t="s">
        <v>1402</v>
      </c>
      <c r="H1985" s="24" t="s">
        <v>338</v>
      </c>
      <c r="I1985" s="24" t="s">
        <v>1759</v>
      </c>
      <c r="J1985" s="24" t="s">
        <v>761</v>
      </c>
      <c r="K1985" s="24" t="s">
        <v>1146</v>
      </c>
      <c r="L1985" s="25">
        <v>1070</v>
      </c>
      <c r="M1985" s="26">
        <v>16.8</v>
      </c>
      <c r="N1985" s="27">
        <v>16.8</v>
      </c>
      <c r="O1985" s="28">
        <v>1.5272727272727273E-2</v>
      </c>
      <c r="P1985" s="28">
        <v>15.907964601769912</v>
      </c>
    </row>
    <row r="1986" spans="1:16" x14ac:dyDescent="0.3">
      <c r="A1986" t="s">
        <v>4869</v>
      </c>
      <c r="B1986" s="24">
        <v>142310</v>
      </c>
      <c r="C1986" s="24" t="s">
        <v>1474</v>
      </c>
      <c r="D1986" s="24" t="s">
        <v>1102</v>
      </c>
      <c r="E1986" s="24" t="s">
        <v>51</v>
      </c>
      <c r="F1986" s="24" t="s">
        <v>1142</v>
      </c>
      <c r="G1986" s="24" t="s">
        <v>1402</v>
      </c>
      <c r="H1986" s="24" t="s">
        <v>338</v>
      </c>
      <c r="I1986" s="24" t="s">
        <v>1759</v>
      </c>
      <c r="J1986" s="24" t="s">
        <v>761</v>
      </c>
      <c r="K1986" s="24" t="s">
        <v>1146</v>
      </c>
      <c r="L1986" s="25">
        <v>1070</v>
      </c>
      <c r="M1986" s="26">
        <v>16.8</v>
      </c>
      <c r="N1986" s="27">
        <v>16.8</v>
      </c>
      <c r="O1986" s="28">
        <v>1.5272727272727273E-2</v>
      </c>
      <c r="P1986" s="28">
        <v>15.907964601769912</v>
      </c>
    </row>
    <row r="1987" spans="1:16" x14ac:dyDescent="0.3">
      <c r="A1987" t="s">
        <v>4870</v>
      </c>
      <c r="B1987" s="24">
        <v>101424</v>
      </c>
      <c r="C1987" s="24" t="s">
        <v>1278</v>
      </c>
      <c r="D1987" s="24" t="s">
        <v>1102</v>
      </c>
      <c r="E1987" s="24" t="s">
        <v>51</v>
      </c>
      <c r="F1987" s="24" t="s">
        <v>1142</v>
      </c>
      <c r="G1987" s="24" t="s">
        <v>1203</v>
      </c>
      <c r="H1987" s="24" t="s">
        <v>339</v>
      </c>
      <c r="I1987" s="24" t="s">
        <v>1760</v>
      </c>
      <c r="J1987" s="24" t="s">
        <v>761</v>
      </c>
      <c r="K1987" s="24" t="s">
        <v>1146</v>
      </c>
      <c r="L1987" s="25">
        <v>1070</v>
      </c>
      <c r="M1987" s="26">
        <v>16.7</v>
      </c>
      <c r="N1987" s="27">
        <v>16.7</v>
      </c>
      <c r="O1987" s="28">
        <v>1.5181818181818182E-2</v>
      </c>
      <c r="P1987" s="28">
        <v>15.813274336283186</v>
      </c>
    </row>
    <row r="1988" spans="1:16" x14ac:dyDescent="0.3">
      <c r="A1988" t="s">
        <v>4870</v>
      </c>
      <c r="B1988" s="24">
        <v>101424</v>
      </c>
      <c r="C1988" s="24" t="s">
        <v>1278</v>
      </c>
      <c r="D1988" s="24" t="s">
        <v>1102</v>
      </c>
      <c r="E1988" s="24" t="s">
        <v>51</v>
      </c>
      <c r="F1988" s="24" t="s">
        <v>1142</v>
      </c>
      <c r="G1988" s="24" t="s">
        <v>1203</v>
      </c>
      <c r="H1988" s="24" t="s">
        <v>339</v>
      </c>
      <c r="I1988" s="24" t="s">
        <v>1760</v>
      </c>
      <c r="J1988" s="24" t="s">
        <v>761</v>
      </c>
      <c r="K1988" s="24" t="s">
        <v>1146</v>
      </c>
      <c r="L1988" s="25">
        <v>1070</v>
      </c>
      <c r="M1988" s="26">
        <v>16.7</v>
      </c>
      <c r="N1988" s="27">
        <v>16.7</v>
      </c>
      <c r="O1988" s="28">
        <v>1.5181818181818182E-2</v>
      </c>
      <c r="P1988" s="28">
        <v>15.813274336283186</v>
      </c>
    </row>
    <row r="1989" spans="1:16" x14ac:dyDescent="0.3">
      <c r="A1989" t="s">
        <v>4871</v>
      </c>
      <c r="B1989" s="24">
        <v>100581</v>
      </c>
      <c r="C1989" s="24" t="s">
        <v>1232</v>
      </c>
      <c r="D1989" s="24" t="s">
        <v>1102</v>
      </c>
      <c r="E1989" s="24" t="s">
        <v>51</v>
      </c>
      <c r="F1989" s="24" t="s">
        <v>1142</v>
      </c>
      <c r="G1989" s="24" t="s">
        <v>1233</v>
      </c>
      <c r="H1989" s="24" t="s">
        <v>340</v>
      </c>
      <c r="I1989" s="24" t="s">
        <v>1759</v>
      </c>
      <c r="J1989" s="24" t="s">
        <v>761</v>
      </c>
      <c r="K1989" s="24" t="s">
        <v>1146</v>
      </c>
      <c r="L1989" s="25">
        <v>1070</v>
      </c>
      <c r="M1989" s="26">
        <v>17.808</v>
      </c>
      <c r="N1989" s="27">
        <v>17.808</v>
      </c>
      <c r="O1989" s="28">
        <v>1.618909090909091E-2</v>
      </c>
      <c r="P1989" s="28">
        <v>16.862442477876108</v>
      </c>
    </row>
    <row r="1990" spans="1:16" x14ac:dyDescent="0.3">
      <c r="A1990" t="s">
        <v>4872</v>
      </c>
      <c r="B1990" s="24">
        <v>100603</v>
      </c>
      <c r="C1990" s="24" t="s">
        <v>1277</v>
      </c>
      <c r="D1990" s="24" t="s">
        <v>1102</v>
      </c>
      <c r="E1990" s="24" t="s">
        <v>51</v>
      </c>
      <c r="F1990" s="24" t="s">
        <v>1142</v>
      </c>
      <c r="G1990" s="24" t="s">
        <v>1082</v>
      </c>
      <c r="H1990" s="24" t="s">
        <v>340</v>
      </c>
      <c r="I1990" s="24" t="s">
        <v>1759</v>
      </c>
      <c r="J1990" s="24" t="s">
        <v>761</v>
      </c>
      <c r="K1990" s="24" t="s">
        <v>1146</v>
      </c>
      <c r="L1990" s="25">
        <v>1070</v>
      </c>
      <c r="M1990" s="26">
        <v>16.8</v>
      </c>
      <c r="N1990" s="27">
        <v>16.8</v>
      </c>
      <c r="O1990" s="28">
        <v>1.5272727272727273E-2</v>
      </c>
      <c r="P1990" s="28">
        <v>15.907964601769912</v>
      </c>
    </row>
    <row r="1991" spans="1:16" x14ac:dyDescent="0.3">
      <c r="A1991" t="s">
        <v>4873</v>
      </c>
      <c r="B1991" s="24">
        <v>101184</v>
      </c>
      <c r="C1991" s="24" t="s">
        <v>1401</v>
      </c>
      <c r="D1991" s="24" t="s">
        <v>1102</v>
      </c>
      <c r="E1991" s="24" t="s">
        <v>51</v>
      </c>
      <c r="F1991" s="24" t="s">
        <v>1142</v>
      </c>
      <c r="G1991" s="24" t="s">
        <v>1402</v>
      </c>
      <c r="H1991" s="24" t="s">
        <v>340</v>
      </c>
      <c r="I1991" s="24" t="s">
        <v>1759</v>
      </c>
      <c r="J1991" s="24" t="s">
        <v>761</v>
      </c>
      <c r="K1991" s="24" t="s">
        <v>1146</v>
      </c>
      <c r="L1991" s="25">
        <v>1070</v>
      </c>
      <c r="M1991" s="26">
        <v>16.8</v>
      </c>
      <c r="N1991" s="27">
        <v>16.8</v>
      </c>
      <c r="O1991" s="28">
        <v>1.5272727272727273E-2</v>
      </c>
      <c r="P1991" s="28">
        <v>15.907964601769912</v>
      </c>
    </row>
    <row r="1992" spans="1:16" x14ac:dyDescent="0.3">
      <c r="A1992" t="s">
        <v>4874</v>
      </c>
      <c r="B1992" s="24">
        <v>101186</v>
      </c>
      <c r="C1992" s="24" t="s">
        <v>1273</v>
      </c>
      <c r="D1992" s="24" t="s">
        <v>1102</v>
      </c>
      <c r="E1992" s="24" t="s">
        <v>51</v>
      </c>
      <c r="F1992" s="24" t="s">
        <v>1142</v>
      </c>
      <c r="G1992" s="24" t="s">
        <v>1203</v>
      </c>
      <c r="H1992" s="24" t="s">
        <v>340</v>
      </c>
      <c r="I1992" s="24" t="s">
        <v>1759</v>
      </c>
      <c r="J1992" s="24" t="s">
        <v>761</v>
      </c>
      <c r="K1992" s="24" t="s">
        <v>1146</v>
      </c>
      <c r="L1992" s="25">
        <v>1070</v>
      </c>
      <c r="M1992" s="26">
        <v>16.8</v>
      </c>
      <c r="N1992" s="27">
        <v>16.8</v>
      </c>
      <c r="O1992" s="28">
        <v>1.5272727272727273E-2</v>
      </c>
      <c r="P1992" s="28">
        <v>15.907964601769912</v>
      </c>
    </row>
    <row r="1993" spans="1:16" x14ac:dyDescent="0.3">
      <c r="A1993" t="s">
        <v>4875</v>
      </c>
      <c r="B1993" s="24">
        <v>101206</v>
      </c>
      <c r="C1993" s="24" t="s">
        <v>1199</v>
      </c>
      <c r="D1993" s="24" t="s">
        <v>1102</v>
      </c>
      <c r="E1993" s="24" t="s">
        <v>51</v>
      </c>
      <c r="F1993" s="24" t="s">
        <v>1142</v>
      </c>
      <c r="G1993" s="24" t="s">
        <v>1200</v>
      </c>
      <c r="H1993" s="24" t="s">
        <v>340</v>
      </c>
      <c r="I1993" s="24" t="s">
        <v>1759</v>
      </c>
      <c r="J1993" s="24" t="s">
        <v>761</v>
      </c>
      <c r="K1993" s="24" t="s">
        <v>1146</v>
      </c>
      <c r="L1993" s="25">
        <v>1070</v>
      </c>
      <c r="M1993" s="26">
        <v>16.8</v>
      </c>
      <c r="N1993" s="27">
        <v>16.8</v>
      </c>
      <c r="O1993" s="28">
        <v>1.5272727272727273E-2</v>
      </c>
      <c r="P1993" s="28">
        <v>15.907964601769912</v>
      </c>
    </row>
    <row r="1994" spans="1:16" x14ac:dyDescent="0.3">
      <c r="A1994" t="s">
        <v>4876</v>
      </c>
      <c r="B1994" s="24">
        <v>101424</v>
      </c>
      <c r="C1994" s="24" t="s">
        <v>1278</v>
      </c>
      <c r="D1994" s="24" t="s">
        <v>1102</v>
      </c>
      <c r="E1994" s="24" t="s">
        <v>51</v>
      </c>
      <c r="F1994" s="24" t="s">
        <v>1142</v>
      </c>
      <c r="G1994" s="24" t="s">
        <v>1203</v>
      </c>
      <c r="H1994" s="24" t="s">
        <v>340</v>
      </c>
      <c r="I1994" s="24" t="s">
        <v>1759</v>
      </c>
      <c r="J1994" s="24" t="s">
        <v>761</v>
      </c>
      <c r="K1994" s="24" t="s">
        <v>1146</v>
      </c>
      <c r="L1994" s="25">
        <v>1070</v>
      </c>
      <c r="M1994" s="26">
        <v>16.8</v>
      </c>
      <c r="N1994" s="27">
        <v>16.8</v>
      </c>
      <c r="O1994" s="28">
        <v>1.5272727272727273E-2</v>
      </c>
      <c r="P1994" s="28">
        <v>15.907964601769912</v>
      </c>
    </row>
    <row r="1995" spans="1:16" x14ac:dyDescent="0.3">
      <c r="A1995" t="s">
        <v>4877</v>
      </c>
      <c r="B1995" s="24">
        <v>114163</v>
      </c>
      <c r="C1995" s="24" t="s">
        <v>1490</v>
      </c>
      <c r="D1995" s="24" t="s">
        <v>1102</v>
      </c>
      <c r="E1995" s="24" t="s">
        <v>51</v>
      </c>
      <c r="F1995" s="24" t="s">
        <v>1142</v>
      </c>
      <c r="G1995" s="24" t="s">
        <v>1203</v>
      </c>
      <c r="H1995" s="24" t="s">
        <v>340</v>
      </c>
      <c r="I1995" s="24" t="s">
        <v>1759</v>
      </c>
      <c r="J1995" s="24" t="s">
        <v>761</v>
      </c>
      <c r="K1995" s="24" t="s">
        <v>1146</v>
      </c>
      <c r="L1995" s="25">
        <v>1070</v>
      </c>
      <c r="M1995" s="26">
        <v>16.8</v>
      </c>
      <c r="N1995" s="27">
        <v>16.8</v>
      </c>
      <c r="O1995" s="28">
        <v>1.5272727272727273E-2</v>
      </c>
      <c r="P1995" s="28">
        <v>15.907964601769912</v>
      </c>
    </row>
    <row r="1996" spans="1:16" x14ac:dyDescent="0.3">
      <c r="A1996" t="s">
        <v>4878</v>
      </c>
      <c r="B1996" s="24">
        <v>114501</v>
      </c>
      <c r="C1996" s="24" t="s">
        <v>1409</v>
      </c>
      <c r="D1996" s="24" t="s">
        <v>1102</v>
      </c>
      <c r="E1996" s="24" t="s">
        <v>51</v>
      </c>
      <c r="F1996" s="24" t="s">
        <v>1142</v>
      </c>
      <c r="G1996" s="24" t="s">
        <v>1402</v>
      </c>
      <c r="H1996" s="24" t="s">
        <v>340</v>
      </c>
      <c r="I1996" s="24" t="s">
        <v>1759</v>
      </c>
      <c r="J1996" s="24" t="s">
        <v>761</v>
      </c>
      <c r="K1996" s="24" t="s">
        <v>1146</v>
      </c>
      <c r="L1996" s="25">
        <v>1070</v>
      </c>
      <c r="M1996" s="26">
        <v>16.8</v>
      </c>
      <c r="N1996" s="27">
        <v>16.8</v>
      </c>
      <c r="O1996" s="28">
        <v>1.5272727272727273E-2</v>
      </c>
      <c r="P1996" s="28">
        <v>15.907964601769912</v>
      </c>
    </row>
    <row r="1997" spans="1:16" x14ac:dyDescent="0.3">
      <c r="A1997" t="s">
        <v>4879</v>
      </c>
      <c r="B1997" s="24">
        <v>142310</v>
      </c>
      <c r="C1997" s="24" t="s">
        <v>1474</v>
      </c>
      <c r="D1997" s="24" t="s">
        <v>1102</v>
      </c>
      <c r="E1997" s="24" t="s">
        <v>51</v>
      </c>
      <c r="F1997" s="24" t="s">
        <v>1142</v>
      </c>
      <c r="G1997" s="24" t="s">
        <v>1402</v>
      </c>
      <c r="H1997" s="24" t="s">
        <v>340</v>
      </c>
      <c r="I1997" s="24" t="s">
        <v>1759</v>
      </c>
      <c r="J1997" s="24" t="s">
        <v>761</v>
      </c>
      <c r="K1997" s="24" t="s">
        <v>1146</v>
      </c>
      <c r="L1997" s="25">
        <v>1070</v>
      </c>
      <c r="M1997" s="26">
        <v>16.8</v>
      </c>
      <c r="N1997" s="27">
        <v>16.8</v>
      </c>
      <c r="O1997" s="28">
        <v>1.5272727272727273E-2</v>
      </c>
      <c r="P1997" s="28">
        <v>15.907964601769912</v>
      </c>
    </row>
    <row r="1998" spans="1:16" x14ac:dyDescent="0.3">
      <c r="A1998" t="s">
        <v>4880</v>
      </c>
      <c r="B1998" s="24">
        <v>100581</v>
      </c>
      <c r="C1998" s="24" t="s">
        <v>1232</v>
      </c>
      <c r="D1998" s="24" t="s">
        <v>1102</v>
      </c>
      <c r="E1998" s="24" t="s">
        <v>51</v>
      </c>
      <c r="F1998" s="24" t="s">
        <v>1142</v>
      </c>
      <c r="G1998" s="24" t="s">
        <v>1233</v>
      </c>
      <c r="H1998" s="24" t="s">
        <v>341</v>
      </c>
      <c r="I1998" s="24" t="s">
        <v>1761</v>
      </c>
      <c r="J1998" s="24" t="s">
        <v>761</v>
      </c>
      <c r="K1998" s="24" t="s">
        <v>1146</v>
      </c>
      <c r="L1998" s="25">
        <v>1070</v>
      </c>
      <c r="M1998" s="26">
        <v>17.5</v>
      </c>
      <c r="N1998" s="27">
        <v>17.5</v>
      </c>
      <c r="O1998" s="28">
        <v>1.5909090909090907E-2</v>
      </c>
      <c r="P1998" s="28">
        <v>16.570796460176989</v>
      </c>
    </row>
    <row r="1999" spans="1:16" x14ac:dyDescent="0.3">
      <c r="A1999" t="s">
        <v>4881</v>
      </c>
      <c r="B1999" s="24">
        <v>101186</v>
      </c>
      <c r="C1999" s="24" t="s">
        <v>1273</v>
      </c>
      <c r="D1999" s="24" t="s">
        <v>1102</v>
      </c>
      <c r="E1999" s="24" t="s">
        <v>51</v>
      </c>
      <c r="F1999" s="24" t="s">
        <v>1142</v>
      </c>
      <c r="G1999" s="24" t="s">
        <v>1203</v>
      </c>
      <c r="H1999" s="24" t="s">
        <v>341</v>
      </c>
      <c r="I1999" s="24" t="s">
        <v>1761</v>
      </c>
      <c r="J1999" s="24" t="s">
        <v>761</v>
      </c>
      <c r="K1999" s="24" t="s">
        <v>1146</v>
      </c>
      <c r="L1999" s="25">
        <v>1070</v>
      </c>
      <c r="M1999" s="26">
        <v>17.5</v>
      </c>
      <c r="N1999" s="27">
        <v>17.5</v>
      </c>
      <c r="O1999" s="28">
        <v>1.5909090909090907E-2</v>
      </c>
      <c r="P1999" s="28">
        <v>16.570796460176989</v>
      </c>
    </row>
    <row r="2000" spans="1:16" x14ac:dyDescent="0.3">
      <c r="A2000" t="s">
        <v>4882</v>
      </c>
      <c r="B2000" s="24">
        <v>114163</v>
      </c>
      <c r="C2000" s="24" t="s">
        <v>1490</v>
      </c>
      <c r="D2000" s="24" t="s">
        <v>1102</v>
      </c>
      <c r="E2000" s="24" t="s">
        <v>51</v>
      </c>
      <c r="F2000" s="24" t="s">
        <v>1142</v>
      </c>
      <c r="G2000" s="24" t="s">
        <v>1203</v>
      </c>
      <c r="H2000" s="24" t="s">
        <v>341</v>
      </c>
      <c r="I2000" s="24" t="s">
        <v>1761</v>
      </c>
      <c r="J2000" s="24" t="s">
        <v>761</v>
      </c>
      <c r="K2000" s="24" t="s">
        <v>1146</v>
      </c>
      <c r="L2000" s="25">
        <v>1070</v>
      </c>
      <c r="M2000" s="26">
        <v>17.5</v>
      </c>
      <c r="N2000" s="27">
        <v>17.5</v>
      </c>
      <c r="O2000" s="28">
        <v>1.5909090909090907E-2</v>
      </c>
      <c r="P2000" s="28">
        <v>16.570796460176989</v>
      </c>
    </row>
    <row r="2001" spans="1:16" x14ac:dyDescent="0.3">
      <c r="A2001" t="s">
        <v>4883</v>
      </c>
      <c r="B2001" s="24">
        <v>142310</v>
      </c>
      <c r="C2001" s="24" t="s">
        <v>1474</v>
      </c>
      <c r="D2001" s="24" t="s">
        <v>1102</v>
      </c>
      <c r="E2001" s="24" t="s">
        <v>51</v>
      </c>
      <c r="F2001" s="24" t="s">
        <v>1142</v>
      </c>
      <c r="G2001" s="24" t="s">
        <v>1402</v>
      </c>
      <c r="H2001" s="24" t="s">
        <v>341</v>
      </c>
      <c r="I2001" s="24" t="s">
        <v>1761</v>
      </c>
      <c r="J2001" s="24" t="s">
        <v>761</v>
      </c>
      <c r="K2001" s="24" t="s">
        <v>1146</v>
      </c>
      <c r="L2001" s="25">
        <v>1070</v>
      </c>
      <c r="M2001" s="26">
        <v>17.5</v>
      </c>
      <c r="N2001" s="27">
        <v>17.5</v>
      </c>
      <c r="O2001" s="28">
        <v>1.5909090909090907E-2</v>
      </c>
      <c r="P2001" s="28">
        <v>16.570796460176989</v>
      </c>
    </row>
    <row r="2002" spans="1:16" x14ac:dyDescent="0.3">
      <c r="A2002" t="s">
        <v>4884</v>
      </c>
      <c r="B2002" s="24">
        <v>100581</v>
      </c>
      <c r="C2002" s="24" t="s">
        <v>1232</v>
      </c>
      <c r="D2002" s="24" t="s">
        <v>1102</v>
      </c>
      <c r="E2002" s="24" t="s">
        <v>51</v>
      </c>
      <c r="F2002" s="24" t="s">
        <v>1142</v>
      </c>
      <c r="G2002" s="24" t="s">
        <v>1233</v>
      </c>
      <c r="H2002" s="24" t="s">
        <v>152</v>
      </c>
      <c r="I2002" s="24" t="s">
        <v>1762</v>
      </c>
      <c r="J2002" s="24" t="s">
        <v>761</v>
      </c>
      <c r="K2002" s="24" t="s">
        <v>1146</v>
      </c>
      <c r="L2002" s="25">
        <v>1070</v>
      </c>
      <c r="M2002" s="26">
        <v>22.75</v>
      </c>
      <c r="N2002" s="27">
        <v>22.75</v>
      </c>
      <c r="O2002" s="28">
        <v>2.0681818181818183E-2</v>
      </c>
      <c r="P2002" s="28">
        <v>21.542035398230087</v>
      </c>
    </row>
    <row r="2003" spans="1:16" x14ac:dyDescent="0.3">
      <c r="A2003" t="s">
        <v>4885</v>
      </c>
      <c r="B2003" s="24">
        <v>100603</v>
      </c>
      <c r="C2003" s="24" t="s">
        <v>1277</v>
      </c>
      <c r="D2003" s="24" t="s">
        <v>1102</v>
      </c>
      <c r="E2003" s="24" t="s">
        <v>51</v>
      </c>
      <c r="F2003" s="24" t="s">
        <v>1142</v>
      </c>
      <c r="G2003" s="24" t="s">
        <v>1082</v>
      </c>
      <c r="H2003" s="24" t="s">
        <v>152</v>
      </c>
      <c r="I2003" s="24" t="s">
        <v>1762</v>
      </c>
      <c r="J2003" s="24" t="s">
        <v>761</v>
      </c>
      <c r="K2003" s="24" t="s">
        <v>1146</v>
      </c>
      <c r="L2003" s="25">
        <v>1070</v>
      </c>
      <c r="M2003" s="26">
        <v>22.75</v>
      </c>
      <c r="N2003" s="27">
        <v>22.75</v>
      </c>
      <c r="O2003" s="28">
        <v>2.0681818181818183E-2</v>
      </c>
      <c r="P2003" s="28">
        <v>21.542035398230087</v>
      </c>
    </row>
    <row r="2004" spans="1:16" x14ac:dyDescent="0.3">
      <c r="A2004" t="s">
        <v>4886</v>
      </c>
      <c r="B2004" s="24">
        <v>101186</v>
      </c>
      <c r="C2004" s="24" t="s">
        <v>1273</v>
      </c>
      <c r="D2004" s="24" t="s">
        <v>1102</v>
      </c>
      <c r="E2004" s="24" t="s">
        <v>51</v>
      </c>
      <c r="F2004" s="24" t="s">
        <v>1142</v>
      </c>
      <c r="G2004" s="24" t="s">
        <v>1203</v>
      </c>
      <c r="H2004" s="24" t="s">
        <v>152</v>
      </c>
      <c r="I2004" s="24" t="s">
        <v>1762</v>
      </c>
      <c r="J2004" s="24" t="s">
        <v>761</v>
      </c>
      <c r="K2004" s="24" t="s">
        <v>1146</v>
      </c>
      <c r="L2004" s="25">
        <v>1070</v>
      </c>
      <c r="M2004" s="26">
        <v>22.75</v>
      </c>
      <c r="N2004" s="27">
        <v>22.75</v>
      </c>
      <c r="O2004" s="28">
        <v>2.0681818181818183E-2</v>
      </c>
      <c r="P2004" s="28">
        <v>21.542035398230087</v>
      </c>
    </row>
    <row r="2005" spans="1:16" x14ac:dyDescent="0.3">
      <c r="A2005" t="s">
        <v>4887</v>
      </c>
      <c r="B2005" s="24">
        <v>101206</v>
      </c>
      <c r="C2005" s="24" t="s">
        <v>1199</v>
      </c>
      <c r="D2005" s="24" t="s">
        <v>1102</v>
      </c>
      <c r="E2005" s="24" t="s">
        <v>51</v>
      </c>
      <c r="F2005" s="24" t="s">
        <v>1142</v>
      </c>
      <c r="G2005" s="24" t="s">
        <v>1200</v>
      </c>
      <c r="H2005" s="24" t="s">
        <v>152</v>
      </c>
      <c r="I2005" s="24" t="s">
        <v>1762</v>
      </c>
      <c r="J2005" s="24" t="s">
        <v>761</v>
      </c>
      <c r="K2005" s="24" t="s">
        <v>1146</v>
      </c>
      <c r="L2005" s="25">
        <v>1070</v>
      </c>
      <c r="M2005" s="26">
        <v>22.75</v>
      </c>
      <c r="N2005" s="27">
        <v>22.75</v>
      </c>
      <c r="O2005" s="28">
        <v>2.0681818181818183E-2</v>
      </c>
      <c r="P2005" s="28">
        <v>21.542035398230087</v>
      </c>
    </row>
    <row r="2006" spans="1:16" x14ac:dyDescent="0.3">
      <c r="A2006" t="s">
        <v>4888</v>
      </c>
      <c r="B2006" s="24">
        <v>101424</v>
      </c>
      <c r="C2006" s="24" t="s">
        <v>1278</v>
      </c>
      <c r="D2006" s="24" t="s">
        <v>1102</v>
      </c>
      <c r="E2006" s="24" t="s">
        <v>51</v>
      </c>
      <c r="F2006" s="24" t="s">
        <v>1142</v>
      </c>
      <c r="G2006" s="24" t="s">
        <v>1203</v>
      </c>
      <c r="H2006" s="24" t="s">
        <v>152</v>
      </c>
      <c r="I2006" s="24" t="s">
        <v>1762</v>
      </c>
      <c r="J2006" s="24" t="s">
        <v>761</v>
      </c>
      <c r="K2006" s="24" t="s">
        <v>1146</v>
      </c>
      <c r="L2006" s="25">
        <v>1070</v>
      </c>
      <c r="M2006" s="26">
        <v>22.75</v>
      </c>
      <c r="N2006" s="27">
        <v>22.75</v>
      </c>
      <c r="O2006" s="28">
        <v>2.0681818181818183E-2</v>
      </c>
      <c r="P2006" s="28">
        <v>21.542035398230087</v>
      </c>
    </row>
    <row r="2007" spans="1:16" x14ac:dyDescent="0.3">
      <c r="A2007" t="s">
        <v>4889</v>
      </c>
      <c r="B2007" s="24">
        <v>111550</v>
      </c>
      <c r="C2007" s="24" t="s">
        <v>1582</v>
      </c>
      <c r="D2007" s="24" t="s">
        <v>1102</v>
      </c>
      <c r="E2007" s="24" t="s">
        <v>51</v>
      </c>
      <c r="F2007" s="24" t="s">
        <v>1142</v>
      </c>
      <c r="G2007" s="24" t="s">
        <v>1402</v>
      </c>
      <c r="H2007" s="24" t="s">
        <v>152</v>
      </c>
      <c r="I2007" s="24" t="s">
        <v>1762</v>
      </c>
      <c r="J2007" s="24" t="s">
        <v>761</v>
      </c>
      <c r="K2007" s="24" t="s">
        <v>1146</v>
      </c>
      <c r="L2007" s="25">
        <v>1070</v>
      </c>
      <c r="M2007" s="26">
        <v>22.75</v>
      </c>
      <c r="N2007" s="27">
        <v>22.75</v>
      </c>
      <c r="O2007" s="28">
        <v>2.0681818181818183E-2</v>
      </c>
      <c r="P2007" s="28">
        <v>21.542035398230087</v>
      </c>
    </row>
    <row r="2008" spans="1:16" x14ac:dyDescent="0.3">
      <c r="A2008" t="s">
        <v>4890</v>
      </c>
      <c r="B2008" s="24">
        <v>114501</v>
      </c>
      <c r="C2008" s="24" t="s">
        <v>1409</v>
      </c>
      <c r="D2008" s="24" t="s">
        <v>1102</v>
      </c>
      <c r="E2008" s="24" t="s">
        <v>51</v>
      </c>
      <c r="F2008" s="24" t="s">
        <v>1142</v>
      </c>
      <c r="G2008" s="24" t="s">
        <v>1402</v>
      </c>
      <c r="H2008" s="24" t="s">
        <v>152</v>
      </c>
      <c r="I2008" s="24" t="s">
        <v>1762</v>
      </c>
      <c r="J2008" s="24" t="s">
        <v>761</v>
      </c>
      <c r="K2008" s="24" t="s">
        <v>1146</v>
      </c>
      <c r="L2008" s="25">
        <v>1070</v>
      </c>
      <c r="M2008" s="26">
        <v>22.75</v>
      </c>
      <c r="N2008" s="27">
        <v>22.75</v>
      </c>
      <c r="O2008" s="28">
        <v>2.0681818181818183E-2</v>
      </c>
      <c r="P2008" s="28">
        <v>21.542035398230087</v>
      </c>
    </row>
    <row r="2009" spans="1:16" x14ac:dyDescent="0.3">
      <c r="A2009" t="s">
        <v>4891</v>
      </c>
      <c r="B2009" s="24">
        <v>101186</v>
      </c>
      <c r="C2009" s="24" t="s">
        <v>1273</v>
      </c>
      <c r="D2009" s="24" t="s">
        <v>1102</v>
      </c>
      <c r="E2009" s="24" t="s">
        <v>51</v>
      </c>
      <c r="F2009" s="24" t="s">
        <v>1142</v>
      </c>
      <c r="G2009" s="24" t="s">
        <v>1203</v>
      </c>
      <c r="H2009" s="24" t="s">
        <v>153</v>
      </c>
      <c r="I2009" s="24" t="s">
        <v>1763</v>
      </c>
      <c r="J2009" s="24" t="s">
        <v>761</v>
      </c>
      <c r="K2009" s="24" t="s">
        <v>1146</v>
      </c>
      <c r="L2009" s="25">
        <v>1070</v>
      </c>
      <c r="M2009" s="26">
        <v>26.75</v>
      </c>
      <c r="N2009" s="27">
        <v>26.75</v>
      </c>
      <c r="O2009" s="28">
        <v>2.4318181818181819E-2</v>
      </c>
      <c r="P2009" s="28">
        <v>25.329646017699115</v>
      </c>
    </row>
    <row r="2010" spans="1:16" x14ac:dyDescent="0.3">
      <c r="A2010" t="s">
        <v>4892</v>
      </c>
      <c r="B2010" s="24">
        <v>106916</v>
      </c>
      <c r="C2010" s="24" t="s">
        <v>1216</v>
      </c>
      <c r="D2010" s="24" t="s">
        <v>1102</v>
      </c>
      <c r="E2010" s="24" t="s">
        <v>51</v>
      </c>
      <c r="F2010" s="24" t="s">
        <v>1142</v>
      </c>
      <c r="G2010" s="24" t="s">
        <v>1203</v>
      </c>
      <c r="H2010" s="24" t="s">
        <v>153</v>
      </c>
      <c r="I2010" s="24" t="s">
        <v>1763</v>
      </c>
      <c r="J2010" s="24" t="s">
        <v>761</v>
      </c>
      <c r="K2010" s="24" t="s">
        <v>1146</v>
      </c>
      <c r="L2010" s="25">
        <v>1070</v>
      </c>
      <c r="M2010" s="26">
        <v>26.75</v>
      </c>
      <c r="N2010" s="27">
        <v>26.75</v>
      </c>
      <c r="O2010" s="28">
        <v>2.4318181818181819E-2</v>
      </c>
      <c r="P2010" s="28">
        <v>25.329646017699115</v>
      </c>
    </row>
    <row r="2011" spans="1:16" x14ac:dyDescent="0.3">
      <c r="A2011" t="s">
        <v>4893</v>
      </c>
      <c r="B2011" s="24">
        <v>106916</v>
      </c>
      <c r="C2011" s="24" t="s">
        <v>1216</v>
      </c>
      <c r="D2011" s="24" t="s">
        <v>1102</v>
      </c>
      <c r="E2011" s="24" t="s">
        <v>51</v>
      </c>
      <c r="F2011" s="24" t="s">
        <v>1142</v>
      </c>
      <c r="G2011" s="24" t="s">
        <v>1203</v>
      </c>
      <c r="H2011" s="24" t="s">
        <v>153</v>
      </c>
      <c r="I2011" s="24" t="s">
        <v>1764</v>
      </c>
      <c r="J2011" s="24" t="s">
        <v>761</v>
      </c>
      <c r="K2011" s="24" t="s">
        <v>1146</v>
      </c>
      <c r="L2011" s="25">
        <v>1070</v>
      </c>
      <c r="M2011" s="26">
        <v>26.75</v>
      </c>
      <c r="N2011" s="27">
        <v>26.75</v>
      </c>
      <c r="O2011" s="28">
        <v>2.4318181818181819E-2</v>
      </c>
      <c r="P2011" s="28">
        <v>25.329646017699115</v>
      </c>
    </row>
    <row r="2012" spans="1:16" x14ac:dyDescent="0.3">
      <c r="A2012" t="s">
        <v>4894</v>
      </c>
      <c r="B2012" s="24">
        <v>300014</v>
      </c>
      <c r="C2012" s="24" t="s">
        <v>1765</v>
      </c>
      <c r="D2012" s="24" t="s">
        <v>1102</v>
      </c>
      <c r="E2012" s="24" t="s">
        <v>51</v>
      </c>
      <c r="F2012" s="24" t="s">
        <v>1237</v>
      </c>
      <c r="G2012" s="24" t="s">
        <v>1238</v>
      </c>
      <c r="H2012" s="24" t="s">
        <v>220</v>
      </c>
      <c r="I2012" s="24" t="s">
        <v>1766</v>
      </c>
      <c r="J2012" s="24" t="s">
        <v>761</v>
      </c>
      <c r="K2012" s="24" t="s">
        <v>1146</v>
      </c>
      <c r="L2012" s="25">
        <v>1070</v>
      </c>
      <c r="M2012" s="26">
        <v>14.3</v>
      </c>
      <c r="N2012" s="27">
        <v>14.3</v>
      </c>
      <c r="O2012" s="28">
        <v>1.3000000000000001E-2</v>
      </c>
      <c r="P2012" s="28">
        <v>13.54070796460177</v>
      </c>
    </row>
    <row r="2013" spans="1:16" x14ac:dyDescent="0.3">
      <c r="A2013" t="s">
        <v>4895</v>
      </c>
      <c r="B2013" s="24">
        <v>101424</v>
      </c>
      <c r="C2013" s="24" t="s">
        <v>1278</v>
      </c>
      <c r="D2013" s="24" t="s">
        <v>1102</v>
      </c>
      <c r="E2013" s="24" t="s">
        <v>51</v>
      </c>
      <c r="F2013" s="24" t="s">
        <v>1142</v>
      </c>
      <c r="G2013" s="24" t="s">
        <v>1203</v>
      </c>
      <c r="H2013" s="24" t="s">
        <v>105</v>
      </c>
      <c r="I2013" s="24" t="s">
        <v>1767</v>
      </c>
      <c r="J2013" s="24" t="s">
        <v>761</v>
      </c>
      <c r="K2013" s="24" t="s">
        <v>1146</v>
      </c>
      <c r="L2013" s="25">
        <v>1070</v>
      </c>
      <c r="M2013" s="26">
        <v>38.869999999999997</v>
      </c>
      <c r="N2013" s="27">
        <v>38.869999999999997</v>
      </c>
      <c r="O2013" s="28">
        <v>3.5336363636363631E-2</v>
      </c>
      <c r="P2013" s="28">
        <v>36.806106194690258</v>
      </c>
    </row>
    <row r="2014" spans="1:16" x14ac:dyDescent="0.3">
      <c r="A2014" t="s">
        <v>4896</v>
      </c>
      <c r="B2014" s="24">
        <v>100603</v>
      </c>
      <c r="C2014" s="24" t="s">
        <v>1277</v>
      </c>
      <c r="D2014" s="24" t="s">
        <v>1102</v>
      </c>
      <c r="E2014" s="24" t="s">
        <v>51</v>
      </c>
      <c r="F2014" s="24" t="s">
        <v>1142</v>
      </c>
      <c r="G2014" s="24" t="s">
        <v>1082</v>
      </c>
      <c r="H2014" s="24" t="s">
        <v>178</v>
      </c>
      <c r="I2014" s="24" t="s">
        <v>1768</v>
      </c>
      <c r="J2014" s="24" t="s">
        <v>761</v>
      </c>
      <c r="K2014" s="24" t="s">
        <v>1146</v>
      </c>
      <c r="L2014" s="25">
        <v>1070</v>
      </c>
      <c r="M2014" s="26">
        <v>43.5</v>
      </c>
      <c r="N2014" s="27">
        <v>43.5</v>
      </c>
      <c r="O2014" s="28">
        <v>3.9545454545454543E-2</v>
      </c>
      <c r="P2014" s="28">
        <v>41.190265486725664</v>
      </c>
    </row>
    <row r="2015" spans="1:16" x14ac:dyDescent="0.3">
      <c r="A2015" t="s">
        <v>4897</v>
      </c>
      <c r="B2015" s="24">
        <v>142301</v>
      </c>
      <c r="C2015" s="24" t="s">
        <v>1757</v>
      </c>
      <c r="D2015" s="24" t="s">
        <v>1102</v>
      </c>
      <c r="E2015" s="24" t="s">
        <v>51</v>
      </c>
      <c r="F2015" s="24" t="s">
        <v>1386</v>
      </c>
      <c r="G2015" s="24" t="s">
        <v>1387</v>
      </c>
      <c r="H2015" s="24" t="s">
        <v>242</v>
      </c>
      <c r="I2015" s="24" t="s">
        <v>1769</v>
      </c>
      <c r="J2015" s="24" t="s">
        <v>761</v>
      </c>
      <c r="K2015" s="24" t="s">
        <v>1146</v>
      </c>
      <c r="L2015" s="25">
        <v>1070</v>
      </c>
      <c r="M2015" s="26">
        <v>22.56</v>
      </c>
      <c r="N2015" s="27">
        <v>22.56</v>
      </c>
      <c r="O2015" s="28">
        <v>2.0509090909090907E-2</v>
      </c>
      <c r="P2015" s="28">
        <v>21.362123893805308</v>
      </c>
    </row>
    <row r="2016" spans="1:16" x14ac:dyDescent="0.3">
      <c r="A2016" t="s">
        <v>4898</v>
      </c>
      <c r="B2016" s="24">
        <v>100581</v>
      </c>
      <c r="C2016" s="24" t="s">
        <v>1232</v>
      </c>
      <c r="D2016" s="24" t="s">
        <v>1102</v>
      </c>
      <c r="E2016" s="24" t="s">
        <v>51</v>
      </c>
      <c r="F2016" s="24" t="s">
        <v>1142</v>
      </c>
      <c r="G2016" s="24" t="s">
        <v>1233</v>
      </c>
      <c r="H2016" s="24" t="s">
        <v>313</v>
      </c>
      <c r="I2016" s="24" t="s">
        <v>1770</v>
      </c>
      <c r="J2016" s="24" t="s">
        <v>761</v>
      </c>
      <c r="K2016" s="24" t="s">
        <v>1146</v>
      </c>
      <c r="L2016" s="25">
        <v>1070</v>
      </c>
      <c r="M2016" s="26">
        <v>19.010000000000002</v>
      </c>
      <c r="N2016" s="27">
        <v>19.010000000000002</v>
      </c>
      <c r="O2016" s="28">
        <v>1.7281818181818183E-2</v>
      </c>
      <c r="P2016" s="28">
        <v>18.00061946902655</v>
      </c>
    </row>
    <row r="2017" spans="1:16" x14ac:dyDescent="0.3">
      <c r="A2017" t="s">
        <v>4899</v>
      </c>
      <c r="B2017" s="24">
        <v>100603</v>
      </c>
      <c r="C2017" s="24" t="s">
        <v>1277</v>
      </c>
      <c r="D2017" s="24" t="s">
        <v>1102</v>
      </c>
      <c r="E2017" s="24" t="s">
        <v>51</v>
      </c>
      <c r="F2017" s="24" t="s">
        <v>1142</v>
      </c>
      <c r="G2017" s="24" t="s">
        <v>1082</v>
      </c>
      <c r="H2017" s="24" t="s">
        <v>313</v>
      </c>
      <c r="I2017" s="24" t="s">
        <v>1770</v>
      </c>
      <c r="J2017" s="24" t="s">
        <v>761</v>
      </c>
      <c r="K2017" s="24" t="s">
        <v>1146</v>
      </c>
      <c r="L2017" s="25">
        <v>1070</v>
      </c>
      <c r="M2017" s="26">
        <v>19.010000000000002</v>
      </c>
      <c r="N2017" s="27">
        <v>19.010000000000002</v>
      </c>
      <c r="O2017" s="28">
        <v>1.7281818181818183E-2</v>
      </c>
      <c r="P2017" s="28">
        <v>18.00061946902655</v>
      </c>
    </row>
    <row r="2018" spans="1:16" x14ac:dyDescent="0.3">
      <c r="A2018" t="s">
        <v>4900</v>
      </c>
      <c r="B2018" s="24">
        <v>101186</v>
      </c>
      <c r="C2018" s="24" t="s">
        <v>1273</v>
      </c>
      <c r="D2018" s="24" t="s">
        <v>1102</v>
      </c>
      <c r="E2018" s="24" t="s">
        <v>51</v>
      </c>
      <c r="F2018" s="24" t="s">
        <v>1142</v>
      </c>
      <c r="G2018" s="24" t="s">
        <v>1203</v>
      </c>
      <c r="H2018" s="24" t="s">
        <v>313</v>
      </c>
      <c r="I2018" s="24" t="s">
        <v>1770</v>
      </c>
      <c r="J2018" s="24" t="s">
        <v>761</v>
      </c>
      <c r="K2018" s="24" t="s">
        <v>1146</v>
      </c>
      <c r="L2018" s="25">
        <v>1070</v>
      </c>
      <c r="M2018" s="26">
        <v>19.010000000000002</v>
      </c>
      <c r="N2018" s="27">
        <v>19.010000000000002</v>
      </c>
      <c r="O2018" s="28">
        <v>1.7281818181818183E-2</v>
      </c>
      <c r="P2018" s="28">
        <v>18.00061946902655</v>
      </c>
    </row>
    <row r="2019" spans="1:16" x14ac:dyDescent="0.3">
      <c r="A2019" t="s">
        <v>4901</v>
      </c>
      <c r="B2019" s="24">
        <v>101206</v>
      </c>
      <c r="C2019" s="24" t="s">
        <v>1199</v>
      </c>
      <c r="D2019" s="24" t="s">
        <v>1102</v>
      </c>
      <c r="E2019" s="24" t="s">
        <v>51</v>
      </c>
      <c r="F2019" s="24" t="s">
        <v>1142</v>
      </c>
      <c r="G2019" s="24" t="s">
        <v>1200</v>
      </c>
      <c r="H2019" s="24" t="s">
        <v>313</v>
      </c>
      <c r="I2019" s="24" t="s">
        <v>1770</v>
      </c>
      <c r="J2019" s="24" t="s">
        <v>761</v>
      </c>
      <c r="K2019" s="24" t="s">
        <v>1146</v>
      </c>
      <c r="L2019" s="25">
        <v>1070</v>
      </c>
      <c r="M2019" s="26">
        <v>19.010000000000002</v>
      </c>
      <c r="N2019" s="27">
        <v>19.010000000000002</v>
      </c>
      <c r="O2019" s="28">
        <v>1.7281818181818183E-2</v>
      </c>
      <c r="P2019" s="28">
        <v>18.00061946902655</v>
      </c>
    </row>
    <row r="2020" spans="1:16" x14ac:dyDescent="0.3">
      <c r="A2020" t="s">
        <v>4902</v>
      </c>
      <c r="B2020" s="24">
        <v>101424</v>
      </c>
      <c r="C2020" s="24" t="s">
        <v>1278</v>
      </c>
      <c r="D2020" s="24" t="s">
        <v>1102</v>
      </c>
      <c r="E2020" s="24" t="s">
        <v>51</v>
      </c>
      <c r="F2020" s="24" t="s">
        <v>1142</v>
      </c>
      <c r="G2020" s="24" t="s">
        <v>1203</v>
      </c>
      <c r="H2020" s="24" t="s">
        <v>313</v>
      </c>
      <c r="I2020" s="24" t="s">
        <v>1770</v>
      </c>
      <c r="J2020" s="24" t="s">
        <v>761</v>
      </c>
      <c r="K2020" s="24" t="s">
        <v>1146</v>
      </c>
      <c r="L2020" s="25">
        <v>1070</v>
      </c>
      <c r="M2020" s="26">
        <v>19.010000000000002</v>
      </c>
      <c r="N2020" s="27">
        <v>19.010000000000002</v>
      </c>
      <c r="O2020" s="28">
        <v>1.7281818181818183E-2</v>
      </c>
      <c r="P2020" s="28">
        <v>18.00061946902655</v>
      </c>
    </row>
    <row r="2021" spans="1:16" x14ac:dyDescent="0.3">
      <c r="A2021" t="s">
        <v>4903</v>
      </c>
      <c r="B2021" s="24">
        <v>111550</v>
      </c>
      <c r="C2021" s="24" t="s">
        <v>1582</v>
      </c>
      <c r="D2021" s="24" t="s">
        <v>1102</v>
      </c>
      <c r="E2021" s="24" t="s">
        <v>51</v>
      </c>
      <c r="F2021" s="24" t="s">
        <v>1142</v>
      </c>
      <c r="G2021" s="24" t="s">
        <v>1402</v>
      </c>
      <c r="H2021" s="24" t="s">
        <v>313</v>
      </c>
      <c r="I2021" s="24" t="s">
        <v>1770</v>
      </c>
      <c r="J2021" s="24" t="s">
        <v>761</v>
      </c>
      <c r="K2021" s="24" t="s">
        <v>1146</v>
      </c>
      <c r="L2021" s="25">
        <v>1070</v>
      </c>
      <c r="M2021" s="26">
        <v>19.010000000000002</v>
      </c>
      <c r="N2021" s="27">
        <v>19.010000000000002</v>
      </c>
      <c r="O2021" s="28">
        <v>1.7281818181818183E-2</v>
      </c>
      <c r="P2021" s="28">
        <v>18.00061946902655</v>
      </c>
    </row>
    <row r="2022" spans="1:16" x14ac:dyDescent="0.3">
      <c r="A2022" t="s">
        <v>4904</v>
      </c>
      <c r="B2022" s="24">
        <v>114501</v>
      </c>
      <c r="C2022" s="24" t="s">
        <v>1409</v>
      </c>
      <c r="D2022" s="24" t="s">
        <v>1102</v>
      </c>
      <c r="E2022" s="24" t="s">
        <v>51</v>
      </c>
      <c r="F2022" s="24" t="s">
        <v>1142</v>
      </c>
      <c r="G2022" s="24" t="s">
        <v>1402</v>
      </c>
      <c r="H2022" s="24" t="s">
        <v>313</v>
      </c>
      <c r="I2022" s="24" t="s">
        <v>1770</v>
      </c>
      <c r="J2022" s="24" t="s">
        <v>761</v>
      </c>
      <c r="K2022" s="24" t="s">
        <v>1146</v>
      </c>
      <c r="L2022" s="25">
        <v>1070</v>
      </c>
      <c r="M2022" s="26">
        <v>19.010000000000002</v>
      </c>
      <c r="N2022" s="27">
        <v>19.010000000000002</v>
      </c>
      <c r="O2022" s="28">
        <v>1.7281818181818183E-2</v>
      </c>
      <c r="P2022" s="28">
        <v>18.00061946902655</v>
      </c>
    </row>
    <row r="2023" spans="1:16" x14ac:dyDescent="0.3">
      <c r="A2023" t="s">
        <v>4905</v>
      </c>
      <c r="B2023" s="24">
        <v>101424</v>
      </c>
      <c r="C2023" s="24" t="s">
        <v>1278</v>
      </c>
      <c r="D2023" s="24" t="s">
        <v>1102</v>
      </c>
      <c r="E2023" s="24" t="s">
        <v>51</v>
      </c>
      <c r="F2023" s="24" t="s">
        <v>1142</v>
      </c>
      <c r="G2023" s="24" t="s">
        <v>1203</v>
      </c>
      <c r="H2023" s="24" t="s">
        <v>1073</v>
      </c>
      <c r="I2023" s="24" t="s">
        <v>1771</v>
      </c>
      <c r="J2023" s="24" t="s">
        <v>761</v>
      </c>
      <c r="K2023" s="24" t="s">
        <v>1146</v>
      </c>
      <c r="L2023" s="25">
        <v>1070</v>
      </c>
      <c r="M2023" s="26">
        <v>19.2</v>
      </c>
      <c r="N2023" s="27">
        <v>19.2</v>
      </c>
      <c r="O2023" s="28">
        <v>1.7454545454545455E-2</v>
      </c>
      <c r="P2023" s="28">
        <v>18.180530973451326</v>
      </c>
    </row>
    <row r="2024" spans="1:16" x14ac:dyDescent="0.3">
      <c r="A2024" t="s">
        <v>4906</v>
      </c>
      <c r="B2024" s="24">
        <v>101186</v>
      </c>
      <c r="C2024" s="24" t="s">
        <v>1273</v>
      </c>
      <c r="D2024" s="24" t="s">
        <v>1102</v>
      </c>
      <c r="E2024" s="24" t="s">
        <v>51</v>
      </c>
      <c r="F2024" s="24" t="s">
        <v>1142</v>
      </c>
      <c r="G2024" s="24" t="s">
        <v>1203</v>
      </c>
      <c r="H2024" s="24" t="s">
        <v>314</v>
      </c>
      <c r="I2024" s="24" t="s">
        <v>1772</v>
      </c>
      <c r="J2024" s="24" t="s">
        <v>761</v>
      </c>
      <c r="K2024" s="24" t="s">
        <v>1146</v>
      </c>
      <c r="L2024" s="25">
        <v>1070</v>
      </c>
      <c r="M2024" s="26">
        <v>21.13</v>
      </c>
      <c r="N2024" s="27">
        <v>21.13</v>
      </c>
      <c r="O2024" s="28">
        <v>1.9209090909090908E-2</v>
      </c>
      <c r="P2024" s="28">
        <v>20.008053097345133</v>
      </c>
    </row>
    <row r="2025" spans="1:16" x14ac:dyDescent="0.3">
      <c r="A2025" t="s">
        <v>4907</v>
      </c>
      <c r="B2025" s="24">
        <v>101424</v>
      </c>
      <c r="C2025" s="24" t="s">
        <v>1278</v>
      </c>
      <c r="D2025" s="24" t="s">
        <v>1102</v>
      </c>
      <c r="E2025" s="24" t="s">
        <v>51</v>
      </c>
      <c r="F2025" s="24" t="s">
        <v>1142</v>
      </c>
      <c r="G2025" s="24" t="s">
        <v>1203</v>
      </c>
      <c r="H2025" s="24" t="s">
        <v>314</v>
      </c>
      <c r="I2025" s="24" t="s">
        <v>1772</v>
      </c>
      <c r="J2025" s="24" t="s">
        <v>761</v>
      </c>
      <c r="K2025" s="24" t="s">
        <v>1146</v>
      </c>
      <c r="L2025" s="25">
        <v>1070</v>
      </c>
      <c r="M2025" s="26">
        <v>21.13</v>
      </c>
      <c r="N2025" s="27">
        <v>21.13</v>
      </c>
      <c r="O2025" s="28">
        <v>1.9209090909090908E-2</v>
      </c>
      <c r="P2025" s="28">
        <v>20.008053097345133</v>
      </c>
    </row>
    <row r="2026" spans="1:16" x14ac:dyDescent="0.3">
      <c r="A2026" t="s">
        <v>4908</v>
      </c>
      <c r="B2026" s="24">
        <v>106916</v>
      </c>
      <c r="C2026" s="24" t="s">
        <v>1216</v>
      </c>
      <c r="D2026" s="24" t="s">
        <v>1102</v>
      </c>
      <c r="E2026" s="24" t="s">
        <v>51</v>
      </c>
      <c r="F2026" s="24" t="s">
        <v>1142</v>
      </c>
      <c r="G2026" s="24" t="s">
        <v>1203</v>
      </c>
      <c r="H2026" s="24" t="s">
        <v>314</v>
      </c>
      <c r="I2026" s="24" t="s">
        <v>1772</v>
      </c>
      <c r="J2026" s="24" t="s">
        <v>761</v>
      </c>
      <c r="K2026" s="24" t="s">
        <v>1146</v>
      </c>
      <c r="L2026" s="25">
        <v>1070</v>
      </c>
      <c r="M2026" s="26">
        <v>21.13</v>
      </c>
      <c r="N2026" s="27">
        <v>21.13</v>
      </c>
      <c r="O2026" s="28">
        <v>1.9209090909090908E-2</v>
      </c>
      <c r="P2026" s="28">
        <v>20.008053097345133</v>
      </c>
    </row>
    <row r="2027" spans="1:16" x14ac:dyDescent="0.3">
      <c r="A2027" t="s">
        <v>4909</v>
      </c>
      <c r="B2027" s="24">
        <v>114163</v>
      </c>
      <c r="C2027" s="24" t="s">
        <v>1490</v>
      </c>
      <c r="D2027" s="24" t="s">
        <v>1102</v>
      </c>
      <c r="E2027" s="24" t="s">
        <v>51</v>
      </c>
      <c r="F2027" s="24" t="s">
        <v>1142</v>
      </c>
      <c r="G2027" s="24" t="s">
        <v>1203</v>
      </c>
      <c r="H2027" s="24" t="s">
        <v>314</v>
      </c>
      <c r="I2027" s="24" t="s">
        <v>1772</v>
      </c>
      <c r="J2027" s="24" t="s">
        <v>761</v>
      </c>
      <c r="K2027" s="24" t="s">
        <v>1146</v>
      </c>
      <c r="L2027" s="25">
        <v>1070</v>
      </c>
      <c r="M2027" s="26">
        <v>21.13</v>
      </c>
      <c r="N2027" s="27">
        <v>21.13</v>
      </c>
      <c r="O2027" s="28">
        <v>1.9209090909090908E-2</v>
      </c>
      <c r="P2027" s="28">
        <v>20.008053097345133</v>
      </c>
    </row>
    <row r="2028" spans="1:16" x14ac:dyDescent="0.3">
      <c r="A2028" t="s">
        <v>4910</v>
      </c>
      <c r="B2028" s="24">
        <v>142310</v>
      </c>
      <c r="C2028" s="24" t="s">
        <v>1474</v>
      </c>
      <c r="D2028" s="24" t="s">
        <v>1102</v>
      </c>
      <c r="E2028" s="24" t="s">
        <v>51</v>
      </c>
      <c r="F2028" s="24" t="s">
        <v>1142</v>
      </c>
      <c r="G2028" s="24" t="s">
        <v>1402</v>
      </c>
      <c r="H2028" s="24" t="s">
        <v>314</v>
      </c>
      <c r="I2028" s="24" t="s">
        <v>1772</v>
      </c>
      <c r="J2028" s="24" t="s">
        <v>761</v>
      </c>
      <c r="K2028" s="24" t="s">
        <v>1146</v>
      </c>
      <c r="L2028" s="25">
        <v>1070</v>
      </c>
      <c r="M2028" s="26">
        <v>21.13</v>
      </c>
      <c r="N2028" s="27">
        <v>21.13</v>
      </c>
      <c r="O2028" s="28">
        <v>1.9209090909090908E-2</v>
      </c>
      <c r="P2028" s="28">
        <v>20.008053097345133</v>
      </c>
    </row>
    <row r="2029" spans="1:16" x14ac:dyDescent="0.3">
      <c r="A2029" t="s">
        <v>4911</v>
      </c>
      <c r="B2029" s="24">
        <v>114163</v>
      </c>
      <c r="C2029" s="24" t="s">
        <v>1490</v>
      </c>
      <c r="D2029" s="24" t="s">
        <v>1102</v>
      </c>
      <c r="E2029" s="24" t="s">
        <v>51</v>
      </c>
      <c r="F2029" s="24" t="s">
        <v>1142</v>
      </c>
      <c r="G2029" s="24" t="s">
        <v>1203</v>
      </c>
      <c r="H2029" s="24" t="s">
        <v>314</v>
      </c>
      <c r="I2029" s="24" t="s">
        <v>1772</v>
      </c>
      <c r="J2029" s="24" t="s">
        <v>761</v>
      </c>
      <c r="K2029" s="24" t="s">
        <v>1146</v>
      </c>
      <c r="L2029" s="25">
        <v>1070</v>
      </c>
      <c r="M2029" s="26">
        <v>21.13</v>
      </c>
      <c r="N2029" s="27">
        <v>21.13</v>
      </c>
      <c r="O2029" s="28">
        <v>1.9209090909090908E-2</v>
      </c>
      <c r="P2029" s="28">
        <v>20.008053097345133</v>
      </c>
    </row>
    <row r="2030" spans="1:16" x14ac:dyDescent="0.3">
      <c r="A2030" t="s">
        <v>4912</v>
      </c>
      <c r="B2030" s="24">
        <v>100581</v>
      </c>
      <c r="C2030" s="24" t="s">
        <v>1232</v>
      </c>
      <c r="D2030" s="24" t="s">
        <v>1102</v>
      </c>
      <c r="E2030" s="24" t="s">
        <v>51</v>
      </c>
      <c r="F2030" s="24" t="s">
        <v>1142</v>
      </c>
      <c r="G2030" s="24" t="s">
        <v>1233</v>
      </c>
      <c r="H2030" s="24" t="s">
        <v>315</v>
      </c>
      <c r="I2030" s="24" t="s">
        <v>1773</v>
      </c>
      <c r="J2030" s="24" t="s">
        <v>761</v>
      </c>
      <c r="K2030" s="24" t="s">
        <v>1146</v>
      </c>
      <c r="L2030" s="25">
        <v>1070</v>
      </c>
      <c r="M2030" s="26">
        <v>17.809999999999999</v>
      </c>
      <c r="N2030" s="27">
        <v>17.809999999999999</v>
      </c>
      <c r="O2030" s="28">
        <v>1.6190909090909089E-2</v>
      </c>
      <c r="P2030" s="28">
        <v>16.864336283185839</v>
      </c>
    </row>
    <row r="2031" spans="1:16" x14ac:dyDescent="0.3">
      <c r="A2031" t="s">
        <v>4913</v>
      </c>
      <c r="B2031" s="24">
        <v>100603</v>
      </c>
      <c r="C2031" s="24" t="s">
        <v>1277</v>
      </c>
      <c r="D2031" s="24" t="s">
        <v>1102</v>
      </c>
      <c r="E2031" s="24" t="s">
        <v>51</v>
      </c>
      <c r="F2031" s="24" t="s">
        <v>1142</v>
      </c>
      <c r="G2031" s="24" t="s">
        <v>1082</v>
      </c>
      <c r="H2031" s="24" t="s">
        <v>315</v>
      </c>
      <c r="I2031" s="24" t="s">
        <v>1773</v>
      </c>
      <c r="J2031" s="24" t="s">
        <v>761</v>
      </c>
      <c r="K2031" s="24" t="s">
        <v>1146</v>
      </c>
      <c r="L2031" s="25">
        <v>1070</v>
      </c>
      <c r="M2031" s="26">
        <v>17.989999999999998</v>
      </c>
      <c r="N2031" s="27">
        <v>17.989999999999998</v>
      </c>
      <c r="O2031" s="28">
        <v>1.6354545454545451E-2</v>
      </c>
      <c r="P2031" s="28">
        <v>17.034778761061947</v>
      </c>
    </row>
    <row r="2032" spans="1:16" x14ac:dyDescent="0.3">
      <c r="A2032" t="s">
        <v>4914</v>
      </c>
      <c r="B2032" s="24">
        <v>101184</v>
      </c>
      <c r="C2032" s="24" t="s">
        <v>1401</v>
      </c>
      <c r="D2032" s="24" t="s">
        <v>1102</v>
      </c>
      <c r="E2032" s="24" t="s">
        <v>51</v>
      </c>
      <c r="F2032" s="24" t="s">
        <v>1142</v>
      </c>
      <c r="G2032" s="24" t="s">
        <v>1402</v>
      </c>
      <c r="H2032" s="24" t="s">
        <v>315</v>
      </c>
      <c r="I2032" s="24" t="s">
        <v>1773</v>
      </c>
      <c r="J2032" s="24" t="s">
        <v>761</v>
      </c>
      <c r="K2032" s="24" t="s">
        <v>1146</v>
      </c>
      <c r="L2032" s="25">
        <v>1070</v>
      </c>
      <c r="M2032" s="26">
        <v>17.809999999999999</v>
      </c>
      <c r="N2032" s="27">
        <v>17.809999999999999</v>
      </c>
      <c r="O2032" s="28">
        <v>1.6190909090909089E-2</v>
      </c>
      <c r="P2032" s="28">
        <v>16.864336283185839</v>
      </c>
    </row>
    <row r="2033" spans="1:16" x14ac:dyDescent="0.3">
      <c r="A2033" t="s">
        <v>4915</v>
      </c>
      <c r="B2033" s="24">
        <v>101186</v>
      </c>
      <c r="C2033" s="24" t="s">
        <v>1273</v>
      </c>
      <c r="D2033" s="24" t="s">
        <v>1102</v>
      </c>
      <c r="E2033" s="24" t="s">
        <v>51</v>
      </c>
      <c r="F2033" s="24" t="s">
        <v>1142</v>
      </c>
      <c r="G2033" s="24" t="s">
        <v>1203</v>
      </c>
      <c r="H2033" s="24" t="s">
        <v>315</v>
      </c>
      <c r="I2033" s="24" t="s">
        <v>1773</v>
      </c>
      <c r="J2033" s="24" t="s">
        <v>761</v>
      </c>
      <c r="K2033" s="24" t="s">
        <v>1146</v>
      </c>
      <c r="L2033" s="25">
        <v>1070</v>
      </c>
      <c r="M2033" s="26">
        <v>17.809999999999999</v>
      </c>
      <c r="N2033" s="27">
        <v>17.809999999999999</v>
      </c>
      <c r="O2033" s="28">
        <v>1.6190909090909089E-2</v>
      </c>
      <c r="P2033" s="28">
        <v>16.864336283185839</v>
      </c>
    </row>
    <row r="2034" spans="1:16" x14ac:dyDescent="0.3">
      <c r="A2034" t="s">
        <v>4916</v>
      </c>
      <c r="B2034" s="24">
        <v>101206</v>
      </c>
      <c r="C2034" s="24" t="s">
        <v>1199</v>
      </c>
      <c r="D2034" s="24" t="s">
        <v>1102</v>
      </c>
      <c r="E2034" s="24" t="s">
        <v>51</v>
      </c>
      <c r="F2034" s="24" t="s">
        <v>1142</v>
      </c>
      <c r="G2034" s="24" t="s">
        <v>1200</v>
      </c>
      <c r="H2034" s="24" t="s">
        <v>315</v>
      </c>
      <c r="I2034" s="24" t="s">
        <v>1773</v>
      </c>
      <c r="J2034" s="24" t="s">
        <v>761</v>
      </c>
      <c r="K2034" s="24" t="s">
        <v>1146</v>
      </c>
      <c r="L2034" s="25">
        <v>1070</v>
      </c>
      <c r="M2034" s="26">
        <v>17.809999999999999</v>
      </c>
      <c r="N2034" s="27">
        <v>17.809999999999999</v>
      </c>
      <c r="O2034" s="28">
        <v>1.6190909090909089E-2</v>
      </c>
      <c r="P2034" s="28">
        <v>16.864336283185839</v>
      </c>
    </row>
    <row r="2035" spans="1:16" x14ac:dyDescent="0.3">
      <c r="A2035" t="s">
        <v>4917</v>
      </c>
      <c r="B2035" s="24">
        <v>101424</v>
      </c>
      <c r="C2035" s="24" t="s">
        <v>1278</v>
      </c>
      <c r="D2035" s="24" t="s">
        <v>1102</v>
      </c>
      <c r="E2035" s="24" t="s">
        <v>51</v>
      </c>
      <c r="F2035" s="24" t="s">
        <v>1142</v>
      </c>
      <c r="G2035" s="24" t="s">
        <v>1203</v>
      </c>
      <c r="H2035" s="24" t="s">
        <v>315</v>
      </c>
      <c r="I2035" s="24" t="s">
        <v>1773</v>
      </c>
      <c r="J2035" s="24" t="s">
        <v>761</v>
      </c>
      <c r="K2035" s="24" t="s">
        <v>1146</v>
      </c>
      <c r="L2035" s="25">
        <v>1070</v>
      </c>
      <c r="M2035" s="26">
        <v>17.809999999999999</v>
      </c>
      <c r="N2035" s="27">
        <v>17.809999999999999</v>
      </c>
      <c r="O2035" s="28">
        <v>1.6190909090909089E-2</v>
      </c>
      <c r="P2035" s="28">
        <v>16.864336283185839</v>
      </c>
    </row>
    <row r="2036" spans="1:16" x14ac:dyDescent="0.3">
      <c r="A2036" t="s">
        <v>4918</v>
      </c>
      <c r="B2036" s="24">
        <v>106916</v>
      </c>
      <c r="C2036" s="24" t="s">
        <v>1216</v>
      </c>
      <c r="D2036" s="24" t="s">
        <v>1102</v>
      </c>
      <c r="E2036" s="24" t="s">
        <v>51</v>
      </c>
      <c r="F2036" s="24" t="s">
        <v>1142</v>
      </c>
      <c r="G2036" s="24" t="s">
        <v>1203</v>
      </c>
      <c r="H2036" s="24" t="s">
        <v>315</v>
      </c>
      <c r="I2036" s="24" t="s">
        <v>1773</v>
      </c>
      <c r="J2036" s="24" t="s">
        <v>761</v>
      </c>
      <c r="K2036" s="24" t="s">
        <v>1146</v>
      </c>
      <c r="L2036" s="25">
        <v>1070</v>
      </c>
      <c r="M2036" s="26">
        <v>17.809999999999999</v>
      </c>
      <c r="N2036" s="27">
        <v>17.809999999999999</v>
      </c>
      <c r="O2036" s="28">
        <v>1.6190909090909089E-2</v>
      </c>
      <c r="P2036" s="28">
        <v>16.864336283185839</v>
      </c>
    </row>
    <row r="2037" spans="1:16" x14ac:dyDescent="0.3">
      <c r="A2037" t="s">
        <v>4919</v>
      </c>
      <c r="B2037" s="24">
        <v>114501</v>
      </c>
      <c r="C2037" s="24" t="s">
        <v>1409</v>
      </c>
      <c r="D2037" s="24" t="s">
        <v>1102</v>
      </c>
      <c r="E2037" s="24" t="s">
        <v>51</v>
      </c>
      <c r="F2037" s="24" t="s">
        <v>1142</v>
      </c>
      <c r="G2037" s="24" t="s">
        <v>1402</v>
      </c>
      <c r="H2037" s="24" t="s">
        <v>315</v>
      </c>
      <c r="I2037" s="24" t="s">
        <v>1773</v>
      </c>
      <c r="J2037" s="24" t="s">
        <v>761</v>
      </c>
      <c r="K2037" s="24" t="s">
        <v>1146</v>
      </c>
      <c r="L2037" s="25">
        <v>1070</v>
      </c>
      <c r="M2037" s="26">
        <v>17.809999999999999</v>
      </c>
      <c r="N2037" s="27">
        <v>17.809999999999999</v>
      </c>
      <c r="O2037" s="28">
        <v>1.6190909090909089E-2</v>
      </c>
      <c r="P2037" s="28">
        <v>16.864336283185839</v>
      </c>
    </row>
    <row r="2038" spans="1:16" x14ac:dyDescent="0.3">
      <c r="A2038" t="s">
        <v>4920</v>
      </c>
      <c r="B2038" s="24">
        <v>142310</v>
      </c>
      <c r="C2038" s="24" t="s">
        <v>1474</v>
      </c>
      <c r="D2038" s="24" t="s">
        <v>1102</v>
      </c>
      <c r="E2038" s="24" t="s">
        <v>51</v>
      </c>
      <c r="F2038" s="24" t="s">
        <v>1142</v>
      </c>
      <c r="G2038" s="24" t="s">
        <v>1402</v>
      </c>
      <c r="H2038" s="24" t="s">
        <v>315</v>
      </c>
      <c r="I2038" s="24" t="s">
        <v>1773</v>
      </c>
      <c r="J2038" s="24" t="s">
        <v>761</v>
      </c>
      <c r="K2038" s="24" t="s">
        <v>1146</v>
      </c>
      <c r="L2038" s="25">
        <v>1070</v>
      </c>
      <c r="M2038" s="26">
        <v>17.809999999999999</v>
      </c>
      <c r="N2038" s="27">
        <v>17.809999999999999</v>
      </c>
      <c r="O2038" s="28">
        <v>1.6190909090909089E-2</v>
      </c>
      <c r="P2038" s="28">
        <v>16.864336283185839</v>
      </c>
    </row>
    <row r="2039" spans="1:16" x14ac:dyDescent="0.3">
      <c r="A2039" t="s">
        <v>4921</v>
      </c>
      <c r="B2039" s="24">
        <v>101186</v>
      </c>
      <c r="C2039" s="24" t="s">
        <v>1273</v>
      </c>
      <c r="D2039" s="24" t="s">
        <v>1102</v>
      </c>
      <c r="E2039" s="24" t="s">
        <v>51</v>
      </c>
      <c r="F2039" s="24" t="s">
        <v>1142</v>
      </c>
      <c r="G2039" s="24" t="s">
        <v>1203</v>
      </c>
      <c r="H2039" s="24" t="s">
        <v>316</v>
      </c>
      <c r="I2039" s="24" t="s">
        <v>1773</v>
      </c>
      <c r="J2039" s="24" t="s">
        <v>761</v>
      </c>
      <c r="K2039" s="24" t="s">
        <v>1146</v>
      </c>
      <c r="L2039" s="25">
        <v>1070</v>
      </c>
      <c r="M2039" s="26">
        <v>17.809999999999999</v>
      </c>
      <c r="N2039" s="27">
        <v>17.809999999999999</v>
      </c>
      <c r="O2039" s="28">
        <v>1.6190909090909089E-2</v>
      </c>
      <c r="P2039" s="28">
        <v>16.864336283185839</v>
      </c>
    </row>
    <row r="2040" spans="1:16" x14ac:dyDescent="0.3">
      <c r="A2040" t="s">
        <v>4922</v>
      </c>
      <c r="B2040" s="24">
        <v>101424</v>
      </c>
      <c r="C2040" s="24" t="s">
        <v>1278</v>
      </c>
      <c r="D2040" s="24" t="s">
        <v>1102</v>
      </c>
      <c r="E2040" s="24" t="s">
        <v>51</v>
      </c>
      <c r="F2040" s="24" t="s">
        <v>1142</v>
      </c>
      <c r="G2040" s="24" t="s">
        <v>1203</v>
      </c>
      <c r="H2040" s="24" t="s">
        <v>316</v>
      </c>
      <c r="I2040" s="24" t="s">
        <v>1773</v>
      </c>
      <c r="J2040" s="24" t="s">
        <v>761</v>
      </c>
      <c r="K2040" s="24" t="s">
        <v>1146</v>
      </c>
      <c r="L2040" s="25">
        <v>1070</v>
      </c>
      <c r="M2040" s="26">
        <v>17.809999999999999</v>
      </c>
      <c r="N2040" s="27">
        <v>17.809999999999999</v>
      </c>
      <c r="O2040" s="28">
        <v>1.6190909090909089E-2</v>
      </c>
      <c r="P2040" s="28">
        <v>16.864336283185839</v>
      </c>
    </row>
    <row r="2041" spans="1:16" x14ac:dyDescent="0.3">
      <c r="A2041" t="s">
        <v>4923</v>
      </c>
      <c r="B2041" s="24">
        <v>100603</v>
      </c>
      <c r="C2041" s="24" t="s">
        <v>1277</v>
      </c>
      <c r="D2041" s="24" t="s">
        <v>1102</v>
      </c>
      <c r="E2041" s="24" t="s">
        <v>51</v>
      </c>
      <c r="F2041" s="24" t="s">
        <v>1142</v>
      </c>
      <c r="G2041" s="24" t="s">
        <v>1082</v>
      </c>
      <c r="H2041" s="24" t="s">
        <v>196</v>
      </c>
      <c r="I2041" s="24" t="s">
        <v>1774</v>
      </c>
      <c r="J2041" s="24" t="s">
        <v>761</v>
      </c>
      <c r="K2041" s="24" t="s">
        <v>1146</v>
      </c>
      <c r="L2041" s="25">
        <v>1070</v>
      </c>
      <c r="M2041" s="26">
        <v>16.899999999999999</v>
      </c>
      <c r="N2041" s="27">
        <v>16.899999999999999</v>
      </c>
      <c r="O2041" s="28">
        <v>1.5363636363636362E-2</v>
      </c>
      <c r="P2041" s="28">
        <v>16.002654867256638</v>
      </c>
    </row>
    <row r="2042" spans="1:16" x14ac:dyDescent="0.3">
      <c r="A2042" t="s">
        <v>4924</v>
      </c>
      <c r="B2042" s="24">
        <v>101186</v>
      </c>
      <c r="C2042" s="24" t="s">
        <v>1273</v>
      </c>
      <c r="D2042" s="24" t="s">
        <v>1102</v>
      </c>
      <c r="E2042" s="24" t="s">
        <v>51</v>
      </c>
      <c r="F2042" s="24" t="s">
        <v>1142</v>
      </c>
      <c r="G2042" s="24" t="s">
        <v>1203</v>
      </c>
      <c r="H2042" s="24" t="s">
        <v>196</v>
      </c>
      <c r="I2042" s="24" t="s">
        <v>1774</v>
      </c>
      <c r="J2042" s="24" t="s">
        <v>761</v>
      </c>
      <c r="K2042" s="24" t="s">
        <v>1146</v>
      </c>
      <c r="L2042" s="25">
        <v>1070</v>
      </c>
      <c r="M2042" s="26">
        <v>16.899999999999999</v>
      </c>
      <c r="N2042" s="27">
        <v>16.899999999999999</v>
      </c>
      <c r="O2042" s="28">
        <v>1.5363636363636362E-2</v>
      </c>
      <c r="P2042" s="28">
        <v>16.002654867256638</v>
      </c>
    </row>
    <row r="2043" spans="1:16" x14ac:dyDescent="0.3">
      <c r="A2043" t="s">
        <v>4925</v>
      </c>
      <c r="B2043" s="24">
        <v>101186</v>
      </c>
      <c r="C2043" s="24" t="s">
        <v>1273</v>
      </c>
      <c r="D2043" s="24" t="s">
        <v>1102</v>
      </c>
      <c r="E2043" s="24" t="s">
        <v>51</v>
      </c>
      <c r="F2043" s="24" t="s">
        <v>1142</v>
      </c>
      <c r="G2043" s="24" t="s">
        <v>1203</v>
      </c>
      <c r="H2043" s="24" t="s">
        <v>197</v>
      </c>
      <c r="I2043" s="24" t="s">
        <v>1775</v>
      </c>
      <c r="J2043" s="24" t="s">
        <v>761</v>
      </c>
      <c r="K2043" s="24" t="s">
        <v>1146</v>
      </c>
      <c r="L2043" s="25">
        <v>1070</v>
      </c>
      <c r="M2043" s="26">
        <v>21.5</v>
      </c>
      <c r="N2043" s="27">
        <v>21.5</v>
      </c>
      <c r="O2043" s="28">
        <v>1.9545454545454546E-2</v>
      </c>
      <c r="P2043" s="28">
        <v>20.358407079646017</v>
      </c>
    </row>
    <row r="2044" spans="1:16" x14ac:dyDescent="0.3">
      <c r="A2044" t="s">
        <v>4926</v>
      </c>
      <c r="B2044" s="24">
        <v>101186</v>
      </c>
      <c r="C2044" s="24" t="s">
        <v>1273</v>
      </c>
      <c r="D2044" s="24" t="s">
        <v>1102</v>
      </c>
      <c r="E2044" s="24" t="s">
        <v>51</v>
      </c>
      <c r="F2044" s="24" t="s">
        <v>1142</v>
      </c>
      <c r="G2044" s="24" t="s">
        <v>1203</v>
      </c>
      <c r="H2044" s="24" t="s">
        <v>174</v>
      </c>
      <c r="I2044" s="24" t="s">
        <v>1776</v>
      </c>
      <c r="J2044" s="24" t="s">
        <v>761</v>
      </c>
      <c r="K2044" s="24" t="s">
        <v>1146</v>
      </c>
      <c r="L2044" s="25">
        <v>1070</v>
      </c>
      <c r="M2044" s="26">
        <v>14.91</v>
      </c>
      <c r="N2044" s="27">
        <v>14.91</v>
      </c>
      <c r="O2044" s="28">
        <v>1.3554545454545455E-2</v>
      </c>
      <c r="P2044" s="28">
        <v>14.118318584070797</v>
      </c>
    </row>
    <row r="2045" spans="1:16" x14ac:dyDescent="0.3">
      <c r="A2045" t="s">
        <v>4927</v>
      </c>
      <c r="B2045" s="24">
        <v>101206</v>
      </c>
      <c r="C2045" s="24" t="s">
        <v>1199</v>
      </c>
      <c r="D2045" s="24" t="s">
        <v>1102</v>
      </c>
      <c r="E2045" s="24" t="s">
        <v>51</v>
      </c>
      <c r="F2045" s="24" t="s">
        <v>1142</v>
      </c>
      <c r="G2045" s="24" t="s">
        <v>1200</v>
      </c>
      <c r="H2045" s="24" t="s">
        <v>174</v>
      </c>
      <c r="I2045" s="24" t="s">
        <v>1776</v>
      </c>
      <c r="J2045" s="24" t="s">
        <v>761</v>
      </c>
      <c r="K2045" s="24" t="s">
        <v>1146</v>
      </c>
      <c r="L2045" s="25">
        <v>1070</v>
      </c>
      <c r="M2045" s="26">
        <v>14.91</v>
      </c>
      <c r="N2045" s="27">
        <v>14.91</v>
      </c>
      <c r="O2045" s="28">
        <v>1.3554545454545455E-2</v>
      </c>
      <c r="P2045" s="28">
        <v>14.118318584070797</v>
      </c>
    </row>
    <row r="2046" spans="1:16" x14ac:dyDescent="0.3">
      <c r="A2046" t="s">
        <v>4928</v>
      </c>
      <c r="B2046" s="24">
        <v>100603</v>
      </c>
      <c r="C2046" s="24" t="s">
        <v>1277</v>
      </c>
      <c r="D2046" s="24" t="s">
        <v>1102</v>
      </c>
      <c r="E2046" s="24" t="s">
        <v>51</v>
      </c>
      <c r="F2046" s="24" t="s">
        <v>1142</v>
      </c>
      <c r="G2046" s="24" t="s">
        <v>1082</v>
      </c>
      <c r="H2046" s="24" t="s">
        <v>175</v>
      </c>
      <c r="I2046" s="24" t="s">
        <v>1777</v>
      </c>
      <c r="J2046" s="24" t="s">
        <v>761</v>
      </c>
      <c r="K2046" s="24" t="s">
        <v>1146</v>
      </c>
      <c r="L2046" s="25">
        <v>1070</v>
      </c>
      <c r="M2046" s="26">
        <v>12.73</v>
      </c>
      <c r="N2046" s="27">
        <v>12.73</v>
      </c>
      <c r="O2046" s="28">
        <v>1.1572727272727273E-2</v>
      </c>
      <c r="P2046" s="28">
        <v>12.054070796460177</v>
      </c>
    </row>
    <row r="2047" spans="1:16" x14ac:dyDescent="0.3">
      <c r="A2047" t="s">
        <v>4929</v>
      </c>
      <c r="B2047" s="24">
        <v>101186</v>
      </c>
      <c r="C2047" s="24" t="s">
        <v>1273</v>
      </c>
      <c r="D2047" s="24" t="s">
        <v>1102</v>
      </c>
      <c r="E2047" s="24" t="s">
        <v>51</v>
      </c>
      <c r="F2047" s="24" t="s">
        <v>1142</v>
      </c>
      <c r="G2047" s="24" t="s">
        <v>1203</v>
      </c>
      <c r="H2047" s="24" t="s">
        <v>175</v>
      </c>
      <c r="I2047" s="24" t="s">
        <v>1777</v>
      </c>
      <c r="J2047" s="24" t="s">
        <v>761</v>
      </c>
      <c r="K2047" s="24" t="s">
        <v>1146</v>
      </c>
      <c r="L2047" s="25">
        <v>1070</v>
      </c>
      <c r="M2047" s="26">
        <v>12.73</v>
      </c>
      <c r="N2047" s="27">
        <v>12.73</v>
      </c>
      <c r="O2047" s="28">
        <v>1.1572727272727273E-2</v>
      </c>
      <c r="P2047" s="28">
        <v>12.054070796460177</v>
      </c>
    </row>
    <row r="2048" spans="1:16" x14ac:dyDescent="0.3">
      <c r="A2048" t="s">
        <v>4930</v>
      </c>
      <c r="B2048" s="24">
        <v>101206</v>
      </c>
      <c r="C2048" s="24" t="s">
        <v>1199</v>
      </c>
      <c r="D2048" s="24" t="s">
        <v>1102</v>
      </c>
      <c r="E2048" s="24" t="s">
        <v>51</v>
      </c>
      <c r="F2048" s="24" t="s">
        <v>1142</v>
      </c>
      <c r="G2048" s="24" t="s">
        <v>1200</v>
      </c>
      <c r="H2048" s="24" t="s">
        <v>175</v>
      </c>
      <c r="I2048" s="24" t="s">
        <v>1777</v>
      </c>
      <c r="J2048" s="24" t="s">
        <v>761</v>
      </c>
      <c r="K2048" s="24" t="s">
        <v>1146</v>
      </c>
      <c r="L2048" s="25">
        <v>1070</v>
      </c>
      <c r="M2048" s="26">
        <v>12.73</v>
      </c>
      <c r="N2048" s="27">
        <v>12.73</v>
      </c>
      <c r="O2048" s="28">
        <v>1.1572727272727273E-2</v>
      </c>
      <c r="P2048" s="28">
        <v>12.054070796460177</v>
      </c>
    </row>
    <row r="2049" spans="1:16" x14ac:dyDescent="0.3">
      <c r="A2049" t="s">
        <v>4931</v>
      </c>
      <c r="B2049" s="24">
        <v>101424</v>
      </c>
      <c r="C2049" s="24" t="s">
        <v>1278</v>
      </c>
      <c r="D2049" s="24" t="s">
        <v>1102</v>
      </c>
      <c r="E2049" s="24" t="s">
        <v>51</v>
      </c>
      <c r="F2049" s="24" t="s">
        <v>1142</v>
      </c>
      <c r="G2049" s="24" t="s">
        <v>1203</v>
      </c>
      <c r="H2049" s="24" t="s">
        <v>175</v>
      </c>
      <c r="I2049" s="24" t="s">
        <v>1777</v>
      </c>
      <c r="J2049" s="24" t="s">
        <v>761</v>
      </c>
      <c r="K2049" s="24" t="s">
        <v>1146</v>
      </c>
      <c r="L2049" s="25">
        <v>1070</v>
      </c>
      <c r="M2049" s="26">
        <v>12.73</v>
      </c>
      <c r="N2049" s="27">
        <v>12.73</v>
      </c>
      <c r="O2049" s="28">
        <v>1.1572727272727273E-2</v>
      </c>
      <c r="P2049" s="28">
        <v>12.054070796460177</v>
      </c>
    </row>
    <row r="2050" spans="1:16" x14ac:dyDescent="0.3">
      <c r="A2050" t="s">
        <v>4932</v>
      </c>
      <c r="B2050" s="24">
        <v>111550</v>
      </c>
      <c r="C2050" s="24" t="s">
        <v>1582</v>
      </c>
      <c r="D2050" s="24" t="s">
        <v>1102</v>
      </c>
      <c r="E2050" s="24" t="s">
        <v>51</v>
      </c>
      <c r="F2050" s="24" t="s">
        <v>1142</v>
      </c>
      <c r="G2050" s="24" t="s">
        <v>1402</v>
      </c>
      <c r="H2050" s="24" t="s">
        <v>175</v>
      </c>
      <c r="I2050" s="24" t="s">
        <v>1777</v>
      </c>
      <c r="J2050" s="24" t="s">
        <v>761</v>
      </c>
      <c r="K2050" s="24" t="s">
        <v>1146</v>
      </c>
      <c r="L2050" s="25">
        <v>1070</v>
      </c>
      <c r="M2050" s="26">
        <v>12.73</v>
      </c>
      <c r="N2050" s="27">
        <v>12.73</v>
      </c>
      <c r="O2050" s="28">
        <v>1.1572727272727273E-2</v>
      </c>
      <c r="P2050" s="28">
        <v>12.054070796460177</v>
      </c>
    </row>
    <row r="2051" spans="1:16" x14ac:dyDescent="0.3">
      <c r="A2051" t="s">
        <v>4933</v>
      </c>
      <c r="B2051" s="24">
        <v>114501</v>
      </c>
      <c r="C2051" s="24" t="s">
        <v>1409</v>
      </c>
      <c r="D2051" s="24" t="s">
        <v>1102</v>
      </c>
      <c r="E2051" s="24" t="s">
        <v>51</v>
      </c>
      <c r="F2051" s="24" t="s">
        <v>1142</v>
      </c>
      <c r="G2051" s="24" t="s">
        <v>1402</v>
      </c>
      <c r="H2051" s="24" t="s">
        <v>175</v>
      </c>
      <c r="I2051" s="24" t="s">
        <v>1777</v>
      </c>
      <c r="J2051" s="24" t="s">
        <v>761</v>
      </c>
      <c r="K2051" s="24" t="s">
        <v>1146</v>
      </c>
      <c r="L2051" s="25">
        <v>1070</v>
      </c>
      <c r="M2051" s="26">
        <v>12.73</v>
      </c>
      <c r="N2051" s="27">
        <v>12.73</v>
      </c>
      <c r="O2051" s="28">
        <v>1.1572727272727273E-2</v>
      </c>
      <c r="P2051" s="28">
        <v>12.054070796460177</v>
      </c>
    </row>
    <row r="2052" spans="1:16" x14ac:dyDescent="0.3">
      <c r="A2052" t="s">
        <v>4934</v>
      </c>
      <c r="B2052" s="24">
        <v>142310</v>
      </c>
      <c r="C2052" s="24" t="s">
        <v>1474</v>
      </c>
      <c r="D2052" s="24" t="s">
        <v>1102</v>
      </c>
      <c r="E2052" s="24" t="s">
        <v>51</v>
      </c>
      <c r="F2052" s="24" t="s">
        <v>1142</v>
      </c>
      <c r="G2052" s="24" t="s">
        <v>1402</v>
      </c>
      <c r="H2052" s="24" t="s">
        <v>175</v>
      </c>
      <c r="I2052" s="24" t="s">
        <v>1777</v>
      </c>
      <c r="J2052" s="24" t="s">
        <v>761</v>
      </c>
      <c r="K2052" s="24" t="s">
        <v>1146</v>
      </c>
      <c r="L2052" s="25">
        <v>1070</v>
      </c>
      <c r="M2052" s="26">
        <v>12.73</v>
      </c>
      <c r="N2052" s="27">
        <v>12.73</v>
      </c>
      <c r="O2052" s="28">
        <v>1.1572727272727273E-2</v>
      </c>
      <c r="P2052" s="28">
        <v>12.054070796460177</v>
      </c>
    </row>
    <row r="2053" spans="1:16" x14ac:dyDescent="0.3">
      <c r="A2053" t="s">
        <v>4935</v>
      </c>
      <c r="B2053" s="24">
        <v>100581</v>
      </c>
      <c r="C2053" s="24" t="s">
        <v>1232</v>
      </c>
      <c r="D2053" s="24" t="s">
        <v>1102</v>
      </c>
      <c r="E2053" s="24" t="s">
        <v>51</v>
      </c>
      <c r="F2053" s="24" t="s">
        <v>1142</v>
      </c>
      <c r="G2053" s="24" t="s">
        <v>1233</v>
      </c>
      <c r="H2053" s="24" t="s">
        <v>176</v>
      </c>
      <c r="I2053" s="24" t="s">
        <v>1778</v>
      </c>
      <c r="J2053" s="24" t="s">
        <v>761</v>
      </c>
      <c r="K2053" s="24" t="s">
        <v>1146</v>
      </c>
      <c r="L2053" s="25">
        <v>1070</v>
      </c>
      <c r="M2053" s="26">
        <v>13.93</v>
      </c>
      <c r="N2053" s="27">
        <v>13.93</v>
      </c>
      <c r="O2053" s="28">
        <v>1.2663636363636363E-2</v>
      </c>
      <c r="P2053" s="28">
        <v>13.190353982300886</v>
      </c>
    </row>
    <row r="2054" spans="1:16" x14ac:dyDescent="0.3">
      <c r="A2054" t="s">
        <v>4936</v>
      </c>
      <c r="B2054" s="24">
        <v>100603</v>
      </c>
      <c r="C2054" s="24" t="s">
        <v>1277</v>
      </c>
      <c r="D2054" s="24" t="s">
        <v>1102</v>
      </c>
      <c r="E2054" s="24" t="s">
        <v>51</v>
      </c>
      <c r="F2054" s="24" t="s">
        <v>1142</v>
      </c>
      <c r="G2054" s="24" t="s">
        <v>1082</v>
      </c>
      <c r="H2054" s="24" t="s">
        <v>176</v>
      </c>
      <c r="I2054" s="24" t="s">
        <v>1778</v>
      </c>
      <c r="J2054" s="24" t="s">
        <v>761</v>
      </c>
      <c r="K2054" s="24" t="s">
        <v>1146</v>
      </c>
      <c r="L2054" s="25">
        <v>1070</v>
      </c>
      <c r="M2054" s="26">
        <v>13.93</v>
      </c>
      <c r="N2054" s="27">
        <v>13.93</v>
      </c>
      <c r="O2054" s="28">
        <v>1.2663636363636363E-2</v>
      </c>
      <c r="P2054" s="28">
        <v>13.190353982300886</v>
      </c>
    </row>
    <row r="2055" spans="1:16" x14ac:dyDescent="0.3">
      <c r="A2055" t="s">
        <v>4937</v>
      </c>
      <c r="B2055" s="24">
        <v>101186</v>
      </c>
      <c r="C2055" s="24" t="s">
        <v>1273</v>
      </c>
      <c r="D2055" s="24" t="s">
        <v>1102</v>
      </c>
      <c r="E2055" s="24" t="s">
        <v>51</v>
      </c>
      <c r="F2055" s="24" t="s">
        <v>1142</v>
      </c>
      <c r="G2055" s="24" t="s">
        <v>1203</v>
      </c>
      <c r="H2055" s="24" t="s">
        <v>176</v>
      </c>
      <c r="I2055" s="24" t="s">
        <v>1778</v>
      </c>
      <c r="J2055" s="24" t="s">
        <v>761</v>
      </c>
      <c r="K2055" s="24" t="s">
        <v>1146</v>
      </c>
      <c r="L2055" s="25">
        <v>1070</v>
      </c>
      <c r="M2055" s="26">
        <v>13.93</v>
      </c>
      <c r="N2055" s="27">
        <v>13.93</v>
      </c>
      <c r="O2055" s="28">
        <v>1.2663636363636363E-2</v>
      </c>
      <c r="P2055" s="28">
        <v>13.190353982300886</v>
      </c>
    </row>
    <row r="2056" spans="1:16" x14ac:dyDescent="0.3">
      <c r="A2056" t="s">
        <v>4938</v>
      </c>
      <c r="B2056" s="24">
        <v>100581</v>
      </c>
      <c r="C2056" s="24" t="s">
        <v>1232</v>
      </c>
      <c r="D2056" s="24" t="s">
        <v>1102</v>
      </c>
      <c r="E2056" s="24" t="s">
        <v>51</v>
      </c>
      <c r="F2056" s="24" t="s">
        <v>1142</v>
      </c>
      <c r="G2056" s="24" t="s">
        <v>1233</v>
      </c>
      <c r="H2056" s="24" t="s">
        <v>1779</v>
      </c>
      <c r="I2056" s="24" t="s">
        <v>1780</v>
      </c>
      <c r="J2056" s="24" t="s">
        <v>761</v>
      </c>
      <c r="K2056" s="24" t="s">
        <v>1146</v>
      </c>
      <c r="L2056" s="25">
        <v>1070</v>
      </c>
      <c r="M2056" s="26">
        <v>46.56</v>
      </c>
      <c r="N2056" s="27">
        <v>46.56</v>
      </c>
      <c r="O2056" s="28">
        <v>4.2327272727272727E-2</v>
      </c>
      <c r="P2056" s="28">
        <v>44.087787610619472</v>
      </c>
    </row>
    <row r="2057" spans="1:16" x14ac:dyDescent="0.3">
      <c r="A2057" t="s">
        <v>4939</v>
      </c>
      <c r="B2057" s="24">
        <v>101424</v>
      </c>
      <c r="C2057" s="24" t="s">
        <v>1278</v>
      </c>
      <c r="D2057" s="24" t="s">
        <v>1102</v>
      </c>
      <c r="E2057" s="24" t="s">
        <v>51</v>
      </c>
      <c r="F2057" s="24" t="s">
        <v>1142</v>
      </c>
      <c r="G2057" s="24" t="s">
        <v>1203</v>
      </c>
      <c r="H2057" s="24" t="s">
        <v>1779</v>
      </c>
      <c r="I2057" s="24" t="s">
        <v>1780</v>
      </c>
      <c r="J2057" s="24" t="s">
        <v>761</v>
      </c>
      <c r="K2057" s="24" t="s">
        <v>1146</v>
      </c>
      <c r="L2057" s="25">
        <v>1070</v>
      </c>
      <c r="M2057" s="26">
        <v>46.56</v>
      </c>
      <c r="N2057" s="27">
        <v>46.56</v>
      </c>
      <c r="O2057" s="28">
        <v>4.2327272727272727E-2</v>
      </c>
      <c r="P2057" s="28">
        <v>44.087787610619472</v>
      </c>
    </row>
    <row r="2058" spans="1:16" x14ac:dyDescent="0.3">
      <c r="A2058" t="s">
        <v>4940</v>
      </c>
      <c r="B2058" s="24">
        <v>300015</v>
      </c>
      <c r="C2058" s="24" t="s">
        <v>1236</v>
      </c>
      <c r="D2058" s="24" t="s">
        <v>1102</v>
      </c>
      <c r="E2058" s="24" t="s">
        <v>51</v>
      </c>
      <c r="F2058" s="24" t="s">
        <v>1237</v>
      </c>
      <c r="G2058" s="24" t="s">
        <v>1238</v>
      </c>
      <c r="H2058" s="24" t="s">
        <v>64</v>
      </c>
      <c r="I2058" s="24" t="s">
        <v>1781</v>
      </c>
      <c r="J2058" s="24" t="s">
        <v>761</v>
      </c>
      <c r="K2058" s="24" t="s">
        <v>1146</v>
      </c>
      <c r="L2058" s="25">
        <v>1070</v>
      </c>
      <c r="M2058" s="26">
        <v>16.36</v>
      </c>
      <c r="N2058" s="27">
        <v>16.36</v>
      </c>
      <c r="O2058" s="28">
        <v>1.4872727272727272E-2</v>
      </c>
      <c r="P2058" s="28">
        <v>15.491327433628319</v>
      </c>
    </row>
    <row r="2059" spans="1:16" x14ac:dyDescent="0.3">
      <c r="A2059" t="s">
        <v>4941</v>
      </c>
      <c r="B2059" s="24">
        <v>100603</v>
      </c>
      <c r="C2059" s="24" t="s">
        <v>1277</v>
      </c>
      <c r="D2059" s="24" t="s">
        <v>1102</v>
      </c>
      <c r="E2059" s="24" t="s">
        <v>51</v>
      </c>
      <c r="F2059" s="24" t="s">
        <v>1142</v>
      </c>
      <c r="G2059" s="24" t="s">
        <v>1082</v>
      </c>
      <c r="H2059" s="24" t="s">
        <v>331</v>
      </c>
      <c r="I2059" s="24" t="s">
        <v>1782</v>
      </c>
      <c r="J2059" s="24" t="s">
        <v>761</v>
      </c>
      <c r="K2059" s="24" t="s">
        <v>1146</v>
      </c>
      <c r="L2059" s="25">
        <v>1070</v>
      </c>
      <c r="M2059" s="26">
        <v>15.8</v>
      </c>
      <c r="N2059" s="27">
        <v>15.8</v>
      </c>
      <c r="O2059" s="28">
        <v>1.4363636363636365E-2</v>
      </c>
      <c r="P2059" s="28">
        <v>14.961061946902655</v>
      </c>
    </row>
    <row r="2060" spans="1:16" x14ac:dyDescent="0.3">
      <c r="A2060" t="s">
        <v>4942</v>
      </c>
      <c r="B2060" s="24">
        <v>101186</v>
      </c>
      <c r="C2060" s="24" t="s">
        <v>1273</v>
      </c>
      <c r="D2060" s="24" t="s">
        <v>1102</v>
      </c>
      <c r="E2060" s="24" t="s">
        <v>51</v>
      </c>
      <c r="F2060" s="24" t="s">
        <v>1142</v>
      </c>
      <c r="G2060" s="24" t="s">
        <v>1203</v>
      </c>
      <c r="H2060" s="24" t="s">
        <v>1099</v>
      </c>
      <c r="I2060" s="24" t="s">
        <v>1783</v>
      </c>
      <c r="J2060" s="24" t="s">
        <v>761</v>
      </c>
      <c r="K2060" s="24" t="s">
        <v>1146</v>
      </c>
      <c r="L2060" s="25">
        <v>1070</v>
      </c>
      <c r="M2060" s="26">
        <v>31.7</v>
      </c>
      <c r="N2060" s="27">
        <v>31.7</v>
      </c>
      <c r="O2060" s="28">
        <v>2.8818181818181819E-2</v>
      </c>
      <c r="P2060" s="28">
        <v>30.016814159292036</v>
      </c>
    </row>
    <row r="2061" spans="1:16" x14ac:dyDescent="0.3">
      <c r="A2061" t="s">
        <v>4943</v>
      </c>
      <c r="B2061" s="24">
        <v>101424</v>
      </c>
      <c r="C2061" s="24" t="s">
        <v>1278</v>
      </c>
      <c r="D2061" s="24" t="s">
        <v>1102</v>
      </c>
      <c r="E2061" s="24" t="s">
        <v>51</v>
      </c>
      <c r="F2061" s="24" t="s">
        <v>1142</v>
      </c>
      <c r="G2061" s="24" t="s">
        <v>1203</v>
      </c>
      <c r="H2061" s="24" t="s">
        <v>1099</v>
      </c>
      <c r="I2061" s="24" t="s">
        <v>1783</v>
      </c>
      <c r="J2061" s="24" t="s">
        <v>761</v>
      </c>
      <c r="K2061" s="24" t="s">
        <v>1146</v>
      </c>
      <c r="L2061" s="25">
        <v>1070</v>
      </c>
      <c r="M2061" s="26">
        <v>31.7</v>
      </c>
      <c r="N2061" s="27">
        <v>31.7</v>
      </c>
      <c r="O2061" s="28">
        <v>2.8818181818181819E-2</v>
      </c>
      <c r="P2061" s="28">
        <v>30.016814159292036</v>
      </c>
    </row>
    <row r="2062" spans="1:16" x14ac:dyDescent="0.3">
      <c r="A2062" t="s">
        <v>4944</v>
      </c>
      <c r="B2062" s="24">
        <v>100581</v>
      </c>
      <c r="C2062" s="24" t="s">
        <v>1232</v>
      </c>
      <c r="D2062" s="24" t="s">
        <v>1102</v>
      </c>
      <c r="E2062" s="24" t="s">
        <v>51</v>
      </c>
      <c r="F2062" s="24" t="s">
        <v>1142</v>
      </c>
      <c r="G2062" s="24" t="s">
        <v>1233</v>
      </c>
      <c r="H2062" s="24" t="s">
        <v>106</v>
      </c>
      <c r="I2062" s="24" t="s">
        <v>1784</v>
      </c>
      <c r="J2062" s="24" t="s">
        <v>761</v>
      </c>
      <c r="K2062" s="24" t="s">
        <v>1146</v>
      </c>
      <c r="L2062" s="25">
        <v>1070</v>
      </c>
      <c r="M2062" s="26">
        <v>37.71</v>
      </c>
      <c r="N2062" s="27">
        <v>37.71</v>
      </c>
      <c r="O2062" s="28">
        <v>3.4281818181818184E-2</v>
      </c>
      <c r="P2062" s="28">
        <v>35.70769911504425</v>
      </c>
    </row>
    <row r="2063" spans="1:16" x14ac:dyDescent="0.3">
      <c r="A2063" t="s">
        <v>4945</v>
      </c>
      <c r="B2063" s="24">
        <v>101186</v>
      </c>
      <c r="C2063" s="24" t="s">
        <v>1273</v>
      </c>
      <c r="D2063" s="24" t="s">
        <v>1102</v>
      </c>
      <c r="E2063" s="24" t="s">
        <v>51</v>
      </c>
      <c r="F2063" s="24" t="s">
        <v>1142</v>
      </c>
      <c r="G2063" s="24" t="s">
        <v>1203</v>
      </c>
      <c r="H2063" s="24" t="s">
        <v>106</v>
      </c>
      <c r="I2063" s="24" t="s">
        <v>1784</v>
      </c>
      <c r="J2063" s="24" t="s">
        <v>761</v>
      </c>
      <c r="K2063" s="24" t="s">
        <v>1146</v>
      </c>
      <c r="L2063" s="25">
        <v>1070</v>
      </c>
      <c r="M2063" s="26">
        <v>37.71</v>
      </c>
      <c r="N2063" s="27">
        <v>37.71</v>
      </c>
      <c r="O2063" s="28">
        <v>3.4281818181818184E-2</v>
      </c>
      <c r="P2063" s="28">
        <v>35.70769911504425</v>
      </c>
    </row>
    <row r="2064" spans="1:16" x14ac:dyDescent="0.3">
      <c r="A2064" t="s">
        <v>4946</v>
      </c>
      <c r="B2064" s="24">
        <v>101424</v>
      </c>
      <c r="C2064" s="24" t="s">
        <v>1278</v>
      </c>
      <c r="D2064" s="24" t="s">
        <v>1102</v>
      </c>
      <c r="E2064" s="24" t="s">
        <v>51</v>
      </c>
      <c r="F2064" s="24" t="s">
        <v>1142</v>
      </c>
      <c r="G2064" s="24" t="s">
        <v>1203</v>
      </c>
      <c r="H2064" s="24" t="s">
        <v>106</v>
      </c>
      <c r="I2064" s="24" t="s">
        <v>1784</v>
      </c>
      <c r="J2064" s="24" t="s">
        <v>761</v>
      </c>
      <c r="K2064" s="24" t="s">
        <v>1146</v>
      </c>
      <c r="L2064" s="25">
        <v>1070</v>
      </c>
      <c r="M2064" s="26">
        <v>37.71</v>
      </c>
      <c r="N2064" s="27">
        <v>37.71</v>
      </c>
      <c r="O2064" s="28">
        <v>3.4281818181818184E-2</v>
      </c>
      <c r="P2064" s="28">
        <v>35.70769911504425</v>
      </c>
    </row>
    <row r="2065" spans="1:16" x14ac:dyDescent="0.3">
      <c r="A2065" t="s">
        <v>4947</v>
      </c>
      <c r="B2065" s="24">
        <v>100581</v>
      </c>
      <c r="C2065" s="24" t="s">
        <v>1232</v>
      </c>
      <c r="D2065" s="24" t="s">
        <v>1102</v>
      </c>
      <c r="E2065" s="24" t="s">
        <v>51</v>
      </c>
      <c r="F2065" s="24" t="s">
        <v>1142</v>
      </c>
      <c r="G2065" s="24" t="s">
        <v>1233</v>
      </c>
      <c r="H2065" s="24" t="s">
        <v>101</v>
      </c>
      <c r="I2065" s="24" t="s">
        <v>1785</v>
      </c>
      <c r="J2065" s="24" t="s">
        <v>761</v>
      </c>
      <c r="K2065" s="24" t="s">
        <v>1146</v>
      </c>
      <c r="L2065" s="25">
        <v>1070</v>
      </c>
      <c r="M2065" s="26">
        <v>52.5</v>
      </c>
      <c r="N2065" s="27">
        <v>52.5</v>
      </c>
      <c r="O2065" s="28">
        <v>4.7727272727272729E-2</v>
      </c>
      <c r="P2065" s="28">
        <v>49.712389380530972</v>
      </c>
    </row>
    <row r="2066" spans="1:16" x14ac:dyDescent="0.3">
      <c r="A2066" t="s">
        <v>4948</v>
      </c>
      <c r="B2066" s="24">
        <v>101424</v>
      </c>
      <c r="C2066" s="24" t="s">
        <v>1278</v>
      </c>
      <c r="D2066" s="24" t="s">
        <v>1102</v>
      </c>
      <c r="E2066" s="24" t="s">
        <v>51</v>
      </c>
      <c r="F2066" s="24" t="s">
        <v>1142</v>
      </c>
      <c r="G2066" s="24" t="s">
        <v>1203</v>
      </c>
      <c r="H2066" s="24" t="s">
        <v>297</v>
      </c>
      <c r="I2066" s="24" t="s">
        <v>1786</v>
      </c>
      <c r="J2066" s="24" t="s">
        <v>761</v>
      </c>
      <c r="K2066" s="24" t="s">
        <v>1146</v>
      </c>
      <c r="L2066" s="25">
        <v>1070</v>
      </c>
      <c r="M2066" s="26">
        <v>17.87</v>
      </c>
      <c r="N2066" s="27">
        <v>17.87</v>
      </c>
      <c r="O2066" s="28">
        <v>1.6245454545454546E-2</v>
      </c>
      <c r="P2066" s="28">
        <v>16.921150442477877</v>
      </c>
    </row>
    <row r="2067" spans="1:16" x14ac:dyDescent="0.3">
      <c r="A2067" t="s">
        <v>4949</v>
      </c>
      <c r="B2067" s="24">
        <v>100581</v>
      </c>
      <c r="C2067" s="24" t="s">
        <v>1232</v>
      </c>
      <c r="D2067" s="24" t="s">
        <v>1102</v>
      </c>
      <c r="E2067" s="24" t="s">
        <v>51</v>
      </c>
      <c r="F2067" s="24" t="s">
        <v>1142</v>
      </c>
      <c r="G2067" s="24" t="s">
        <v>1233</v>
      </c>
      <c r="H2067" s="24" t="s">
        <v>298</v>
      </c>
      <c r="I2067" s="24" t="s">
        <v>1787</v>
      </c>
      <c r="J2067" s="24" t="s">
        <v>761</v>
      </c>
      <c r="K2067" s="24" t="s">
        <v>1146</v>
      </c>
      <c r="L2067" s="25">
        <v>1070</v>
      </c>
      <c r="M2067" s="26">
        <v>17.87</v>
      </c>
      <c r="N2067" s="27">
        <v>17.87</v>
      </c>
      <c r="O2067" s="28">
        <v>1.6245454545454546E-2</v>
      </c>
      <c r="P2067" s="28">
        <v>16.921150442477877</v>
      </c>
    </row>
    <row r="2068" spans="1:16" x14ac:dyDescent="0.3">
      <c r="A2068" t="s">
        <v>4950</v>
      </c>
      <c r="B2068" s="24">
        <v>100603</v>
      </c>
      <c r="C2068" s="24" t="s">
        <v>1277</v>
      </c>
      <c r="D2068" s="24" t="s">
        <v>1102</v>
      </c>
      <c r="E2068" s="24" t="s">
        <v>51</v>
      </c>
      <c r="F2068" s="24" t="s">
        <v>1142</v>
      </c>
      <c r="G2068" s="24" t="s">
        <v>1082</v>
      </c>
      <c r="H2068" s="24" t="s">
        <v>298</v>
      </c>
      <c r="I2068" s="24" t="s">
        <v>1787</v>
      </c>
      <c r="J2068" s="24" t="s">
        <v>761</v>
      </c>
      <c r="K2068" s="24" t="s">
        <v>1146</v>
      </c>
      <c r="L2068" s="25">
        <v>1070</v>
      </c>
      <c r="M2068" s="26">
        <v>17.87</v>
      </c>
      <c r="N2068" s="27">
        <v>17.87</v>
      </c>
      <c r="O2068" s="28">
        <v>1.6245454545454546E-2</v>
      </c>
      <c r="P2068" s="28">
        <v>16.921150442477877</v>
      </c>
    </row>
    <row r="2069" spans="1:16" x14ac:dyDescent="0.3">
      <c r="A2069" t="s">
        <v>4951</v>
      </c>
      <c r="B2069" s="24">
        <v>101186</v>
      </c>
      <c r="C2069" s="24" t="s">
        <v>1273</v>
      </c>
      <c r="D2069" s="24" t="s">
        <v>1102</v>
      </c>
      <c r="E2069" s="24" t="s">
        <v>51</v>
      </c>
      <c r="F2069" s="24" t="s">
        <v>1142</v>
      </c>
      <c r="G2069" s="24" t="s">
        <v>1203</v>
      </c>
      <c r="H2069" s="24" t="s">
        <v>298</v>
      </c>
      <c r="I2069" s="24" t="s">
        <v>1787</v>
      </c>
      <c r="J2069" s="24" t="s">
        <v>761</v>
      </c>
      <c r="K2069" s="24" t="s">
        <v>1146</v>
      </c>
      <c r="L2069" s="25">
        <v>1070</v>
      </c>
      <c r="M2069" s="26">
        <v>17.87</v>
      </c>
      <c r="N2069" s="27">
        <v>17.87</v>
      </c>
      <c r="O2069" s="28">
        <v>1.6245454545454546E-2</v>
      </c>
      <c r="P2069" s="28">
        <v>16.921150442477877</v>
      </c>
    </row>
    <row r="2070" spans="1:16" x14ac:dyDescent="0.3">
      <c r="A2070" t="s">
        <v>4952</v>
      </c>
      <c r="B2070" s="24">
        <v>101206</v>
      </c>
      <c r="C2070" s="24" t="s">
        <v>1199</v>
      </c>
      <c r="D2070" s="24" t="s">
        <v>1102</v>
      </c>
      <c r="E2070" s="24" t="s">
        <v>51</v>
      </c>
      <c r="F2070" s="24" t="s">
        <v>1142</v>
      </c>
      <c r="G2070" s="24" t="s">
        <v>1200</v>
      </c>
      <c r="H2070" s="24" t="s">
        <v>298</v>
      </c>
      <c r="I2070" s="24" t="s">
        <v>1787</v>
      </c>
      <c r="J2070" s="24" t="s">
        <v>761</v>
      </c>
      <c r="K2070" s="24" t="s">
        <v>1146</v>
      </c>
      <c r="L2070" s="25">
        <v>1070</v>
      </c>
      <c r="M2070" s="26">
        <v>17.87</v>
      </c>
      <c r="N2070" s="27">
        <v>17.87</v>
      </c>
      <c r="O2070" s="28">
        <v>1.6245454545454546E-2</v>
      </c>
      <c r="P2070" s="28">
        <v>16.921150442477877</v>
      </c>
    </row>
    <row r="2071" spans="1:16" x14ac:dyDescent="0.3">
      <c r="A2071" t="s">
        <v>4953</v>
      </c>
      <c r="B2071" s="24">
        <v>101424</v>
      </c>
      <c r="C2071" s="24" t="s">
        <v>1278</v>
      </c>
      <c r="D2071" s="24" t="s">
        <v>1102</v>
      </c>
      <c r="E2071" s="24" t="s">
        <v>51</v>
      </c>
      <c r="F2071" s="24" t="s">
        <v>1142</v>
      </c>
      <c r="G2071" s="24" t="s">
        <v>1203</v>
      </c>
      <c r="H2071" s="24" t="s">
        <v>298</v>
      </c>
      <c r="I2071" s="24" t="s">
        <v>1787</v>
      </c>
      <c r="J2071" s="24" t="s">
        <v>761</v>
      </c>
      <c r="K2071" s="24" t="s">
        <v>1146</v>
      </c>
      <c r="L2071" s="25">
        <v>1070</v>
      </c>
      <c r="M2071" s="26">
        <v>17.87</v>
      </c>
      <c r="N2071" s="27">
        <v>17.87</v>
      </c>
      <c r="O2071" s="28">
        <v>1.6245454545454546E-2</v>
      </c>
      <c r="P2071" s="28">
        <v>16.921150442477877</v>
      </c>
    </row>
    <row r="2072" spans="1:16" x14ac:dyDescent="0.3">
      <c r="A2072" t="s">
        <v>4954</v>
      </c>
      <c r="B2072" s="24">
        <v>106916</v>
      </c>
      <c r="C2072" s="24" t="s">
        <v>1216</v>
      </c>
      <c r="D2072" s="24" t="s">
        <v>1102</v>
      </c>
      <c r="E2072" s="24" t="s">
        <v>51</v>
      </c>
      <c r="F2072" s="24" t="s">
        <v>1142</v>
      </c>
      <c r="G2072" s="24" t="s">
        <v>1203</v>
      </c>
      <c r="H2072" s="24" t="s">
        <v>298</v>
      </c>
      <c r="I2072" s="24" t="s">
        <v>1787</v>
      </c>
      <c r="J2072" s="24" t="s">
        <v>761</v>
      </c>
      <c r="K2072" s="24" t="s">
        <v>1146</v>
      </c>
      <c r="L2072" s="25">
        <v>1070</v>
      </c>
      <c r="M2072" s="26">
        <v>17.87</v>
      </c>
      <c r="N2072" s="27">
        <v>17.87</v>
      </c>
      <c r="O2072" s="28">
        <v>1.6245454545454546E-2</v>
      </c>
      <c r="P2072" s="28">
        <v>16.921150442477877</v>
      </c>
    </row>
    <row r="2073" spans="1:16" x14ac:dyDescent="0.3">
      <c r="A2073" t="s">
        <v>4955</v>
      </c>
      <c r="B2073" s="24">
        <v>111550</v>
      </c>
      <c r="C2073" s="24" t="s">
        <v>1582</v>
      </c>
      <c r="D2073" s="24" t="s">
        <v>1102</v>
      </c>
      <c r="E2073" s="24" t="s">
        <v>51</v>
      </c>
      <c r="F2073" s="24" t="s">
        <v>1142</v>
      </c>
      <c r="G2073" s="24" t="s">
        <v>1402</v>
      </c>
      <c r="H2073" s="24" t="s">
        <v>298</v>
      </c>
      <c r="I2073" s="24" t="s">
        <v>1787</v>
      </c>
      <c r="J2073" s="24" t="s">
        <v>761</v>
      </c>
      <c r="K2073" s="24" t="s">
        <v>1146</v>
      </c>
      <c r="L2073" s="25">
        <v>1070</v>
      </c>
      <c r="M2073" s="26">
        <v>17.87</v>
      </c>
      <c r="N2073" s="27">
        <v>17.87</v>
      </c>
      <c r="O2073" s="28">
        <v>1.6245454545454546E-2</v>
      </c>
      <c r="P2073" s="28">
        <v>16.921150442477877</v>
      </c>
    </row>
    <row r="2074" spans="1:16" x14ac:dyDescent="0.3">
      <c r="A2074" t="s">
        <v>4956</v>
      </c>
      <c r="B2074" s="24">
        <v>114501</v>
      </c>
      <c r="C2074" s="24" t="s">
        <v>1409</v>
      </c>
      <c r="D2074" s="24" t="s">
        <v>1102</v>
      </c>
      <c r="E2074" s="24" t="s">
        <v>51</v>
      </c>
      <c r="F2074" s="24" t="s">
        <v>1142</v>
      </c>
      <c r="G2074" s="24" t="s">
        <v>1402</v>
      </c>
      <c r="H2074" s="24" t="s">
        <v>298</v>
      </c>
      <c r="I2074" s="24" t="s">
        <v>1787</v>
      </c>
      <c r="J2074" s="24" t="s">
        <v>761</v>
      </c>
      <c r="K2074" s="24" t="s">
        <v>1146</v>
      </c>
      <c r="L2074" s="25">
        <v>1070</v>
      </c>
      <c r="M2074" s="26">
        <v>17.87</v>
      </c>
      <c r="N2074" s="27">
        <v>17.87</v>
      </c>
      <c r="O2074" s="28">
        <v>1.6245454545454546E-2</v>
      </c>
      <c r="P2074" s="28">
        <v>16.921150442477877</v>
      </c>
    </row>
    <row r="2075" spans="1:16" x14ac:dyDescent="0.3">
      <c r="A2075" t="s">
        <v>4957</v>
      </c>
      <c r="B2075" s="24">
        <v>142310</v>
      </c>
      <c r="C2075" s="24" t="s">
        <v>1474</v>
      </c>
      <c r="D2075" s="24" t="s">
        <v>1102</v>
      </c>
      <c r="E2075" s="24" t="s">
        <v>51</v>
      </c>
      <c r="F2075" s="24" t="s">
        <v>1142</v>
      </c>
      <c r="G2075" s="24" t="s">
        <v>1402</v>
      </c>
      <c r="H2075" s="24" t="s">
        <v>298</v>
      </c>
      <c r="I2075" s="24" t="s">
        <v>1787</v>
      </c>
      <c r="J2075" s="24" t="s">
        <v>761</v>
      </c>
      <c r="K2075" s="24" t="s">
        <v>1146</v>
      </c>
      <c r="L2075" s="25">
        <v>1070</v>
      </c>
      <c r="M2075" s="26">
        <v>17.87</v>
      </c>
      <c r="N2075" s="27">
        <v>17.87</v>
      </c>
      <c r="O2075" s="28">
        <v>1.6245454545454546E-2</v>
      </c>
      <c r="P2075" s="28">
        <v>16.921150442477877</v>
      </c>
    </row>
    <row r="2076" spans="1:16" x14ac:dyDescent="0.3">
      <c r="A2076" t="s">
        <v>4958</v>
      </c>
      <c r="B2076" s="24">
        <v>100603</v>
      </c>
      <c r="C2076" s="24" t="s">
        <v>1277</v>
      </c>
      <c r="D2076" s="24" t="s">
        <v>1102</v>
      </c>
      <c r="E2076" s="24" t="s">
        <v>51</v>
      </c>
      <c r="F2076" s="24" t="s">
        <v>1142</v>
      </c>
      <c r="G2076" s="24" t="s">
        <v>1082</v>
      </c>
      <c r="H2076" s="24" t="s">
        <v>299</v>
      </c>
      <c r="I2076" s="24" t="s">
        <v>1788</v>
      </c>
      <c r="J2076" s="24" t="s">
        <v>761</v>
      </c>
      <c r="K2076" s="24" t="s">
        <v>1146</v>
      </c>
      <c r="L2076" s="25">
        <v>1070</v>
      </c>
      <c r="M2076" s="26">
        <v>17.25</v>
      </c>
      <c r="N2076" s="27">
        <v>17.25</v>
      </c>
      <c r="O2076" s="28">
        <v>1.5681818181818182E-2</v>
      </c>
      <c r="P2076" s="28">
        <v>16.334070796460178</v>
      </c>
    </row>
    <row r="2077" spans="1:16" x14ac:dyDescent="0.3">
      <c r="A2077" t="s">
        <v>4959</v>
      </c>
      <c r="B2077" s="24">
        <v>101186</v>
      </c>
      <c r="C2077" s="24" t="s">
        <v>1273</v>
      </c>
      <c r="D2077" s="24" t="s">
        <v>1102</v>
      </c>
      <c r="E2077" s="24" t="s">
        <v>51</v>
      </c>
      <c r="F2077" s="24" t="s">
        <v>1142</v>
      </c>
      <c r="G2077" s="24" t="s">
        <v>1203</v>
      </c>
      <c r="H2077" s="24" t="s">
        <v>299</v>
      </c>
      <c r="I2077" s="24" t="s">
        <v>1788</v>
      </c>
      <c r="J2077" s="24" t="s">
        <v>761</v>
      </c>
      <c r="K2077" s="24" t="s">
        <v>1146</v>
      </c>
      <c r="L2077" s="25">
        <v>1070</v>
      </c>
      <c r="M2077" s="26">
        <v>17.25</v>
      </c>
      <c r="N2077" s="27">
        <v>17.25</v>
      </c>
      <c r="O2077" s="28">
        <v>1.5681818181818182E-2</v>
      </c>
      <c r="P2077" s="28">
        <v>16.334070796460178</v>
      </c>
    </row>
    <row r="2078" spans="1:16" x14ac:dyDescent="0.3">
      <c r="A2078" t="s">
        <v>4960</v>
      </c>
      <c r="B2078" s="24">
        <v>101206</v>
      </c>
      <c r="C2078" s="24" t="s">
        <v>1199</v>
      </c>
      <c r="D2078" s="24" t="s">
        <v>1102</v>
      </c>
      <c r="E2078" s="24" t="s">
        <v>51</v>
      </c>
      <c r="F2078" s="24" t="s">
        <v>1142</v>
      </c>
      <c r="G2078" s="24" t="s">
        <v>1200</v>
      </c>
      <c r="H2078" s="24" t="s">
        <v>299</v>
      </c>
      <c r="I2078" s="24" t="s">
        <v>1788</v>
      </c>
      <c r="J2078" s="24" t="s">
        <v>761</v>
      </c>
      <c r="K2078" s="24" t="s">
        <v>1146</v>
      </c>
      <c r="L2078" s="25">
        <v>1070</v>
      </c>
      <c r="M2078" s="26">
        <v>17.25</v>
      </c>
      <c r="N2078" s="27">
        <v>17.25</v>
      </c>
      <c r="O2078" s="28">
        <v>1.5681818181818182E-2</v>
      </c>
      <c r="P2078" s="28">
        <v>16.334070796460178</v>
      </c>
    </row>
    <row r="2079" spans="1:16" x14ac:dyDescent="0.3">
      <c r="A2079" t="s">
        <v>4961</v>
      </c>
      <c r="B2079" s="24">
        <v>106916</v>
      </c>
      <c r="C2079" s="24" t="s">
        <v>1216</v>
      </c>
      <c r="D2079" s="24" t="s">
        <v>1102</v>
      </c>
      <c r="E2079" s="24" t="s">
        <v>51</v>
      </c>
      <c r="F2079" s="24" t="s">
        <v>1142</v>
      </c>
      <c r="G2079" s="24" t="s">
        <v>1203</v>
      </c>
      <c r="H2079" s="24" t="s">
        <v>299</v>
      </c>
      <c r="I2079" s="24" t="s">
        <v>1788</v>
      </c>
      <c r="J2079" s="24" t="s">
        <v>761</v>
      </c>
      <c r="K2079" s="24" t="s">
        <v>1146</v>
      </c>
      <c r="L2079" s="25">
        <v>1070</v>
      </c>
      <c r="M2079" s="26">
        <v>17.25</v>
      </c>
      <c r="N2079" s="27">
        <v>17.25</v>
      </c>
      <c r="O2079" s="28">
        <v>1.5681818181818182E-2</v>
      </c>
      <c r="P2079" s="28">
        <v>16.334070796460178</v>
      </c>
    </row>
    <row r="2080" spans="1:16" x14ac:dyDescent="0.3">
      <c r="A2080" t="s">
        <v>4962</v>
      </c>
      <c r="B2080" s="24">
        <v>111550</v>
      </c>
      <c r="C2080" s="24" t="s">
        <v>1582</v>
      </c>
      <c r="D2080" s="24" t="s">
        <v>1102</v>
      </c>
      <c r="E2080" s="24" t="s">
        <v>51</v>
      </c>
      <c r="F2080" s="24" t="s">
        <v>1142</v>
      </c>
      <c r="G2080" s="24" t="s">
        <v>1402</v>
      </c>
      <c r="H2080" s="24" t="s">
        <v>299</v>
      </c>
      <c r="I2080" s="24" t="s">
        <v>1788</v>
      </c>
      <c r="J2080" s="24" t="s">
        <v>761</v>
      </c>
      <c r="K2080" s="24" t="s">
        <v>1146</v>
      </c>
      <c r="L2080" s="25">
        <v>1070</v>
      </c>
      <c r="M2080" s="26">
        <v>17.25</v>
      </c>
      <c r="N2080" s="27">
        <v>17.25</v>
      </c>
      <c r="O2080" s="28">
        <v>1.5681818181818182E-2</v>
      </c>
      <c r="P2080" s="28">
        <v>16.334070796460178</v>
      </c>
    </row>
    <row r="2081" spans="1:16" x14ac:dyDescent="0.3">
      <c r="A2081" t="s">
        <v>4963</v>
      </c>
      <c r="B2081" s="24">
        <v>114163</v>
      </c>
      <c r="C2081" s="24" t="s">
        <v>1490</v>
      </c>
      <c r="D2081" s="24" t="s">
        <v>1102</v>
      </c>
      <c r="E2081" s="24" t="s">
        <v>51</v>
      </c>
      <c r="F2081" s="24" t="s">
        <v>1142</v>
      </c>
      <c r="G2081" s="24" t="s">
        <v>1203</v>
      </c>
      <c r="H2081" s="24" t="s">
        <v>299</v>
      </c>
      <c r="I2081" s="24" t="s">
        <v>1788</v>
      </c>
      <c r="J2081" s="24" t="s">
        <v>761</v>
      </c>
      <c r="K2081" s="24" t="s">
        <v>1146</v>
      </c>
      <c r="L2081" s="25">
        <v>1070</v>
      </c>
      <c r="M2081" s="26">
        <v>17.25</v>
      </c>
      <c r="N2081" s="27">
        <v>17.25</v>
      </c>
      <c r="O2081" s="28">
        <v>1.5681818181818182E-2</v>
      </c>
      <c r="P2081" s="28">
        <v>16.334070796460178</v>
      </c>
    </row>
    <row r="2082" spans="1:16" x14ac:dyDescent="0.3">
      <c r="A2082" t="s">
        <v>4964</v>
      </c>
      <c r="B2082" s="24">
        <v>114501</v>
      </c>
      <c r="C2082" s="24" t="s">
        <v>1409</v>
      </c>
      <c r="D2082" s="24" t="s">
        <v>1102</v>
      </c>
      <c r="E2082" s="24" t="s">
        <v>51</v>
      </c>
      <c r="F2082" s="24" t="s">
        <v>1142</v>
      </c>
      <c r="G2082" s="24" t="s">
        <v>1402</v>
      </c>
      <c r="H2082" s="24" t="s">
        <v>299</v>
      </c>
      <c r="I2082" s="24" t="s">
        <v>1788</v>
      </c>
      <c r="J2082" s="24" t="s">
        <v>761</v>
      </c>
      <c r="K2082" s="24" t="s">
        <v>1146</v>
      </c>
      <c r="L2082" s="25">
        <v>1070</v>
      </c>
      <c r="M2082" s="26">
        <v>17.25</v>
      </c>
      <c r="N2082" s="27">
        <v>17.25</v>
      </c>
      <c r="O2082" s="28">
        <v>1.5681818181818182E-2</v>
      </c>
      <c r="P2082" s="28">
        <v>16.334070796460178</v>
      </c>
    </row>
    <row r="2083" spans="1:16" x14ac:dyDescent="0.3">
      <c r="A2083" t="s">
        <v>4965</v>
      </c>
      <c r="B2083" s="24">
        <v>101424</v>
      </c>
      <c r="C2083" s="24" t="s">
        <v>1278</v>
      </c>
      <c r="D2083" s="24" t="s">
        <v>1102</v>
      </c>
      <c r="E2083" s="24" t="s">
        <v>51</v>
      </c>
      <c r="F2083" s="24" t="s">
        <v>1142</v>
      </c>
      <c r="G2083" s="24" t="s">
        <v>1203</v>
      </c>
      <c r="H2083" s="24" t="s">
        <v>300</v>
      </c>
      <c r="I2083" s="24" t="s">
        <v>1789</v>
      </c>
      <c r="J2083" s="24" t="s">
        <v>761</v>
      </c>
      <c r="K2083" s="24" t="s">
        <v>1146</v>
      </c>
      <c r="L2083" s="25">
        <v>1070</v>
      </c>
      <c r="M2083" s="26">
        <v>17.420000000000002</v>
      </c>
      <c r="N2083" s="27">
        <v>17.420000000000002</v>
      </c>
      <c r="O2083" s="28">
        <v>1.5836363636363638E-2</v>
      </c>
      <c r="P2083" s="28">
        <v>16.495044247787611</v>
      </c>
    </row>
    <row r="2084" spans="1:16" x14ac:dyDescent="0.3">
      <c r="A2084" t="s">
        <v>4965</v>
      </c>
      <c r="B2084" s="24">
        <v>101424</v>
      </c>
      <c r="C2084" s="24" t="s">
        <v>1278</v>
      </c>
      <c r="D2084" s="24" t="s">
        <v>1102</v>
      </c>
      <c r="E2084" s="24" t="s">
        <v>51</v>
      </c>
      <c r="F2084" s="24" t="s">
        <v>1142</v>
      </c>
      <c r="G2084" s="24" t="s">
        <v>1203</v>
      </c>
      <c r="H2084" s="24" t="s">
        <v>300</v>
      </c>
      <c r="I2084" s="24" t="s">
        <v>1789</v>
      </c>
      <c r="J2084" s="24" t="s">
        <v>761</v>
      </c>
      <c r="K2084" s="24" t="s">
        <v>1146</v>
      </c>
      <c r="L2084" s="25">
        <v>1070</v>
      </c>
      <c r="M2084" s="26">
        <v>17.420000000000002</v>
      </c>
      <c r="N2084" s="27">
        <v>17.420000000000002</v>
      </c>
      <c r="O2084" s="28">
        <v>1.5836363636363638E-2</v>
      </c>
      <c r="P2084" s="28">
        <v>16.495044247787611</v>
      </c>
    </row>
    <row r="2085" spans="1:16" x14ac:dyDescent="0.3">
      <c r="A2085" t="s">
        <v>4966</v>
      </c>
      <c r="B2085" s="24">
        <v>100581</v>
      </c>
      <c r="C2085" s="24" t="s">
        <v>1232</v>
      </c>
      <c r="D2085" s="24" t="s">
        <v>1102</v>
      </c>
      <c r="E2085" s="24" t="s">
        <v>51</v>
      </c>
      <c r="F2085" s="24" t="s">
        <v>1142</v>
      </c>
      <c r="G2085" s="24" t="s">
        <v>1233</v>
      </c>
      <c r="H2085" s="24" t="s">
        <v>325</v>
      </c>
      <c r="I2085" s="24" t="s">
        <v>1790</v>
      </c>
      <c r="J2085" s="24" t="s">
        <v>761</v>
      </c>
      <c r="K2085" s="24" t="s">
        <v>1146</v>
      </c>
      <c r="L2085" s="25">
        <v>1070</v>
      </c>
      <c r="M2085" s="26">
        <v>25</v>
      </c>
      <c r="N2085" s="27">
        <v>25</v>
      </c>
      <c r="O2085" s="28">
        <v>2.2727272727272728E-2</v>
      </c>
      <c r="P2085" s="28">
        <v>23.672566371681416</v>
      </c>
    </row>
    <row r="2086" spans="1:16" x14ac:dyDescent="0.3">
      <c r="A2086" t="s">
        <v>4967</v>
      </c>
      <c r="B2086" s="24">
        <v>100603</v>
      </c>
      <c r="C2086" s="24" t="s">
        <v>1277</v>
      </c>
      <c r="D2086" s="24" t="s">
        <v>1102</v>
      </c>
      <c r="E2086" s="24" t="s">
        <v>51</v>
      </c>
      <c r="F2086" s="24" t="s">
        <v>1142</v>
      </c>
      <c r="G2086" s="24" t="s">
        <v>1082</v>
      </c>
      <c r="H2086" s="24" t="s">
        <v>325</v>
      </c>
      <c r="I2086" s="24" t="s">
        <v>1790</v>
      </c>
      <c r="J2086" s="24" t="s">
        <v>761</v>
      </c>
      <c r="K2086" s="24" t="s">
        <v>1146</v>
      </c>
      <c r="L2086" s="25">
        <v>1070</v>
      </c>
      <c r="M2086" s="26">
        <v>25</v>
      </c>
      <c r="N2086" s="27">
        <v>25</v>
      </c>
      <c r="O2086" s="28">
        <v>2.2727272727272728E-2</v>
      </c>
      <c r="P2086" s="28">
        <v>23.672566371681416</v>
      </c>
    </row>
    <row r="2087" spans="1:16" x14ac:dyDescent="0.3">
      <c r="A2087" t="s">
        <v>4968</v>
      </c>
      <c r="B2087" s="24">
        <v>101186</v>
      </c>
      <c r="C2087" s="24" t="s">
        <v>1273</v>
      </c>
      <c r="D2087" s="24" t="s">
        <v>1102</v>
      </c>
      <c r="E2087" s="24" t="s">
        <v>51</v>
      </c>
      <c r="F2087" s="24" t="s">
        <v>1142</v>
      </c>
      <c r="G2087" s="24" t="s">
        <v>1203</v>
      </c>
      <c r="H2087" s="24" t="s">
        <v>325</v>
      </c>
      <c r="I2087" s="24" t="s">
        <v>1790</v>
      </c>
      <c r="J2087" s="24" t="s">
        <v>761</v>
      </c>
      <c r="K2087" s="24" t="s">
        <v>1146</v>
      </c>
      <c r="L2087" s="25">
        <v>1070</v>
      </c>
      <c r="M2087" s="26">
        <v>25</v>
      </c>
      <c r="N2087" s="27">
        <v>25</v>
      </c>
      <c r="O2087" s="28">
        <v>2.2727272727272728E-2</v>
      </c>
      <c r="P2087" s="28">
        <v>23.672566371681416</v>
      </c>
    </row>
    <row r="2088" spans="1:16" x14ac:dyDescent="0.3">
      <c r="A2088" t="s">
        <v>4969</v>
      </c>
      <c r="B2088" s="24">
        <v>101424</v>
      </c>
      <c r="C2088" s="24" t="s">
        <v>1278</v>
      </c>
      <c r="D2088" s="24" t="s">
        <v>1102</v>
      </c>
      <c r="E2088" s="24" t="s">
        <v>51</v>
      </c>
      <c r="F2088" s="24" t="s">
        <v>1142</v>
      </c>
      <c r="G2088" s="24" t="s">
        <v>1203</v>
      </c>
      <c r="H2088" s="24" t="s">
        <v>325</v>
      </c>
      <c r="I2088" s="24" t="s">
        <v>1790</v>
      </c>
      <c r="J2088" s="24" t="s">
        <v>761</v>
      </c>
      <c r="K2088" s="24" t="s">
        <v>1146</v>
      </c>
      <c r="L2088" s="25">
        <v>1070</v>
      </c>
      <c r="M2088" s="26">
        <v>25</v>
      </c>
      <c r="N2088" s="27">
        <v>25</v>
      </c>
      <c r="O2088" s="28">
        <v>2.2727272727272728E-2</v>
      </c>
      <c r="P2088" s="28">
        <v>23.672566371681416</v>
      </c>
    </row>
    <row r="2089" spans="1:16" x14ac:dyDescent="0.3">
      <c r="A2089" t="s">
        <v>4970</v>
      </c>
      <c r="B2089" s="24">
        <v>106916</v>
      </c>
      <c r="C2089" s="24" t="s">
        <v>1216</v>
      </c>
      <c r="D2089" s="24" t="s">
        <v>1102</v>
      </c>
      <c r="E2089" s="24" t="s">
        <v>51</v>
      </c>
      <c r="F2089" s="24" t="s">
        <v>1142</v>
      </c>
      <c r="G2089" s="24" t="s">
        <v>1203</v>
      </c>
      <c r="H2089" s="24" t="s">
        <v>325</v>
      </c>
      <c r="I2089" s="24" t="s">
        <v>1790</v>
      </c>
      <c r="J2089" s="24" t="s">
        <v>761</v>
      </c>
      <c r="K2089" s="24" t="s">
        <v>1146</v>
      </c>
      <c r="L2089" s="25">
        <v>1070</v>
      </c>
      <c r="M2089" s="26">
        <v>25</v>
      </c>
      <c r="N2089" s="27">
        <v>25</v>
      </c>
      <c r="O2089" s="28">
        <v>2.2727272727272728E-2</v>
      </c>
      <c r="P2089" s="28">
        <v>23.672566371681416</v>
      </c>
    </row>
    <row r="2090" spans="1:16" x14ac:dyDescent="0.3">
      <c r="A2090" t="s">
        <v>4971</v>
      </c>
      <c r="B2090" s="24">
        <v>111550</v>
      </c>
      <c r="C2090" s="24" t="s">
        <v>1582</v>
      </c>
      <c r="D2090" s="24" t="s">
        <v>1102</v>
      </c>
      <c r="E2090" s="24" t="s">
        <v>51</v>
      </c>
      <c r="F2090" s="24" t="s">
        <v>1142</v>
      </c>
      <c r="G2090" s="24" t="s">
        <v>1402</v>
      </c>
      <c r="H2090" s="24" t="s">
        <v>325</v>
      </c>
      <c r="I2090" s="24" t="s">
        <v>1790</v>
      </c>
      <c r="J2090" s="24" t="s">
        <v>761</v>
      </c>
      <c r="K2090" s="24" t="s">
        <v>1146</v>
      </c>
      <c r="L2090" s="25">
        <v>1070</v>
      </c>
      <c r="M2090" s="26">
        <v>25</v>
      </c>
      <c r="N2090" s="27">
        <v>25</v>
      </c>
      <c r="O2090" s="28">
        <v>2.2727272727272728E-2</v>
      </c>
      <c r="P2090" s="28">
        <v>23.672566371681416</v>
      </c>
    </row>
    <row r="2091" spans="1:16" x14ac:dyDescent="0.3">
      <c r="A2091" t="s">
        <v>4972</v>
      </c>
      <c r="B2091" s="24">
        <v>114163</v>
      </c>
      <c r="C2091" s="24" t="s">
        <v>1490</v>
      </c>
      <c r="D2091" s="24" t="s">
        <v>1102</v>
      </c>
      <c r="E2091" s="24" t="s">
        <v>51</v>
      </c>
      <c r="F2091" s="24" t="s">
        <v>1142</v>
      </c>
      <c r="G2091" s="24" t="s">
        <v>1203</v>
      </c>
      <c r="H2091" s="24" t="s">
        <v>325</v>
      </c>
      <c r="I2091" s="24" t="s">
        <v>1790</v>
      </c>
      <c r="J2091" s="24" t="s">
        <v>761</v>
      </c>
      <c r="K2091" s="24" t="s">
        <v>1146</v>
      </c>
      <c r="L2091" s="25">
        <v>1070</v>
      </c>
      <c r="M2091" s="26">
        <v>25</v>
      </c>
      <c r="N2091" s="27">
        <v>25</v>
      </c>
      <c r="O2091" s="28">
        <v>2.2727272727272728E-2</v>
      </c>
      <c r="P2091" s="28">
        <v>23.672566371681416</v>
      </c>
    </row>
    <row r="2092" spans="1:16" x14ac:dyDescent="0.3">
      <c r="A2092" t="s">
        <v>4973</v>
      </c>
      <c r="B2092" s="24">
        <v>100581</v>
      </c>
      <c r="C2092" s="24" t="s">
        <v>1232</v>
      </c>
      <c r="D2092" s="24" t="s">
        <v>1102</v>
      </c>
      <c r="E2092" s="24" t="s">
        <v>51</v>
      </c>
      <c r="F2092" s="24" t="s">
        <v>1142</v>
      </c>
      <c r="G2092" s="24" t="s">
        <v>1233</v>
      </c>
      <c r="H2092" s="24" t="s">
        <v>301</v>
      </c>
      <c r="I2092" s="24" t="s">
        <v>1791</v>
      </c>
      <c r="J2092" s="24" t="s">
        <v>761</v>
      </c>
      <c r="K2092" s="24" t="s">
        <v>1146</v>
      </c>
      <c r="L2092" s="25">
        <v>1070</v>
      </c>
      <c r="M2092" s="26">
        <v>35.15</v>
      </c>
      <c r="N2092" s="27">
        <v>35.15</v>
      </c>
      <c r="O2092" s="28">
        <v>3.1954545454545451E-2</v>
      </c>
      <c r="P2092" s="28">
        <v>33.283628318584071</v>
      </c>
    </row>
    <row r="2093" spans="1:16" x14ac:dyDescent="0.3">
      <c r="A2093" t="s">
        <v>4974</v>
      </c>
      <c r="B2093" s="24">
        <v>100603</v>
      </c>
      <c r="C2093" s="24" t="s">
        <v>1277</v>
      </c>
      <c r="D2093" s="24" t="s">
        <v>1102</v>
      </c>
      <c r="E2093" s="24" t="s">
        <v>51</v>
      </c>
      <c r="F2093" s="24" t="s">
        <v>1142</v>
      </c>
      <c r="G2093" s="24" t="s">
        <v>1082</v>
      </c>
      <c r="H2093" s="24" t="s">
        <v>301</v>
      </c>
      <c r="I2093" s="24" t="s">
        <v>1791</v>
      </c>
      <c r="J2093" s="24" t="s">
        <v>761</v>
      </c>
      <c r="K2093" s="24" t="s">
        <v>1146</v>
      </c>
      <c r="L2093" s="25">
        <v>1070</v>
      </c>
      <c r="M2093" s="26">
        <v>36.36</v>
      </c>
      <c r="N2093" s="27">
        <v>36.36</v>
      </c>
      <c r="O2093" s="28">
        <v>3.3054545454545455E-2</v>
      </c>
      <c r="P2093" s="28">
        <v>34.429380530973447</v>
      </c>
    </row>
    <row r="2094" spans="1:16" x14ac:dyDescent="0.3">
      <c r="A2094" t="s">
        <v>4975</v>
      </c>
      <c r="B2094" s="24">
        <v>101186</v>
      </c>
      <c r="C2094" s="24" t="s">
        <v>1273</v>
      </c>
      <c r="D2094" s="24" t="s">
        <v>1102</v>
      </c>
      <c r="E2094" s="24" t="s">
        <v>51</v>
      </c>
      <c r="F2094" s="24" t="s">
        <v>1142</v>
      </c>
      <c r="G2094" s="24" t="s">
        <v>1203</v>
      </c>
      <c r="H2094" s="24" t="s">
        <v>301</v>
      </c>
      <c r="I2094" s="24" t="s">
        <v>1791</v>
      </c>
      <c r="J2094" s="24" t="s">
        <v>761</v>
      </c>
      <c r="K2094" s="24" t="s">
        <v>1146</v>
      </c>
      <c r="L2094" s="25">
        <v>1070</v>
      </c>
      <c r="M2094" s="26">
        <v>35.15</v>
      </c>
      <c r="N2094" s="27">
        <v>35.15</v>
      </c>
      <c r="O2094" s="28">
        <v>3.1954545454545451E-2</v>
      </c>
      <c r="P2094" s="28">
        <v>33.283628318584071</v>
      </c>
    </row>
    <row r="2095" spans="1:16" x14ac:dyDescent="0.3">
      <c r="A2095" t="s">
        <v>4976</v>
      </c>
      <c r="B2095" s="24">
        <v>101424</v>
      </c>
      <c r="C2095" s="24" t="s">
        <v>1278</v>
      </c>
      <c r="D2095" s="24" t="s">
        <v>1102</v>
      </c>
      <c r="E2095" s="24" t="s">
        <v>51</v>
      </c>
      <c r="F2095" s="24" t="s">
        <v>1142</v>
      </c>
      <c r="G2095" s="24" t="s">
        <v>1203</v>
      </c>
      <c r="H2095" s="24" t="s">
        <v>301</v>
      </c>
      <c r="I2095" s="24" t="s">
        <v>1791</v>
      </c>
      <c r="J2095" s="24" t="s">
        <v>761</v>
      </c>
      <c r="K2095" s="24" t="s">
        <v>1146</v>
      </c>
      <c r="L2095" s="25">
        <v>1070</v>
      </c>
      <c r="M2095" s="26">
        <v>35.15</v>
      </c>
      <c r="N2095" s="27">
        <v>35.15</v>
      </c>
      <c r="O2095" s="28">
        <v>3.1954545454545451E-2</v>
      </c>
      <c r="P2095" s="28">
        <v>33.283628318584071</v>
      </c>
    </row>
    <row r="2096" spans="1:16" x14ac:dyDescent="0.3">
      <c r="A2096" t="s">
        <v>4977</v>
      </c>
      <c r="B2096" s="24">
        <v>111550</v>
      </c>
      <c r="C2096" s="24" t="s">
        <v>1582</v>
      </c>
      <c r="D2096" s="24" t="s">
        <v>1102</v>
      </c>
      <c r="E2096" s="24" t="s">
        <v>51</v>
      </c>
      <c r="F2096" s="24" t="s">
        <v>1142</v>
      </c>
      <c r="G2096" s="24" t="s">
        <v>1402</v>
      </c>
      <c r="H2096" s="24" t="s">
        <v>301</v>
      </c>
      <c r="I2096" s="24" t="s">
        <v>1791</v>
      </c>
      <c r="J2096" s="24" t="s">
        <v>761</v>
      </c>
      <c r="K2096" s="24" t="s">
        <v>1146</v>
      </c>
      <c r="L2096" s="25">
        <v>1070</v>
      </c>
      <c r="M2096" s="26">
        <v>35.15</v>
      </c>
      <c r="N2096" s="27">
        <v>35.15</v>
      </c>
      <c r="O2096" s="28">
        <v>3.1954545454545451E-2</v>
      </c>
      <c r="P2096" s="28">
        <v>33.283628318584071</v>
      </c>
    </row>
    <row r="2097" spans="1:16" x14ac:dyDescent="0.3">
      <c r="A2097" t="s">
        <v>4978</v>
      </c>
      <c r="B2097" s="24">
        <v>100603</v>
      </c>
      <c r="C2097" s="24" t="s">
        <v>1277</v>
      </c>
      <c r="D2097" s="24" t="s">
        <v>1102</v>
      </c>
      <c r="E2097" s="24" t="s">
        <v>51</v>
      </c>
      <c r="F2097" s="24" t="s">
        <v>1142</v>
      </c>
      <c r="G2097" s="24" t="s">
        <v>1082</v>
      </c>
      <c r="H2097" s="24" t="s">
        <v>301</v>
      </c>
      <c r="I2097" s="24" t="s">
        <v>1792</v>
      </c>
      <c r="J2097" s="24" t="s">
        <v>761</v>
      </c>
      <c r="K2097" s="24" t="s">
        <v>1146</v>
      </c>
      <c r="L2097" s="25">
        <v>1070</v>
      </c>
      <c r="M2097" s="26">
        <v>36.36</v>
      </c>
      <c r="N2097" s="27">
        <v>36.36</v>
      </c>
      <c r="O2097" s="28">
        <v>3.3054545454545455E-2</v>
      </c>
      <c r="P2097" s="28">
        <v>34.429380530973447</v>
      </c>
    </row>
    <row r="2098" spans="1:16" x14ac:dyDescent="0.3">
      <c r="A2098" t="s">
        <v>4979</v>
      </c>
      <c r="B2098" s="24">
        <v>101206</v>
      </c>
      <c r="C2098" s="24" t="s">
        <v>1199</v>
      </c>
      <c r="D2098" s="24" t="s">
        <v>1102</v>
      </c>
      <c r="E2098" s="24" t="s">
        <v>51</v>
      </c>
      <c r="F2098" s="24" t="s">
        <v>1142</v>
      </c>
      <c r="G2098" s="24" t="s">
        <v>1200</v>
      </c>
      <c r="H2098" s="24" t="s">
        <v>154</v>
      </c>
      <c r="I2098" s="24" t="s">
        <v>1793</v>
      </c>
      <c r="J2098" s="24" t="s">
        <v>761</v>
      </c>
      <c r="K2098" s="24" t="s">
        <v>1146</v>
      </c>
      <c r="L2098" s="25">
        <v>1070</v>
      </c>
      <c r="M2098" s="26">
        <v>22</v>
      </c>
      <c r="N2098" s="27">
        <v>22</v>
      </c>
      <c r="O2098" s="28">
        <v>0.02</v>
      </c>
      <c r="P2098" s="28">
        <v>20.831858407079647</v>
      </c>
    </row>
    <row r="2099" spans="1:16" x14ac:dyDescent="0.3">
      <c r="A2099" t="s">
        <v>4980</v>
      </c>
      <c r="B2099" s="24">
        <v>111550</v>
      </c>
      <c r="C2099" s="24" t="s">
        <v>1582</v>
      </c>
      <c r="D2099" s="24" t="s">
        <v>1102</v>
      </c>
      <c r="E2099" s="24" t="s">
        <v>51</v>
      </c>
      <c r="F2099" s="24" t="s">
        <v>1142</v>
      </c>
      <c r="G2099" s="24" t="s">
        <v>1402</v>
      </c>
      <c r="H2099" s="24" t="s">
        <v>154</v>
      </c>
      <c r="I2099" s="24" t="s">
        <v>1793</v>
      </c>
      <c r="J2099" s="24" t="s">
        <v>761</v>
      </c>
      <c r="K2099" s="24" t="s">
        <v>1146</v>
      </c>
      <c r="L2099" s="25">
        <v>1070</v>
      </c>
      <c r="M2099" s="26">
        <v>22</v>
      </c>
      <c r="N2099" s="27">
        <v>22</v>
      </c>
      <c r="O2099" s="28">
        <v>0.02</v>
      </c>
      <c r="P2099" s="28">
        <v>20.831858407079647</v>
      </c>
    </row>
    <row r="2100" spans="1:16" x14ac:dyDescent="0.3">
      <c r="A2100" t="s">
        <v>4981</v>
      </c>
      <c r="B2100" s="24">
        <v>100603</v>
      </c>
      <c r="C2100" s="24" t="s">
        <v>1277</v>
      </c>
      <c r="D2100" s="24" t="s">
        <v>1102</v>
      </c>
      <c r="E2100" s="24" t="s">
        <v>51</v>
      </c>
      <c r="F2100" s="24" t="s">
        <v>1142</v>
      </c>
      <c r="G2100" s="24" t="s">
        <v>1082</v>
      </c>
      <c r="H2100" s="24" t="s">
        <v>281</v>
      </c>
      <c r="I2100" s="24" t="s">
        <v>1794</v>
      </c>
      <c r="J2100" s="24" t="s">
        <v>761</v>
      </c>
      <c r="K2100" s="24" t="s">
        <v>1146</v>
      </c>
      <c r="L2100" s="25">
        <v>1070</v>
      </c>
      <c r="M2100" s="26">
        <v>15.6</v>
      </c>
      <c r="N2100" s="27">
        <v>15.6</v>
      </c>
      <c r="O2100" s="28">
        <v>1.4181818181818181E-2</v>
      </c>
      <c r="P2100" s="28">
        <v>14.771681415929203</v>
      </c>
    </row>
    <row r="2101" spans="1:16" x14ac:dyDescent="0.3">
      <c r="A2101" t="s">
        <v>4982</v>
      </c>
      <c r="B2101" s="24">
        <v>111550</v>
      </c>
      <c r="C2101" s="24" t="s">
        <v>1582</v>
      </c>
      <c r="D2101" s="24" t="s">
        <v>1102</v>
      </c>
      <c r="E2101" s="24" t="s">
        <v>51</v>
      </c>
      <c r="F2101" s="24" t="s">
        <v>1142</v>
      </c>
      <c r="G2101" s="24" t="s">
        <v>1402</v>
      </c>
      <c r="H2101" s="24" t="s">
        <v>281</v>
      </c>
      <c r="I2101" s="24" t="s">
        <v>1794</v>
      </c>
      <c r="J2101" s="24" t="s">
        <v>761</v>
      </c>
      <c r="K2101" s="24" t="s">
        <v>1146</v>
      </c>
      <c r="L2101" s="25">
        <v>1070</v>
      </c>
      <c r="M2101" s="26">
        <v>14.85</v>
      </c>
      <c r="N2101" s="27">
        <v>14.85</v>
      </c>
      <c r="O2101" s="28">
        <v>1.35E-2</v>
      </c>
      <c r="P2101" s="28">
        <v>14.061504424778761</v>
      </c>
    </row>
    <row r="2102" spans="1:16" x14ac:dyDescent="0.3">
      <c r="A2102" t="s">
        <v>4983</v>
      </c>
      <c r="B2102" s="24">
        <v>100603</v>
      </c>
      <c r="C2102" s="24" t="s">
        <v>1277</v>
      </c>
      <c r="D2102" s="24" t="s">
        <v>1102</v>
      </c>
      <c r="E2102" s="24" t="s">
        <v>51</v>
      </c>
      <c r="F2102" s="24" t="s">
        <v>1142</v>
      </c>
      <c r="G2102" s="24" t="s">
        <v>1082</v>
      </c>
      <c r="H2102" s="24" t="s">
        <v>282</v>
      </c>
      <c r="I2102" s="24" t="s">
        <v>1795</v>
      </c>
      <c r="J2102" s="24" t="s">
        <v>761</v>
      </c>
      <c r="K2102" s="24" t="s">
        <v>1146</v>
      </c>
      <c r="L2102" s="25">
        <v>1070</v>
      </c>
      <c r="M2102" s="26">
        <v>12.25</v>
      </c>
      <c r="N2102" s="27">
        <v>12.25</v>
      </c>
      <c r="O2102" s="28">
        <v>1.1136363636363637E-2</v>
      </c>
      <c r="P2102" s="28">
        <v>11.599557522123893</v>
      </c>
    </row>
    <row r="2103" spans="1:16" x14ac:dyDescent="0.3">
      <c r="A2103" t="s">
        <v>4984</v>
      </c>
      <c r="B2103" s="24">
        <v>100581</v>
      </c>
      <c r="C2103" s="24" t="s">
        <v>1232</v>
      </c>
      <c r="D2103" s="24" t="s">
        <v>1102</v>
      </c>
      <c r="E2103" s="24" t="s">
        <v>51</v>
      </c>
      <c r="F2103" s="24" t="s">
        <v>1142</v>
      </c>
      <c r="G2103" s="24" t="s">
        <v>1233</v>
      </c>
      <c r="H2103" s="24" t="s">
        <v>155</v>
      </c>
      <c r="I2103" s="24" t="s">
        <v>1796</v>
      </c>
      <c r="J2103" s="24" t="s">
        <v>761</v>
      </c>
      <c r="K2103" s="24" t="s">
        <v>1146</v>
      </c>
      <c r="L2103" s="25">
        <v>1070</v>
      </c>
      <c r="M2103" s="26">
        <v>23.39</v>
      </c>
      <c r="N2103" s="27">
        <v>23.39</v>
      </c>
      <c r="O2103" s="28">
        <v>2.1263636363636363E-2</v>
      </c>
      <c r="P2103" s="28">
        <v>22.148053097345134</v>
      </c>
    </row>
    <row r="2104" spans="1:16" x14ac:dyDescent="0.3">
      <c r="A2104" t="s">
        <v>4985</v>
      </c>
      <c r="B2104" s="24">
        <v>100603</v>
      </c>
      <c r="C2104" s="24" t="s">
        <v>1277</v>
      </c>
      <c r="D2104" s="24" t="s">
        <v>1102</v>
      </c>
      <c r="E2104" s="24" t="s">
        <v>51</v>
      </c>
      <c r="F2104" s="24" t="s">
        <v>1142</v>
      </c>
      <c r="G2104" s="24" t="s">
        <v>1082</v>
      </c>
      <c r="H2104" s="24" t="s">
        <v>155</v>
      </c>
      <c r="I2104" s="24" t="s">
        <v>1796</v>
      </c>
      <c r="J2104" s="24" t="s">
        <v>761</v>
      </c>
      <c r="K2104" s="24" t="s">
        <v>1146</v>
      </c>
      <c r="L2104" s="25">
        <v>1070</v>
      </c>
      <c r="M2104" s="26">
        <v>23.39</v>
      </c>
      <c r="N2104" s="27">
        <v>23.39</v>
      </c>
      <c r="O2104" s="28">
        <v>2.1263636363636363E-2</v>
      </c>
      <c r="P2104" s="28">
        <v>22.148053097345134</v>
      </c>
    </row>
    <row r="2105" spans="1:16" x14ac:dyDescent="0.3">
      <c r="A2105" t="s">
        <v>4986</v>
      </c>
      <c r="B2105" s="24">
        <v>101206</v>
      </c>
      <c r="C2105" s="24" t="s">
        <v>1199</v>
      </c>
      <c r="D2105" s="24" t="s">
        <v>1102</v>
      </c>
      <c r="E2105" s="24" t="s">
        <v>51</v>
      </c>
      <c r="F2105" s="24" t="s">
        <v>1142</v>
      </c>
      <c r="G2105" s="24" t="s">
        <v>1200</v>
      </c>
      <c r="H2105" s="24" t="s">
        <v>155</v>
      </c>
      <c r="I2105" s="24" t="s">
        <v>1796</v>
      </c>
      <c r="J2105" s="24" t="s">
        <v>761</v>
      </c>
      <c r="K2105" s="24" t="s">
        <v>1146</v>
      </c>
      <c r="L2105" s="25">
        <v>1070</v>
      </c>
      <c r="M2105" s="26">
        <v>23.39</v>
      </c>
      <c r="N2105" s="27">
        <v>23.39</v>
      </c>
      <c r="O2105" s="28">
        <v>2.1263636363636363E-2</v>
      </c>
      <c r="P2105" s="28">
        <v>22.148053097345134</v>
      </c>
    </row>
    <row r="2106" spans="1:16" x14ac:dyDescent="0.3">
      <c r="A2106" t="s">
        <v>4987</v>
      </c>
      <c r="B2106" s="24">
        <v>111550</v>
      </c>
      <c r="C2106" s="24" t="s">
        <v>1582</v>
      </c>
      <c r="D2106" s="24" t="s">
        <v>1102</v>
      </c>
      <c r="E2106" s="24" t="s">
        <v>51</v>
      </c>
      <c r="F2106" s="24" t="s">
        <v>1142</v>
      </c>
      <c r="G2106" s="24" t="s">
        <v>1402</v>
      </c>
      <c r="H2106" s="24" t="s">
        <v>155</v>
      </c>
      <c r="I2106" s="24" t="s">
        <v>1796</v>
      </c>
      <c r="J2106" s="24" t="s">
        <v>761</v>
      </c>
      <c r="K2106" s="24" t="s">
        <v>1146</v>
      </c>
      <c r="L2106" s="25">
        <v>1070</v>
      </c>
      <c r="M2106" s="26">
        <v>23.39</v>
      </c>
      <c r="N2106" s="27">
        <v>23.39</v>
      </c>
      <c r="O2106" s="28">
        <v>2.1263636363636363E-2</v>
      </c>
      <c r="P2106" s="28">
        <v>22.148053097345134</v>
      </c>
    </row>
    <row r="2107" spans="1:16" x14ac:dyDescent="0.3">
      <c r="A2107" t="s">
        <v>4988</v>
      </c>
      <c r="B2107" s="24">
        <v>101186</v>
      </c>
      <c r="C2107" s="24" t="s">
        <v>1273</v>
      </c>
      <c r="D2107" s="24" t="s">
        <v>1102</v>
      </c>
      <c r="E2107" s="24" t="s">
        <v>51</v>
      </c>
      <c r="F2107" s="24" t="s">
        <v>1142</v>
      </c>
      <c r="G2107" s="24" t="s">
        <v>1203</v>
      </c>
      <c r="H2107" s="24" t="s">
        <v>83</v>
      </c>
      <c r="I2107" s="24" t="s">
        <v>1797</v>
      </c>
      <c r="J2107" s="24" t="s">
        <v>761</v>
      </c>
      <c r="K2107" s="24" t="s">
        <v>1146</v>
      </c>
      <c r="L2107" s="25">
        <v>1070</v>
      </c>
      <c r="M2107" s="26">
        <v>25.08</v>
      </c>
      <c r="N2107" s="27">
        <v>25.08</v>
      </c>
      <c r="O2107" s="28">
        <v>2.2799999999999997E-2</v>
      </c>
      <c r="P2107" s="28">
        <v>23.748318584070795</v>
      </c>
    </row>
    <row r="2108" spans="1:16" x14ac:dyDescent="0.3">
      <c r="A2108" t="s">
        <v>4989</v>
      </c>
      <c r="B2108" s="24">
        <v>101424</v>
      </c>
      <c r="C2108" s="24" t="s">
        <v>1278</v>
      </c>
      <c r="D2108" s="24" t="s">
        <v>1102</v>
      </c>
      <c r="E2108" s="24" t="s">
        <v>51</v>
      </c>
      <c r="F2108" s="24" t="s">
        <v>1142</v>
      </c>
      <c r="G2108" s="24" t="s">
        <v>1203</v>
      </c>
      <c r="H2108" s="24" t="s">
        <v>83</v>
      </c>
      <c r="I2108" s="24" t="s">
        <v>1797</v>
      </c>
      <c r="J2108" s="24" t="s">
        <v>761</v>
      </c>
      <c r="K2108" s="24" t="s">
        <v>1146</v>
      </c>
      <c r="L2108" s="25">
        <v>1070</v>
      </c>
      <c r="M2108" s="26">
        <v>25.3</v>
      </c>
      <c r="N2108" s="27">
        <v>25.3</v>
      </c>
      <c r="O2108" s="28">
        <v>2.3E-2</v>
      </c>
      <c r="P2108" s="28">
        <v>23.956637168141594</v>
      </c>
    </row>
    <row r="2109" spans="1:16" x14ac:dyDescent="0.3">
      <c r="A2109" t="s">
        <v>4990</v>
      </c>
      <c r="B2109" s="24">
        <v>111550</v>
      </c>
      <c r="C2109" s="24" t="s">
        <v>1582</v>
      </c>
      <c r="D2109" s="24" t="s">
        <v>1102</v>
      </c>
      <c r="E2109" s="24" t="s">
        <v>51</v>
      </c>
      <c r="F2109" s="24" t="s">
        <v>1142</v>
      </c>
      <c r="G2109" s="24" t="s">
        <v>1402</v>
      </c>
      <c r="H2109" s="24" t="s">
        <v>83</v>
      </c>
      <c r="I2109" s="24" t="s">
        <v>1797</v>
      </c>
      <c r="J2109" s="24" t="s">
        <v>761</v>
      </c>
      <c r="K2109" s="24" t="s">
        <v>1146</v>
      </c>
      <c r="L2109" s="25">
        <v>1070</v>
      </c>
      <c r="M2109" s="26">
        <v>25.08</v>
      </c>
      <c r="N2109" s="27">
        <v>25.08</v>
      </c>
      <c r="O2109" s="28">
        <v>2.2799999999999997E-2</v>
      </c>
      <c r="P2109" s="28">
        <v>23.748318584070795</v>
      </c>
    </row>
    <row r="2110" spans="1:16" x14ac:dyDescent="0.3">
      <c r="A2110" t="s">
        <v>4991</v>
      </c>
      <c r="B2110" s="24">
        <v>114501</v>
      </c>
      <c r="C2110" s="24" t="s">
        <v>1409</v>
      </c>
      <c r="D2110" s="24" t="s">
        <v>1102</v>
      </c>
      <c r="E2110" s="24" t="s">
        <v>51</v>
      </c>
      <c r="F2110" s="24" t="s">
        <v>1142</v>
      </c>
      <c r="G2110" s="24" t="s">
        <v>1402</v>
      </c>
      <c r="H2110" s="24" t="s">
        <v>83</v>
      </c>
      <c r="I2110" s="24" t="s">
        <v>1797</v>
      </c>
      <c r="J2110" s="24" t="s">
        <v>761</v>
      </c>
      <c r="K2110" s="24" t="s">
        <v>1146</v>
      </c>
      <c r="L2110" s="25">
        <v>1070</v>
      </c>
      <c r="M2110" s="26">
        <v>25.08</v>
      </c>
      <c r="N2110" s="27">
        <v>25.08</v>
      </c>
      <c r="O2110" s="28">
        <v>2.2799999999999997E-2</v>
      </c>
      <c r="P2110" s="28">
        <v>23.748318584070795</v>
      </c>
    </row>
    <row r="2111" spans="1:16" x14ac:dyDescent="0.3">
      <c r="A2111" t="s">
        <v>4992</v>
      </c>
      <c r="B2111" s="24">
        <v>101424</v>
      </c>
      <c r="C2111" s="24" t="s">
        <v>1278</v>
      </c>
      <c r="D2111" s="24" t="s">
        <v>1102</v>
      </c>
      <c r="E2111" s="24" t="s">
        <v>51</v>
      </c>
      <c r="F2111" s="24" t="s">
        <v>1142</v>
      </c>
      <c r="G2111" s="24" t="s">
        <v>1203</v>
      </c>
      <c r="H2111" s="24" t="s">
        <v>2853</v>
      </c>
      <c r="I2111" s="24" t="s">
        <v>1798</v>
      </c>
      <c r="J2111" s="24" t="s">
        <v>761</v>
      </c>
      <c r="K2111" s="24" t="s">
        <v>1146</v>
      </c>
      <c r="L2111" s="25">
        <v>1070</v>
      </c>
      <c r="M2111" s="26">
        <v>10.75</v>
      </c>
      <c r="N2111" s="27">
        <v>10.75</v>
      </c>
      <c r="O2111" s="28">
        <v>9.7727272727272732E-3</v>
      </c>
      <c r="P2111" s="28">
        <v>10.179203539823009</v>
      </c>
    </row>
    <row r="2112" spans="1:16" x14ac:dyDescent="0.3">
      <c r="A2112" t="s">
        <v>4993</v>
      </c>
      <c r="B2112" s="24">
        <v>142051</v>
      </c>
      <c r="C2112" s="24" t="s">
        <v>1491</v>
      </c>
      <c r="D2112" s="24" t="s">
        <v>1102</v>
      </c>
      <c r="E2112" s="24" t="s">
        <v>51</v>
      </c>
      <c r="F2112" s="24" t="s">
        <v>1237</v>
      </c>
      <c r="G2112" s="24" t="s">
        <v>1238</v>
      </c>
      <c r="H2112" s="24" t="s">
        <v>189</v>
      </c>
      <c r="I2112" s="24" t="s">
        <v>1799</v>
      </c>
      <c r="J2112" s="24" t="s">
        <v>761</v>
      </c>
      <c r="K2112" s="24" t="s">
        <v>1146</v>
      </c>
      <c r="L2112" s="25">
        <v>1070</v>
      </c>
      <c r="M2112" s="26">
        <v>13.15</v>
      </c>
      <c r="N2112" s="27">
        <v>13.15</v>
      </c>
      <c r="O2112" s="28">
        <v>1.1954545454545456E-2</v>
      </c>
      <c r="P2112" s="28">
        <v>12.451769911504424</v>
      </c>
    </row>
    <row r="2113" spans="1:16" x14ac:dyDescent="0.3">
      <c r="A2113" t="s">
        <v>4994</v>
      </c>
      <c r="B2113" s="24">
        <v>300014</v>
      </c>
      <c r="C2113" s="24" t="s">
        <v>1765</v>
      </c>
      <c r="D2113" s="24" t="s">
        <v>1102</v>
      </c>
      <c r="E2113" s="24" t="s">
        <v>51</v>
      </c>
      <c r="F2113" s="24" t="s">
        <v>1237</v>
      </c>
      <c r="G2113" s="24" t="s">
        <v>1238</v>
      </c>
      <c r="H2113" s="24" t="s">
        <v>189</v>
      </c>
      <c r="I2113" s="24" t="s">
        <v>1799</v>
      </c>
      <c r="J2113" s="24" t="s">
        <v>761</v>
      </c>
      <c r="K2113" s="24" t="s">
        <v>1146</v>
      </c>
      <c r="L2113" s="25">
        <v>1070</v>
      </c>
      <c r="M2113" s="26">
        <v>14.4</v>
      </c>
      <c r="N2113" s="27">
        <v>14.4</v>
      </c>
      <c r="O2113" s="28">
        <v>1.3090909090909091E-2</v>
      </c>
      <c r="P2113" s="28">
        <v>13.635398230088496</v>
      </c>
    </row>
    <row r="2114" spans="1:16" x14ac:dyDescent="0.3">
      <c r="A2114" t="s">
        <v>4995</v>
      </c>
      <c r="B2114" s="24">
        <v>300014</v>
      </c>
      <c r="C2114" s="24" t="s">
        <v>1765</v>
      </c>
      <c r="D2114" s="24" t="s">
        <v>1102</v>
      </c>
      <c r="E2114" s="24" t="s">
        <v>51</v>
      </c>
      <c r="F2114" s="24" t="s">
        <v>1237</v>
      </c>
      <c r="G2114" s="24" t="s">
        <v>1238</v>
      </c>
      <c r="H2114" s="24" t="s">
        <v>190</v>
      </c>
      <c r="I2114" s="24" t="s">
        <v>1800</v>
      </c>
      <c r="J2114" s="24" t="s">
        <v>761</v>
      </c>
      <c r="K2114" s="24" t="s">
        <v>1146</v>
      </c>
      <c r="L2114" s="25">
        <v>1070</v>
      </c>
      <c r="M2114" s="26">
        <v>14.4</v>
      </c>
      <c r="N2114" s="27">
        <v>14.4</v>
      </c>
      <c r="O2114" s="28">
        <v>1.3090909090909091E-2</v>
      </c>
      <c r="P2114" s="28">
        <v>13.635398230088496</v>
      </c>
    </row>
    <row r="2115" spans="1:16" x14ac:dyDescent="0.3">
      <c r="A2115" t="s">
        <v>4996</v>
      </c>
      <c r="B2115" s="24">
        <v>100581</v>
      </c>
      <c r="C2115" s="24" t="s">
        <v>1232</v>
      </c>
      <c r="D2115" s="24" t="s">
        <v>1102</v>
      </c>
      <c r="E2115" s="24" t="s">
        <v>51</v>
      </c>
      <c r="F2115" s="24" t="s">
        <v>1142</v>
      </c>
      <c r="G2115" s="24" t="s">
        <v>1233</v>
      </c>
      <c r="H2115" s="24" t="s">
        <v>79</v>
      </c>
      <c r="I2115" s="24" t="s">
        <v>1801</v>
      </c>
      <c r="J2115" s="24" t="s">
        <v>761</v>
      </c>
      <c r="K2115" s="24" t="s">
        <v>1146</v>
      </c>
      <c r="L2115" s="25">
        <v>1070</v>
      </c>
      <c r="M2115" s="26">
        <v>27</v>
      </c>
      <c r="N2115" s="27">
        <v>27</v>
      </c>
      <c r="O2115" s="28">
        <v>2.4545454545454544E-2</v>
      </c>
      <c r="P2115" s="28">
        <v>25.56637168141593</v>
      </c>
    </row>
    <row r="2116" spans="1:16" x14ac:dyDescent="0.3">
      <c r="A2116" t="s">
        <v>4997</v>
      </c>
      <c r="B2116" s="24">
        <v>101424</v>
      </c>
      <c r="C2116" s="24" t="s">
        <v>1278</v>
      </c>
      <c r="D2116" s="24" t="s">
        <v>1102</v>
      </c>
      <c r="E2116" s="24" t="s">
        <v>51</v>
      </c>
      <c r="F2116" s="24" t="s">
        <v>1142</v>
      </c>
      <c r="G2116" s="24" t="s">
        <v>1203</v>
      </c>
      <c r="H2116" s="24" t="s">
        <v>79</v>
      </c>
      <c r="I2116" s="24" t="s">
        <v>1801</v>
      </c>
      <c r="J2116" s="24" t="s">
        <v>761</v>
      </c>
      <c r="K2116" s="24" t="s">
        <v>1146</v>
      </c>
      <c r="L2116" s="25">
        <v>1070</v>
      </c>
      <c r="M2116" s="26">
        <v>27.4</v>
      </c>
      <c r="N2116" s="27">
        <v>27.4</v>
      </c>
      <c r="O2116" s="28">
        <v>2.4909090909090909E-2</v>
      </c>
      <c r="P2116" s="28">
        <v>25.945132743362834</v>
      </c>
    </row>
    <row r="2117" spans="1:16" x14ac:dyDescent="0.3">
      <c r="A2117" t="s">
        <v>4998</v>
      </c>
      <c r="B2117" s="24">
        <v>101184</v>
      </c>
      <c r="C2117" s="24" t="s">
        <v>1401</v>
      </c>
      <c r="D2117" s="24" t="s">
        <v>1102</v>
      </c>
      <c r="E2117" s="24" t="s">
        <v>51</v>
      </c>
      <c r="F2117" s="24" t="s">
        <v>1142</v>
      </c>
      <c r="G2117" s="24" t="s">
        <v>1402</v>
      </c>
      <c r="H2117" s="24" t="s">
        <v>1069</v>
      </c>
      <c r="I2117" s="24" t="s">
        <v>1802</v>
      </c>
      <c r="J2117" s="24" t="s">
        <v>761</v>
      </c>
      <c r="K2117" s="24" t="s">
        <v>1146</v>
      </c>
      <c r="L2117" s="25">
        <v>1070</v>
      </c>
      <c r="M2117" s="26">
        <v>19.260000000000002</v>
      </c>
      <c r="N2117" s="27">
        <v>19.260000000000002</v>
      </c>
      <c r="O2117" s="28">
        <v>1.7509090909090912E-2</v>
      </c>
      <c r="P2117" s="28">
        <v>18.237345132743364</v>
      </c>
    </row>
    <row r="2118" spans="1:16" x14ac:dyDescent="0.3">
      <c r="A2118" t="s">
        <v>4999</v>
      </c>
      <c r="B2118" s="24">
        <v>114501</v>
      </c>
      <c r="C2118" s="24" t="s">
        <v>1409</v>
      </c>
      <c r="D2118" s="24" t="s">
        <v>1102</v>
      </c>
      <c r="E2118" s="24" t="s">
        <v>51</v>
      </c>
      <c r="F2118" s="24" t="s">
        <v>1142</v>
      </c>
      <c r="G2118" s="24" t="s">
        <v>1402</v>
      </c>
      <c r="H2118" s="24" t="s">
        <v>1069</v>
      </c>
      <c r="I2118" s="24" t="s">
        <v>1802</v>
      </c>
      <c r="J2118" s="24" t="s">
        <v>761</v>
      </c>
      <c r="K2118" s="24" t="s">
        <v>1146</v>
      </c>
      <c r="L2118" s="25">
        <v>1070</v>
      </c>
      <c r="M2118" s="26">
        <v>19.260000000000002</v>
      </c>
      <c r="N2118" s="27">
        <v>19.260000000000002</v>
      </c>
      <c r="O2118" s="28">
        <v>1.7509090909090912E-2</v>
      </c>
      <c r="P2118" s="28">
        <v>18.237345132743364</v>
      </c>
    </row>
    <row r="2119" spans="1:16" x14ac:dyDescent="0.3">
      <c r="A2119" t="s">
        <v>5000</v>
      </c>
      <c r="B2119" s="24">
        <v>100581</v>
      </c>
      <c r="C2119" s="24" t="s">
        <v>1232</v>
      </c>
      <c r="D2119" s="24" t="s">
        <v>1102</v>
      </c>
      <c r="E2119" s="24" t="s">
        <v>51</v>
      </c>
      <c r="F2119" s="24" t="s">
        <v>1142</v>
      </c>
      <c r="G2119" s="24" t="s">
        <v>1233</v>
      </c>
      <c r="H2119" s="24" t="s">
        <v>342</v>
      </c>
      <c r="I2119" s="24" t="s">
        <v>1803</v>
      </c>
      <c r="J2119" s="24" t="s">
        <v>761</v>
      </c>
      <c r="K2119" s="24" t="s">
        <v>1146</v>
      </c>
      <c r="L2119" s="25">
        <v>1070</v>
      </c>
      <c r="M2119" s="26">
        <v>21.7</v>
      </c>
      <c r="N2119" s="27">
        <v>21.7</v>
      </c>
      <c r="O2119" s="28">
        <v>1.9727272727272725E-2</v>
      </c>
      <c r="P2119" s="28">
        <v>20.547787610619469</v>
      </c>
    </row>
    <row r="2120" spans="1:16" x14ac:dyDescent="0.3">
      <c r="A2120" t="s">
        <v>5001</v>
      </c>
      <c r="B2120" s="24">
        <v>100603</v>
      </c>
      <c r="C2120" s="24" t="s">
        <v>1277</v>
      </c>
      <c r="D2120" s="24" t="s">
        <v>1102</v>
      </c>
      <c r="E2120" s="24" t="s">
        <v>51</v>
      </c>
      <c r="F2120" s="24" t="s">
        <v>1142</v>
      </c>
      <c r="G2120" s="24" t="s">
        <v>1082</v>
      </c>
      <c r="H2120" s="24" t="s">
        <v>342</v>
      </c>
      <c r="I2120" s="24" t="s">
        <v>1803</v>
      </c>
      <c r="J2120" s="24" t="s">
        <v>761</v>
      </c>
      <c r="K2120" s="24" t="s">
        <v>1146</v>
      </c>
      <c r="L2120" s="25">
        <v>1070</v>
      </c>
      <c r="M2120" s="26">
        <v>21.7</v>
      </c>
      <c r="N2120" s="27">
        <v>21.7</v>
      </c>
      <c r="O2120" s="28">
        <v>1.9727272727272725E-2</v>
      </c>
      <c r="P2120" s="28">
        <v>20.547787610619469</v>
      </c>
    </row>
    <row r="2121" spans="1:16" x14ac:dyDescent="0.3">
      <c r="A2121" t="s">
        <v>5002</v>
      </c>
      <c r="B2121" s="24">
        <v>101186</v>
      </c>
      <c r="C2121" s="24" t="s">
        <v>1273</v>
      </c>
      <c r="D2121" s="24" t="s">
        <v>1102</v>
      </c>
      <c r="E2121" s="24" t="s">
        <v>51</v>
      </c>
      <c r="F2121" s="24" t="s">
        <v>1142</v>
      </c>
      <c r="G2121" s="24" t="s">
        <v>1203</v>
      </c>
      <c r="H2121" s="24" t="s">
        <v>342</v>
      </c>
      <c r="I2121" s="24" t="s">
        <v>1803</v>
      </c>
      <c r="J2121" s="24" t="s">
        <v>761</v>
      </c>
      <c r="K2121" s="24" t="s">
        <v>1146</v>
      </c>
      <c r="L2121" s="25">
        <v>1070</v>
      </c>
      <c r="M2121" s="26">
        <v>21.7</v>
      </c>
      <c r="N2121" s="27">
        <v>21.7</v>
      </c>
      <c r="O2121" s="28">
        <v>1.9727272727272725E-2</v>
      </c>
      <c r="P2121" s="28">
        <v>20.547787610619469</v>
      </c>
    </row>
    <row r="2122" spans="1:16" x14ac:dyDescent="0.3">
      <c r="A2122" t="s">
        <v>5003</v>
      </c>
      <c r="B2122" s="24">
        <v>101206</v>
      </c>
      <c r="C2122" s="24" t="s">
        <v>1199</v>
      </c>
      <c r="D2122" s="24" t="s">
        <v>1102</v>
      </c>
      <c r="E2122" s="24" t="s">
        <v>51</v>
      </c>
      <c r="F2122" s="24" t="s">
        <v>1142</v>
      </c>
      <c r="G2122" s="24" t="s">
        <v>1200</v>
      </c>
      <c r="H2122" s="24" t="s">
        <v>342</v>
      </c>
      <c r="I2122" s="24" t="s">
        <v>1803</v>
      </c>
      <c r="J2122" s="24" t="s">
        <v>761</v>
      </c>
      <c r="K2122" s="24" t="s">
        <v>1146</v>
      </c>
      <c r="L2122" s="25">
        <v>1070</v>
      </c>
      <c r="M2122" s="26">
        <v>21.7</v>
      </c>
      <c r="N2122" s="27">
        <v>21.7</v>
      </c>
      <c r="O2122" s="28">
        <v>1.9727272727272725E-2</v>
      </c>
      <c r="P2122" s="28">
        <v>20.547787610619469</v>
      </c>
    </row>
    <row r="2123" spans="1:16" x14ac:dyDescent="0.3">
      <c r="A2123" t="s">
        <v>5004</v>
      </c>
      <c r="B2123" s="24">
        <v>101424</v>
      </c>
      <c r="C2123" s="24" t="s">
        <v>1278</v>
      </c>
      <c r="D2123" s="24" t="s">
        <v>1102</v>
      </c>
      <c r="E2123" s="24" t="s">
        <v>51</v>
      </c>
      <c r="F2123" s="24" t="s">
        <v>1142</v>
      </c>
      <c r="G2123" s="24" t="s">
        <v>1203</v>
      </c>
      <c r="H2123" s="24" t="s">
        <v>342</v>
      </c>
      <c r="I2123" s="24" t="s">
        <v>1803</v>
      </c>
      <c r="J2123" s="24" t="s">
        <v>761</v>
      </c>
      <c r="K2123" s="24" t="s">
        <v>1146</v>
      </c>
      <c r="L2123" s="25">
        <v>1070</v>
      </c>
      <c r="M2123" s="26">
        <v>21.7</v>
      </c>
      <c r="N2123" s="27">
        <v>21.7</v>
      </c>
      <c r="O2123" s="28">
        <v>1.9727272727272725E-2</v>
      </c>
      <c r="P2123" s="28">
        <v>20.547787610619469</v>
      </c>
    </row>
    <row r="2124" spans="1:16" x14ac:dyDescent="0.3">
      <c r="A2124" t="s">
        <v>5005</v>
      </c>
      <c r="B2124" s="24">
        <v>111550</v>
      </c>
      <c r="C2124" s="24" t="s">
        <v>1582</v>
      </c>
      <c r="D2124" s="24" t="s">
        <v>1102</v>
      </c>
      <c r="E2124" s="24" t="s">
        <v>51</v>
      </c>
      <c r="F2124" s="24" t="s">
        <v>1142</v>
      </c>
      <c r="G2124" s="24" t="s">
        <v>1402</v>
      </c>
      <c r="H2124" s="24" t="s">
        <v>342</v>
      </c>
      <c r="I2124" s="24" t="s">
        <v>1803</v>
      </c>
      <c r="J2124" s="24" t="s">
        <v>761</v>
      </c>
      <c r="K2124" s="24" t="s">
        <v>1146</v>
      </c>
      <c r="L2124" s="25">
        <v>1070</v>
      </c>
      <c r="M2124" s="26">
        <v>21.7</v>
      </c>
      <c r="N2124" s="27">
        <v>21.7</v>
      </c>
      <c r="O2124" s="28">
        <v>1.9727272727272725E-2</v>
      </c>
      <c r="P2124" s="28">
        <v>20.547787610619469</v>
      </c>
    </row>
    <row r="2125" spans="1:16" x14ac:dyDescent="0.3">
      <c r="A2125" t="s">
        <v>5006</v>
      </c>
      <c r="B2125" s="24">
        <v>114163</v>
      </c>
      <c r="C2125" s="24" t="s">
        <v>1490</v>
      </c>
      <c r="D2125" s="24" t="s">
        <v>1102</v>
      </c>
      <c r="E2125" s="24" t="s">
        <v>51</v>
      </c>
      <c r="F2125" s="24" t="s">
        <v>1142</v>
      </c>
      <c r="G2125" s="24" t="s">
        <v>1203</v>
      </c>
      <c r="H2125" s="24" t="s">
        <v>342</v>
      </c>
      <c r="I2125" s="24" t="s">
        <v>1803</v>
      </c>
      <c r="J2125" s="24" t="s">
        <v>761</v>
      </c>
      <c r="K2125" s="24" t="s">
        <v>1146</v>
      </c>
      <c r="L2125" s="25">
        <v>1070</v>
      </c>
      <c r="M2125" s="26">
        <v>21.7</v>
      </c>
      <c r="N2125" s="27">
        <v>21.7</v>
      </c>
      <c r="O2125" s="28">
        <v>1.9727272727272725E-2</v>
      </c>
      <c r="P2125" s="28">
        <v>20.547787610619469</v>
      </c>
    </row>
    <row r="2126" spans="1:16" x14ac:dyDescent="0.3">
      <c r="A2126" t="s">
        <v>5007</v>
      </c>
      <c r="B2126" s="24">
        <v>114501</v>
      </c>
      <c r="C2126" s="24" t="s">
        <v>1409</v>
      </c>
      <c r="D2126" s="24" t="s">
        <v>1102</v>
      </c>
      <c r="E2126" s="24" t="s">
        <v>51</v>
      </c>
      <c r="F2126" s="24" t="s">
        <v>1142</v>
      </c>
      <c r="G2126" s="24" t="s">
        <v>1402</v>
      </c>
      <c r="H2126" s="24" t="s">
        <v>342</v>
      </c>
      <c r="I2126" s="24" t="s">
        <v>1803</v>
      </c>
      <c r="J2126" s="24" t="s">
        <v>761</v>
      </c>
      <c r="K2126" s="24" t="s">
        <v>1146</v>
      </c>
      <c r="L2126" s="25">
        <v>1070</v>
      </c>
      <c r="M2126" s="26">
        <v>21.7</v>
      </c>
      <c r="N2126" s="27">
        <v>21.7</v>
      </c>
      <c r="O2126" s="28">
        <v>1.9727272727272725E-2</v>
      </c>
      <c r="P2126" s="28">
        <v>20.547787610619469</v>
      </c>
    </row>
    <row r="2127" spans="1:16" x14ac:dyDescent="0.3">
      <c r="A2127" t="s">
        <v>5008</v>
      </c>
      <c r="B2127" s="24">
        <v>142310</v>
      </c>
      <c r="C2127" s="24" t="s">
        <v>1474</v>
      </c>
      <c r="D2127" s="24" t="s">
        <v>1102</v>
      </c>
      <c r="E2127" s="24" t="s">
        <v>51</v>
      </c>
      <c r="F2127" s="24" t="s">
        <v>1142</v>
      </c>
      <c r="G2127" s="24" t="s">
        <v>1402</v>
      </c>
      <c r="H2127" s="24" t="s">
        <v>342</v>
      </c>
      <c r="I2127" s="24" t="s">
        <v>1803</v>
      </c>
      <c r="J2127" s="24" t="s">
        <v>761</v>
      </c>
      <c r="K2127" s="24" t="s">
        <v>1146</v>
      </c>
      <c r="L2127" s="25">
        <v>1070</v>
      </c>
      <c r="M2127" s="26">
        <v>21.7</v>
      </c>
      <c r="N2127" s="27">
        <v>21.7</v>
      </c>
      <c r="O2127" s="28">
        <v>1.9727272727272725E-2</v>
      </c>
      <c r="P2127" s="28">
        <v>20.547787610619469</v>
      </c>
    </row>
    <row r="2128" spans="1:16" x14ac:dyDescent="0.3">
      <c r="A2128" t="s">
        <v>5009</v>
      </c>
      <c r="B2128" s="24">
        <v>101424</v>
      </c>
      <c r="C2128" s="24" t="s">
        <v>1278</v>
      </c>
      <c r="D2128" s="24" t="s">
        <v>1102</v>
      </c>
      <c r="E2128" s="24" t="s">
        <v>51</v>
      </c>
      <c r="F2128" s="24" t="s">
        <v>1142</v>
      </c>
      <c r="G2128" s="24" t="s">
        <v>1203</v>
      </c>
      <c r="H2128" s="24" t="s">
        <v>343</v>
      </c>
      <c r="I2128" s="24" t="s">
        <v>1804</v>
      </c>
      <c r="J2128" s="24" t="s">
        <v>761</v>
      </c>
      <c r="K2128" s="24" t="s">
        <v>1146</v>
      </c>
      <c r="L2128" s="25">
        <v>1070</v>
      </c>
      <c r="M2128" s="26">
        <v>20.5</v>
      </c>
      <c r="N2128" s="27">
        <v>20.5</v>
      </c>
      <c r="O2128" s="28">
        <v>1.8636363636363635E-2</v>
      </c>
      <c r="P2128" s="28">
        <v>19.411504424778762</v>
      </c>
    </row>
    <row r="2129" spans="1:16" x14ac:dyDescent="0.3">
      <c r="A2129" t="s">
        <v>5010</v>
      </c>
      <c r="B2129" s="24">
        <v>141245</v>
      </c>
      <c r="C2129" s="24" t="s">
        <v>1606</v>
      </c>
      <c r="D2129" s="24" t="s">
        <v>1102</v>
      </c>
      <c r="E2129" s="24" t="s">
        <v>51</v>
      </c>
      <c r="F2129" s="24" t="s">
        <v>1386</v>
      </c>
      <c r="G2129" s="24" t="s">
        <v>1387</v>
      </c>
      <c r="H2129" s="24" t="s">
        <v>1805</v>
      </c>
      <c r="I2129" s="24" t="s">
        <v>1806</v>
      </c>
      <c r="J2129" s="24" t="s">
        <v>761</v>
      </c>
      <c r="K2129" s="24" t="s">
        <v>1146</v>
      </c>
      <c r="L2129" s="25">
        <v>1070</v>
      </c>
      <c r="M2129" s="26">
        <v>65</v>
      </c>
      <c r="N2129" s="27">
        <v>65</v>
      </c>
      <c r="O2129" s="28">
        <v>5.909090909090909E-2</v>
      </c>
      <c r="P2129" s="28">
        <v>61.548672566371678</v>
      </c>
    </row>
    <row r="2130" spans="1:16" x14ac:dyDescent="0.3">
      <c r="A2130" t="s">
        <v>5011</v>
      </c>
      <c r="B2130" s="24">
        <v>101564</v>
      </c>
      <c r="C2130" s="24" t="s">
        <v>1807</v>
      </c>
      <c r="D2130" s="24" t="s">
        <v>1102</v>
      </c>
      <c r="E2130" s="24" t="s">
        <v>51</v>
      </c>
      <c r="F2130" s="24" t="s">
        <v>1237</v>
      </c>
      <c r="G2130" s="24" t="s">
        <v>1238</v>
      </c>
      <c r="H2130" s="24" t="s">
        <v>217</v>
      </c>
      <c r="I2130" s="24" t="s">
        <v>1808</v>
      </c>
      <c r="J2130" s="24" t="s">
        <v>761</v>
      </c>
      <c r="K2130" s="24" t="s">
        <v>1146</v>
      </c>
      <c r="L2130" s="25">
        <v>1070</v>
      </c>
      <c r="M2130" s="26">
        <v>13.417999999999999</v>
      </c>
      <c r="N2130" s="27">
        <v>13.417999999999999</v>
      </c>
      <c r="O2130" s="28">
        <v>1.2198181818181818E-2</v>
      </c>
      <c r="P2130" s="28">
        <v>12.705539823008849</v>
      </c>
    </row>
    <row r="2131" spans="1:16" x14ac:dyDescent="0.3">
      <c r="A2131" t="s">
        <v>5012</v>
      </c>
      <c r="B2131" s="24">
        <v>142548</v>
      </c>
      <c r="C2131" s="24" t="s">
        <v>1809</v>
      </c>
      <c r="D2131" s="24" t="s">
        <v>1102</v>
      </c>
      <c r="E2131" s="24" t="s">
        <v>51</v>
      </c>
      <c r="F2131" s="24" t="s">
        <v>1237</v>
      </c>
      <c r="G2131" s="24" t="s">
        <v>1238</v>
      </c>
      <c r="H2131" s="24" t="s">
        <v>217</v>
      </c>
      <c r="I2131" s="24" t="s">
        <v>1808</v>
      </c>
      <c r="J2131" s="24" t="s">
        <v>761</v>
      </c>
      <c r="K2131" s="24" t="s">
        <v>1146</v>
      </c>
      <c r="L2131" s="25">
        <v>1070</v>
      </c>
      <c r="M2131" s="26">
        <v>12.815</v>
      </c>
      <c r="N2131" s="27">
        <v>12.815</v>
      </c>
      <c r="O2131" s="28">
        <v>1.1649999999999999E-2</v>
      </c>
      <c r="P2131" s="28">
        <v>12.134557522123893</v>
      </c>
    </row>
    <row r="2132" spans="1:16" x14ac:dyDescent="0.3">
      <c r="A2132" t="s">
        <v>5013</v>
      </c>
      <c r="B2132" s="24">
        <v>300014</v>
      </c>
      <c r="C2132" s="24" t="s">
        <v>1765</v>
      </c>
      <c r="D2132" s="24" t="s">
        <v>1102</v>
      </c>
      <c r="E2132" s="24" t="s">
        <v>51</v>
      </c>
      <c r="F2132" s="24" t="s">
        <v>1237</v>
      </c>
      <c r="G2132" s="24" t="s">
        <v>1238</v>
      </c>
      <c r="H2132" s="24" t="s">
        <v>165</v>
      </c>
      <c r="I2132" s="24" t="s">
        <v>1810</v>
      </c>
      <c r="J2132" s="24" t="s">
        <v>761</v>
      </c>
      <c r="K2132" s="24" t="s">
        <v>1146</v>
      </c>
      <c r="L2132" s="25">
        <v>1070</v>
      </c>
      <c r="M2132" s="26">
        <v>12.7</v>
      </c>
      <c r="N2132" s="27">
        <v>12.7</v>
      </c>
      <c r="O2132" s="28">
        <v>1.1545454545454545E-2</v>
      </c>
      <c r="P2132" s="28">
        <v>12.02566371681416</v>
      </c>
    </row>
    <row r="2133" spans="1:16" x14ac:dyDescent="0.3">
      <c r="A2133" t="s">
        <v>5014</v>
      </c>
      <c r="B2133" s="24">
        <v>300014</v>
      </c>
      <c r="C2133" s="24" t="s">
        <v>1765</v>
      </c>
      <c r="D2133" s="24" t="s">
        <v>1102</v>
      </c>
      <c r="E2133" s="24" t="s">
        <v>51</v>
      </c>
      <c r="F2133" s="24" t="s">
        <v>1237</v>
      </c>
      <c r="G2133" s="24" t="s">
        <v>1238</v>
      </c>
      <c r="H2133" s="24" t="s">
        <v>164</v>
      </c>
      <c r="I2133" s="24" t="s">
        <v>1811</v>
      </c>
      <c r="J2133" s="24" t="s">
        <v>761</v>
      </c>
      <c r="K2133" s="24" t="s">
        <v>1146</v>
      </c>
      <c r="L2133" s="25">
        <v>1070</v>
      </c>
      <c r="M2133" s="26">
        <v>16</v>
      </c>
      <c r="N2133" s="27">
        <v>16</v>
      </c>
      <c r="O2133" s="28">
        <v>1.4545454545454545E-2</v>
      </c>
      <c r="P2133" s="28">
        <v>15.150442477876107</v>
      </c>
    </row>
    <row r="2134" spans="1:16" x14ac:dyDescent="0.3">
      <c r="A2134" t="s">
        <v>5015</v>
      </c>
      <c r="B2134" s="24">
        <v>142301</v>
      </c>
      <c r="C2134" s="24" t="s">
        <v>1757</v>
      </c>
      <c r="D2134" s="24" t="s">
        <v>1102</v>
      </c>
      <c r="E2134" s="24" t="s">
        <v>51</v>
      </c>
      <c r="F2134" s="24" t="s">
        <v>1386</v>
      </c>
      <c r="G2134" s="24" t="s">
        <v>1387</v>
      </c>
      <c r="H2134" s="24" t="s">
        <v>259</v>
      </c>
      <c r="I2134" s="24" t="s">
        <v>1812</v>
      </c>
      <c r="J2134" s="24" t="s">
        <v>761</v>
      </c>
      <c r="K2134" s="24" t="s">
        <v>1146</v>
      </c>
      <c r="L2134" s="25">
        <v>1070</v>
      </c>
      <c r="M2134" s="26">
        <v>20.3</v>
      </c>
      <c r="N2134" s="27">
        <v>20.3</v>
      </c>
      <c r="O2134" s="28">
        <v>1.8454545454545456E-2</v>
      </c>
      <c r="P2134" s="28">
        <v>19.222123893805311</v>
      </c>
    </row>
    <row r="2135" spans="1:16" x14ac:dyDescent="0.3">
      <c r="A2135" t="s">
        <v>5016</v>
      </c>
      <c r="B2135" s="24">
        <v>100581</v>
      </c>
      <c r="C2135" s="24" t="s">
        <v>1232</v>
      </c>
      <c r="D2135" s="24" t="s">
        <v>1102</v>
      </c>
      <c r="E2135" s="24" t="s">
        <v>51</v>
      </c>
      <c r="F2135" s="24" t="s">
        <v>1142</v>
      </c>
      <c r="G2135" s="24" t="s">
        <v>1233</v>
      </c>
      <c r="H2135" s="24" t="s">
        <v>156</v>
      </c>
      <c r="I2135" s="24" t="s">
        <v>1813</v>
      </c>
      <c r="J2135" s="24" t="s">
        <v>761</v>
      </c>
      <c r="K2135" s="24" t="s">
        <v>1146</v>
      </c>
      <c r="L2135" s="25">
        <v>1070</v>
      </c>
      <c r="M2135" s="26">
        <v>23</v>
      </c>
      <c r="N2135" s="27">
        <v>23</v>
      </c>
      <c r="O2135" s="28">
        <v>2.0909090909090908E-2</v>
      </c>
      <c r="P2135" s="28">
        <v>21.778761061946902</v>
      </c>
    </row>
    <row r="2136" spans="1:16" x14ac:dyDescent="0.3">
      <c r="A2136" t="s">
        <v>5017</v>
      </c>
      <c r="B2136" s="24">
        <v>100603</v>
      </c>
      <c r="C2136" s="24" t="s">
        <v>1277</v>
      </c>
      <c r="D2136" s="24" t="s">
        <v>1102</v>
      </c>
      <c r="E2136" s="24" t="s">
        <v>51</v>
      </c>
      <c r="F2136" s="24" t="s">
        <v>1142</v>
      </c>
      <c r="G2136" s="24" t="s">
        <v>1082</v>
      </c>
      <c r="H2136" s="24" t="s">
        <v>156</v>
      </c>
      <c r="I2136" s="24" t="s">
        <v>1813</v>
      </c>
      <c r="J2136" s="24" t="s">
        <v>761</v>
      </c>
      <c r="K2136" s="24" t="s">
        <v>1146</v>
      </c>
      <c r="L2136" s="25">
        <v>1070</v>
      </c>
      <c r="M2136" s="26">
        <v>23</v>
      </c>
      <c r="N2136" s="27">
        <v>23</v>
      </c>
      <c r="O2136" s="28">
        <v>2.0909090909090908E-2</v>
      </c>
      <c r="P2136" s="28">
        <v>21.778761061946902</v>
      </c>
    </row>
    <row r="2137" spans="1:16" x14ac:dyDescent="0.3">
      <c r="A2137" t="s">
        <v>5018</v>
      </c>
      <c r="B2137" s="24">
        <v>101206</v>
      </c>
      <c r="C2137" s="24" t="s">
        <v>1199</v>
      </c>
      <c r="D2137" s="24" t="s">
        <v>1102</v>
      </c>
      <c r="E2137" s="24" t="s">
        <v>51</v>
      </c>
      <c r="F2137" s="24" t="s">
        <v>1142</v>
      </c>
      <c r="G2137" s="24" t="s">
        <v>1200</v>
      </c>
      <c r="H2137" s="24" t="s">
        <v>156</v>
      </c>
      <c r="I2137" s="24" t="s">
        <v>1813</v>
      </c>
      <c r="J2137" s="24" t="s">
        <v>761</v>
      </c>
      <c r="K2137" s="24" t="s">
        <v>1146</v>
      </c>
      <c r="L2137" s="25">
        <v>1070</v>
      </c>
      <c r="M2137" s="26">
        <v>23</v>
      </c>
      <c r="N2137" s="27">
        <v>23</v>
      </c>
      <c r="O2137" s="28">
        <v>2.0909090909090908E-2</v>
      </c>
      <c r="P2137" s="28">
        <v>21.778761061946902</v>
      </c>
    </row>
    <row r="2138" spans="1:16" x14ac:dyDescent="0.3">
      <c r="A2138" t="s">
        <v>5019</v>
      </c>
      <c r="B2138" s="24">
        <v>142301</v>
      </c>
      <c r="C2138" s="24" t="s">
        <v>1757</v>
      </c>
      <c r="D2138" s="24" t="s">
        <v>1102</v>
      </c>
      <c r="E2138" s="24" t="s">
        <v>51</v>
      </c>
      <c r="F2138" s="24" t="s">
        <v>1386</v>
      </c>
      <c r="G2138" s="24" t="s">
        <v>1387</v>
      </c>
      <c r="H2138" s="24" t="s">
        <v>243</v>
      </c>
      <c r="I2138" s="24" t="s">
        <v>1814</v>
      </c>
      <c r="J2138" s="24" t="s">
        <v>761</v>
      </c>
      <c r="K2138" s="24" t="s">
        <v>1146</v>
      </c>
      <c r="L2138" s="25">
        <v>1070</v>
      </c>
      <c r="M2138" s="26">
        <v>25.28</v>
      </c>
      <c r="N2138" s="27">
        <v>25.28</v>
      </c>
      <c r="O2138" s="28">
        <v>2.2981818181818183E-2</v>
      </c>
      <c r="P2138" s="28">
        <v>23.93769911504425</v>
      </c>
    </row>
    <row r="2139" spans="1:16" x14ac:dyDescent="0.3">
      <c r="A2139" t="s">
        <v>5020</v>
      </c>
      <c r="B2139" s="24">
        <v>100581</v>
      </c>
      <c r="C2139" s="24" t="s">
        <v>1232</v>
      </c>
      <c r="D2139" s="24" t="s">
        <v>1102</v>
      </c>
      <c r="E2139" s="24" t="s">
        <v>51</v>
      </c>
      <c r="F2139" s="24" t="s">
        <v>1142</v>
      </c>
      <c r="G2139" s="24" t="s">
        <v>1233</v>
      </c>
      <c r="H2139" s="24" t="s">
        <v>157</v>
      </c>
      <c r="I2139" s="24" t="s">
        <v>1815</v>
      </c>
      <c r="J2139" s="24" t="s">
        <v>761</v>
      </c>
      <c r="K2139" s="24" t="s">
        <v>1146</v>
      </c>
      <c r="L2139" s="25">
        <v>1070</v>
      </c>
      <c r="M2139" s="26">
        <v>23.89</v>
      </c>
      <c r="N2139" s="27">
        <v>23.89</v>
      </c>
      <c r="O2139" s="28">
        <v>2.1718181818181817E-2</v>
      </c>
      <c r="P2139" s="28">
        <v>22.62150442477876</v>
      </c>
    </row>
    <row r="2140" spans="1:16" x14ac:dyDescent="0.3">
      <c r="A2140" t="s">
        <v>5021</v>
      </c>
      <c r="B2140" s="24">
        <v>100603</v>
      </c>
      <c r="C2140" s="24" t="s">
        <v>1277</v>
      </c>
      <c r="D2140" s="24" t="s">
        <v>1102</v>
      </c>
      <c r="E2140" s="24" t="s">
        <v>51</v>
      </c>
      <c r="F2140" s="24" t="s">
        <v>1142</v>
      </c>
      <c r="G2140" s="24" t="s">
        <v>1082</v>
      </c>
      <c r="H2140" s="24" t="s">
        <v>157</v>
      </c>
      <c r="I2140" s="24" t="s">
        <v>1815</v>
      </c>
      <c r="J2140" s="24" t="s">
        <v>761</v>
      </c>
      <c r="K2140" s="24" t="s">
        <v>1146</v>
      </c>
      <c r="L2140" s="25">
        <v>1070</v>
      </c>
      <c r="M2140" s="26">
        <v>23.89</v>
      </c>
      <c r="N2140" s="27">
        <v>23.89</v>
      </c>
      <c r="O2140" s="28">
        <v>2.1718181818181817E-2</v>
      </c>
      <c r="P2140" s="28">
        <v>22.62150442477876</v>
      </c>
    </row>
    <row r="2141" spans="1:16" x14ac:dyDescent="0.3">
      <c r="A2141" t="s">
        <v>5022</v>
      </c>
      <c r="B2141" s="24">
        <v>101206</v>
      </c>
      <c r="C2141" s="24" t="s">
        <v>1199</v>
      </c>
      <c r="D2141" s="24" t="s">
        <v>1102</v>
      </c>
      <c r="E2141" s="24" t="s">
        <v>51</v>
      </c>
      <c r="F2141" s="24" t="s">
        <v>1142</v>
      </c>
      <c r="G2141" s="24" t="s">
        <v>1200</v>
      </c>
      <c r="H2141" s="24" t="s">
        <v>157</v>
      </c>
      <c r="I2141" s="24" t="s">
        <v>1815</v>
      </c>
      <c r="J2141" s="24" t="s">
        <v>761</v>
      </c>
      <c r="K2141" s="24" t="s">
        <v>1146</v>
      </c>
      <c r="L2141" s="25">
        <v>1070</v>
      </c>
      <c r="M2141" s="26">
        <v>23.89</v>
      </c>
      <c r="N2141" s="27">
        <v>23.89</v>
      </c>
      <c r="O2141" s="28">
        <v>2.1718181818181817E-2</v>
      </c>
      <c r="P2141" s="28">
        <v>22.62150442477876</v>
      </c>
    </row>
    <row r="2142" spans="1:16" x14ac:dyDescent="0.3">
      <c r="A2142" t="s">
        <v>5023</v>
      </c>
      <c r="B2142" s="24">
        <v>114163</v>
      </c>
      <c r="C2142" s="24" t="s">
        <v>1490</v>
      </c>
      <c r="D2142" s="24" t="s">
        <v>1102</v>
      </c>
      <c r="E2142" s="24" t="s">
        <v>51</v>
      </c>
      <c r="F2142" s="24" t="s">
        <v>1142</v>
      </c>
      <c r="G2142" s="24" t="s">
        <v>1203</v>
      </c>
      <c r="H2142" s="24" t="s">
        <v>157</v>
      </c>
      <c r="I2142" s="24" t="s">
        <v>1815</v>
      </c>
      <c r="J2142" s="24" t="s">
        <v>761</v>
      </c>
      <c r="K2142" s="24" t="s">
        <v>1146</v>
      </c>
      <c r="L2142" s="25">
        <v>1070</v>
      </c>
      <c r="M2142" s="26">
        <v>23.89</v>
      </c>
      <c r="N2142" s="27">
        <v>23.89</v>
      </c>
      <c r="O2142" s="28">
        <v>2.1718181818181817E-2</v>
      </c>
      <c r="P2142" s="28">
        <v>22.62150442477876</v>
      </c>
    </row>
    <row r="2143" spans="1:16" x14ac:dyDescent="0.3">
      <c r="A2143" t="s">
        <v>5024</v>
      </c>
      <c r="B2143" s="24">
        <v>101186</v>
      </c>
      <c r="C2143" s="24" t="s">
        <v>1273</v>
      </c>
      <c r="D2143" s="24" t="s">
        <v>1102</v>
      </c>
      <c r="E2143" s="24" t="s">
        <v>51</v>
      </c>
      <c r="F2143" s="24" t="s">
        <v>1142</v>
      </c>
      <c r="G2143" s="24" t="s">
        <v>1203</v>
      </c>
      <c r="H2143" s="24" t="s">
        <v>264</v>
      </c>
      <c r="I2143" s="24" t="s">
        <v>1816</v>
      </c>
      <c r="J2143" s="24" t="s">
        <v>761</v>
      </c>
      <c r="K2143" s="24" t="s">
        <v>1146</v>
      </c>
      <c r="L2143" s="25">
        <v>1070</v>
      </c>
      <c r="M2143" s="26">
        <v>23.52</v>
      </c>
      <c r="N2143" s="27">
        <v>23.52</v>
      </c>
      <c r="O2143" s="28">
        <v>2.1381818181818182E-2</v>
      </c>
      <c r="P2143" s="28">
        <v>22.271150442477875</v>
      </c>
    </row>
    <row r="2144" spans="1:16" x14ac:dyDescent="0.3">
      <c r="A2144" t="s">
        <v>5025</v>
      </c>
      <c r="B2144" s="24">
        <v>101206</v>
      </c>
      <c r="C2144" s="24" t="s">
        <v>1199</v>
      </c>
      <c r="D2144" s="24" t="s">
        <v>1102</v>
      </c>
      <c r="E2144" s="24" t="s">
        <v>51</v>
      </c>
      <c r="F2144" s="24" t="s">
        <v>1142</v>
      </c>
      <c r="G2144" s="24" t="s">
        <v>1200</v>
      </c>
      <c r="H2144" s="24" t="s">
        <v>264</v>
      </c>
      <c r="I2144" s="24" t="s">
        <v>1816</v>
      </c>
      <c r="J2144" s="24" t="s">
        <v>761</v>
      </c>
      <c r="K2144" s="24" t="s">
        <v>1146</v>
      </c>
      <c r="L2144" s="25">
        <v>1070</v>
      </c>
      <c r="M2144" s="26">
        <v>23.52</v>
      </c>
      <c r="N2144" s="27">
        <v>23.52</v>
      </c>
      <c r="O2144" s="28">
        <v>2.1381818181818182E-2</v>
      </c>
      <c r="P2144" s="28">
        <v>22.271150442477875</v>
      </c>
    </row>
    <row r="2145" spans="1:16" x14ac:dyDescent="0.3">
      <c r="A2145" t="s">
        <v>5026</v>
      </c>
      <c r="B2145" s="24">
        <v>101424</v>
      </c>
      <c r="C2145" s="24" t="s">
        <v>1278</v>
      </c>
      <c r="D2145" s="24" t="s">
        <v>1102</v>
      </c>
      <c r="E2145" s="24" t="s">
        <v>51</v>
      </c>
      <c r="F2145" s="24" t="s">
        <v>1142</v>
      </c>
      <c r="G2145" s="24" t="s">
        <v>1203</v>
      </c>
      <c r="H2145" s="24" t="s">
        <v>264</v>
      </c>
      <c r="I2145" s="24" t="s">
        <v>1816</v>
      </c>
      <c r="J2145" s="24" t="s">
        <v>761</v>
      </c>
      <c r="K2145" s="24" t="s">
        <v>1146</v>
      </c>
      <c r="L2145" s="25">
        <v>1070</v>
      </c>
      <c r="M2145" s="26">
        <v>23.52</v>
      </c>
      <c r="N2145" s="27">
        <v>23.52</v>
      </c>
      <c r="O2145" s="28">
        <v>2.1381818181818182E-2</v>
      </c>
      <c r="P2145" s="28">
        <v>22.271150442477875</v>
      </c>
    </row>
    <row r="2146" spans="1:16" x14ac:dyDescent="0.3">
      <c r="A2146" t="s">
        <v>5027</v>
      </c>
      <c r="B2146" s="24">
        <v>141245</v>
      </c>
      <c r="C2146" s="24" t="s">
        <v>1606</v>
      </c>
      <c r="D2146" s="24" t="s">
        <v>1102</v>
      </c>
      <c r="E2146" s="24" t="s">
        <v>51</v>
      </c>
      <c r="F2146" s="24" t="s">
        <v>1386</v>
      </c>
      <c r="G2146" s="24" t="s">
        <v>1387</v>
      </c>
      <c r="H2146" s="24" t="s">
        <v>52</v>
      </c>
      <c r="I2146" s="24" t="s">
        <v>1817</v>
      </c>
      <c r="J2146" s="24" t="s">
        <v>761</v>
      </c>
      <c r="K2146" s="24" t="s">
        <v>1146</v>
      </c>
      <c r="L2146" s="25">
        <v>1070</v>
      </c>
      <c r="M2146" s="26">
        <v>44</v>
      </c>
      <c r="N2146" s="27">
        <v>44</v>
      </c>
      <c r="O2146" s="28">
        <v>0.04</v>
      </c>
      <c r="P2146" s="28">
        <v>41.663716814159294</v>
      </c>
    </row>
    <row r="2147" spans="1:16" x14ac:dyDescent="0.3">
      <c r="A2147" t="s">
        <v>5028</v>
      </c>
      <c r="B2147" s="24">
        <v>100581</v>
      </c>
      <c r="C2147" s="24" t="s">
        <v>1232</v>
      </c>
      <c r="D2147" s="24" t="s">
        <v>1102</v>
      </c>
      <c r="E2147" s="24" t="s">
        <v>51</v>
      </c>
      <c r="F2147" s="24" t="s">
        <v>1142</v>
      </c>
      <c r="G2147" s="24" t="s">
        <v>1233</v>
      </c>
      <c r="H2147" s="24" t="s">
        <v>166</v>
      </c>
      <c r="I2147" s="24" t="s">
        <v>1818</v>
      </c>
      <c r="J2147" s="24" t="s">
        <v>761</v>
      </c>
      <c r="K2147" s="24" t="s">
        <v>1146</v>
      </c>
      <c r="L2147" s="25">
        <v>1070</v>
      </c>
      <c r="M2147" s="26">
        <v>27.61</v>
      </c>
      <c r="N2147" s="27">
        <v>27.61</v>
      </c>
      <c r="O2147" s="28">
        <v>2.5100000000000001E-2</v>
      </c>
      <c r="P2147" s="28">
        <v>26.143982300884957</v>
      </c>
    </row>
    <row r="2148" spans="1:16" x14ac:dyDescent="0.3">
      <c r="A2148" t="s">
        <v>5029</v>
      </c>
      <c r="B2148" s="24">
        <v>100603</v>
      </c>
      <c r="C2148" s="24" t="s">
        <v>1277</v>
      </c>
      <c r="D2148" s="24" t="s">
        <v>1102</v>
      </c>
      <c r="E2148" s="24" t="s">
        <v>51</v>
      </c>
      <c r="F2148" s="24" t="s">
        <v>1142</v>
      </c>
      <c r="G2148" s="24" t="s">
        <v>1082</v>
      </c>
      <c r="H2148" s="24" t="s">
        <v>166</v>
      </c>
      <c r="I2148" s="24" t="s">
        <v>1818</v>
      </c>
      <c r="J2148" s="24" t="s">
        <v>761</v>
      </c>
      <c r="K2148" s="24" t="s">
        <v>1146</v>
      </c>
      <c r="L2148" s="25">
        <v>1070</v>
      </c>
      <c r="M2148" s="26">
        <v>27.61</v>
      </c>
      <c r="N2148" s="27">
        <v>27.61</v>
      </c>
      <c r="O2148" s="28">
        <v>2.5100000000000001E-2</v>
      </c>
      <c r="P2148" s="28">
        <v>26.143982300884957</v>
      </c>
    </row>
    <row r="2149" spans="1:16" x14ac:dyDescent="0.3">
      <c r="A2149" t="s">
        <v>5030</v>
      </c>
      <c r="B2149" s="24">
        <v>101186</v>
      </c>
      <c r="C2149" s="24" t="s">
        <v>1273</v>
      </c>
      <c r="D2149" s="24" t="s">
        <v>1102</v>
      </c>
      <c r="E2149" s="24" t="s">
        <v>51</v>
      </c>
      <c r="F2149" s="24" t="s">
        <v>1142</v>
      </c>
      <c r="G2149" s="24" t="s">
        <v>1203</v>
      </c>
      <c r="H2149" s="24" t="s">
        <v>166</v>
      </c>
      <c r="I2149" s="24" t="s">
        <v>1818</v>
      </c>
      <c r="J2149" s="24" t="s">
        <v>761</v>
      </c>
      <c r="K2149" s="24" t="s">
        <v>1146</v>
      </c>
      <c r="L2149" s="25">
        <v>1070</v>
      </c>
      <c r="M2149" s="26">
        <v>27.61</v>
      </c>
      <c r="N2149" s="27">
        <v>27.61</v>
      </c>
      <c r="O2149" s="28">
        <v>2.5100000000000001E-2</v>
      </c>
      <c r="P2149" s="28">
        <v>26.143982300884957</v>
      </c>
    </row>
    <row r="2150" spans="1:16" x14ac:dyDescent="0.3">
      <c r="A2150" t="s">
        <v>5031</v>
      </c>
      <c r="B2150" s="24">
        <v>101424</v>
      </c>
      <c r="C2150" s="24" t="s">
        <v>1278</v>
      </c>
      <c r="D2150" s="24" t="s">
        <v>1102</v>
      </c>
      <c r="E2150" s="24" t="s">
        <v>51</v>
      </c>
      <c r="F2150" s="24" t="s">
        <v>1142</v>
      </c>
      <c r="G2150" s="24" t="s">
        <v>1203</v>
      </c>
      <c r="H2150" s="24" t="s">
        <v>166</v>
      </c>
      <c r="I2150" s="24" t="s">
        <v>1818</v>
      </c>
      <c r="J2150" s="24" t="s">
        <v>761</v>
      </c>
      <c r="K2150" s="24" t="s">
        <v>1146</v>
      </c>
      <c r="L2150" s="25">
        <v>1070</v>
      </c>
      <c r="M2150" s="26">
        <v>27.61</v>
      </c>
      <c r="N2150" s="27">
        <v>27.61</v>
      </c>
      <c r="O2150" s="28">
        <v>2.5100000000000001E-2</v>
      </c>
      <c r="P2150" s="28">
        <v>26.143982300884957</v>
      </c>
    </row>
    <row r="2151" spans="1:16" x14ac:dyDescent="0.3">
      <c r="A2151" t="s">
        <v>5032</v>
      </c>
      <c r="B2151" s="24">
        <v>111550</v>
      </c>
      <c r="C2151" s="24" t="s">
        <v>1582</v>
      </c>
      <c r="D2151" s="24" t="s">
        <v>1102</v>
      </c>
      <c r="E2151" s="24" t="s">
        <v>51</v>
      </c>
      <c r="F2151" s="24" t="s">
        <v>1142</v>
      </c>
      <c r="G2151" s="24" t="s">
        <v>1402</v>
      </c>
      <c r="H2151" s="24" t="s">
        <v>166</v>
      </c>
      <c r="I2151" s="24" t="s">
        <v>1818</v>
      </c>
      <c r="J2151" s="24" t="s">
        <v>761</v>
      </c>
      <c r="K2151" s="24" t="s">
        <v>1146</v>
      </c>
      <c r="L2151" s="25">
        <v>1070</v>
      </c>
      <c r="M2151" s="26">
        <v>27.61</v>
      </c>
      <c r="N2151" s="27">
        <v>27.61</v>
      </c>
      <c r="O2151" s="28">
        <v>2.5100000000000001E-2</v>
      </c>
      <c r="P2151" s="28">
        <v>26.143982300884957</v>
      </c>
    </row>
    <row r="2152" spans="1:16" x14ac:dyDescent="0.3">
      <c r="A2152" t="s">
        <v>5033</v>
      </c>
      <c r="B2152" s="24">
        <v>141245</v>
      </c>
      <c r="C2152" s="24" t="s">
        <v>1606</v>
      </c>
      <c r="D2152" s="24" t="s">
        <v>1102</v>
      </c>
      <c r="E2152" s="24" t="s">
        <v>51</v>
      </c>
      <c r="F2152" s="24" t="s">
        <v>1386</v>
      </c>
      <c r="G2152" s="24" t="s">
        <v>1387</v>
      </c>
      <c r="H2152" s="24" t="s">
        <v>260</v>
      </c>
      <c r="I2152" s="24" t="s">
        <v>1819</v>
      </c>
      <c r="J2152" s="24" t="s">
        <v>761</v>
      </c>
      <c r="K2152" s="24" t="s">
        <v>1146</v>
      </c>
      <c r="L2152" s="25">
        <v>1070</v>
      </c>
      <c r="M2152" s="26">
        <v>25</v>
      </c>
      <c r="N2152" s="27">
        <v>25</v>
      </c>
      <c r="O2152" s="28">
        <v>2.2727272727272728E-2</v>
      </c>
      <c r="P2152" s="28">
        <v>23.672566371681416</v>
      </c>
    </row>
    <row r="2153" spans="1:16" x14ac:dyDescent="0.3">
      <c r="A2153" t="s">
        <v>5034</v>
      </c>
      <c r="B2153" s="24">
        <v>101186</v>
      </c>
      <c r="C2153" s="24" t="s">
        <v>1273</v>
      </c>
      <c r="D2153" s="24" t="s">
        <v>1102</v>
      </c>
      <c r="E2153" s="24" t="s">
        <v>51</v>
      </c>
      <c r="F2153" s="24" t="s">
        <v>1142</v>
      </c>
      <c r="G2153" s="24" t="s">
        <v>1203</v>
      </c>
      <c r="H2153" s="24" t="s">
        <v>84</v>
      </c>
      <c r="I2153" s="24" t="s">
        <v>1820</v>
      </c>
      <c r="J2153" s="24" t="s">
        <v>761</v>
      </c>
      <c r="K2153" s="24" t="s">
        <v>1146</v>
      </c>
      <c r="L2153" s="25">
        <v>1070</v>
      </c>
      <c r="M2153" s="26">
        <v>31.7</v>
      </c>
      <c r="N2153" s="27">
        <v>31.7</v>
      </c>
      <c r="O2153" s="28">
        <v>2.8818181818181819E-2</v>
      </c>
      <c r="P2153" s="28">
        <v>30.016814159292036</v>
      </c>
    </row>
    <row r="2154" spans="1:16" x14ac:dyDescent="0.3">
      <c r="A2154" t="s">
        <v>5035</v>
      </c>
      <c r="B2154" s="24">
        <v>300014</v>
      </c>
      <c r="C2154" s="24" t="s">
        <v>1765</v>
      </c>
      <c r="D2154" s="24" t="s">
        <v>1102</v>
      </c>
      <c r="E2154" s="24" t="s">
        <v>51</v>
      </c>
      <c r="F2154" s="24" t="s">
        <v>1237</v>
      </c>
      <c r="G2154" s="24" t="s">
        <v>1238</v>
      </c>
      <c r="H2154" s="24" t="s">
        <v>141</v>
      </c>
      <c r="I2154" s="24" t="s">
        <v>1821</v>
      </c>
      <c r="J2154" s="24" t="s">
        <v>761</v>
      </c>
      <c r="K2154" s="24" t="s">
        <v>1146</v>
      </c>
      <c r="L2154" s="25">
        <v>1070</v>
      </c>
      <c r="M2154" s="26">
        <v>15.05</v>
      </c>
      <c r="N2154" s="27">
        <v>15.05</v>
      </c>
      <c r="O2154" s="28">
        <v>1.3681818181818182E-2</v>
      </c>
      <c r="P2154" s="28">
        <v>14.250884955752213</v>
      </c>
    </row>
    <row r="2155" spans="1:16" x14ac:dyDescent="0.3">
      <c r="A2155" t="s">
        <v>5036</v>
      </c>
      <c r="B2155" s="24">
        <v>101186</v>
      </c>
      <c r="C2155" s="24" t="s">
        <v>1273</v>
      </c>
      <c r="D2155" s="24" t="s">
        <v>1102</v>
      </c>
      <c r="E2155" s="24" t="s">
        <v>51</v>
      </c>
      <c r="F2155" s="24" t="s">
        <v>1142</v>
      </c>
      <c r="G2155" s="24" t="s">
        <v>1203</v>
      </c>
      <c r="H2155" s="24" t="s">
        <v>107</v>
      </c>
      <c r="I2155" s="24" t="s">
        <v>1822</v>
      </c>
      <c r="J2155" s="24" t="s">
        <v>761</v>
      </c>
      <c r="K2155" s="24" t="s">
        <v>1146</v>
      </c>
      <c r="L2155" s="25">
        <v>1070</v>
      </c>
      <c r="M2155" s="26">
        <v>43.77</v>
      </c>
      <c r="N2155" s="27">
        <v>43.77</v>
      </c>
      <c r="O2155" s="28">
        <v>3.9790909090909092E-2</v>
      </c>
      <c r="P2155" s="28">
        <v>41.445929203539826</v>
      </c>
    </row>
    <row r="2156" spans="1:16" x14ac:dyDescent="0.3">
      <c r="A2156" t="s">
        <v>5037</v>
      </c>
      <c r="B2156" s="24">
        <v>100581</v>
      </c>
      <c r="C2156" s="24" t="s">
        <v>1232</v>
      </c>
      <c r="D2156" s="24" t="s">
        <v>1102</v>
      </c>
      <c r="E2156" s="24" t="s">
        <v>51</v>
      </c>
      <c r="F2156" s="24" t="s">
        <v>1142</v>
      </c>
      <c r="G2156" s="24" t="s">
        <v>1233</v>
      </c>
      <c r="H2156" s="24" t="s">
        <v>85</v>
      </c>
      <c r="I2156" s="24" t="s">
        <v>1823</v>
      </c>
      <c r="J2156" s="24" t="s">
        <v>761</v>
      </c>
      <c r="K2156" s="24" t="s">
        <v>1146</v>
      </c>
      <c r="L2156" s="25">
        <v>1070</v>
      </c>
      <c r="M2156" s="26">
        <v>27.44</v>
      </c>
      <c r="N2156" s="27">
        <v>27.44</v>
      </c>
      <c r="O2156" s="28">
        <v>2.4945454545454545E-2</v>
      </c>
      <c r="P2156" s="28">
        <v>25.983008849557525</v>
      </c>
    </row>
    <row r="2157" spans="1:16" x14ac:dyDescent="0.3">
      <c r="A2157" t="s">
        <v>5038</v>
      </c>
      <c r="B2157" s="24">
        <v>101186</v>
      </c>
      <c r="C2157" s="24" t="s">
        <v>1273</v>
      </c>
      <c r="D2157" s="24" t="s">
        <v>1102</v>
      </c>
      <c r="E2157" s="24" t="s">
        <v>51</v>
      </c>
      <c r="F2157" s="24" t="s">
        <v>1142</v>
      </c>
      <c r="G2157" s="24" t="s">
        <v>1203</v>
      </c>
      <c r="H2157" s="24" t="s">
        <v>85</v>
      </c>
      <c r="I2157" s="24" t="s">
        <v>1823</v>
      </c>
      <c r="J2157" s="24" t="s">
        <v>761</v>
      </c>
      <c r="K2157" s="24" t="s">
        <v>1146</v>
      </c>
      <c r="L2157" s="25">
        <v>1070</v>
      </c>
      <c r="M2157" s="26">
        <v>27.44</v>
      </c>
      <c r="N2157" s="27">
        <v>27.44</v>
      </c>
      <c r="O2157" s="28">
        <v>2.4945454545454545E-2</v>
      </c>
      <c r="P2157" s="28">
        <v>25.983008849557525</v>
      </c>
    </row>
    <row r="2158" spans="1:16" x14ac:dyDescent="0.3">
      <c r="A2158" t="s">
        <v>5039</v>
      </c>
      <c r="B2158" s="24">
        <v>101424</v>
      </c>
      <c r="C2158" s="24" t="s">
        <v>1278</v>
      </c>
      <c r="D2158" s="24" t="s">
        <v>1102</v>
      </c>
      <c r="E2158" s="24" t="s">
        <v>51</v>
      </c>
      <c r="F2158" s="24" t="s">
        <v>1142</v>
      </c>
      <c r="G2158" s="24" t="s">
        <v>1203</v>
      </c>
      <c r="H2158" s="24" t="s">
        <v>85</v>
      </c>
      <c r="I2158" s="24" t="s">
        <v>1823</v>
      </c>
      <c r="J2158" s="24" t="s">
        <v>761</v>
      </c>
      <c r="K2158" s="24" t="s">
        <v>1146</v>
      </c>
      <c r="L2158" s="25">
        <v>1070</v>
      </c>
      <c r="M2158" s="26">
        <v>27.44</v>
      </c>
      <c r="N2158" s="27">
        <v>27.44</v>
      </c>
      <c r="O2158" s="28">
        <v>2.4945454545454545E-2</v>
      </c>
      <c r="P2158" s="28">
        <v>25.983008849557525</v>
      </c>
    </row>
    <row r="2159" spans="1:16" x14ac:dyDescent="0.3">
      <c r="A2159" t="s">
        <v>5040</v>
      </c>
      <c r="B2159" s="24">
        <v>106916</v>
      </c>
      <c r="C2159" s="24" t="s">
        <v>1216</v>
      </c>
      <c r="D2159" s="24" t="s">
        <v>1102</v>
      </c>
      <c r="E2159" s="24" t="s">
        <v>51</v>
      </c>
      <c r="F2159" s="24" t="s">
        <v>1142</v>
      </c>
      <c r="G2159" s="24" t="s">
        <v>1203</v>
      </c>
      <c r="H2159" s="24" t="s">
        <v>85</v>
      </c>
      <c r="I2159" s="24" t="s">
        <v>1823</v>
      </c>
      <c r="J2159" s="24" t="s">
        <v>761</v>
      </c>
      <c r="K2159" s="24" t="s">
        <v>1146</v>
      </c>
      <c r="L2159" s="25">
        <v>1070</v>
      </c>
      <c r="M2159" s="26">
        <v>27.44</v>
      </c>
      <c r="N2159" s="27">
        <v>27.44</v>
      </c>
      <c r="O2159" s="28">
        <v>2.4945454545454545E-2</v>
      </c>
      <c r="P2159" s="28">
        <v>25.983008849557525</v>
      </c>
    </row>
    <row r="2160" spans="1:16" x14ac:dyDescent="0.3">
      <c r="A2160" t="s">
        <v>5041</v>
      </c>
      <c r="B2160" s="24">
        <v>100603</v>
      </c>
      <c r="C2160" s="24" t="s">
        <v>1277</v>
      </c>
      <c r="D2160" s="24" t="s">
        <v>1102</v>
      </c>
      <c r="E2160" s="24" t="s">
        <v>51</v>
      </c>
      <c r="F2160" s="24" t="s">
        <v>1142</v>
      </c>
      <c r="G2160" s="24" t="s">
        <v>1082</v>
      </c>
      <c r="H2160" s="24" t="s">
        <v>140</v>
      </c>
      <c r="I2160" s="24" t="s">
        <v>1824</v>
      </c>
      <c r="J2160" s="24" t="s">
        <v>761</v>
      </c>
      <c r="K2160" s="24" t="s">
        <v>1146</v>
      </c>
      <c r="L2160" s="25">
        <v>1070</v>
      </c>
      <c r="M2160" s="26">
        <v>27.16</v>
      </c>
      <c r="N2160" s="27">
        <v>27.16</v>
      </c>
      <c r="O2160" s="28">
        <v>2.469090909090909E-2</v>
      </c>
      <c r="P2160" s="28">
        <v>25.717876106194691</v>
      </c>
    </row>
    <row r="2161" spans="1:16" x14ac:dyDescent="0.3">
      <c r="A2161" t="s">
        <v>5042</v>
      </c>
      <c r="B2161" s="24">
        <v>100603</v>
      </c>
      <c r="C2161" s="24" t="s">
        <v>1277</v>
      </c>
      <c r="D2161" s="24" t="s">
        <v>1102</v>
      </c>
      <c r="E2161" s="24" t="s">
        <v>51</v>
      </c>
      <c r="F2161" s="24" t="s">
        <v>1142</v>
      </c>
      <c r="G2161" s="24" t="s">
        <v>1082</v>
      </c>
      <c r="H2161" s="24" t="s">
        <v>250</v>
      </c>
      <c r="I2161" s="24" t="s">
        <v>1825</v>
      </c>
      <c r="J2161" s="24" t="s">
        <v>761</v>
      </c>
      <c r="K2161" s="24" t="s">
        <v>1146</v>
      </c>
      <c r="L2161" s="25">
        <v>1070</v>
      </c>
      <c r="M2161" s="26">
        <v>53.29</v>
      </c>
      <c r="N2161" s="27">
        <v>53.29</v>
      </c>
      <c r="O2161" s="28">
        <v>4.8445454545454542E-2</v>
      </c>
      <c r="P2161" s="28">
        <v>50.4604424778761</v>
      </c>
    </row>
    <row r="2162" spans="1:16" x14ac:dyDescent="0.3">
      <c r="A2162" t="s">
        <v>5043</v>
      </c>
      <c r="B2162" s="24">
        <v>104155</v>
      </c>
      <c r="C2162" s="24" t="s">
        <v>1826</v>
      </c>
      <c r="D2162" s="24" t="s">
        <v>1102</v>
      </c>
      <c r="E2162" s="24" t="s">
        <v>51</v>
      </c>
      <c r="F2162" s="24" t="s">
        <v>1386</v>
      </c>
      <c r="G2162" s="24" t="s">
        <v>1387</v>
      </c>
      <c r="H2162" s="24" t="s">
        <v>207</v>
      </c>
      <c r="I2162" s="24" t="s">
        <v>1827</v>
      </c>
      <c r="J2162" s="24" t="s">
        <v>761</v>
      </c>
      <c r="K2162" s="24" t="s">
        <v>1146</v>
      </c>
      <c r="L2162" s="25">
        <v>1070</v>
      </c>
      <c r="M2162" s="26">
        <v>0</v>
      </c>
      <c r="N2162" s="27">
        <v>0</v>
      </c>
      <c r="O2162" s="28">
        <v>0</v>
      </c>
      <c r="P2162" s="28">
        <v>0</v>
      </c>
    </row>
    <row r="2163" spans="1:16" x14ac:dyDescent="0.3">
      <c r="A2163" t="s">
        <v>5044</v>
      </c>
      <c r="B2163" s="24">
        <v>142600</v>
      </c>
      <c r="C2163" s="24" t="s">
        <v>1828</v>
      </c>
      <c r="D2163" s="24" t="s">
        <v>1102</v>
      </c>
      <c r="E2163" s="24" t="s">
        <v>51</v>
      </c>
      <c r="F2163" s="24" t="s">
        <v>1386</v>
      </c>
      <c r="G2163" s="24" t="s">
        <v>1387</v>
      </c>
      <c r="H2163" s="24" t="s">
        <v>207</v>
      </c>
      <c r="I2163" s="24" t="s">
        <v>1827</v>
      </c>
      <c r="J2163" s="24" t="s">
        <v>761</v>
      </c>
      <c r="K2163" s="24" t="s">
        <v>1146</v>
      </c>
      <c r="L2163" s="25">
        <v>1070</v>
      </c>
      <c r="M2163" s="26">
        <v>27.69</v>
      </c>
      <c r="N2163" s="27">
        <v>27.69</v>
      </c>
      <c r="O2163" s="28">
        <v>2.5172727272727274E-2</v>
      </c>
      <c r="P2163" s="28">
        <v>26.219734513274339</v>
      </c>
    </row>
    <row r="2164" spans="1:16" x14ac:dyDescent="0.3">
      <c r="A2164" t="s">
        <v>5045</v>
      </c>
      <c r="B2164" s="24">
        <v>101424</v>
      </c>
      <c r="C2164" s="24" t="s">
        <v>1278</v>
      </c>
      <c r="D2164" s="24" t="s">
        <v>1102</v>
      </c>
      <c r="E2164" s="24" t="s">
        <v>51</v>
      </c>
      <c r="F2164" s="24" t="s">
        <v>1142</v>
      </c>
      <c r="G2164" s="24" t="s">
        <v>1203</v>
      </c>
      <c r="H2164" s="24" t="s">
        <v>139</v>
      </c>
      <c r="I2164" s="24" t="s">
        <v>1829</v>
      </c>
      <c r="J2164" s="24" t="s">
        <v>761</v>
      </c>
      <c r="K2164" s="24" t="s">
        <v>1146</v>
      </c>
      <c r="L2164" s="25">
        <v>1070</v>
      </c>
      <c r="M2164" s="26">
        <v>34.68</v>
      </c>
      <c r="N2164" s="27">
        <v>34.68</v>
      </c>
      <c r="O2164" s="28">
        <v>3.152727272727273E-2</v>
      </c>
      <c r="P2164" s="28">
        <v>32.838584070796458</v>
      </c>
    </row>
    <row r="2165" spans="1:16" x14ac:dyDescent="0.3">
      <c r="A2165" t="s">
        <v>5046</v>
      </c>
      <c r="B2165" s="24">
        <v>111550</v>
      </c>
      <c r="C2165" s="24" t="s">
        <v>1582</v>
      </c>
      <c r="D2165" s="24" t="s">
        <v>1102</v>
      </c>
      <c r="E2165" s="24" t="s">
        <v>51</v>
      </c>
      <c r="F2165" s="24" t="s">
        <v>1142</v>
      </c>
      <c r="G2165" s="24" t="s">
        <v>1402</v>
      </c>
      <c r="H2165" s="24" t="s">
        <v>139</v>
      </c>
      <c r="I2165" s="24" t="s">
        <v>1829</v>
      </c>
      <c r="J2165" s="24" t="s">
        <v>761</v>
      </c>
      <c r="K2165" s="24" t="s">
        <v>1146</v>
      </c>
      <c r="L2165" s="25">
        <v>1070</v>
      </c>
      <c r="M2165" s="26">
        <v>32.630000000000003</v>
      </c>
      <c r="N2165" s="27">
        <v>32.630000000000003</v>
      </c>
      <c r="O2165" s="28">
        <v>2.9663636363636364E-2</v>
      </c>
      <c r="P2165" s="28">
        <v>30.897433628318588</v>
      </c>
    </row>
    <row r="2166" spans="1:16" x14ac:dyDescent="0.3">
      <c r="A2166" t="s">
        <v>5047</v>
      </c>
      <c r="B2166" s="24">
        <v>100581</v>
      </c>
      <c r="C2166" s="24" t="s">
        <v>1232</v>
      </c>
      <c r="D2166" s="24" t="s">
        <v>1102</v>
      </c>
      <c r="E2166" s="24" t="s">
        <v>51</v>
      </c>
      <c r="F2166" s="24" t="s">
        <v>1142</v>
      </c>
      <c r="G2166" s="24" t="s">
        <v>1233</v>
      </c>
      <c r="H2166" s="24" t="s">
        <v>130</v>
      </c>
      <c r="I2166" s="24" t="s">
        <v>1830</v>
      </c>
      <c r="J2166" s="24" t="s">
        <v>761</v>
      </c>
      <c r="K2166" s="24" t="s">
        <v>1146</v>
      </c>
      <c r="L2166" s="25">
        <v>1070</v>
      </c>
      <c r="M2166" s="26">
        <v>39.5</v>
      </c>
      <c r="N2166" s="27">
        <v>39.5</v>
      </c>
      <c r="O2166" s="28">
        <v>3.5909090909090911E-2</v>
      </c>
      <c r="P2166" s="28">
        <v>37.402654867256636</v>
      </c>
    </row>
    <row r="2167" spans="1:16" x14ac:dyDescent="0.3">
      <c r="A2167" t="s">
        <v>5048</v>
      </c>
      <c r="B2167" s="24">
        <v>111550</v>
      </c>
      <c r="C2167" s="24" t="s">
        <v>1582</v>
      </c>
      <c r="D2167" s="24" t="s">
        <v>1102</v>
      </c>
      <c r="E2167" s="24" t="s">
        <v>51</v>
      </c>
      <c r="F2167" s="24" t="s">
        <v>1142</v>
      </c>
      <c r="G2167" s="24" t="s">
        <v>1402</v>
      </c>
      <c r="H2167" s="24" t="s">
        <v>130</v>
      </c>
      <c r="I2167" s="24" t="s">
        <v>1830</v>
      </c>
      <c r="J2167" s="24" t="s">
        <v>761</v>
      </c>
      <c r="K2167" s="24" t="s">
        <v>1146</v>
      </c>
      <c r="L2167" s="25">
        <v>1070</v>
      </c>
      <c r="M2167" s="26">
        <v>39.5</v>
      </c>
      <c r="N2167" s="27">
        <v>39.5</v>
      </c>
      <c r="O2167" s="28">
        <v>3.5909090909090911E-2</v>
      </c>
      <c r="P2167" s="28">
        <v>37.402654867256636</v>
      </c>
    </row>
    <row r="2168" spans="1:16" x14ac:dyDescent="0.3">
      <c r="A2168" t="s">
        <v>5049</v>
      </c>
      <c r="B2168" s="24">
        <v>300014</v>
      </c>
      <c r="C2168" s="24" t="s">
        <v>1765</v>
      </c>
      <c r="D2168" s="24" t="s">
        <v>1102</v>
      </c>
      <c r="E2168" s="24" t="s">
        <v>51</v>
      </c>
      <c r="F2168" s="24" t="s">
        <v>1237</v>
      </c>
      <c r="G2168" s="24" t="s">
        <v>1238</v>
      </c>
      <c r="H2168" s="24" t="s">
        <v>221</v>
      </c>
      <c r="I2168" s="24" t="s">
        <v>1831</v>
      </c>
      <c r="J2168" s="24" t="s">
        <v>761</v>
      </c>
      <c r="K2168" s="24" t="s">
        <v>1146</v>
      </c>
      <c r="L2168" s="25">
        <v>1070</v>
      </c>
      <c r="M2168" s="26">
        <v>14.47</v>
      </c>
      <c r="N2168" s="27">
        <v>14.47</v>
      </c>
      <c r="O2168" s="28">
        <v>1.3154545454545455E-2</v>
      </c>
      <c r="P2168" s="28">
        <v>13.701681415929205</v>
      </c>
    </row>
    <row r="2169" spans="1:16" x14ac:dyDescent="0.3">
      <c r="A2169" t="s">
        <v>5050</v>
      </c>
      <c r="B2169" s="24">
        <v>100581</v>
      </c>
      <c r="C2169" s="24" t="s">
        <v>1232</v>
      </c>
      <c r="D2169" s="24" t="s">
        <v>1102</v>
      </c>
      <c r="E2169" s="24" t="s">
        <v>51</v>
      </c>
      <c r="F2169" s="24" t="s">
        <v>1142</v>
      </c>
      <c r="G2169" s="24" t="s">
        <v>1233</v>
      </c>
      <c r="H2169" s="24" t="s">
        <v>318</v>
      </c>
      <c r="I2169" s="24" t="s">
        <v>1832</v>
      </c>
      <c r="J2169" s="24" t="s">
        <v>761</v>
      </c>
      <c r="K2169" s="24" t="s">
        <v>1146</v>
      </c>
      <c r="L2169" s="25">
        <v>1070</v>
      </c>
      <c r="M2169" s="26">
        <v>26.46</v>
      </c>
      <c r="N2169" s="27">
        <v>26.46</v>
      </c>
      <c r="O2169" s="28">
        <v>2.4054545454545457E-2</v>
      </c>
      <c r="P2169" s="28">
        <v>25.05504424778761</v>
      </c>
    </row>
    <row r="2170" spans="1:16" x14ac:dyDescent="0.3">
      <c r="A2170" t="s">
        <v>5051</v>
      </c>
      <c r="B2170" s="24">
        <v>100603</v>
      </c>
      <c r="C2170" s="24" t="s">
        <v>1277</v>
      </c>
      <c r="D2170" s="24" t="s">
        <v>1102</v>
      </c>
      <c r="E2170" s="24" t="s">
        <v>51</v>
      </c>
      <c r="F2170" s="24" t="s">
        <v>1142</v>
      </c>
      <c r="G2170" s="24" t="s">
        <v>1082</v>
      </c>
      <c r="H2170" s="24" t="s">
        <v>318</v>
      </c>
      <c r="I2170" s="24" t="s">
        <v>1832</v>
      </c>
      <c r="J2170" s="24" t="s">
        <v>761</v>
      </c>
      <c r="K2170" s="24" t="s">
        <v>1146</v>
      </c>
      <c r="L2170" s="25">
        <v>1070</v>
      </c>
      <c r="M2170" s="26">
        <v>26.46</v>
      </c>
      <c r="N2170" s="27">
        <v>26.46</v>
      </c>
      <c r="O2170" s="28">
        <v>2.4054545454545457E-2</v>
      </c>
      <c r="P2170" s="28">
        <v>25.05504424778761</v>
      </c>
    </row>
    <row r="2171" spans="1:16" x14ac:dyDescent="0.3">
      <c r="A2171" t="s">
        <v>5052</v>
      </c>
      <c r="B2171" s="24">
        <v>101186</v>
      </c>
      <c r="C2171" s="24" t="s">
        <v>1273</v>
      </c>
      <c r="D2171" s="24" t="s">
        <v>1102</v>
      </c>
      <c r="E2171" s="24" t="s">
        <v>51</v>
      </c>
      <c r="F2171" s="24" t="s">
        <v>1142</v>
      </c>
      <c r="G2171" s="24" t="s">
        <v>1203</v>
      </c>
      <c r="H2171" s="24" t="s">
        <v>318</v>
      </c>
      <c r="I2171" s="24" t="s">
        <v>1832</v>
      </c>
      <c r="J2171" s="24" t="s">
        <v>761</v>
      </c>
      <c r="K2171" s="24" t="s">
        <v>1146</v>
      </c>
      <c r="L2171" s="25">
        <v>1070</v>
      </c>
      <c r="M2171" s="26">
        <v>26.46</v>
      </c>
      <c r="N2171" s="27">
        <v>26.46</v>
      </c>
      <c r="O2171" s="28">
        <v>2.4054545454545457E-2</v>
      </c>
      <c r="P2171" s="28">
        <v>25.05504424778761</v>
      </c>
    </row>
    <row r="2172" spans="1:16" x14ac:dyDescent="0.3">
      <c r="A2172" t="s">
        <v>5053</v>
      </c>
      <c r="B2172" s="24">
        <v>101206</v>
      </c>
      <c r="C2172" s="24" t="s">
        <v>1199</v>
      </c>
      <c r="D2172" s="24" t="s">
        <v>1102</v>
      </c>
      <c r="E2172" s="24" t="s">
        <v>51</v>
      </c>
      <c r="F2172" s="24" t="s">
        <v>1142</v>
      </c>
      <c r="G2172" s="24" t="s">
        <v>1200</v>
      </c>
      <c r="H2172" s="24" t="s">
        <v>318</v>
      </c>
      <c r="I2172" s="24" t="s">
        <v>1832</v>
      </c>
      <c r="J2172" s="24" t="s">
        <v>761</v>
      </c>
      <c r="K2172" s="24" t="s">
        <v>1146</v>
      </c>
      <c r="L2172" s="25">
        <v>1070</v>
      </c>
      <c r="M2172" s="26">
        <v>26.46</v>
      </c>
      <c r="N2172" s="27">
        <v>26.46</v>
      </c>
      <c r="O2172" s="28">
        <v>2.4054545454545457E-2</v>
      </c>
      <c r="P2172" s="28">
        <v>25.05504424778761</v>
      </c>
    </row>
    <row r="2173" spans="1:16" x14ac:dyDescent="0.3">
      <c r="A2173" t="s">
        <v>5054</v>
      </c>
      <c r="B2173" s="24">
        <v>101424</v>
      </c>
      <c r="C2173" s="24" t="s">
        <v>1278</v>
      </c>
      <c r="D2173" s="24" t="s">
        <v>1102</v>
      </c>
      <c r="E2173" s="24" t="s">
        <v>51</v>
      </c>
      <c r="F2173" s="24" t="s">
        <v>1142</v>
      </c>
      <c r="G2173" s="24" t="s">
        <v>1203</v>
      </c>
      <c r="H2173" s="24" t="s">
        <v>318</v>
      </c>
      <c r="I2173" s="24" t="s">
        <v>1832</v>
      </c>
      <c r="J2173" s="24" t="s">
        <v>761</v>
      </c>
      <c r="K2173" s="24" t="s">
        <v>1146</v>
      </c>
      <c r="L2173" s="25">
        <v>1070</v>
      </c>
      <c r="M2173" s="26">
        <v>26.46</v>
      </c>
      <c r="N2173" s="27">
        <v>26.46</v>
      </c>
      <c r="O2173" s="28">
        <v>2.4054545454545457E-2</v>
      </c>
      <c r="P2173" s="28">
        <v>25.05504424778761</v>
      </c>
    </row>
    <row r="2174" spans="1:16" x14ac:dyDescent="0.3">
      <c r="A2174" t="s">
        <v>5055</v>
      </c>
      <c r="B2174" s="24">
        <v>106916</v>
      </c>
      <c r="C2174" s="24" t="s">
        <v>1216</v>
      </c>
      <c r="D2174" s="24" t="s">
        <v>1102</v>
      </c>
      <c r="E2174" s="24" t="s">
        <v>51</v>
      </c>
      <c r="F2174" s="24" t="s">
        <v>1142</v>
      </c>
      <c r="G2174" s="24" t="s">
        <v>1203</v>
      </c>
      <c r="H2174" s="24" t="s">
        <v>318</v>
      </c>
      <c r="I2174" s="24" t="s">
        <v>1832</v>
      </c>
      <c r="J2174" s="24" t="s">
        <v>761</v>
      </c>
      <c r="K2174" s="24" t="s">
        <v>1146</v>
      </c>
      <c r="L2174" s="25">
        <v>1070</v>
      </c>
      <c r="M2174" s="26">
        <v>26.46</v>
      </c>
      <c r="N2174" s="27">
        <v>26.46</v>
      </c>
      <c r="O2174" s="28">
        <v>2.4054545454545457E-2</v>
      </c>
      <c r="P2174" s="28">
        <v>25.05504424778761</v>
      </c>
    </row>
    <row r="2175" spans="1:16" x14ac:dyDescent="0.3">
      <c r="A2175" t="s">
        <v>5056</v>
      </c>
      <c r="B2175" s="24">
        <v>111550</v>
      </c>
      <c r="C2175" s="24" t="s">
        <v>1582</v>
      </c>
      <c r="D2175" s="24" t="s">
        <v>1102</v>
      </c>
      <c r="E2175" s="24" t="s">
        <v>51</v>
      </c>
      <c r="F2175" s="24" t="s">
        <v>1142</v>
      </c>
      <c r="G2175" s="24" t="s">
        <v>1402</v>
      </c>
      <c r="H2175" s="24" t="s">
        <v>318</v>
      </c>
      <c r="I2175" s="24" t="s">
        <v>1832</v>
      </c>
      <c r="J2175" s="24" t="s">
        <v>761</v>
      </c>
      <c r="K2175" s="24" t="s">
        <v>1146</v>
      </c>
      <c r="L2175" s="25">
        <v>1070</v>
      </c>
      <c r="M2175" s="26">
        <v>26.46</v>
      </c>
      <c r="N2175" s="27">
        <v>26.46</v>
      </c>
      <c r="O2175" s="28">
        <v>2.4054545454545457E-2</v>
      </c>
      <c r="P2175" s="28">
        <v>25.05504424778761</v>
      </c>
    </row>
    <row r="2176" spans="1:16" x14ac:dyDescent="0.3">
      <c r="A2176" t="s">
        <v>5057</v>
      </c>
      <c r="B2176" s="24">
        <v>114501</v>
      </c>
      <c r="C2176" s="24" t="s">
        <v>1409</v>
      </c>
      <c r="D2176" s="24" t="s">
        <v>1102</v>
      </c>
      <c r="E2176" s="24" t="s">
        <v>51</v>
      </c>
      <c r="F2176" s="24" t="s">
        <v>1142</v>
      </c>
      <c r="G2176" s="24" t="s">
        <v>1402</v>
      </c>
      <c r="H2176" s="24" t="s">
        <v>318</v>
      </c>
      <c r="I2176" s="24" t="s">
        <v>1832</v>
      </c>
      <c r="J2176" s="24" t="s">
        <v>761</v>
      </c>
      <c r="K2176" s="24" t="s">
        <v>1146</v>
      </c>
      <c r="L2176" s="25">
        <v>1070</v>
      </c>
      <c r="M2176" s="26">
        <v>26.46</v>
      </c>
      <c r="N2176" s="27">
        <v>26.46</v>
      </c>
      <c r="O2176" s="28">
        <v>2.4054545454545457E-2</v>
      </c>
      <c r="P2176" s="28">
        <v>25.05504424778761</v>
      </c>
    </row>
    <row r="2177" spans="1:16" x14ac:dyDescent="0.3">
      <c r="A2177" t="s">
        <v>5058</v>
      </c>
      <c r="B2177" s="24">
        <v>142310</v>
      </c>
      <c r="C2177" s="24" t="s">
        <v>1474</v>
      </c>
      <c r="D2177" s="24" t="s">
        <v>1102</v>
      </c>
      <c r="E2177" s="24" t="s">
        <v>51</v>
      </c>
      <c r="F2177" s="24" t="s">
        <v>1142</v>
      </c>
      <c r="G2177" s="24" t="s">
        <v>1402</v>
      </c>
      <c r="H2177" s="24" t="s">
        <v>318</v>
      </c>
      <c r="I2177" s="24" t="s">
        <v>1832</v>
      </c>
      <c r="J2177" s="24" t="s">
        <v>761</v>
      </c>
      <c r="K2177" s="24" t="s">
        <v>1146</v>
      </c>
      <c r="L2177" s="25">
        <v>1070</v>
      </c>
      <c r="M2177" s="26">
        <v>26.46</v>
      </c>
      <c r="N2177" s="27">
        <v>26.46</v>
      </c>
      <c r="O2177" s="28">
        <v>2.4054545454545457E-2</v>
      </c>
      <c r="P2177" s="28">
        <v>25.05504424778761</v>
      </c>
    </row>
    <row r="2178" spans="1:16" x14ac:dyDescent="0.3">
      <c r="A2178" t="s">
        <v>5059</v>
      </c>
      <c r="B2178" s="24">
        <v>100603</v>
      </c>
      <c r="C2178" s="24" t="s">
        <v>1277</v>
      </c>
      <c r="D2178" s="24" t="s">
        <v>1102</v>
      </c>
      <c r="E2178" s="24" t="s">
        <v>51</v>
      </c>
      <c r="F2178" s="24" t="s">
        <v>1142</v>
      </c>
      <c r="G2178" s="24" t="s">
        <v>1082</v>
      </c>
      <c r="H2178" s="24" t="s">
        <v>319</v>
      </c>
      <c r="I2178" s="24" t="s">
        <v>1833</v>
      </c>
      <c r="J2178" s="24" t="s">
        <v>761</v>
      </c>
      <c r="K2178" s="24" t="s">
        <v>1146</v>
      </c>
      <c r="L2178" s="25">
        <v>1070</v>
      </c>
      <c r="M2178" s="26">
        <v>17.190000000000001</v>
      </c>
      <c r="N2178" s="27">
        <v>17.190000000000001</v>
      </c>
      <c r="O2178" s="28">
        <v>1.5627272727272729E-2</v>
      </c>
      <c r="P2178" s="28">
        <v>16.277256637168144</v>
      </c>
    </row>
    <row r="2179" spans="1:16" x14ac:dyDescent="0.3">
      <c r="A2179" t="s">
        <v>5060</v>
      </c>
      <c r="B2179" s="24">
        <v>101186</v>
      </c>
      <c r="C2179" s="24" t="s">
        <v>1273</v>
      </c>
      <c r="D2179" s="24" t="s">
        <v>1102</v>
      </c>
      <c r="E2179" s="24" t="s">
        <v>51</v>
      </c>
      <c r="F2179" s="24" t="s">
        <v>1142</v>
      </c>
      <c r="G2179" s="24" t="s">
        <v>1203</v>
      </c>
      <c r="H2179" s="24" t="s">
        <v>317</v>
      </c>
      <c r="I2179" s="24" t="s">
        <v>1834</v>
      </c>
      <c r="J2179" s="24" t="s">
        <v>761</v>
      </c>
      <c r="K2179" s="24" t="s">
        <v>1146</v>
      </c>
      <c r="L2179" s="25">
        <v>1070</v>
      </c>
      <c r="M2179" s="26">
        <v>18.71</v>
      </c>
      <c r="N2179" s="27">
        <v>18.71</v>
      </c>
      <c r="O2179" s="28">
        <v>1.7009090909090911E-2</v>
      </c>
      <c r="P2179" s="28">
        <v>17.716548672566372</v>
      </c>
    </row>
    <row r="2180" spans="1:16" x14ac:dyDescent="0.3">
      <c r="A2180" t="s">
        <v>5061</v>
      </c>
      <c r="B2180" s="24">
        <v>101424</v>
      </c>
      <c r="C2180" s="24" t="s">
        <v>1278</v>
      </c>
      <c r="D2180" s="24" t="s">
        <v>1102</v>
      </c>
      <c r="E2180" s="24" t="s">
        <v>51</v>
      </c>
      <c r="F2180" s="24" t="s">
        <v>1142</v>
      </c>
      <c r="G2180" s="24" t="s">
        <v>1203</v>
      </c>
      <c r="H2180" s="24" t="s">
        <v>317</v>
      </c>
      <c r="I2180" s="24" t="s">
        <v>1834</v>
      </c>
      <c r="J2180" s="24" t="s">
        <v>761</v>
      </c>
      <c r="K2180" s="24" t="s">
        <v>1146</v>
      </c>
      <c r="L2180" s="25">
        <v>1070</v>
      </c>
      <c r="M2180" s="26">
        <v>18.71</v>
      </c>
      <c r="N2180" s="27">
        <v>18.71</v>
      </c>
      <c r="O2180" s="28">
        <v>1.7009090909090911E-2</v>
      </c>
      <c r="P2180" s="28">
        <v>17.716548672566372</v>
      </c>
    </row>
    <row r="2181" spans="1:16" x14ac:dyDescent="0.3">
      <c r="A2181" t="s">
        <v>5062</v>
      </c>
      <c r="B2181" s="24">
        <v>100581</v>
      </c>
      <c r="C2181" s="24" t="s">
        <v>1232</v>
      </c>
      <c r="D2181" s="24" t="s">
        <v>1102</v>
      </c>
      <c r="E2181" s="24" t="s">
        <v>51</v>
      </c>
      <c r="F2181" s="24" t="s">
        <v>1142</v>
      </c>
      <c r="G2181" s="24" t="s">
        <v>1233</v>
      </c>
      <c r="H2181" s="24" t="s">
        <v>356</v>
      </c>
      <c r="I2181" s="24" t="s">
        <v>1835</v>
      </c>
      <c r="J2181" s="24" t="s">
        <v>761</v>
      </c>
      <c r="K2181" s="24" t="s">
        <v>1146</v>
      </c>
      <c r="L2181" s="25">
        <v>1070</v>
      </c>
      <c r="M2181" s="26">
        <v>23</v>
      </c>
      <c r="N2181" s="27">
        <v>23</v>
      </c>
      <c r="O2181" s="28">
        <v>2.0909090909090908E-2</v>
      </c>
      <c r="P2181" s="28">
        <v>21.778761061946902</v>
      </c>
    </row>
    <row r="2182" spans="1:16" x14ac:dyDescent="0.3">
      <c r="A2182" t="s">
        <v>5063</v>
      </c>
      <c r="B2182" s="24">
        <v>100581</v>
      </c>
      <c r="C2182" s="24" t="s">
        <v>1232</v>
      </c>
      <c r="D2182" s="24" t="s">
        <v>1102</v>
      </c>
      <c r="E2182" s="24" t="s">
        <v>51</v>
      </c>
      <c r="F2182" s="24" t="s">
        <v>1142</v>
      </c>
      <c r="G2182" s="24" t="s">
        <v>1233</v>
      </c>
      <c r="H2182" s="24" t="s">
        <v>357</v>
      </c>
      <c r="I2182" s="24" t="s">
        <v>1836</v>
      </c>
      <c r="J2182" s="24" t="s">
        <v>761</v>
      </c>
      <c r="K2182" s="24" t="s">
        <v>1146</v>
      </c>
      <c r="L2182" s="25">
        <v>1070</v>
      </c>
      <c r="M2182" s="26">
        <v>20.079999999999998</v>
      </c>
      <c r="N2182" s="27">
        <v>20.079999999999998</v>
      </c>
      <c r="O2182" s="28">
        <v>1.8254545454545454E-2</v>
      </c>
      <c r="P2182" s="28">
        <v>19.013805309734511</v>
      </c>
    </row>
    <row r="2183" spans="1:16" x14ac:dyDescent="0.3">
      <c r="A2183" t="s">
        <v>5064</v>
      </c>
      <c r="B2183" s="24">
        <v>100603</v>
      </c>
      <c r="C2183" s="24" t="s">
        <v>1277</v>
      </c>
      <c r="D2183" s="24" t="s">
        <v>1102</v>
      </c>
      <c r="E2183" s="24" t="s">
        <v>51</v>
      </c>
      <c r="F2183" s="24" t="s">
        <v>1142</v>
      </c>
      <c r="G2183" s="24" t="s">
        <v>1082</v>
      </c>
      <c r="H2183" s="24" t="s">
        <v>357</v>
      </c>
      <c r="I2183" s="24" t="s">
        <v>1836</v>
      </c>
      <c r="J2183" s="24" t="s">
        <v>761</v>
      </c>
      <c r="K2183" s="24" t="s">
        <v>1146</v>
      </c>
      <c r="L2183" s="25">
        <v>1070</v>
      </c>
      <c r="M2183" s="26">
        <v>20.079999999999998</v>
      </c>
      <c r="N2183" s="27">
        <v>20.079999999999998</v>
      </c>
      <c r="O2183" s="28">
        <v>1.8254545454545454E-2</v>
      </c>
      <c r="P2183" s="28">
        <v>19.013805309734511</v>
      </c>
    </row>
    <row r="2184" spans="1:16" x14ac:dyDescent="0.3">
      <c r="A2184" t="s">
        <v>5065</v>
      </c>
      <c r="B2184" s="24">
        <v>101186</v>
      </c>
      <c r="C2184" s="24" t="s">
        <v>1273</v>
      </c>
      <c r="D2184" s="24" t="s">
        <v>1102</v>
      </c>
      <c r="E2184" s="24" t="s">
        <v>51</v>
      </c>
      <c r="F2184" s="24" t="s">
        <v>1142</v>
      </c>
      <c r="G2184" s="24" t="s">
        <v>1203</v>
      </c>
      <c r="H2184" s="24" t="s">
        <v>357</v>
      </c>
      <c r="I2184" s="24" t="s">
        <v>1836</v>
      </c>
      <c r="J2184" s="24" t="s">
        <v>761</v>
      </c>
      <c r="K2184" s="24" t="s">
        <v>1146</v>
      </c>
      <c r="L2184" s="25">
        <v>1070</v>
      </c>
      <c r="M2184" s="26">
        <v>20.079999999999998</v>
      </c>
      <c r="N2184" s="27">
        <v>20.079999999999998</v>
      </c>
      <c r="O2184" s="28">
        <v>1.8254545454545454E-2</v>
      </c>
      <c r="P2184" s="28">
        <v>19.013805309734511</v>
      </c>
    </row>
    <row r="2185" spans="1:16" x14ac:dyDescent="0.3">
      <c r="A2185" t="s">
        <v>5066</v>
      </c>
      <c r="B2185" s="24">
        <v>101206</v>
      </c>
      <c r="C2185" s="24" t="s">
        <v>1199</v>
      </c>
      <c r="D2185" s="24" t="s">
        <v>1102</v>
      </c>
      <c r="E2185" s="24" t="s">
        <v>51</v>
      </c>
      <c r="F2185" s="24" t="s">
        <v>1142</v>
      </c>
      <c r="G2185" s="24" t="s">
        <v>1200</v>
      </c>
      <c r="H2185" s="24" t="s">
        <v>357</v>
      </c>
      <c r="I2185" s="24" t="s">
        <v>1836</v>
      </c>
      <c r="J2185" s="24" t="s">
        <v>761</v>
      </c>
      <c r="K2185" s="24" t="s">
        <v>1146</v>
      </c>
      <c r="L2185" s="25">
        <v>1070</v>
      </c>
      <c r="M2185" s="26">
        <v>20.079999999999998</v>
      </c>
      <c r="N2185" s="27">
        <v>20.079999999999998</v>
      </c>
      <c r="O2185" s="28">
        <v>1.8254545454545454E-2</v>
      </c>
      <c r="P2185" s="28">
        <v>19.013805309734511</v>
      </c>
    </row>
    <row r="2186" spans="1:16" x14ac:dyDescent="0.3">
      <c r="A2186" t="s">
        <v>5067</v>
      </c>
      <c r="B2186" s="24">
        <v>101424</v>
      </c>
      <c r="C2186" s="24" t="s">
        <v>1278</v>
      </c>
      <c r="D2186" s="24" t="s">
        <v>1102</v>
      </c>
      <c r="E2186" s="24" t="s">
        <v>51</v>
      </c>
      <c r="F2186" s="24" t="s">
        <v>1142</v>
      </c>
      <c r="G2186" s="24" t="s">
        <v>1203</v>
      </c>
      <c r="H2186" s="24" t="s">
        <v>357</v>
      </c>
      <c r="I2186" s="24" t="s">
        <v>1836</v>
      </c>
      <c r="J2186" s="24" t="s">
        <v>761</v>
      </c>
      <c r="K2186" s="24" t="s">
        <v>1146</v>
      </c>
      <c r="L2186" s="25">
        <v>1070</v>
      </c>
      <c r="M2186" s="26">
        <v>20.079999999999998</v>
      </c>
      <c r="N2186" s="27">
        <v>20.079999999999998</v>
      </c>
      <c r="O2186" s="28">
        <v>1.8254545454545454E-2</v>
      </c>
      <c r="P2186" s="28">
        <v>19.013805309734511</v>
      </c>
    </row>
    <row r="2187" spans="1:16" x14ac:dyDescent="0.3">
      <c r="A2187" t="s">
        <v>5068</v>
      </c>
      <c r="B2187" s="24">
        <v>111550</v>
      </c>
      <c r="C2187" s="24" t="s">
        <v>1582</v>
      </c>
      <c r="D2187" s="24" t="s">
        <v>1102</v>
      </c>
      <c r="E2187" s="24" t="s">
        <v>51</v>
      </c>
      <c r="F2187" s="24" t="s">
        <v>1142</v>
      </c>
      <c r="G2187" s="24" t="s">
        <v>1402</v>
      </c>
      <c r="H2187" s="24" t="s">
        <v>357</v>
      </c>
      <c r="I2187" s="24" t="s">
        <v>1836</v>
      </c>
      <c r="J2187" s="24" t="s">
        <v>761</v>
      </c>
      <c r="K2187" s="24" t="s">
        <v>1146</v>
      </c>
      <c r="L2187" s="25">
        <v>1070</v>
      </c>
      <c r="M2187" s="26">
        <v>20.28</v>
      </c>
      <c r="N2187" s="27">
        <v>20.28</v>
      </c>
      <c r="O2187" s="28">
        <v>1.8436363636363636E-2</v>
      </c>
      <c r="P2187" s="28">
        <v>19.203185840707967</v>
      </c>
    </row>
    <row r="2188" spans="1:16" x14ac:dyDescent="0.3">
      <c r="A2188" t="s">
        <v>5069</v>
      </c>
      <c r="B2188" s="24">
        <v>114501</v>
      </c>
      <c r="C2188" s="24" t="s">
        <v>1409</v>
      </c>
      <c r="D2188" s="24" t="s">
        <v>1102</v>
      </c>
      <c r="E2188" s="24" t="s">
        <v>51</v>
      </c>
      <c r="F2188" s="24" t="s">
        <v>1142</v>
      </c>
      <c r="G2188" s="24" t="s">
        <v>1402</v>
      </c>
      <c r="H2188" s="24" t="s">
        <v>357</v>
      </c>
      <c r="I2188" s="24" t="s">
        <v>1836</v>
      </c>
      <c r="J2188" s="24" t="s">
        <v>761</v>
      </c>
      <c r="K2188" s="24" t="s">
        <v>1146</v>
      </c>
      <c r="L2188" s="25">
        <v>1070</v>
      </c>
      <c r="M2188" s="26">
        <v>20.079999999999998</v>
      </c>
      <c r="N2188" s="27">
        <v>20.079999999999998</v>
      </c>
      <c r="O2188" s="28">
        <v>1.8254545454545454E-2</v>
      </c>
      <c r="P2188" s="28">
        <v>19.013805309734511</v>
      </c>
    </row>
    <row r="2189" spans="1:16" x14ac:dyDescent="0.3">
      <c r="A2189" t="s">
        <v>5070</v>
      </c>
      <c r="B2189" s="24">
        <v>100581</v>
      </c>
      <c r="C2189" s="24" t="s">
        <v>1232</v>
      </c>
      <c r="D2189" s="24" t="s">
        <v>1102</v>
      </c>
      <c r="E2189" s="24" t="s">
        <v>51</v>
      </c>
      <c r="F2189" s="24" t="s">
        <v>1142</v>
      </c>
      <c r="G2189" s="24" t="s">
        <v>1233</v>
      </c>
      <c r="H2189" s="24" t="s">
        <v>358</v>
      </c>
      <c r="I2189" s="24" t="s">
        <v>1837</v>
      </c>
      <c r="J2189" s="24" t="s">
        <v>761</v>
      </c>
      <c r="K2189" s="24" t="s">
        <v>1146</v>
      </c>
      <c r="L2189" s="25">
        <v>1070</v>
      </c>
      <c r="M2189" s="26">
        <v>26.98</v>
      </c>
      <c r="N2189" s="27">
        <v>26.98</v>
      </c>
      <c r="O2189" s="28">
        <v>2.4527272727272727E-2</v>
      </c>
      <c r="P2189" s="28">
        <v>25.547433628318586</v>
      </c>
    </row>
    <row r="2190" spans="1:16" x14ac:dyDescent="0.3">
      <c r="A2190" t="s">
        <v>5071</v>
      </c>
      <c r="B2190" s="24">
        <v>100603</v>
      </c>
      <c r="C2190" s="24" t="s">
        <v>1277</v>
      </c>
      <c r="D2190" s="24" t="s">
        <v>1102</v>
      </c>
      <c r="E2190" s="24" t="s">
        <v>51</v>
      </c>
      <c r="F2190" s="24" t="s">
        <v>1142</v>
      </c>
      <c r="G2190" s="24" t="s">
        <v>1082</v>
      </c>
      <c r="H2190" s="24" t="s">
        <v>358</v>
      </c>
      <c r="I2190" s="24" t="s">
        <v>1837</v>
      </c>
      <c r="J2190" s="24" t="s">
        <v>761</v>
      </c>
      <c r="K2190" s="24" t="s">
        <v>1146</v>
      </c>
      <c r="L2190" s="25">
        <v>1070</v>
      </c>
      <c r="M2190" s="26">
        <v>26.98</v>
      </c>
      <c r="N2190" s="27">
        <v>26.98</v>
      </c>
      <c r="O2190" s="28">
        <v>2.4527272727272727E-2</v>
      </c>
      <c r="P2190" s="28">
        <v>25.547433628318586</v>
      </c>
    </row>
    <row r="2191" spans="1:16" x14ac:dyDescent="0.3">
      <c r="A2191" t="s">
        <v>5072</v>
      </c>
      <c r="B2191" s="24">
        <v>101186</v>
      </c>
      <c r="C2191" s="24" t="s">
        <v>1273</v>
      </c>
      <c r="D2191" s="24" t="s">
        <v>1102</v>
      </c>
      <c r="E2191" s="24" t="s">
        <v>51</v>
      </c>
      <c r="F2191" s="24" t="s">
        <v>1142</v>
      </c>
      <c r="G2191" s="24" t="s">
        <v>1203</v>
      </c>
      <c r="H2191" s="24" t="s">
        <v>358</v>
      </c>
      <c r="I2191" s="24" t="s">
        <v>1837</v>
      </c>
      <c r="J2191" s="24" t="s">
        <v>761</v>
      </c>
      <c r="K2191" s="24" t="s">
        <v>1146</v>
      </c>
      <c r="L2191" s="25">
        <v>1070</v>
      </c>
      <c r="M2191" s="26">
        <v>26.98</v>
      </c>
      <c r="N2191" s="27">
        <v>26.98</v>
      </c>
      <c r="O2191" s="28">
        <v>2.4527272727272727E-2</v>
      </c>
      <c r="P2191" s="28">
        <v>25.547433628318586</v>
      </c>
    </row>
    <row r="2192" spans="1:16" x14ac:dyDescent="0.3">
      <c r="A2192" t="s">
        <v>5073</v>
      </c>
      <c r="B2192" s="24">
        <v>101424</v>
      </c>
      <c r="C2192" s="24" t="s">
        <v>1278</v>
      </c>
      <c r="D2192" s="24" t="s">
        <v>1102</v>
      </c>
      <c r="E2192" s="24" t="s">
        <v>51</v>
      </c>
      <c r="F2192" s="24" t="s">
        <v>1142</v>
      </c>
      <c r="G2192" s="24" t="s">
        <v>1203</v>
      </c>
      <c r="H2192" s="24" t="s">
        <v>358</v>
      </c>
      <c r="I2192" s="24" t="s">
        <v>1837</v>
      </c>
      <c r="J2192" s="24" t="s">
        <v>761</v>
      </c>
      <c r="K2192" s="24" t="s">
        <v>1146</v>
      </c>
      <c r="L2192" s="25">
        <v>1070</v>
      </c>
      <c r="M2192" s="26">
        <v>26.98</v>
      </c>
      <c r="N2192" s="27">
        <v>26.98</v>
      </c>
      <c r="O2192" s="28">
        <v>2.4527272727272727E-2</v>
      </c>
      <c r="P2192" s="28">
        <v>25.547433628318586</v>
      </c>
    </row>
    <row r="2193" spans="1:16" x14ac:dyDescent="0.3">
      <c r="A2193" t="s">
        <v>5074</v>
      </c>
      <c r="B2193" s="24">
        <v>111550</v>
      </c>
      <c r="C2193" s="24" t="s">
        <v>1582</v>
      </c>
      <c r="D2193" s="24" t="s">
        <v>1102</v>
      </c>
      <c r="E2193" s="24" t="s">
        <v>51</v>
      </c>
      <c r="F2193" s="24" t="s">
        <v>1142</v>
      </c>
      <c r="G2193" s="24" t="s">
        <v>1402</v>
      </c>
      <c r="H2193" s="24" t="s">
        <v>358</v>
      </c>
      <c r="I2193" s="24" t="s">
        <v>1837</v>
      </c>
      <c r="J2193" s="24" t="s">
        <v>761</v>
      </c>
      <c r="K2193" s="24" t="s">
        <v>1146</v>
      </c>
      <c r="L2193" s="25">
        <v>1070</v>
      </c>
      <c r="M2193" s="26">
        <v>26.98</v>
      </c>
      <c r="N2193" s="27">
        <v>26.98</v>
      </c>
      <c r="O2193" s="28">
        <v>2.4527272727272727E-2</v>
      </c>
      <c r="P2193" s="28">
        <v>25.547433628318586</v>
      </c>
    </row>
    <row r="2194" spans="1:16" x14ac:dyDescent="0.3">
      <c r="A2194" t="s">
        <v>5075</v>
      </c>
      <c r="B2194" s="24">
        <v>114501</v>
      </c>
      <c r="C2194" s="24" t="s">
        <v>1409</v>
      </c>
      <c r="D2194" s="24" t="s">
        <v>1102</v>
      </c>
      <c r="E2194" s="24" t="s">
        <v>51</v>
      </c>
      <c r="F2194" s="24" t="s">
        <v>1142</v>
      </c>
      <c r="G2194" s="24" t="s">
        <v>1402</v>
      </c>
      <c r="H2194" s="24" t="s">
        <v>358</v>
      </c>
      <c r="I2194" s="24" t="s">
        <v>1837</v>
      </c>
      <c r="J2194" s="24" t="s">
        <v>761</v>
      </c>
      <c r="K2194" s="24" t="s">
        <v>1146</v>
      </c>
      <c r="L2194" s="25">
        <v>1070</v>
      </c>
      <c r="M2194" s="26">
        <v>26.98</v>
      </c>
      <c r="N2194" s="27">
        <v>26.98</v>
      </c>
      <c r="O2194" s="28">
        <v>2.4527272727272727E-2</v>
      </c>
      <c r="P2194" s="28">
        <v>25.547433628318586</v>
      </c>
    </row>
    <row r="2195" spans="1:16" x14ac:dyDescent="0.3">
      <c r="A2195" t="s">
        <v>5076</v>
      </c>
      <c r="B2195" s="24">
        <v>100581</v>
      </c>
      <c r="C2195" s="24" t="s">
        <v>1232</v>
      </c>
      <c r="D2195" s="24" t="s">
        <v>1102</v>
      </c>
      <c r="E2195" s="24" t="s">
        <v>51</v>
      </c>
      <c r="F2195" s="24" t="s">
        <v>1142</v>
      </c>
      <c r="G2195" s="24" t="s">
        <v>1233</v>
      </c>
      <c r="H2195" s="24" t="s">
        <v>1838</v>
      </c>
      <c r="I2195" s="24" t="s">
        <v>1839</v>
      </c>
      <c r="J2195" s="24" t="s">
        <v>761</v>
      </c>
      <c r="K2195" s="24" t="s">
        <v>1146</v>
      </c>
      <c r="L2195" s="25">
        <v>1070</v>
      </c>
      <c r="M2195" s="26">
        <v>66.5</v>
      </c>
      <c r="N2195" s="27">
        <v>66.5</v>
      </c>
      <c r="O2195" s="28">
        <v>6.0454545454545455E-2</v>
      </c>
      <c r="P2195" s="28">
        <v>62.969026548672566</v>
      </c>
    </row>
    <row r="2196" spans="1:16" x14ac:dyDescent="0.3">
      <c r="A2196" t="s">
        <v>5077</v>
      </c>
      <c r="B2196" s="24">
        <v>100581</v>
      </c>
      <c r="C2196" s="24" t="s">
        <v>1232</v>
      </c>
      <c r="D2196" s="24" t="s">
        <v>1102</v>
      </c>
      <c r="E2196" s="24" t="s">
        <v>51</v>
      </c>
      <c r="F2196" s="24" t="s">
        <v>1142</v>
      </c>
      <c r="G2196" s="24" t="s">
        <v>1233</v>
      </c>
      <c r="H2196" s="24" t="s">
        <v>88</v>
      </c>
      <c r="I2196" s="24" t="s">
        <v>1840</v>
      </c>
      <c r="J2196" s="24" t="s">
        <v>761</v>
      </c>
      <c r="K2196" s="24" t="s">
        <v>1146</v>
      </c>
      <c r="L2196" s="25">
        <v>1070</v>
      </c>
      <c r="M2196" s="26">
        <v>48</v>
      </c>
      <c r="N2196" s="27">
        <v>48</v>
      </c>
      <c r="O2196" s="28">
        <v>4.363636363636364E-2</v>
      </c>
      <c r="P2196" s="28">
        <v>45.451327433628322</v>
      </c>
    </row>
    <row r="2197" spans="1:16" x14ac:dyDescent="0.3">
      <c r="A2197" t="s">
        <v>5078</v>
      </c>
      <c r="B2197" s="24">
        <v>100581</v>
      </c>
      <c r="C2197" s="24" t="s">
        <v>1232</v>
      </c>
      <c r="D2197" s="24" t="s">
        <v>1102</v>
      </c>
      <c r="E2197" s="24" t="s">
        <v>51</v>
      </c>
      <c r="F2197" s="24" t="s">
        <v>1142</v>
      </c>
      <c r="G2197" s="24" t="s">
        <v>1233</v>
      </c>
      <c r="H2197" s="24" t="s">
        <v>1071</v>
      </c>
      <c r="I2197" s="24" t="s">
        <v>1841</v>
      </c>
      <c r="J2197" s="24" t="s">
        <v>761</v>
      </c>
      <c r="K2197" s="24" t="s">
        <v>1146</v>
      </c>
      <c r="L2197" s="25">
        <v>1070</v>
      </c>
      <c r="M2197" s="26">
        <v>20.100000000000001</v>
      </c>
      <c r="N2197" s="27">
        <v>20.100000000000001</v>
      </c>
      <c r="O2197" s="28">
        <v>1.8272727272727274E-2</v>
      </c>
      <c r="P2197" s="28">
        <v>19.032743362831859</v>
      </c>
    </row>
    <row r="2198" spans="1:16" x14ac:dyDescent="0.3">
      <c r="A2198" t="s">
        <v>5079</v>
      </c>
      <c r="B2198" s="24">
        <v>101424</v>
      </c>
      <c r="C2198" s="24" t="s">
        <v>1278</v>
      </c>
      <c r="D2198" s="24" t="s">
        <v>1102</v>
      </c>
      <c r="E2198" s="24" t="s">
        <v>51</v>
      </c>
      <c r="F2198" s="24" t="s">
        <v>1142</v>
      </c>
      <c r="G2198" s="24" t="s">
        <v>1203</v>
      </c>
      <c r="H2198" s="24" t="s">
        <v>1071</v>
      </c>
      <c r="I2198" s="24" t="s">
        <v>1841</v>
      </c>
      <c r="J2198" s="24" t="s">
        <v>761</v>
      </c>
      <c r="K2198" s="24" t="s">
        <v>1146</v>
      </c>
      <c r="L2198" s="25">
        <v>1070</v>
      </c>
      <c r="M2198" s="26">
        <v>20.72</v>
      </c>
      <c r="N2198" s="27">
        <v>20.72</v>
      </c>
      <c r="O2198" s="28">
        <v>1.8836363636363634E-2</v>
      </c>
      <c r="P2198" s="28">
        <v>19.619823008849554</v>
      </c>
    </row>
    <row r="2199" spans="1:16" x14ac:dyDescent="0.3">
      <c r="A2199" t="s">
        <v>5080</v>
      </c>
      <c r="B2199" s="24">
        <v>100581</v>
      </c>
      <c r="C2199" s="24" t="s">
        <v>1232</v>
      </c>
      <c r="D2199" s="24" t="s">
        <v>1102</v>
      </c>
      <c r="E2199" s="24" t="s">
        <v>51</v>
      </c>
      <c r="F2199" s="24" t="s">
        <v>1142</v>
      </c>
      <c r="G2199" s="24" t="s">
        <v>1233</v>
      </c>
      <c r="H2199" s="24" t="s">
        <v>284</v>
      </c>
      <c r="I2199" s="24" t="s">
        <v>1842</v>
      </c>
      <c r="J2199" s="24" t="s">
        <v>761</v>
      </c>
      <c r="K2199" s="24" t="s">
        <v>1146</v>
      </c>
      <c r="L2199" s="25">
        <v>1070</v>
      </c>
      <c r="M2199" s="26">
        <v>18.82</v>
      </c>
      <c r="N2199" s="27">
        <v>18.82</v>
      </c>
      <c r="O2199" s="28">
        <v>1.7109090909090911E-2</v>
      </c>
      <c r="P2199" s="28">
        <v>17.82070796460177</v>
      </c>
    </row>
    <row r="2200" spans="1:16" x14ac:dyDescent="0.3">
      <c r="A2200" t="s">
        <v>5081</v>
      </c>
      <c r="B2200" s="24">
        <v>100603</v>
      </c>
      <c r="C2200" s="24" t="s">
        <v>1277</v>
      </c>
      <c r="D2200" s="24" t="s">
        <v>1102</v>
      </c>
      <c r="E2200" s="24" t="s">
        <v>51</v>
      </c>
      <c r="F2200" s="24" t="s">
        <v>1142</v>
      </c>
      <c r="G2200" s="24" t="s">
        <v>1082</v>
      </c>
      <c r="H2200" s="24" t="s">
        <v>284</v>
      </c>
      <c r="I2200" s="24" t="s">
        <v>1842</v>
      </c>
      <c r="J2200" s="24" t="s">
        <v>761</v>
      </c>
      <c r="K2200" s="24" t="s">
        <v>1146</v>
      </c>
      <c r="L2200" s="25">
        <v>1070</v>
      </c>
      <c r="M2200" s="26">
        <v>18.82</v>
      </c>
      <c r="N2200" s="27">
        <v>18.82</v>
      </c>
      <c r="O2200" s="28">
        <v>1.7109090909090911E-2</v>
      </c>
      <c r="P2200" s="28">
        <v>17.82070796460177</v>
      </c>
    </row>
    <row r="2201" spans="1:16" x14ac:dyDescent="0.3">
      <c r="A2201" t="s">
        <v>5082</v>
      </c>
      <c r="B2201" s="24">
        <v>101186</v>
      </c>
      <c r="C2201" s="24" t="s">
        <v>1273</v>
      </c>
      <c r="D2201" s="24" t="s">
        <v>1102</v>
      </c>
      <c r="E2201" s="24" t="s">
        <v>51</v>
      </c>
      <c r="F2201" s="24" t="s">
        <v>1142</v>
      </c>
      <c r="G2201" s="24" t="s">
        <v>1203</v>
      </c>
      <c r="H2201" s="24" t="s">
        <v>284</v>
      </c>
      <c r="I2201" s="24" t="s">
        <v>1842</v>
      </c>
      <c r="J2201" s="24" t="s">
        <v>761</v>
      </c>
      <c r="K2201" s="24" t="s">
        <v>1146</v>
      </c>
      <c r="L2201" s="25">
        <v>1070</v>
      </c>
      <c r="M2201" s="26">
        <v>18.82</v>
      </c>
      <c r="N2201" s="27">
        <v>18.82</v>
      </c>
      <c r="O2201" s="28">
        <v>1.7109090909090911E-2</v>
      </c>
      <c r="P2201" s="28">
        <v>17.82070796460177</v>
      </c>
    </row>
    <row r="2202" spans="1:16" x14ac:dyDescent="0.3">
      <c r="A2202" t="s">
        <v>5083</v>
      </c>
      <c r="B2202" s="24">
        <v>101206</v>
      </c>
      <c r="C2202" s="24" t="s">
        <v>1199</v>
      </c>
      <c r="D2202" s="24" t="s">
        <v>1102</v>
      </c>
      <c r="E2202" s="24" t="s">
        <v>51</v>
      </c>
      <c r="F2202" s="24" t="s">
        <v>1142</v>
      </c>
      <c r="G2202" s="24" t="s">
        <v>1200</v>
      </c>
      <c r="H2202" s="24" t="s">
        <v>284</v>
      </c>
      <c r="I2202" s="24" t="s">
        <v>1842</v>
      </c>
      <c r="J2202" s="24" t="s">
        <v>761</v>
      </c>
      <c r="K2202" s="24" t="s">
        <v>1146</v>
      </c>
      <c r="L2202" s="25">
        <v>1070</v>
      </c>
      <c r="M2202" s="26">
        <v>18.82</v>
      </c>
      <c r="N2202" s="27">
        <v>18.82</v>
      </c>
      <c r="O2202" s="28">
        <v>1.7109090909090911E-2</v>
      </c>
      <c r="P2202" s="28">
        <v>17.82070796460177</v>
      </c>
    </row>
    <row r="2203" spans="1:16" x14ac:dyDescent="0.3">
      <c r="A2203" t="s">
        <v>5084</v>
      </c>
      <c r="B2203" s="24">
        <v>101424</v>
      </c>
      <c r="C2203" s="24" t="s">
        <v>1278</v>
      </c>
      <c r="D2203" s="24" t="s">
        <v>1102</v>
      </c>
      <c r="E2203" s="24" t="s">
        <v>51</v>
      </c>
      <c r="F2203" s="24" t="s">
        <v>1142</v>
      </c>
      <c r="G2203" s="24" t="s">
        <v>1203</v>
      </c>
      <c r="H2203" s="24" t="s">
        <v>284</v>
      </c>
      <c r="I2203" s="24" t="s">
        <v>1842</v>
      </c>
      <c r="J2203" s="24" t="s">
        <v>761</v>
      </c>
      <c r="K2203" s="24" t="s">
        <v>1146</v>
      </c>
      <c r="L2203" s="25">
        <v>1070</v>
      </c>
      <c r="M2203" s="26">
        <v>18.82</v>
      </c>
      <c r="N2203" s="27">
        <v>18.82</v>
      </c>
      <c r="O2203" s="28">
        <v>1.7109090909090911E-2</v>
      </c>
      <c r="P2203" s="28">
        <v>17.82070796460177</v>
      </c>
    </row>
    <row r="2204" spans="1:16" x14ac:dyDescent="0.3">
      <c r="A2204" t="s">
        <v>5085</v>
      </c>
      <c r="B2204" s="24">
        <v>111550</v>
      </c>
      <c r="C2204" s="24" t="s">
        <v>1582</v>
      </c>
      <c r="D2204" s="24" t="s">
        <v>1102</v>
      </c>
      <c r="E2204" s="24" t="s">
        <v>51</v>
      </c>
      <c r="F2204" s="24" t="s">
        <v>1142</v>
      </c>
      <c r="G2204" s="24" t="s">
        <v>1402</v>
      </c>
      <c r="H2204" s="24" t="s">
        <v>284</v>
      </c>
      <c r="I2204" s="24" t="s">
        <v>1842</v>
      </c>
      <c r="J2204" s="24" t="s">
        <v>761</v>
      </c>
      <c r="K2204" s="24" t="s">
        <v>1146</v>
      </c>
      <c r="L2204" s="25">
        <v>1070</v>
      </c>
      <c r="M2204" s="26">
        <v>18.82</v>
      </c>
      <c r="N2204" s="27">
        <v>18.82</v>
      </c>
      <c r="O2204" s="28">
        <v>1.7109090909090911E-2</v>
      </c>
      <c r="P2204" s="28">
        <v>17.82070796460177</v>
      </c>
    </row>
    <row r="2205" spans="1:16" x14ac:dyDescent="0.3">
      <c r="A2205" t="s">
        <v>5086</v>
      </c>
      <c r="B2205" s="24">
        <v>114501</v>
      </c>
      <c r="C2205" s="24" t="s">
        <v>1409</v>
      </c>
      <c r="D2205" s="24" t="s">
        <v>1102</v>
      </c>
      <c r="E2205" s="24" t="s">
        <v>51</v>
      </c>
      <c r="F2205" s="24" t="s">
        <v>1142</v>
      </c>
      <c r="G2205" s="24" t="s">
        <v>1402</v>
      </c>
      <c r="H2205" s="24" t="s">
        <v>284</v>
      </c>
      <c r="I2205" s="24" t="s">
        <v>1842</v>
      </c>
      <c r="J2205" s="24" t="s">
        <v>761</v>
      </c>
      <c r="K2205" s="24" t="s">
        <v>1146</v>
      </c>
      <c r="L2205" s="25">
        <v>1070</v>
      </c>
      <c r="M2205" s="26">
        <v>18.82</v>
      </c>
      <c r="N2205" s="27">
        <v>18.82</v>
      </c>
      <c r="O2205" s="28">
        <v>1.7109090909090911E-2</v>
      </c>
      <c r="P2205" s="28">
        <v>17.82070796460177</v>
      </c>
    </row>
    <row r="2206" spans="1:16" x14ac:dyDescent="0.3">
      <c r="A2206" t="s">
        <v>5087</v>
      </c>
      <c r="B2206" s="24">
        <v>142310</v>
      </c>
      <c r="C2206" s="24" t="s">
        <v>1474</v>
      </c>
      <c r="D2206" s="24" t="s">
        <v>1102</v>
      </c>
      <c r="E2206" s="24" t="s">
        <v>51</v>
      </c>
      <c r="F2206" s="24" t="s">
        <v>1142</v>
      </c>
      <c r="G2206" s="24" t="s">
        <v>1402</v>
      </c>
      <c r="H2206" s="24" t="s">
        <v>284</v>
      </c>
      <c r="I2206" s="24" t="s">
        <v>1842</v>
      </c>
      <c r="J2206" s="24" t="s">
        <v>761</v>
      </c>
      <c r="K2206" s="24" t="s">
        <v>1146</v>
      </c>
      <c r="L2206" s="25">
        <v>1070</v>
      </c>
      <c r="M2206" s="26">
        <v>18.82</v>
      </c>
      <c r="N2206" s="27">
        <v>18.82</v>
      </c>
      <c r="O2206" s="28">
        <v>1.7109090909090911E-2</v>
      </c>
      <c r="P2206" s="28">
        <v>17.82070796460177</v>
      </c>
    </row>
    <row r="2207" spans="1:16" x14ac:dyDescent="0.3">
      <c r="A2207" t="s">
        <v>5088</v>
      </c>
      <c r="B2207" s="24">
        <v>101424</v>
      </c>
      <c r="C2207" s="24" t="s">
        <v>1278</v>
      </c>
      <c r="D2207" s="24" t="s">
        <v>1102</v>
      </c>
      <c r="E2207" s="24" t="s">
        <v>51</v>
      </c>
      <c r="F2207" s="24" t="s">
        <v>1142</v>
      </c>
      <c r="G2207" s="24" t="s">
        <v>1203</v>
      </c>
      <c r="H2207" s="24" t="s">
        <v>284</v>
      </c>
      <c r="I2207" s="24" t="s">
        <v>1842</v>
      </c>
      <c r="J2207" s="24" t="s">
        <v>761</v>
      </c>
      <c r="K2207" s="24" t="s">
        <v>1146</v>
      </c>
      <c r="L2207" s="25">
        <v>1070</v>
      </c>
      <c r="M2207" s="26">
        <v>18.82</v>
      </c>
      <c r="N2207" s="27">
        <v>18.82</v>
      </c>
      <c r="O2207" s="28">
        <v>1.7109090909090911E-2</v>
      </c>
      <c r="P2207" s="28">
        <v>17.82070796460177</v>
      </c>
    </row>
    <row r="2208" spans="1:16" x14ac:dyDescent="0.3">
      <c r="A2208" t="s">
        <v>5089</v>
      </c>
      <c r="B2208" s="24">
        <v>101424</v>
      </c>
      <c r="C2208" s="24" t="s">
        <v>1278</v>
      </c>
      <c r="D2208" s="24" t="s">
        <v>1102</v>
      </c>
      <c r="E2208" s="24" t="s">
        <v>51</v>
      </c>
      <c r="F2208" s="24" t="s">
        <v>1142</v>
      </c>
      <c r="G2208" s="24" t="s">
        <v>1203</v>
      </c>
      <c r="H2208" s="24" t="s">
        <v>1072</v>
      </c>
      <c r="I2208" s="24" t="s">
        <v>1843</v>
      </c>
      <c r="J2208" s="24" t="s">
        <v>761</v>
      </c>
      <c r="K2208" s="24" t="s">
        <v>1146</v>
      </c>
      <c r="L2208" s="25">
        <v>1070</v>
      </c>
      <c r="M2208" s="26">
        <v>18.260000000000002</v>
      </c>
      <c r="N2208" s="27">
        <v>18.260000000000002</v>
      </c>
      <c r="O2208" s="28">
        <v>1.66E-2</v>
      </c>
      <c r="P2208" s="28">
        <v>17.290442477876105</v>
      </c>
    </row>
    <row r="2209" spans="1:16" x14ac:dyDescent="0.3">
      <c r="A2209" t="s">
        <v>5090</v>
      </c>
      <c r="B2209" s="24">
        <v>106916</v>
      </c>
      <c r="C2209" s="24" t="s">
        <v>1216</v>
      </c>
      <c r="D2209" s="24" t="s">
        <v>1102</v>
      </c>
      <c r="E2209" s="24" t="s">
        <v>51</v>
      </c>
      <c r="F2209" s="24" t="s">
        <v>1142</v>
      </c>
      <c r="G2209" s="24" t="s">
        <v>1203</v>
      </c>
      <c r="H2209" s="24" t="s">
        <v>1072</v>
      </c>
      <c r="I2209" s="24" t="s">
        <v>1843</v>
      </c>
      <c r="J2209" s="24" t="s">
        <v>761</v>
      </c>
      <c r="K2209" s="24" t="s">
        <v>1146</v>
      </c>
      <c r="L2209" s="25">
        <v>1070</v>
      </c>
      <c r="M2209" s="26">
        <v>18.260000000000002</v>
      </c>
      <c r="N2209" s="27">
        <v>18.260000000000002</v>
      </c>
      <c r="O2209" s="28">
        <v>1.66E-2</v>
      </c>
      <c r="P2209" s="28">
        <v>17.290442477876105</v>
      </c>
    </row>
    <row r="2210" spans="1:16" x14ac:dyDescent="0.3">
      <c r="A2210" t="s">
        <v>5091</v>
      </c>
      <c r="B2210" s="24">
        <v>100603</v>
      </c>
      <c r="C2210" s="24" t="s">
        <v>1277</v>
      </c>
      <c r="D2210" s="24" t="s">
        <v>1102</v>
      </c>
      <c r="E2210" s="24" t="s">
        <v>51</v>
      </c>
      <c r="F2210" s="24" t="s">
        <v>1142</v>
      </c>
      <c r="G2210" s="24" t="s">
        <v>1082</v>
      </c>
      <c r="H2210" s="24" t="s">
        <v>283</v>
      </c>
      <c r="I2210" s="24" t="s">
        <v>1844</v>
      </c>
      <c r="J2210" s="24" t="s">
        <v>761</v>
      </c>
      <c r="K2210" s="24" t="s">
        <v>1146</v>
      </c>
      <c r="L2210" s="25">
        <v>1070</v>
      </c>
      <c r="M2210" s="26">
        <v>18</v>
      </c>
      <c r="N2210" s="27">
        <v>18</v>
      </c>
      <c r="O2210" s="28">
        <v>1.6363636363636365E-2</v>
      </c>
      <c r="P2210" s="28">
        <v>17.044247787610619</v>
      </c>
    </row>
    <row r="2211" spans="1:16" x14ac:dyDescent="0.3">
      <c r="A2211" t="s">
        <v>5092</v>
      </c>
      <c r="B2211" s="24">
        <v>101186</v>
      </c>
      <c r="C2211" s="24" t="s">
        <v>1273</v>
      </c>
      <c r="D2211" s="24" t="s">
        <v>1102</v>
      </c>
      <c r="E2211" s="24" t="s">
        <v>51</v>
      </c>
      <c r="F2211" s="24" t="s">
        <v>1142</v>
      </c>
      <c r="G2211" s="24" t="s">
        <v>1203</v>
      </c>
      <c r="H2211" s="24" t="s">
        <v>283</v>
      </c>
      <c r="I2211" s="24" t="s">
        <v>1844</v>
      </c>
      <c r="J2211" s="24" t="s">
        <v>761</v>
      </c>
      <c r="K2211" s="24" t="s">
        <v>1146</v>
      </c>
      <c r="L2211" s="25">
        <v>1070</v>
      </c>
      <c r="M2211" s="26">
        <v>18</v>
      </c>
      <c r="N2211" s="27">
        <v>18</v>
      </c>
      <c r="O2211" s="28">
        <v>1.6363636363636365E-2</v>
      </c>
      <c r="P2211" s="28">
        <v>17.044247787610619</v>
      </c>
    </row>
    <row r="2212" spans="1:16" x14ac:dyDescent="0.3">
      <c r="A2212" t="s">
        <v>5093</v>
      </c>
      <c r="B2212" s="24">
        <v>101206</v>
      </c>
      <c r="C2212" s="24" t="s">
        <v>1199</v>
      </c>
      <c r="D2212" s="24" t="s">
        <v>1102</v>
      </c>
      <c r="E2212" s="24" t="s">
        <v>51</v>
      </c>
      <c r="F2212" s="24" t="s">
        <v>1142</v>
      </c>
      <c r="G2212" s="24" t="s">
        <v>1200</v>
      </c>
      <c r="H2212" s="24" t="s">
        <v>283</v>
      </c>
      <c r="I2212" s="24" t="s">
        <v>1844</v>
      </c>
      <c r="J2212" s="24" t="s">
        <v>761</v>
      </c>
      <c r="K2212" s="24" t="s">
        <v>1146</v>
      </c>
      <c r="L2212" s="25">
        <v>1070</v>
      </c>
      <c r="M2212" s="26">
        <v>18</v>
      </c>
      <c r="N2212" s="27">
        <v>18</v>
      </c>
      <c r="O2212" s="28">
        <v>1.6363636363636365E-2</v>
      </c>
      <c r="P2212" s="28">
        <v>17.044247787610619</v>
      </c>
    </row>
    <row r="2213" spans="1:16" x14ac:dyDescent="0.3">
      <c r="A2213" t="s">
        <v>5094</v>
      </c>
      <c r="B2213" s="24">
        <v>101424</v>
      </c>
      <c r="C2213" s="24" t="s">
        <v>1278</v>
      </c>
      <c r="D2213" s="24" t="s">
        <v>1102</v>
      </c>
      <c r="E2213" s="24" t="s">
        <v>51</v>
      </c>
      <c r="F2213" s="24" t="s">
        <v>1142</v>
      </c>
      <c r="G2213" s="24" t="s">
        <v>1203</v>
      </c>
      <c r="H2213" s="24" t="s">
        <v>283</v>
      </c>
      <c r="I2213" s="24" t="s">
        <v>1844</v>
      </c>
      <c r="J2213" s="24" t="s">
        <v>761</v>
      </c>
      <c r="K2213" s="24" t="s">
        <v>1146</v>
      </c>
      <c r="L2213" s="25">
        <v>1070</v>
      </c>
      <c r="M2213" s="26">
        <v>18</v>
      </c>
      <c r="N2213" s="27">
        <v>18</v>
      </c>
      <c r="O2213" s="28">
        <v>1.6363636363636365E-2</v>
      </c>
      <c r="P2213" s="28">
        <v>17.044247787610619</v>
      </c>
    </row>
    <row r="2214" spans="1:16" x14ac:dyDescent="0.3">
      <c r="A2214" t="s">
        <v>5095</v>
      </c>
      <c r="B2214" s="24">
        <v>111550</v>
      </c>
      <c r="C2214" s="24" t="s">
        <v>1582</v>
      </c>
      <c r="D2214" s="24" t="s">
        <v>1102</v>
      </c>
      <c r="E2214" s="24" t="s">
        <v>51</v>
      </c>
      <c r="F2214" s="24" t="s">
        <v>1142</v>
      </c>
      <c r="G2214" s="24" t="s">
        <v>1402</v>
      </c>
      <c r="H2214" s="24" t="s">
        <v>283</v>
      </c>
      <c r="I2214" s="24" t="s">
        <v>1844</v>
      </c>
      <c r="J2214" s="24" t="s">
        <v>761</v>
      </c>
      <c r="K2214" s="24" t="s">
        <v>1146</v>
      </c>
      <c r="L2214" s="25">
        <v>1070</v>
      </c>
      <c r="M2214" s="26">
        <v>18</v>
      </c>
      <c r="N2214" s="27">
        <v>18</v>
      </c>
      <c r="O2214" s="28">
        <v>1.6363636363636365E-2</v>
      </c>
      <c r="P2214" s="28">
        <v>17.044247787610619</v>
      </c>
    </row>
    <row r="2215" spans="1:16" x14ac:dyDescent="0.3">
      <c r="A2215" t="s">
        <v>5096</v>
      </c>
      <c r="B2215" s="24">
        <v>114501</v>
      </c>
      <c r="C2215" s="24" t="s">
        <v>1409</v>
      </c>
      <c r="D2215" s="24" t="s">
        <v>1102</v>
      </c>
      <c r="E2215" s="24" t="s">
        <v>51</v>
      </c>
      <c r="F2215" s="24" t="s">
        <v>1142</v>
      </c>
      <c r="G2215" s="24" t="s">
        <v>1402</v>
      </c>
      <c r="H2215" s="24" t="s">
        <v>283</v>
      </c>
      <c r="I2215" s="24" t="s">
        <v>1844</v>
      </c>
      <c r="J2215" s="24" t="s">
        <v>761</v>
      </c>
      <c r="K2215" s="24" t="s">
        <v>1146</v>
      </c>
      <c r="L2215" s="25">
        <v>1070</v>
      </c>
      <c r="M2215" s="26">
        <v>18</v>
      </c>
      <c r="N2215" s="27">
        <v>18</v>
      </c>
      <c r="O2215" s="28">
        <v>1.6363636363636365E-2</v>
      </c>
      <c r="P2215" s="28">
        <v>17.044247787610619</v>
      </c>
    </row>
    <row r="2216" spans="1:16" x14ac:dyDescent="0.3">
      <c r="A2216" t="s">
        <v>5097</v>
      </c>
      <c r="B2216" s="24">
        <v>142310</v>
      </c>
      <c r="C2216" s="24" t="s">
        <v>1474</v>
      </c>
      <c r="D2216" s="24" t="s">
        <v>1102</v>
      </c>
      <c r="E2216" s="24" t="s">
        <v>51</v>
      </c>
      <c r="F2216" s="24" t="s">
        <v>1142</v>
      </c>
      <c r="G2216" s="24" t="s">
        <v>1402</v>
      </c>
      <c r="H2216" s="24" t="s">
        <v>283</v>
      </c>
      <c r="I2216" s="24" t="s">
        <v>1844</v>
      </c>
      <c r="J2216" s="24" t="s">
        <v>761</v>
      </c>
      <c r="K2216" s="24" t="s">
        <v>1146</v>
      </c>
      <c r="L2216" s="25">
        <v>1070</v>
      </c>
      <c r="M2216" s="26">
        <v>18</v>
      </c>
      <c r="N2216" s="27">
        <v>18</v>
      </c>
      <c r="O2216" s="28">
        <v>1.6363636363636365E-2</v>
      </c>
      <c r="P2216" s="28">
        <v>17.044247787610619</v>
      </c>
    </row>
    <row r="2217" spans="1:16" x14ac:dyDescent="0.3">
      <c r="A2217" t="s">
        <v>5098</v>
      </c>
      <c r="B2217" s="24">
        <v>101186</v>
      </c>
      <c r="C2217" s="24" t="s">
        <v>1273</v>
      </c>
      <c r="D2217" s="24" t="s">
        <v>1102</v>
      </c>
      <c r="E2217" s="24" t="s">
        <v>51</v>
      </c>
      <c r="F2217" s="24" t="s">
        <v>1142</v>
      </c>
      <c r="G2217" s="24" t="s">
        <v>1203</v>
      </c>
      <c r="H2217" s="24" t="s">
        <v>1845</v>
      </c>
      <c r="I2217" s="24" t="s">
        <v>1846</v>
      </c>
      <c r="J2217" s="24" t="s">
        <v>761</v>
      </c>
      <c r="K2217" s="24" t="s">
        <v>1146</v>
      </c>
      <c r="L2217" s="25">
        <v>1070</v>
      </c>
      <c r="M2217" s="26">
        <v>21.17</v>
      </c>
      <c r="N2217" s="27">
        <v>21.17</v>
      </c>
      <c r="O2217" s="28">
        <v>1.9245454545454548E-2</v>
      </c>
      <c r="P2217" s="28">
        <v>20.045929203539824</v>
      </c>
    </row>
    <row r="2218" spans="1:16" x14ac:dyDescent="0.3">
      <c r="A2218" t="s">
        <v>5099</v>
      </c>
      <c r="B2218" s="24">
        <v>101206</v>
      </c>
      <c r="C2218" s="24" t="s">
        <v>1199</v>
      </c>
      <c r="D2218" s="24" t="s">
        <v>1102</v>
      </c>
      <c r="E2218" s="24" t="s">
        <v>51</v>
      </c>
      <c r="F2218" s="24" t="s">
        <v>1142</v>
      </c>
      <c r="G2218" s="24" t="s">
        <v>1200</v>
      </c>
      <c r="H2218" s="24" t="s">
        <v>1845</v>
      </c>
      <c r="I2218" s="24" t="s">
        <v>1846</v>
      </c>
      <c r="J2218" s="24" t="s">
        <v>761</v>
      </c>
      <c r="K2218" s="24" t="s">
        <v>1146</v>
      </c>
      <c r="L2218" s="25">
        <v>1070</v>
      </c>
      <c r="M2218" s="26">
        <v>21.17</v>
      </c>
      <c r="N2218" s="27">
        <v>21.17</v>
      </c>
      <c r="O2218" s="28">
        <v>1.9245454545454548E-2</v>
      </c>
      <c r="P2218" s="28">
        <v>20.045929203539824</v>
      </c>
    </row>
    <row r="2219" spans="1:16" x14ac:dyDescent="0.3">
      <c r="A2219" t="s">
        <v>5100</v>
      </c>
      <c r="B2219" s="24">
        <v>101184</v>
      </c>
      <c r="C2219" s="24" t="s">
        <v>1401</v>
      </c>
      <c r="D2219" s="24" t="s">
        <v>1102</v>
      </c>
      <c r="E2219" s="24" t="s">
        <v>51</v>
      </c>
      <c r="F2219" s="24" t="s">
        <v>1142</v>
      </c>
      <c r="G2219" s="24" t="s">
        <v>1402</v>
      </c>
      <c r="H2219" s="24" t="s">
        <v>267</v>
      </c>
      <c r="I2219" s="24" t="s">
        <v>1847</v>
      </c>
      <c r="J2219" s="24" t="s">
        <v>761</v>
      </c>
      <c r="K2219" s="24" t="s">
        <v>1146</v>
      </c>
      <c r="L2219" s="25">
        <v>1070</v>
      </c>
      <c r="M2219" s="26">
        <v>21.36</v>
      </c>
      <c r="N2219" s="27">
        <v>21.36</v>
      </c>
      <c r="O2219" s="28">
        <v>1.9418181818181817E-2</v>
      </c>
      <c r="P2219" s="28">
        <v>20.225840707964604</v>
      </c>
    </row>
    <row r="2220" spans="1:16" x14ac:dyDescent="0.3">
      <c r="A2220" t="s">
        <v>5101</v>
      </c>
      <c r="B2220" s="24">
        <v>101186</v>
      </c>
      <c r="C2220" s="24" t="s">
        <v>1273</v>
      </c>
      <c r="D2220" s="24" t="s">
        <v>1102</v>
      </c>
      <c r="E2220" s="24" t="s">
        <v>51</v>
      </c>
      <c r="F2220" s="24" t="s">
        <v>1142</v>
      </c>
      <c r="G2220" s="24" t="s">
        <v>1203</v>
      </c>
      <c r="H2220" s="24" t="s">
        <v>267</v>
      </c>
      <c r="I2220" s="24" t="s">
        <v>1847</v>
      </c>
      <c r="J2220" s="24" t="s">
        <v>761</v>
      </c>
      <c r="K2220" s="24" t="s">
        <v>1146</v>
      </c>
      <c r="L2220" s="25">
        <v>1070</v>
      </c>
      <c r="M2220" s="26">
        <v>21.36</v>
      </c>
      <c r="N2220" s="27">
        <v>21.36</v>
      </c>
      <c r="O2220" s="28">
        <v>1.9418181818181817E-2</v>
      </c>
      <c r="P2220" s="28">
        <v>20.225840707964604</v>
      </c>
    </row>
    <row r="2221" spans="1:16" x14ac:dyDescent="0.3">
      <c r="A2221" t="s">
        <v>5102</v>
      </c>
      <c r="B2221" s="24">
        <v>101206</v>
      </c>
      <c r="C2221" s="24" t="s">
        <v>1199</v>
      </c>
      <c r="D2221" s="24" t="s">
        <v>1102</v>
      </c>
      <c r="E2221" s="24" t="s">
        <v>51</v>
      </c>
      <c r="F2221" s="24" t="s">
        <v>1142</v>
      </c>
      <c r="G2221" s="24" t="s">
        <v>1200</v>
      </c>
      <c r="H2221" s="24" t="s">
        <v>267</v>
      </c>
      <c r="I2221" s="24" t="s">
        <v>1847</v>
      </c>
      <c r="J2221" s="24" t="s">
        <v>761</v>
      </c>
      <c r="K2221" s="24" t="s">
        <v>1146</v>
      </c>
      <c r="L2221" s="25">
        <v>1070</v>
      </c>
      <c r="M2221" s="26">
        <v>21.36</v>
      </c>
      <c r="N2221" s="27">
        <v>21.36</v>
      </c>
      <c r="O2221" s="28">
        <v>1.9418181818181817E-2</v>
      </c>
      <c r="P2221" s="28">
        <v>20.225840707964604</v>
      </c>
    </row>
    <row r="2222" spans="1:16" x14ac:dyDescent="0.3">
      <c r="A2222" t="s">
        <v>5103</v>
      </c>
      <c r="B2222" s="24">
        <v>101424</v>
      </c>
      <c r="C2222" s="24" t="s">
        <v>1278</v>
      </c>
      <c r="D2222" s="24" t="s">
        <v>1102</v>
      </c>
      <c r="E2222" s="24" t="s">
        <v>51</v>
      </c>
      <c r="F2222" s="24" t="s">
        <v>1142</v>
      </c>
      <c r="G2222" s="24" t="s">
        <v>1203</v>
      </c>
      <c r="H2222" s="24" t="s">
        <v>267</v>
      </c>
      <c r="I2222" s="24" t="s">
        <v>1847</v>
      </c>
      <c r="J2222" s="24" t="s">
        <v>761</v>
      </c>
      <c r="K2222" s="24" t="s">
        <v>1146</v>
      </c>
      <c r="L2222" s="25">
        <v>1070</v>
      </c>
      <c r="M2222" s="26">
        <v>21.36</v>
      </c>
      <c r="N2222" s="27">
        <v>21.36</v>
      </c>
      <c r="O2222" s="28">
        <v>1.9418181818181817E-2</v>
      </c>
      <c r="P2222" s="28">
        <v>20.225840707964604</v>
      </c>
    </row>
    <row r="2223" spans="1:16" x14ac:dyDescent="0.3">
      <c r="A2223" t="s">
        <v>5104</v>
      </c>
      <c r="B2223" s="24">
        <v>101186</v>
      </c>
      <c r="C2223" s="24" t="s">
        <v>1273</v>
      </c>
      <c r="D2223" s="24" t="s">
        <v>1102</v>
      </c>
      <c r="E2223" s="24" t="s">
        <v>51</v>
      </c>
      <c r="F2223" s="24" t="s">
        <v>1142</v>
      </c>
      <c r="G2223" s="24" t="s">
        <v>1203</v>
      </c>
      <c r="H2223" s="24" t="s">
        <v>268</v>
      </c>
      <c r="I2223" s="24" t="s">
        <v>1848</v>
      </c>
      <c r="J2223" s="24" t="s">
        <v>761</v>
      </c>
      <c r="K2223" s="24" t="s">
        <v>1146</v>
      </c>
      <c r="L2223" s="25">
        <v>1070</v>
      </c>
      <c r="M2223" s="26">
        <v>24.22</v>
      </c>
      <c r="N2223" s="27">
        <v>24.22</v>
      </c>
      <c r="O2223" s="28">
        <v>2.2018181818181819E-2</v>
      </c>
      <c r="P2223" s="28">
        <v>22.933982300884953</v>
      </c>
    </row>
    <row r="2224" spans="1:16" x14ac:dyDescent="0.3">
      <c r="A2224" t="s">
        <v>5105</v>
      </c>
      <c r="B2224" s="24">
        <v>106916</v>
      </c>
      <c r="C2224" s="24" t="s">
        <v>1216</v>
      </c>
      <c r="D2224" s="24" t="s">
        <v>1102</v>
      </c>
      <c r="E2224" s="24" t="s">
        <v>51</v>
      </c>
      <c r="F2224" s="24" t="s">
        <v>1142</v>
      </c>
      <c r="G2224" s="24" t="s">
        <v>1203</v>
      </c>
      <c r="H2224" s="24" t="s">
        <v>268</v>
      </c>
      <c r="I2224" s="24" t="s">
        <v>1848</v>
      </c>
      <c r="J2224" s="24" t="s">
        <v>761</v>
      </c>
      <c r="K2224" s="24" t="s">
        <v>1146</v>
      </c>
      <c r="L2224" s="25">
        <v>1070</v>
      </c>
      <c r="M2224" s="26">
        <v>24.22</v>
      </c>
      <c r="N2224" s="27">
        <v>24.22</v>
      </c>
      <c r="O2224" s="28">
        <v>2.2018181818181819E-2</v>
      </c>
      <c r="P2224" s="28">
        <v>22.933982300884953</v>
      </c>
    </row>
    <row r="2225" spans="1:16" x14ac:dyDescent="0.3">
      <c r="A2225" t="s">
        <v>5106</v>
      </c>
      <c r="B2225" s="24">
        <v>101424</v>
      </c>
      <c r="C2225" s="24" t="s">
        <v>1278</v>
      </c>
      <c r="D2225" s="24" t="s">
        <v>1102</v>
      </c>
      <c r="E2225" s="24" t="s">
        <v>51</v>
      </c>
      <c r="F2225" s="24" t="s">
        <v>1142</v>
      </c>
      <c r="G2225" s="24" t="s">
        <v>1203</v>
      </c>
      <c r="H2225" s="24" t="s">
        <v>1070</v>
      </c>
      <c r="I2225" s="24" t="s">
        <v>1849</v>
      </c>
      <c r="J2225" s="24" t="s">
        <v>761</v>
      </c>
      <c r="K2225" s="24" t="s">
        <v>1146</v>
      </c>
      <c r="L2225" s="25">
        <v>1070</v>
      </c>
      <c r="M2225" s="26">
        <v>23.4</v>
      </c>
      <c r="N2225" s="27">
        <v>23.4</v>
      </c>
      <c r="O2225" s="28">
        <v>2.1272727272727273E-2</v>
      </c>
      <c r="P2225" s="28">
        <v>22.157522123893806</v>
      </c>
    </row>
    <row r="2226" spans="1:16" x14ac:dyDescent="0.3">
      <c r="A2226" t="s">
        <v>5107</v>
      </c>
      <c r="B2226" s="24">
        <v>100603</v>
      </c>
      <c r="C2226" s="24" t="s">
        <v>1277</v>
      </c>
      <c r="D2226" s="24" t="s">
        <v>1102</v>
      </c>
      <c r="E2226" s="24" t="s">
        <v>51</v>
      </c>
      <c r="F2226" s="24" t="s">
        <v>1142</v>
      </c>
      <c r="G2226" s="24" t="s">
        <v>1082</v>
      </c>
      <c r="H2226" s="24" t="s">
        <v>179</v>
      </c>
      <c r="I2226" s="24" t="s">
        <v>1850</v>
      </c>
      <c r="J2226" s="24" t="s">
        <v>761</v>
      </c>
      <c r="K2226" s="24" t="s">
        <v>1146</v>
      </c>
      <c r="L2226" s="25">
        <v>1070</v>
      </c>
      <c r="M2226" s="26">
        <v>41.16</v>
      </c>
      <c r="N2226" s="27">
        <v>41.16</v>
      </c>
      <c r="O2226" s="28">
        <v>3.7418181818181816E-2</v>
      </c>
      <c r="P2226" s="28">
        <v>38.974513274336282</v>
      </c>
    </row>
    <row r="2227" spans="1:16" x14ac:dyDescent="0.3">
      <c r="A2227" t="s">
        <v>5108</v>
      </c>
      <c r="B2227" s="24">
        <v>101186</v>
      </c>
      <c r="C2227" s="24" t="s">
        <v>1273</v>
      </c>
      <c r="D2227" s="24" t="s">
        <v>1102</v>
      </c>
      <c r="E2227" s="24" t="s">
        <v>51</v>
      </c>
      <c r="F2227" s="24" t="s">
        <v>1142</v>
      </c>
      <c r="G2227" s="24" t="s">
        <v>1203</v>
      </c>
      <c r="H2227" s="24" t="s">
        <v>179</v>
      </c>
      <c r="I2227" s="24" t="s">
        <v>1850</v>
      </c>
      <c r="J2227" s="24" t="s">
        <v>761</v>
      </c>
      <c r="K2227" s="24" t="s">
        <v>1146</v>
      </c>
      <c r="L2227" s="25">
        <v>1070</v>
      </c>
      <c r="M2227" s="26">
        <v>41.16</v>
      </c>
      <c r="N2227" s="27">
        <v>41.16</v>
      </c>
      <c r="O2227" s="28">
        <v>3.7418181818181816E-2</v>
      </c>
      <c r="P2227" s="28">
        <v>38.974513274336282</v>
      </c>
    </row>
    <row r="2228" spans="1:16" x14ac:dyDescent="0.3">
      <c r="A2228" t="s">
        <v>5109</v>
      </c>
      <c r="B2228" s="24">
        <v>101424</v>
      </c>
      <c r="C2228" s="24" t="s">
        <v>1278</v>
      </c>
      <c r="D2228" s="24" t="s">
        <v>1102</v>
      </c>
      <c r="E2228" s="24" t="s">
        <v>51</v>
      </c>
      <c r="F2228" s="24" t="s">
        <v>1142</v>
      </c>
      <c r="G2228" s="24" t="s">
        <v>1203</v>
      </c>
      <c r="H2228" s="24" t="s">
        <v>179</v>
      </c>
      <c r="I2228" s="24" t="s">
        <v>1850</v>
      </c>
      <c r="J2228" s="24" t="s">
        <v>761</v>
      </c>
      <c r="K2228" s="24" t="s">
        <v>1146</v>
      </c>
      <c r="L2228" s="25">
        <v>1070</v>
      </c>
      <c r="M2228" s="26">
        <v>41.16</v>
      </c>
      <c r="N2228" s="27">
        <v>41.16</v>
      </c>
      <c r="O2228" s="28">
        <v>3.7418181818181816E-2</v>
      </c>
      <c r="P2228" s="28">
        <v>38.974513274336282</v>
      </c>
    </row>
    <row r="2229" spans="1:16" x14ac:dyDescent="0.3">
      <c r="A2229" t="s">
        <v>5110</v>
      </c>
      <c r="B2229" s="24">
        <v>101186</v>
      </c>
      <c r="C2229" s="24" t="s">
        <v>1273</v>
      </c>
      <c r="D2229" s="24" t="s">
        <v>1102</v>
      </c>
      <c r="E2229" s="24" t="s">
        <v>51</v>
      </c>
      <c r="F2229" s="24" t="s">
        <v>1142</v>
      </c>
      <c r="G2229" s="24" t="s">
        <v>1203</v>
      </c>
      <c r="H2229" s="24" t="s">
        <v>265</v>
      </c>
      <c r="I2229" s="24" t="s">
        <v>1851</v>
      </c>
      <c r="J2229" s="24" t="s">
        <v>761</v>
      </c>
      <c r="K2229" s="24" t="s">
        <v>1146</v>
      </c>
      <c r="L2229" s="25">
        <v>1070</v>
      </c>
      <c r="M2229" s="26">
        <v>28.91</v>
      </c>
      <c r="N2229" s="27">
        <v>28.91</v>
      </c>
      <c r="O2229" s="28">
        <v>2.628181818181818E-2</v>
      </c>
      <c r="P2229" s="28">
        <v>27.37495575221239</v>
      </c>
    </row>
    <row r="2230" spans="1:16" x14ac:dyDescent="0.3">
      <c r="A2230" t="s">
        <v>5111</v>
      </c>
      <c r="B2230" s="24">
        <v>101206</v>
      </c>
      <c r="C2230" s="24" t="s">
        <v>1199</v>
      </c>
      <c r="D2230" s="24" t="s">
        <v>1102</v>
      </c>
      <c r="E2230" s="24" t="s">
        <v>51</v>
      </c>
      <c r="F2230" s="24" t="s">
        <v>1142</v>
      </c>
      <c r="G2230" s="24" t="s">
        <v>1200</v>
      </c>
      <c r="H2230" s="24" t="s">
        <v>265</v>
      </c>
      <c r="I2230" s="24" t="s">
        <v>1851</v>
      </c>
      <c r="J2230" s="24" t="s">
        <v>761</v>
      </c>
      <c r="K2230" s="24" t="s">
        <v>1146</v>
      </c>
      <c r="L2230" s="25">
        <v>1070</v>
      </c>
      <c r="M2230" s="26">
        <v>28.91</v>
      </c>
      <c r="N2230" s="27">
        <v>28.91</v>
      </c>
      <c r="O2230" s="28">
        <v>2.628181818181818E-2</v>
      </c>
      <c r="P2230" s="28">
        <v>27.37495575221239</v>
      </c>
    </row>
    <row r="2231" spans="1:16" x14ac:dyDescent="0.3">
      <c r="A2231" t="s">
        <v>5112</v>
      </c>
      <c r="B2231" s="24">
        <v>101424</v>
      </c>
      <c r="C2231" s="24" t="s">
        <v>1278</v>
      </c>
      <c r="D2231" s="24" t="s">
        <v>1102</v>
      </c>
      <c r="E2231" s="24" t="s">
        <v>51</v>
      </c>
      <c r="F2231" s="24" t="s">
        <v>1142</v>
      </c>
      <c r="G2231" s="24" t="s">
        <v>1203</v>
      </c>
      <c r="H2231" s="24" t="s">
        <v>265</v>
      </c>
      <c r="I2231" s="24" t="s">
        <v>1851</v>
      </c>
      <c r="J2231" s="24" t="s">
        <v>761</v>
      </c>
      <c r="K2231" s="24" t="s">
        <v>1146</v>
      </c>
      <c r="L2231" s="25">
        <v>1070</v>
      </c>
      <c r="M2231" s="26">
        <v>28.91</v>
      </c>
      <c r="N2231" s="27">
        <v>28.91</v>
      </c>
      <c r="O2231" s="28">
        <v>2.628181818181818E-2</v>
      </c>
      <c r="P2231" s="28">
        <v>27.37495575221239</v>
      </c>
    </row>
    <row r="2232" spans="1:16" x14ac:dyDescent="0.3">
      <c r="A2232" t="s">
        <v>5113</v>
      </c>
      <c r="B2232" s="24">
        <v>111550</v>
      </c>
      <c r="C2232" s="24" t="s">
        <v>1582</v>
      </c>
      <c r="D2232" s="24" t="s">
        <v>1102</v>
      </c>
      <c r="E2232" s="24" t="s">
        <v>51</v>
      </c>
      <c r="F2232" s="24" t="s">
        <v>1142</v>
      </c>
      <c r="G2232" s="24" t="s">
        <v>1402</v>
      </c>
      <c r="H2232" s="24" t="s">
        <v>265</v>
      </c>
      <c r="I2232" s="24" t="s">
        <v>1851</v>
      </c>
      <c r="J2232" s="24" t="s">
        <v>761</v>
      </c>
      <c r="K2232" s="24" t="s">
        <v>1146</v>
      </c>
      <c r="L2232" s="25">
        <v>1070</v>
      </c>
      <c r="M2232" s="26">
        <v>28.91</v>
      </c>
      <c r="N2232" s="27">
        <v>28.91</v>
      </c>
      <c r="O2232" s="28">
        <v>2.628181818181818E-2</v>
      </c>
      <c r="P2232" s="28">
        <v>27.37495575221239</v>
      </c>
    </row>
    <row r="2233" spans="1:16" x14ac:dyDescent="0.3">
      <c r="A2233" t="s">
        <v>5114</v>
      </c>
      <c r="B2233" s="24">
        <v>100581</v>
      </c>
      <c r="C2233" s="24" t="s">
        <v>1232</v>
      </c>
      <c r="D2233" s="24" t="s">
        <v>1102</v>
      </c>
      <c r="E2233" s="24" t="s">
        <v>51</v>
      </c>
      <c r="F2233" s="24" t="s">
        <v>1142</v>
      </c>
      <c r="G2233" s="24" t="s">
        <v>1233</v>
      </c>
      <c r="H2233" s="24" t="s">
        <v>287</v>
      </c>
      <c r="I2233" s="24" t="s">
        <v>1852</v>
      </c>
      <c r="J2233" s="24" t="s">
        <v>761</v>
      </c>
      <c r="K2233" s="24" t="s">
        <v>1146</v>
      </c>
      <c r="L2233" s="25">
        <v>1070</v>
      </c>
      <c r="M2233" s="26">
        <v>27.75</v>
      </c>
      <c r="N2233" s="27">
        <v>27.75</v>
      </c>
      <c r="O2233" s="28">
        <v>2.5227272727272727E-2</v>
      </c>
      <c r="P2233" s="28">
        <v>26.276548672566371</v>
      </c>
    </row>
    <row r="2234" spans="1:16" x14ac:dyDescent="0.3">
      <c r="A2234" t="s">
        <v>5115</v>
      </c>
      <c r="B2234" s="24">
        <v>100603</v>
      </c>
      <c r="C2234" s="24" t="s">
        <v>1277</v>
      </c>
      <c r="D2234" s="24" t="s">
        <v>1102</v>
      </c>
      <c r="E2234" s="24" t="s">
        <v>51</v>
      </c>
      <c r="F2234" s="24" t="s">
        <v>1142</v>
      </c>
      <c r="G2234" s="24" t="s">
        <v>1082</v>
      </c>
      <c r="H2234" s="24" t="s">
        <v>287</v>
      </c>
      <c r="I2234" s="24" t="s">
        <v>1852</v>
      </c>
      <c r="J2234" s="24" t="s">
        <v>761</v>
      </c>
      <c r="K2234" s="24" t="s">
        <v>1146</v>
      </c>
      <c r="L2234" s="25">
        <v>1070</v>
      </c>
      <c r="M2234" s="26">
        <v>27.75</v>
      </c>
      <c r="N2234" s="27">
        <v>27.75</v>
      </c>
      <c r="O2234" s="28">
        <v>2.5227272727272727E-2</v>
      </c>
      <c r="P2234" s="28">
        <v>26.276548672566371</v>
      </c>
    </row>
    <row r="2235" spans="1:16" x14ac:dyDescent="0.3">
      <c r="A2235" t="s">
        <v>5116</v>
      </c>
      <c r="B2235" s="24">
        <v>101186</v>
      </c>
      <c r="C2235" s="24" t="s">
        <v>1273</v>
      </c>
      <c r="D2235" s="24" t="s">
        <v>1102</v>
      </c>
      <c r="E2235" s="24" t="s">
        <v>51</v>
      </c>
      <c r="F2235" s="24" t="s">
        <v>1142</v>
      </c>
      <c r="G2235" s="24" t="s">
        <v>1203</v>
      </c>
      <c r="H2235" s="24" t="s">
        <v>287</v>
      </c>
      <c r="I2235" s="24" t="s">
        <v>1852</v>
      </c>
      <c r="J2235" s="24" t="s">
        <v>761</v>
      </c>
      <c r="K2235" s="24" t="s">
        <v>1146</v>
      </c>
      <c r="L2235" s="25">
        <v>1070</v>
      </c>
      <c r="M2235" s="26">
        <v>27.75</v>
      </c>
      <c r="N2235" s="27">
        <v>27.75</v>
      </c>
      <c r="O2235" s="28">
        <v>2.5227272727272727E-2</v>
      </c>
      <c r="P2235" s="28">
        <v>26.276548672566371</v>
      </c>
    </row>
    <row r="2236" spans="1:16" x14ac:dyDescent="0.3">
      <c r="A2236" t="s">
        <v>5117</v>
      </c>
      <c r="B2236" s="24">
        <v>111550</v>
      </c>
      <c r="C2236" s="24" t="s">
        <v>1582</v>
      </c>
      <c r="D2236" s="24" t="s">
        <v>1102</v>
      </c>
      <c r="E2236" s="24" t="s">
        <v>51</v>
      </c>
      <c r="F2236" s="24" t="s">
        <v>1142</v>
      </c>
      <c r="G2236" s="24" t="s">
        <v>1402</v>
      </c>
      <c r="H2236" s="24" t="s">
        <v>287</v>
      </c>
      <c r="I2236" s="24" t="s">
        <v>1852</v>
      </c>
      <c r="J2236" s="24" t="s">
        <v>761</v>
      </c>
      <c r="K2236" s="24" t="s">
        <v>1146</v>
      </c>
      <c r="L2236" s="25">
        <v>1070</v>
      </c>
      <c r="M2236" s="26">
        <v>27.75</v>
      </c>
      <c r="N2236" s="27">
        <v>27.75</v>
      </c>
      <c r="O2236" s="28">
        <v>2.5227272727272727E-2</v>
      </c>
      <c r="P2236" s="28">
        <v>26.276548672566371</v>
      </c>
    </row>
    <row r="2237" spans="1:16" x14ac:dyDescent="0.3">
      <c r="A2237" t="s">
        <v>5118</v>
      </c>
      <c r="B2237" s="24">
        <v>114501</v>
      </c>
      <c r="C2237" s="24" t="s">
        <v>1409</v>
      </c>
      <c r="D2237" s="24" t="s">
        <v>1102</v>
      </c>
      <c r="E2237" s="24" t="s">
        <v>51</v>
      </c>
      <c r="F2237" s="24" t="s">
        <v>1142</v>
      </c>
      <c r="G2237" s="24" t="s">
        <v>1402</v>
      </c>
      <c r="H2237" s="24" t="s">
        <v>287</v>
      </c>
      <c r="I2237" s="24" t="s">
        <v>1852</v>
      </c>
      <c r="J2237" s="24" t="s">
        <v>761</v>
      </c>
      <c r="K2237" s="24" t="s">
        <v>1146</v>
      </c>
      <c r="L2237" s="25">
        <v>1070</v>
      </c>
      <c r="M2237" s="26">
        <v>27.75</v>
      </c>
      <c r="N2237" s="27">
        <v>27.75</v>
      </c>
      <c r="O2237" s="28">
        <v>2.5227272727272727E-2</v>
      </c>
      <c r="P2237" s="28">
        <v>26.276548672566371</v>
      </c>
    </row>
    <row r="2238" spans="1:16" x14ac:dyDescent="0.3">
      <c r="A2238" t="s">
        <v>5119</v>
      </c>
      <c r="B2238" s="24">
        <v>100581</v>
      </c>
      <c r="C2238" s="24" t="s">
        <v>1232</v>
      </c>
      <c r="D2238" s="24" t="s">
        <v>1102</v>
      </c>
      <c r="E2238" s="24" t="s">
        <v>51</v>
      </c>
      <c r="F2238" s="24" t="s">
        <v>1142</v>
      </c>
      <c r="G2238" s="24" t="s">
        <v>1233</v>
      </c>
      <c r="H2238" s="24" t="s">
        <v>288</v>
      </c>
      <c r="I2238" s="24" t="s">
        <v>1853</v>
      </c>
      <c r="J2238" s="24" t="s">
        <v>761</v>
      </c>
      <c r="K2238" s="24" t="s">
        <v>1146</v>
      </c>
      <c r="L2238" s="25">
        <v>1070</v>
      </c>
      <c r="M2238" s="26">
        <v>24.98</v>
      </c>
      <c r="N2238" s="27">
        <v>24.98</v>
      </c>
      <c r="O2238" s="28">
        <v>2.2709090909090908E-2</v>
      </c>
      <c r="P2238" s="28">
        <v>23.653628318584072</v>
      </c>
    </row>
    <row r="2239" spans="1:16" x14ac:dyDescent="0.3">
      <c r="A2239" t="s">
        <v>5120</v>
      </c>
      <c r="B2239" s="24">
        <v>100603</v>
      </c>
      <c r="C2239" s="24" t="s">
        <v>1277</v>
      </c>
      <c r="D2239" s="24" t="s">
        <v>1102</v>
      </c>
      <c r="E2239" s="24" t="s">
        <v>51</v>
      </c>
      <c r="F2239" s="24" t="s">
        <v>1142</v>
      </c>
      <c r="G2239" s="24" t="s">
        <v>1082</v>
      </c>
      <c r="H2239" s="24" t="s">
        <v>288</v>
      </c>
      <c r="I2239" s="24" t="s">
        <v>1853</v>
      </c>
      <c r="J2239" s="24" t="s">
        <v>761</v>
      </c>
      <c r="K2239" s="24" t="s">
        <v>1146</v>
      </c>
      <c r="L2239" s="25">
        <v>1070</v>
      </c>
      <c r="M2239" s="26">
        <v>24.98</v>
      </c>
      <c r="N2239" s="27">
        <v>24.98</v>
      </c>
      <c r="O2239" s="28">
        <v>2.2709090909090908E-2</v>
      </c>
      <c r="P2239" s="28">
        <v>23.653628318584072</v>
      </c>
    </row>
    <row r="2240" spans="1:16" x14ac:dyDescent="0.3">
      <c r="A2240" t="s">
        <v>5121</v>
      </c>
      <c r="B2240" s="24">
        <v>101186</v>
      </c>
      <c r="C2240" s="24" t="s">
        <v>1273</v>
      </c>
      <c r="D2240" s="24" t="s">
        <v>1102</v>
      </c>
      <c r="E2240" s="24" t="s">
        <v>51</v>
      </c>
      <c r="F2240" s="24" t="s">
        <v>1142</v>
      </c>
      <c r="G2240" s="24" t="s">
        <v>1203</v>
      </c>
      <c r="H2240" s="24" t="s">
        <v>288</v>
      </c>
      <c r="I2240" s="24" t="s">
        <v>1853</v>
      </c>
      <c r="J2240" s="24" t="s">
        <v>761</v>
      </c>
      <c r="K2240" s="24" t="s">
        <v>1146</v>
      </c>
      <c r="L2240" s="25">
        <v>1070</v>
      </c>
      <c r="M2240" s="26">
        <v>24.98</v>
      </c>
      <c r="N2240" s="27">
        <v>24.98</v>
      </c>
      <c r="O2240" s="28">
        <v>2.2709090909090908E-2</v>
      </c>
      <c r="P2240" s="28">
        <v>23.653628318584072</v>
      </c>
    </row>
    <row r="2241" spans="1:16" x14ac:dyDescent="0.3">
      <c r="A2241" t="s">
        <v>5122</v>
      </c>
      <c r="B2241" s="24">
        <v>111550</v>
      </c>
      <c r="C2241" s="24" t="s">
        <v>1582</v>
      </c>
      <c r="D2241" s="24" t="s">
        <v>1102</v>
      </c>
      <c r="E2241" s="24" t="s">
        <v>51</v>
      </c>
      <c r="F2241" s="24" t="s">
        <v>1142</v>
      </c>
      <c r="G2241" s="24" t="s">
        <v>1402</v>
      </c>
      <c r="H2241" s="24" t="s">
        <v>288</v>
      </c>
      <c r="I2241" s="24" t="s">
        <v>1853</v>
      </c>
      <c r="J2241" s="24" t="s">
        <v>761</v>
      </c>
      <c r="K2241" s="24" t="s">
        <v>1146</v>
      </c>
      <c r="L2241" s="25">
        <v>1070</v>
      </c>
      <c r="M2241" s="26">
        <v>24.98</v>
      </c>
      <c r="N2241" s="27">
        <v>24.98</v>
      </c>
      <c r="O2241" s="28">
        <v>2.2709090909090908E-2</v>
      </c>
      <c r="P2241" s="28">
        <v>23.653628318584072</v>
      </c>
    </row>
    <row r="2242" spans="1:16" x14ac:dyDescent="0.3">
      <c r="A2242" t="s">
        <v>5123</v>
      </c>
      <c r="B2242" s="24">
        <v>114501</v>
      </c>
      <c r="C2242" s="24" t="s">
        <v>1409</v>
      </c>
      <c r="D2242" s="24" t="s">
        <v>1102</v>
      </c>
      <c r="E2242" s="24" t="s">
        <v>51</v>
      </c>
      <c r="F2242" s="24" t="s">
        <v>1142</v>
      </c>
      <c r="G2242" s="24" t="s">
        <v>1402</v>
      </c>
      <c r="H2242" s="24" t="s">
        <v>288</v>
      </c>
      <c r="I2242" s="24" t="s">
        <v>1853</v>
      </c>
      <c r="J2242" s="24" t="s">
        <v>761</v>
      </c>
      <c r="K2242" s="24" t="s">
        <v>1146</v>
      </c>
      <c r="L2242" s="25">
        <v>1070</v>
      </c>
      <c r="M2242" s="26">
        <v>24.98</v>
      </c>
      <c r="N2242" s="27">
        <v>24.98</v>
      </c>
      <c r="O2242" s="28">
        <v>2.2709090909090908E-2</v>
      </c>
      <c r="P2242" s="28">
        <v>23.653628318584072</v>
      </c>
    </row>
    <row r="2243" spans="1:16" x14ac:dyDescent="0.3">
      <c r="A2243" t="s">
        <v>5124</v>
      </c>
      <c r="B2243" s="24">
        <v>100603</v>
      </c>
      <c r="C2243" s="24" t="s">
        <v>1277</v>
      </c>
      <c r="D2243" s="24" t="s">
        <v>1102</v>
      </c>
      <c r="E2243" s="24" t="s">
        <v>51</v>
      </c>
      <c r="F2243" s="24" t="s">
        <v>1142</v>
      </c>
      <c r="G2243" s="24" t="s">
        <v>1082</v>
      </c>
      <c r="H2243" s="24" t="s">
        <v>335</v>
      </c>
      <c r="I2243" s="24" t="s">
        <v>1854</v>
      </c>
      <c r="J2243" s="24" t="s">
        <v>761</v>
      </c>
      <c r="K2243" s="24" t="s">
        <v>1146</v>
      </c>
      <c r="L2243" s="25">
        <v>1070</v>
      </c>
      <c r="M2243" s="26">
        <v>34</v>
      </c>
      <c r="N2243" s="27">
        <v>34</v>
      </c>
      <c r="O2243" s="28">
        <v>3.090909090909091E-2</v>
      </c>
      <c r="P2243" s="28">
        <v>32.194690265486727</v>
      </c>
    </row>
    <row r="2244" spans="1:16" x14ac:dyDescent="0.3">
      <c r="A2244" t="s">
        <v>5125</v>
      </c>
      <c r="B2244" s="24">
        <v>101184</v>
      </c>
      <c r="C2244" s="24" t="s">
        <v>1401</v>
      </c>
      <c r="D2244" s="24" t="s">
        <v>1102</v>
      </c>
      <c r="E2244" s="24" t="s">
        <v>51</v>
      </c>
      <c r="F2244" s="24" t="s">
        <v>1142</v>
      </c>
      <c r="G2244" s="24" t="s">
        <v>1402</v>
      </c>
      <c r="H2244" s="24" t="s">
        <v>335</v>
      </c>
      <c r="I2244" s="24" t="s">
        <v>1854</v>
      </c>
      <c r="J2244" s="24" t="s">
        <v>761</v>
      </c>
      <c r="K2244" s="24" t="s">
        <v>1146</v>
      </c>
      <c r="L2244" s="25">
        <v>1070</v>
      </c>
      <c r="M2244" s="26">
        <v>34</v>
      </c>
      <c r="N2244" s="27">
        <v>34</v>
      </c>
      <c r="O2244" s="28">
        <v>3.090909090909091E-2</v>
      </c>
      <c r="P2244" s="28">
        <v>32.194690265486727</v>
      </c>
    </row>
    <row r="2245" spans="1:16" x14ac:dyDescent="0.3">
      <c r="A2245" t="s">
        <v>5126</v>
      </c>
      <c r="B2245" s="24">
        <v>114501</v>
      </c>
      <c r="C2245" s="24" t="s">
        <v>1409</v>
      </c>
      <c r="D2245" s="24" t="s">
        <v>1102</v>
      </c>
      <c r="E2245" s="24" t="s">
        <v>51</v>
      </c>
      <c r="F2245" s="24" t="s">
        <v>1142</v>
      </c>
      <c r="G2245" s="24" t="s">
        <v>1402</v>
      </c>
      <c r="H2245" s="24" t="s">
        <v>335</v>
      </c>
      <c r="I2245" s="24" t="s">
        <v>1854</v>
      </c>
      <c r="J2245" s="24" t="s">
        <v>761</v>
      </c>
      <c r="K2245" s="24" t="s">
        <v>1146</v>
      </c>
      <c r="L2245" s="25">
        <v>1070</v>
      </c>
      <c r="M2245" s="26">
        <v>34</v>
      </c>
      <c r="N2245" s="27">
        <v>34</v>
      </c>
      <c r="O2245" s="28">
        <v>3.090909090909091E-2</v>
      </c>
      <c r="P2245" s="28">
        <v>32.194690265486727</v>
      </c>
    </row>
    <row r="2246" spans="1:16" x14ac:dyDescent="0.3">
      <c r="A2246" t="s">
        <v>5127</v>
      </c>
      <c r="B2246" s="24">
        <v>100603</v>
      </c>
      <c r="C2246" s="24" t="s">
        <v>1277</v>
      </c>
      <c r="D2246" s="24" t="s">
        <v>1102</v>
      </c>
      <c r="E2246" s="24" t="s">
        <v>51</v>
      </c>
      <c r="F2246" s="24" t="s">
        <v>1142</v>
      </c>
      <c r="G2246" s="24" t="s">
        <v>1082</v>
      </c>
      <c r="H2246" s="24" t="s">
        <v>1054</v>
      </c>
      <c r="I2246" s="24" t="s">
        <v>1855</v>
      </c>
      <c r="J2246" s="24" t="s">
        <v>761</v>
      </c>
      <c r="K2246" s="24" t="s">
        <v>1146</v>
      </c>
      <c r="L2246" s="25">
        <v>1070</v>
      </c>
      <c r="M2246" s="26">
        <v>34</v>
      </c>
      <c r="N2246" s="27">
        <v>34</v>
      </c>
      <c r="O2246" s="28">
        <v>3.090909090909091E-2</v>
      </c>
      <c r="P2246" s="28">
        <v>32.194690265486727</v>
      </c>
    </row>
    <row r="2247" spans="1:16" x14ac:dyDescent="0.3">
      <c r="A2247" t="s">
        <v>5128</v>
      </c>
      <c r="B2247" s="24">
        <v>101184</v>
      </c>
      <c r="C2247" s="24" t="s">
        <v>1401</v>
      </c>
      <c r="D2247" s="24" t="s">
        <v>1102</v>
      </c>
      <c r="E2247" s="24" t="s">
        <v>51</v>
      </c>
      <c r="F2247" s="24" t="s">
        <v>1142</v>
      </c>
      <c r="G2247" s="24" t="s">
        <v>1402</v>
      </c>
      <c r="H2247" s="24" t="s">
        <v>1054</v>
      </c>
      <c r="I2247" s="24" t="s">
        <v>1855</v>
      </c>
      <c r="J2247" s="24" t="s">
        <v>761</v>
      </c>
      <c r="K2247" s="24" t="s">
        <v>1146</v>
      </c>
      <c r="L2247" s="25">
        <v>1070</v>
      </c>
      <c r="M2247" s="26">
        <v>34</v>
      </c>
      <c r="N2247" s="27">
        <v>34</v>
      </c>
      <c r="O2247" s="28">
        <v>3.090909090909091E-2</v>
      </c>
      <c r="P2247" s="28">
        <v>32.194690265486727</v>
      </c>
    </row>
    <row r="2248" spans="1:16" x14ac:dyDescent="0.3">
      <c r="A2248" t="s">
        <v>5129</v>
      </c>
      <c r="B2248" s="24">
        <v>101186</v>
      </c>
      <c r="C2248" s="24" t="s">
        <v>1273</v>
      </c>
      <c r="D2248" s="24" t="s">
        <v>1102</v>
      </c>
      <c r="E2248" s="24" t="s">
        <v>51</v>
      </c>
      <c r="F2248" s="24" t="s">
        <v>1142</v>
      </c>
      <c r="G2248" s="24" t="s">
        <v>1203</v>
      </c>
      <c r="H2248" s="24" t="s">
        <v>1054</v>
      </c>
      <c r="I2248" s="24" t="s">
        <v>1855</v>
      </c>
      <c r="J2248" s="24" t="s">
        <v>761</v>
      </c>
      <c r="K2248" s="24" t="s">
        <v>1146</v>
      </c>
      <c r="L2248" s="25">
        <v>1070</v>
      </c>
      <c r="M2248" s="26">
        <v>34</v>
      </c>
      <c r="N2248" s="27">
        <v>34</v>
      </c>
      <c r="O2248" s="28">
        <v>3.090909090909091E-2</v>
      </c>
      <c r="P2248" s="28">
        <v>32.194690265486727</v>
      </c>
    </row>
    <row r="2249" spans="1:16" x14ac:dyDescent="0.3">
      <c r="A2249" t="s">
        <v>5130</v>
      </c>
      <c r="B2249" s="24">
        <v>101206</v>
      </c>
      <c r="C2249" s="24" t="s">
        <v>1199</v>
      </c>
      <c r="D2249" s="24" t="s">
        <v>1102</v>
      </c>
      <c r="E2249" s="24" t="s">
        <v>51</v>
      </c>
      <c r="F2249" s="24" t="s">
        <v>1142</v>
      </c>
      <c r="G2249" s="24" t="s">
        <v>1200</v>
      </c>
      <c r="H2249" s="24" t="s">
        <v>1054</v>
      </c>
      <c r="I2249" s="24" t="s">
        <v>1855</v>
      </c>
      <c r="J2249" s="24" t="s">
        <v>761</v>
      </c>
      <c r="K2249" s="24" t="s">
        <v>1146</v>
      </c>
      <c r="L2249" s="25">
        <v>1070</v>
      </c>
      <c r="M2249" s="26">
        <v>34</v>
      </c>
      <c r="N2249" s="27">
        <v>34</v>
      </c>
      <c r="O2249" s="28">
        <v>3.090909090909091E-2</v>
      </c>
      <c r="P2249" s="28">
        <v>32.194690265486727</v>
      </c>
    </row>
    <row r="2250" spans="1:16" x14ac:dyDescent="0.3">
      <c r="A2250" t="s">
        <v>5131</v>
      </c>
      <c r="B2250" s="24">
        <v>101424</v>
      </c>
      <c r="C2250" s="24" t="s">
        <v>1278</v>
      </c>
      <c r="D2250" s="24" t="s">
        <v>1102</v>
      </c>
      <c r="E2250" s="24" t="s">
        <v>51</v>
      </c>
      <c r="F2250" s="24" t="s">
        <v>1142</v>
      </c>
      <c r="G2250" s="24" t="s">
        <v>1203</v>
      </c>
      <c r="H2250" s="24" t="s">
        <v>1054</v>
      </c>
      <c r="I2250" s="24" t="s">
        <v>1855</v>
      </c>
      <c r="J2250" s="24" t="s">
        <v>761</v>
      </c>
      <c r="K2250" s="24" t="s">
        <v>1146</v>
      </c>
      <c r="L2250" s="25">
        <v>1070</v>
      </c>
      <c r="M2250" s="26">
        <v>34</v>
      </c>
      <c r="N2250" s="27">
        <v>34</v>
      </c>
      <c r="O2250" s="28">
        <v>3.090909090909091E-2</v>
      </c>
      <c r="P2250" s="28">
        <v>32.194690265486727</v>
      </c>
    </row>
    <row r="2251" spans="1:16" x14ac:dyDescent="0.3">
      <c r="A2251" t="s">
        <v>5132</v>
      </c>
      <c r="B2251" s="24">
        <v>111550</v>
      </c>
      <c r="C2251" s="24" t="s">
        <v>1582</v>
      </c>
      <c r="D2251" s="24" t="s">
        <v>1102</v>
      </c>
      <c r="E2251" s="24" t="s">
        <v>51</v>
      </c>
      <c r="F2251" s="24" t="s">
        <v>1142</v>
      </c>
      <c r="G2251" s="24" t="s">
        <v>1402</v>
      </c>
      <c r="H2251" s="24" t="s">
        <v>1054</v>
      </c>
      <c r="I2251" s="24" t="s">
        <v>1855</v>
      </c>
      <c r="J2251" s="24" t="s">
        <v>761</v>
      </c>
      <c r="K2251" s="24" t="s">
        <v>1146</v>
      </c>
      <c r="L2251" s="25">
        <v>1070</v>
      </c>
      <c r="M2251" s="26">
        <v>34</v>
      </c>
      <c r="N2251" s="27">
        <v>34</v>
      </c>
      <c r="O2251" s="28">
        <v>3.090909090909091E-2</v>
      </c>
      <c r="P2251" s="28">
        <v>32.194690265486727</v>
      </c>
    </row>
    <row r="2252" spans="1:16" x14ac:dyDescent="0.3">
      <c r="A2252" t="s">
        <v>5133</v>
      </c>
      <c r="B2252" s="24">
        <v>114501</v>
      </c>
      <c r="C2252" s="24" t="s">
        <v>1409</v>
      </c>
      <c r="D2252" s="24" t="s">
        <v>1102</v>
      </c>
      <c r="E2252" s="24" t="s">
        <v>51</v>
      </c>
      <c r="F2252" s="24" t="s">
        <v>1142</v>
      </c>
      <c r="G2252" s="24" t="s">
        <v>1402</v>
      </c>
      <c r="H2252" s="24" t="s">
        <v>1054</v>
      </c>
      <c r="I2252" s="24" t="s">
        <v>1855</v>
      </c>
      <c r="J2252" s="24" t="s">
        <v>761</v>
      </c>
      <c r="K2252" s="24" t="s">
        <v>1146</v>
      </c>
      <c r="L2252" s="25">
        <v>1070</v>
      </c>
      <c r="M2252" s="26">
        <v>34</v>
      </c>
      <c r="N2252" s="27">
        <v>34</v>
      </c>
      <c r="O2252" s="28">
        <v>3.090909090909091E-2</v>
      </c>
      <c r="P2252" s="28">
        <v>32.194690265486727</v>
      </c>
    </row>
    <row r="2253" spans="1:16" x14ac:dyDescent="0.3">
      <c r="A2253" t="s">
        <v>5134</v>
      </c>
      <c r="B2253" s="24">
        <v>142310</v>
      </c>
      <c r="C2253" s="24" t="s">
        <v>1474</v>
      </c>
      <c r="D2253" s="24" t="s">
        <v>1102</v>
      </c>
      <c r="E2253" s="24" t="s">
        <v>51</v>
      </c>
      <c r="F2253" s="24" t="s">
        <v>1142</v>
      </c>
      <c r="G2253" s="24" t="s">
        <v>1402</v>
      </c>
      <c r="H2253" s="24" t="s">
        <v>1054</v>
      </c>
      <c r="I2253" s="24" t="s">
        <v>1855</v>
      </c>
      <c r="J2253" s="24" t="s">
        <v>761</v>
      </c>
      <c r="K2253" s="24" t="s">
        <v>1146</v>
      </c>
      <c r="L2253" s="25">
        <v>1070</v>
      </c>
      <c r="M2253" s="26">
        <v>34</v>
      </c>
      <c r="N2253" s="27">
        <v>34</v>
      </c>
      <c r="O2253" s="28">
        <v>3.090909090909091E-2</v>
      </c>
      <c r="P2253" s="28">
        <v>32.194690265486727</v>
      </c>
    </row>
    <row r="2254" spans="1:16" x14ac:dyDescent="0.3">
      <c r="A2254" t="s">
        <v>5135</v>
      </c>
      <c r="B2254" s="24">
        <v>100581</v>
      </c>
      <c r="C2254" s="24" t="s">
        <v>1232</v>
      </c>
      <c r="D2254" s="24" t="s">
        <v>1102</v>
      </c>
      <c r="E2254" s="24" t="s">
        <v>51</v>
      </c>
      <c r="F2254" s="24" t="s">
        <v>1142</v>
      </c>
      <c r="G2254" s="24" t="s">
        <v>1233</v>
      </c>
      <c r="H2254" s="24" t="s">
        <v>332</v>
      </c>
      <c r="I2254" s="24" t="s">
        <v>1856</v>
      </c>
      <c r="J2254" s="24" t="s">
        <v>761</v>
      </c>
      <c r="K2254" s="24" t="s">
        <v>1146</v>
      </c>
      <c r="L2254" s="25">
        <v>1070</v>
      </c>
      <c r="M2254" s="26">
        <v>26.6</v>
      </c>
      <c r="N2254" s="27">
        <v>26.6</v>
      </c>
      <c r="O2254" s="28">
        <v>2.4181818181818183E-2</v>
      </c>
      <c r="P2254" s="28">
        <v>25.187610619469027</v>
      </c>
    </row>
    <row r="2255" spans="1:16" x14ac:dyDescent="0.3">
      <c r="A2255" t="s">
        <v>5136</v>
      </c>
      <c r="B2255" s="24">
        <v>100603</v>
      </c>
      <c r="C2255" s="24" t="s">
        <v>1277</v>
      </c>
      <c r="D2255" s="24" t="s">
        <v>1102</v>
      </c>
      <c r="E2255" s="24" t="s">
        <v>51</v>
      </c>
      <c r="F2255" s="24" t="s">
        <v>1142</v>
      </c>
      <c r="G2255" s="24" t="s">
        <v>1082</v>
      </c>
      <c r="H2255" s="24" t="s">
        <v>332</v>
      </c>
      <c r="I2255" s="24" t="s">
        <v>1856</v>
      </c>
      <c r="J2255" s="24" t="s">
        <v>761</v>
      </c>
      <c r="K2255" s="24" t="s">
        <v>1146</v>
      </c>
      <c r="L2255" s="25">
        <v>1070</v>
      </c>
      <c r="M2255" s="26">
        <v>26.6</v>
      </c>
      <c r="N2255" s="27">
        <v>26.6</v>
      </c>
      <c r="O2255" s="28">
        <v>2.4181818181818183E-2</v>
      </c>
      <c r="P2255" s="28">
        <v>25.187610619469027</v>
      </c>
    </row>
    <row r="2256" spans="1:16" x14ac:dyDescent="0.3">
      <c r="A2256" t="s">
        <v>5137</v>
      </c>
      <c r="B2256" s="24">
        <v>101184</v>
      </c>
      <c r="C2256" s="24" t="s">
        <v>1401</v>
      </c>
      <c r="D2256" s="24" t="s">
        <v>1102</v>
      </c>
      <c r="E2256" s="24" t="s">
        <v>51</v>
      </c>
      <c r="F2256" s="24" t="s">
        <v>1142</v>
      </c>
      <c r="G2256" s="24" t="s">
        <v>1402</v>
      </c>
      <c r="H2256" s="24" t="s">
        <v>332</v>
      </c>
      <c r="I2256" s="24" t="s">
        <v>1856</v>
      </c>
      <c r="J2256" s="24" t="s">
        <v>761</v>
      </c>
      <c r="K2256" s="24" t="s">
        <v>1146</v>
      </c>
      <c r="L2256" s="25">
        <v>1070</v>
      </c>
      <c r="M2256" s="26">
        <v>26</v>
      </c>
      <c r="N2256" s="27">
        <v>26</v>
      </c>
      <c r="O2256" s="28">
        <v>2.3636363636363636E-2</v>
      </c>
      <c r="P2256" s="28">
        <v>24.619469026548671</v>
      </c>
    </row>
    <row r="2257" spans="1:16" x14ac:dyDescent="0.3">
      <c r="A2257" t="s">
        <v>5138</v>
      </c>
      <c r="B2257" s="24">
        <v>111550</v>
      </c>
      <c r="C2257" s="24" t="s">
        <v>1582</v>
      </c>
      <c r="D2257" s="24" t="s">
        <v>1102</v>
      </c>
      <c r="E2257" s="24" t="s">
        <v>51</v>
      </c>
      <c r="F2257" s="24" t="s">
        <v>1142</v>
      </c>
      <c r="G2257" s="24" t="s">
        <v>1402</v>
      </c>
      <c r="H2257" s="24" t="s">
        <v>332</v>
      </c>
      <c r="I2257" s="24" t="s">
        <v>1856</v>
      </c>
      <c r="J2257" s="24" t="s">
        <v>761</v>
      </c>
      <c r="K2257" s="24" t="s">
        <v>1146</v>
      </c>
      <c r="L2257" s="25">
        <v>1070</v>
      </c>
      <c r="M2257" s="26">
        <v>26</v>
      </c>
      <c r="N2257" s="27">
        <v>26</v>
      </c>
      <c r="O2257" s="28">
        <v>2.3636363636363636E-2</v>
      </c>
      <c r="P2257" s="28">
        <v>24.619469026548671</v>
      </c>
    </row>
    <row r="2258" spans="1:16" x14ac:dyDescent="0.3">
      <c r="A2258" t="s">
        <v>5139</v>
      </c>
      <c r="B2258" s="24">
        <v>100581</v>
      </c>
      <c r="C2258" s="24" t="s">
        <v>1232</v>
      </c>
      <c r="D2258" s="24" t="s">
        <v>1102</v>
      </c>
      <c r="E2258" s="24" t="s">
        <v>51</v>
      </c>
      <c r="F2258" s="24" t="s">
        <v>1142</v>
      </c>
      <c r="G2258" s="24" t="s">
        <v>1233</v>
      </c>
      <c r="H2258" s="24" t="s">
        <v>289</v>
      </c>
      <c r="I2258" s="24" t="s">
        <v>1857</v>
      </c>
      <c r="J2258" s="24" t="s">
        <v>761</v>
      </c>
      <c r="K2258" s="24" t="s">
        <v>1146</v>
      </c>
      <c r="L2258" s="25">
        <v>1070</v>
      </c>
      <c r="M2258" s="26">
        <v>36.380000000000003</v>
      </c>
      <c r="N2258" s="27">
        <v>36.380000000000003</v>
      </c>
      <c r="O2258" s="28">
        <v>3.3072727272727274E-2</v>
      </c>
      <c r="P2258" s="28">
        <v>34.448318584070805</v>
      </c>
    </row>
    <row r="2259" spans="1:16" x14ac:dyDescent="0.3">
      <c r="A2259" t="s">
        <v>5140</v>
      </c>
      <c r="B2259" s="24">
        <v>100603</v>
      </c>
      <c r="C2259" s="24" t="s">
        <v>1277</v>
      </c>
      <c r="D2259" s="24" t="s">
        <v>1102</v>
      </c>
      <c r="E2259" s="24" t="s">
        <v>51</v>
      </c>
      <c r="F2259" s="24" t="s">
        <v>1142</v>
      </c>
      <c r="G2259" s="24" t="s">
        <v>1082</v>
      </c>
      <c r="H2259" s="24" t="s">
        <v>289</v>
      </c>
      <c r="I2259" s="24" t="s">
        <v>1857</v>
      </c>
      <c r="J2259" s="24" t="s">
        <v>761</v>
      </c>
      <c r="K2259" s="24" t="s">
        <v>1146</v>
      </c>
      <c r="L2259" s="25">
        <v>1070</v>
      </c>
      <c r="M2259" s="26">
        <v>37.5</v>
      </c>
      <c r="N2259" s="27">
        <v>37.5</v>
      </c>
      <c r="O2259" s="28">
        <v>3.4090909090909088E-2</v>
      </c>
      <c r="P2259" s="28">
        <v>35.508849557522126</v>
      </c>
    </row>
    <row r="2260" spans="1:16" x14ac:dyDescent="0.3">
      <c r="A2260" t="s">
        <v>5141</v>
      </c>
      <c r="B2260" s="24">
        <v>101186</v>
      </c>
      <c r="C2260" s="24" t="s">
        <v>1273</v>
      </c>
      <c r="D2260" s="24" t="s">
        <v>1102</v>
      </c>
      <c r="E2260" s="24" t="s">
        <v>51</v>
      </c>
      <c r="F2260" s="24" t="s">
        <v>1142</v>
      </c>
      <c r="G2260" s="24" t="s">
        <v>1203</v>
      </c>
      <c r="H2260" s="24" t="s">
        <v>289</v>
      </c>
      <c r="I2260" s="24" t="s">
        <v>1857</v>
      </c>
      <c r="J2260" s="24" t="s">
        <v>761</v>
      </c>
      <c r="K2260" s="24" t="s">
        <v>1146</v>
      </c>
      <c r="L2260" s="25">
        <v>1070</v>
      </c>
      <c r="M2260" s="26">
        <v>36.380000000000003</v>
      </c>
      <c r="N2260" s="27">
        <v>36.380000000000003</v>
      </c>
      <c r="O2260" s="28">
        <v>3.3072727272727274E-2</v>
      </c>
      <c r="P2260" s="28">
        <v>34.448318584070805</v>
      </c>
    </row>
    <row r="2261" spans="1:16" x14ac:dyDescent="0.3">
      <c r="A2261" t="s">
        <v>5142</v>
      </c>
      <c r="B2261" s="24">
        <v>101206</v>
      </c>
      <c r="C2261" s="24" t="s">
        <v>1199</v>
      </c>
      <c r="D2261" s="24" t="s">
        <v>1102</v>
      </c>
      <c r="E2261" s="24" t="s">
        <v>51</v>
      </c>
      <c r="F2261" s="24" t="s">
        <v>1142</v>
      </c>
      <c r="G2261" s="24" t="s">
        <v>1200</v>
      </c>
      <c r="H2261" s="24" t="s">
        <v>289</v>
      </c>
      <c r="I2261" s="24" t="s">
        <v>1857</v>
      </c>
      <c r="J2261" s="24" t="s">
        <v>761</v>
      </c>
      <c r="K2261" s="24" t="s">
        <v>1146</v>
      </c>
      <c r="L2261" s="25">
        <v>1070</v>
      </c>
      <c r="M2261" s="26">
        <v>36.380000000000003</v>
      </c>
      <c r="N2261" s="27">
        <v>36.380000000000003</v>
      </c>
      <c r="O2261" s="28">
        <v>3.3072727272727274E-2</v>
      </c>
      <c r="P2261" s="28">
        <v>34.448318584070805</v>
      </c>
    </row>
    <row r="2262" spans="1:16" x14ac:dyDescent="0.3">
      <c r="A2262" t="s">
        <v>5143</v>
      </c>
      <c r="B2262" s="24">
        <v>101424</v>
      </c>
      <c r="C2262" s="24" t="s">
        <v>1278</v>
      </c>
      <c r="D2262" s="24" t="s">
        <v>1102</v>
      </c>
      <c r="E2262" s="24" t="s">
        <v>51</v>
      </c>
      <c r="F2262" s="24" t="s">
        <v>1142</v>
      </c>
      <c r="G2262" s="24" t="s">
        <v>1203</v>
      </c>
      <c r="H2262" s="24" t="s">
        <v>289</v>
      </c>
      <c r="I2262" s="24" t="s">
        <v>1857</v>
      </c>
      <c r="J2262" s="24" t="s">
        <v>761</v>
      </c>
      <c r="K2262" s="24" t="s">
        <v>1146</v>
      </c>
      <c r="L2262" s="25">
        <v>1070</v>
      </c>
      <c r="M2262" s="26">
        <v>36.380000000000003</v>
      </c>
      <c r="N2262" s="27">
        <v>36.380000000000003</v>
      </c>
      <c r="O2262" s="28">
        <v>3.3072727272727274E-2</v>
      </c>
      <c r="P2262" s="28">
        <v>34.448318584070805</v>
      </c>
    </row>
    <row r="2263" spans="1:16" x14ac:dyDescent="0.3">
      <c r="A2263" t="s">
        <v>5144</v>
      </c>
      <c r="B2263" s="24">
        <v>111550</v>
      </c>
      <c r="C2263" s="24" t="s">
        <v>1582</v>
      </c>
      <c r="D2263" s="24" t="s">
        <v>1102</v>
      </c>
      <c r="E2263" s="24" t="s">
        <v>51</v>
      </c>
      <c r="F2263" s="24" t="s">
        <v>1142</v>
      </c>
      <c r="G2263" s="24" t="s">
        <v>1402</v>
      </c>
      <c r="H2263" s="24" t="s">
        <v>289</v>
      </c>
      <c r="I2263" s="24" t="s">
        <v>1857</v>
      </c>
      <c r="J2263" s="24" t="s">
        <v>761</v>
      </c>
      <c r="K2263" s="24" t="s">
        <v>1146</v>
      </c>
      <c r="L2263" s="25">
        <v>1070</v>
      </c>
      <c r="M2263" s="26">
        <v>36.380000000000003</v>
      </c>
      <c r="N2263" s="27">
        <v>36.380000000000003</v>
      </c>
      <c r="O2263" s="28">
        <v>3.3072727272727274E-2</v>
      </c>
      <c r="P2263" s="28">
        <v>34.448318584070805</v>
      </c>
    </row>
    <row r="2264" spans="1:16" x14ac:dyDescent="0.3">
      <c r="A2264" t="s">
        <v>5145</v>
      </c>
      <c r="B2264" s="24">
        <v>114501</v>
      </c>
      <c r="C2264" s="24" t="s">
        <v>1409</v>
      </c>
      <c r="D2264" s="24" t="s">
        <v>1102</v>
      </c>
      <c r="E2264" s="24" t="s">
        <v>51</v>
      </c>
      <c r="F2264" s="24" t="s">
        <v>1142</v>
      </c>
      <c r="G2264" s="24" t="s">
        <v>1402</v>
      </c>
      <c r="H2264" s="24" t="s">
        <v>289</v>
      </c>
      <c r="I2264" s="24" t="s">
        <v>1857</v>
      </c>
      <c r="J2264" s="24" t="s">
        <v>761</v>
      </c>
      <c r="K2264" s="24" t="s">
        <v>1146</v>
      </c>
      <c r="L2264" s="25">
        <v>1070</v>
      </c>
      <c r="M2264" s="26">
        <v>36.380000000000003</v>
      </c>
      <c r="N2264" s="27">
        <v>36.380000000000003</v>
      </c>
      <c r="O2264" s="28">
        <v>3.3072727272727274E-2</v>
      </c>
      <c r="P2264" s="28">
        <v>34.448318584070805</v>
      </c>
    </row>
    <row r="2265" spans="1:16" x14ac:dyDescent="0.3">
      <c r="A2265" t="s">
        <v>5143</v>
      </c>
      <c r="B2265" s="24">
        <v>101424</v>
      </c>
      <c r="C2265" s="24" t="s">
        <v>1278</v>
      </c>
      <c r="D2265" s="24" t="s">
        <v>1102</v>
      </c>
      <c r="E2265" s="24" t="s">
        <v>51</v>
      </c>
      <c r="F2265" s="24" t="s">
        <v>1142</v>
      </c>
      <c r="G2265" s="24" t="s">
        <v>1203</v>
      </c>
      <c r="H2265" s="24" t="s">
        <v>289</v>
      </c>
      <c r="I2265" s="24" t="s">
        <v>1857</v>
      </c>
      <c r="J2265" s="24" t="s">
        <v>761</v>
      </c>
      <c r="K2265" s="24" t="s">
        <v>1146</v>
      </c>
      <c r="L2265" s="25">
        <v>1070</v>
      </c>
      <c r="M2265" s="26">
        <v>37.380000000000003</v>
      </c>
      <c r="N2265" s="27">
        <v>37.380000000000003</v>
      </c>
      <c r="O2265" s="28">
        <v>3.3981818181818182E-2</v>
      </c>
      <c r="P2265" s="28">
        <v>35.395221238938056</v>
      </c>
    </row>
    <row r="2266" spans="1:16" x14ac:dyDescent="0.3">
      <c r="A2266" t="s">
        <v>5146</v>
      </c>
      <c r="B2266" s="24">
        <v>101186</v>
      </c>
      <c r="C2266" s="24" t="s">
        <v>1273</v>
      </c>
      <c r="D2266" s="24" t="s">
        <v>1102</v>
      </c>
      <c r="E2266" s="24" t="s">
        <v>51</v>
      </c>
      <c r="F2266" s="24" t="s">
        <v>1142</v>
      </c>
      <c r="G2266" s="24" t="s">
        <v>1203</v>
      </c>
      <c r="H2266" s="24" t="s">
        <v>290</v>
      </c>
      <c r="I2266" s="24" t="s">
        <v>1858</v>
      </c>
      <c r="J2266" s="24" t="s">
        <v>761</v>
      </c>
      <c r="K2266" s="24" t="s">
        <v>1146</v>
      </c>
      <c r="L2266" s="25">
        <v>1070</v>
      </c>
      <c r="M2266" s="26">
        <v>48.5</v>
      </c>
      <c r="N2266" s="27">
        <v>48.5</v>
      </c>
      <c r="O2266" s="28">
        <v>4.409090909090909E-2</v>
      </c>
      <c r="P2266" s="28">
        <v>45.924778761061944</v>
      </c>
    </row>
    <row r="2267" spans="1:16" x14ac:dyDescent="0.3">
      <c r="A2267" t="s">
        <v>5147</v>
      </c>
      <c r="B2267" s="24">
        <v>101206</v>
      </c>
      <c r="C2267" s="24" t="s">
        <v>1199</v>
      </c>
      <c r="D2267" s="24" t="s">
        <v>1102</v>
      </c>
      <c r="E2267" s="24" t="s">
        <v>51</v>
      </c>
      <c r="F2267" s="24" t="s">
        <v>1142</v>
      </c>
      <c r="G2267" s="24" t="s">
        <v>1200</v>
      </c>
      <c r="H2267" s="24" t="s">
        <v>290</v>
      </c>
      <c r="I2267" s="24" t="s">
        <v>1858</v>
      </c>
      <c r="J2267" s="24" t="s">
        <v>761</v>
      </c>
      <c r="K2267" s="24" t="s">
        <v>1146</v>
      </c>
      <c r="L2267" s="25">
        <v>1070</v>
      </c>
      <c r="M2267" s="26">
        <v>48.5</v>
      </c>
      <c r="N2267" s="27">
        <v>48.5</v>
      </c>
      <c r="O2267" s="28">
        <v>4.409090909090909E-2</v>
      </c>
      <c r="P2267" s="28">
        <v>45.924778761061944</v>
      </c>
    </row>
    <row r="2268" spans="1:16" x14ac:dyDescent="0.3">
      <c r="A2268" t="s">
        <v>5148</v>
      </c>
      <c r="B2268" s="24">
        <v>101424</v>
      </c>
      <c r="C2268" s="24" t="s">
        <v>1278</v>
      </c>
      <c r="D2268" s="24" t="s">
        <v>1102</v>
      </c>
      <c r="E2268" s="24" t="s">
        <v>51</v>
      </c>
      <c r="F2268" s="24" t="s">
        <v>1142</v>
      </c>
      <c r="G2268" s="24" t="s">
        <v>1203</v>
      </c>
      <c r="H2268" s="24" t="s">
        <v>290</v>
      </c>
      <c r="I2268" s="24" t="s">
        <v>1858</v>
      </c>
      <c r="J2268" s="24" t="s">
        <v>761</v>
      </c>
      <c r="K2268" s="24" t="s">
        <v>1146</v>
      </c>
      <c r="L2268" s="25">
        <v>1070</v>
      </c>
      <c r="M2268" s="26">
        <v>48.5</v>
      </c>
      <c r="N2268" s="27">
        <v>48.5</v>
      </c>
      <c r="O2268" s="28">
        <v>4.409090909090909E-2</v>
      </c>
      <c r="P2268" s="28">
        <v>45.924778761061944</v>
      </c>
    </row>
    <row r="2269" spans="1:16" x14ac:dyDescent="0.3">
      <c r="A2269" t="s">
        <v>5149</v>
      </c>
      <c r="B2269" s="24">
        <v>100603</v>
      </c>
      <c r="C2269" s="24" t="s">
        <v>1277</v>
      </c>
      <c r="D2269" s="24" t="s">
        <v>1102</v>
      </c>
      <c r="E2269" s="24" t="s">
        <v>51</v>
      </c>
      <c r="F2269" s="24" t="s">
        <v>1142</v>
      </c>
      <c r="G2269" s="24" t="s">
        <v>1082</v>
      </c>
      <c r="H2269" s="24" t="s">
        <v>262</v>
      </c>
      <c r="I2269" s="24" t="s">
        <v>1859</v>
      </c>
      <c r="J2269" s="24" t="s">
        <v>761</v>
      </c>
      <c r="K2269" s="24" t="s">
        <v>1146</v>
      </c>
      <c r="L2269" s="25">
        <v>1070</v>
      </c>
      <c r="M2269" s="26">
        <v>34.299999999999997</v>
      </c>
      <c r="N2269" s="27">
        <v>34.299999999999997</v>
      </c>
      <c r="O2269" s="28">
        <v>3.1181818181818179E-2</v>
      </c>
      <c r="P2269" s="28">
        <v>32.478761061946905</v>
      </c>
    </row>
    <row r="2270" spans="1:16" x14ac:dyDescent="0.3">
      <c r="A2270" t="s">
        <v>5150</v>
      </c>
      <c r="B2270" s="24">
        <v>101186</v>
      </c>
      <c r="C2270" s="24" t="s">
        <v>1273</v>
      </c>
      <c r="D2270" s="24" t="s">
        <v>1102</v>
      </c>
      <c r="E2270" s="24" t="s">
        <v>51</v>
      </c>
      <c r="F2270" s="24" t="s">
        <v>1142</v>
      </c>
      <c r="G2270" s="24" t="s">
        <v>1203</v>
      </c>
      <c r="H2270" s="24" t="s">
        <v>262</v>
      </c>
      <c r="I2270" s="24" t="s">
        <v>1859</v>
      </c>
      <c r="J2270" s="24" t="s">
        <v>761</v>
      </c>
      <c r="K2270" s="24" t="s">
        <v>1146</v>
      </c>
      <c r="L2270" s="25">
        <v>1070</v>
      </c>
      <c r="M2270" s="26">
        <v>34.299999999999997</v>
      </c>
      <c r="N2270" s="27">
        <v>34.299999999999997</v>
      </c>
      <c r="O2270" s="28">
        <v>3.1181818181818179E-2</v>
      </c>
      <c r="P2270" s="28">
        <v>32.478761061946905</v>
      </c>
    </row>
    <row r="2271" spans="1:16" x14ac:dyDescent="0.3">
      <c r="A2271" t="s">
        <v>5151</v>
      </c>
      <c r="B2271" s="24">
        <v>101206</v>
      </c>
      <c r="C2271" s="24" t="s">
        <v>1199</v>
      </c>
      <c r="D2271" s="24" t="s">
        <v>1102</v>
      </c>
      <c r="E2271" s="24" t="s">
        <v>51</v>
      </c>
      <c r="F2271" s="24" t="s">
        <v>1142</v>
      </c>
      <c r="G2271" s="24" t="s">
        <v>1200</v>
      </c>
      <c r="H2271" s="24" t="s">
        <v>262</v>
      </c>
      <c r="I2271" s="24" t="s">
        <v>1859</v>
      </c>
      <c r="J2271" s="24" t="s">
        <v>761</v>
      </c>
      <c r="K2271" s="24" t="s">
        <v>1146</v>
      </c>
      <c r="L2271" s="25">
        <v>1070</v>
      </c>
      <c r="M2271" s="26">
        <v>34.299999999999997</v>
      </c>
      <c r="N2271" s="27">
        <v>34.299999999999997</v>
      </c>
      <c r="O2271" s="28">
        <v>3.1181818181818179E-2</v>
      </c>
      <c r="P2271" s="28">
        <v>32.478761061946905</v>
      </c>
    </row>
    <row r="2272" spans="1:16" x14ac:dyDescent="0.3">
      <c r="A2272" t="s">
        <v>5152</v>
      </c>
      <c r="B2272" s="24">
        <v>111550</v>
      </c>
      <c r="C2272" s="24" t="s">
        <v>1582</v>
      </c>
      <c r="D2272" s="24" t="s">
        <v>1102</v>
      </c>
      <c r="E2272" s="24" t="s">
        <v>51</v>
      </c>
      <c r="F2272" s="24" t="s">
        <v>1142</v>
      </c>
      <c r="G2272" s="24" t="s">
        <v>1402</v>
      </c>
      <c r="H2272" s="24" t="s">
        <v>262</v>
      </c>
      <c r="I2272" s="24" t="s">
        <v>1859</v>
      </c>
      <c r="J2272" s="24" t="s">
        <v>761</v>
      </c>
      <c r="K2272" s="24" t="s">
        <v>1146</v>
      </c>
      <c r="L2272" s="25">
        <v>1070</v>
      </c>
      <c r="M2272" s="26">
        <v>34.299999999999997</v>
      </c>
      <c r="N2272" s="27">
        <v>34.299999999999997</v>
      </c>
      <c r="O2272" s="28">
        <v>3.1181818181818179E-2</v>
      </c>
      <c r="P2272" s="28">
        <v>32.478761061946905</v>
      </c>
    </row>
    <row r="2273" spans="1:16" x14ac:dyDescent="0.3">
      <c r="A2273" t="s">
        <v>5153</v>
      </c>
      <c r="B2273" s="24">
        <v>101186</v>
      </c>
      <c r="C2273" s="24" t="s">
        <v>1273</v>
      </c>
      <c r="D2273" s="24" t="s">
        <v>1102</v>
      </c>
      <c r="E2273" s="24" t="s">
        <v>51</v>
      </c>
      <c r="F2273" s="24" t="s">
        <v>1142</v>
      </c>
      <c r="G2273" s="24" t="s">
        <v>1203</v>
      </c>
      <c r="H2273" s="24" t="s">
        <v>263</v>
      </c>
      <c r="I2273" s="24" t="s">
        <v>1860</v>
      </c>
      <c r="J2273" s="24" t="s">
        <v>761</v>
      </c>
      <c r="K2273" s="24" t="s">
        <v>1146</v>
      </c>
      <c r="L2273" s="25">
        <v>1070</v>
      </c>
      <c r="M2273" s="26">
        <v>39.200000000000003</v>
      </c>
      <c r="N2273" s="27">
        <v>39.200000000000003</v>
      </c>
      <c r="O2273" s="28">
        <v>3.563636363636364E-2</v>
      </c>
      <c r="P2273" s="28">
        <v>37.118584070796459</v>
      </c>
    </row>
    <row r="2274" spans="1:16" x14ac:dyDescent="0.3">
      <c r="A2274" t="s">
        <v>5154</v>
      </c>
      <c r="B2274" s="24">
        <v>101206</v>
      </c>
      <c r="C2274" s="24" t="s">
        <v>1199</v>
      </c>
      <c r="D2274" s="24" t="s">
        <v>1102</v>
      </c>
      <c r="E2274" s="24" t="s">
        <v>51</v>
      </c>
      <c r="F2274" s="24" t="s">
        <v>1142</v>
      </c>
      <c r="G2274" s="24" t="s">
        <v>1200</v>
      </c>
      <c r="H2274" s="24" t="s">
        <v>263</v>
      </c>
      <c r="I2274" s="24" t="s">
        <v>1860</v>
      </c>
      <c r="J2274" s="24" t="s">
        <v>761</v>
      </c>
      <c r="K2274" s="24" t="s">
        <v>1146</v>
      </c>
      <c r="L2274" s="25">
        <v>1070</v>
      </c>
      <c r="M2274" s="26">
        <v>39.200000000000003</v>
      </c>
      <c r="N2274" s="27">
        <v>39.200000000000003</v>
      </c>
      <c r="O2274" s="28">
        <v>3.563636363636364E-2</v>
      </c>
      <c r="P2274" s="28">
        <v>37.118584070796459</v>
      </c>
    </row>
    <row r="2275" spans="1:16" x14ac:dyDescent="0.3">
      <c r="A2275" t="s">
        <v>5155</v>
      </c>
      <c r="B2275" s="24">
        <v>111550</v>
      </c>
      <c r="C2275" s="24" t="s">
        <v>1582</v>
      </c>
      <c r="D2275" s="24" t="s">
        <v>1102</v>
      </c>
      <c r="E2275" s="24" t="s">
        <v>51</v>
      </c>
      <c r="F2275" s="24" t="s">
        <v>1142</v>
      </c>
      <c r="G2275" s="24" t="s">
        <v>1402</v>
      </c>
      <c r="H2275" s="24" t="s">
        <v>263</v>
      </c>
      <c r="I2275" s="24" t="s">
        <v>1860</v>
      </c>
      <c r="J2275" s="24" t="s">
        <v>761</v>
      </c>
      <c r="K2275" s="24" t="s">
        <v>1146</v>
      </c>
      <c r="L2275" s="25">
        <v>1070</v>
      </c>
      <c r="M2275" s="26">
        <v>39.200000000000003</v>
      </c>
      <c r="N2275" s="27">
        <v>39.200000000000003</v>
      </c>
      <c r="O2275" s="28">
        <v>3.563636363636364E-2</v>
      </c>
      <c r="P2275" s="28">
        <v>37.118584070796459</v>
      </c>
    </row>
    <row r="2276" spans="1:16" x14ac:dyDescent="0.3">
      <c r="A2276" t="s">
        <v>5156</v>
      </c>
      <c r="B2276" s="24">
        <v>100581</v>
      </c>
      <c r="C2276" s="24" t="s">
        <v>1232</v>
      </c>
      <c r="D2276" s="24" t="s">
        <v>1102</v>
      </c>
      <c r="E2276" s="24" t="s">
        <v>51</v>
      </c>
      <c r="F2276" s="24" t="s">
        <v>1142</v>
      </c>
      <c r="G2276" s="24" t="s">
        <v>1233</v>
      </c>
      <c r="H2276" s="24" t="s">
        <v>291</v>
      </c>
      <c r="I2276" s="24" t="s">
        <v>1861</v>
      </c>
      <c r="J2276" s="24" t="s">
        <v>761</v>
      </c>
      <c r="K2276" s="24" t="s">
        <v>1146</v>
      </c>
      <c r="L2276" s="25">
        <v>1070</v>
      </c>
      <c r="M2276" s="26">
        <v>25</v>
      </c>
      <c r="N2276" s="27">
        <v>25</v>
      </c>
      <c r="O2276" s="28">
        <v>2.2727272727272728E-2</v>
      </c>
      <c r="P2276" s="28">
        <v>23.672566371681416</v>
      </c>
    </row>
    <row r="2277" spans="1:16" x14ac:dyDescent="0.3">
      <c r="A2277" t="s">
        <v>5157</v>
      </c>
      <c r="B2277" s="24">
        <v>100603</v>
      </c>
      <c r="C2277" s="24" t="s">
        <v>1277</v>
      </c>
      <c r="D2277" s="24" t="s">
        <v>1102</v>
      </c>
      <c r="E2277" s="24" t="s">
        <v>51</v>
      </c>
      <c r="F2277" s="24" t="s">
        <v>1142</v>
      </c>
      <c r="G2277" s="24" t="s">
        <v>1082</v>
      </c>
      <c r="H2277" s="24" t="s">
        <v>291</v>
      </c>
      <c r="I2277" s="24" t="s">
        <v>1861</v>
      </c>
      <c r="J2277" s="24" t="s">
        <v>761</v>
      </c>
      <c r="K2277" s="24" t="s">
        <v>1146</v>
      </c>
      <c r="L2277" s="25">
        <v>1070</v>
      </c>
      <c r="M2277" s="26">
        <v>25</v>
      </c>
      <c r="N2277" s="27">
        <v>25</v>
      </c>
      <c r="O2277" s="28">
        <v>2.2727272727272728E-2</v>
      </c>
      <c r="P2277" s="28">
        <v>23.672566371681416</v>
      </c>
    </row>
    <row r="2278" spans="1:16" x14ac:dyDescent="0.3">
      <c r="A2278" t="s">
        <v>5158</v>
      </c>
      <c r="B2278" s="24">
        <v>101186</v>
      </c>
      <c r="C2278" s="24" t="s">
        <v>1273</v>
      </c>
      <c r="D2278" s="24" t="s">
        <v>1102</v>
      </c>
      <c r="E2278" s="24" t="s">
        <v>51</v>
      </c>
      <c r="F2278" s="24" t="s">
        <v>1142</v>
      </c>
      <c r="G2278" s="24" t="s">
        <v>1203</v>
      </c>
      <c r="H2278" s="24" t="s">
        <v>291</v>
      </c>
      <c r="I2278" s="24" t="s">
        <v>1861</v>
      </c>
      <c r="J2278" s="24" t="s">
        <v>761</v>
      </c>
      <c r="K2278" s="24" t="s">
        <v>1146</v>
      </c>
      <c r="L2278" s="25">
        <v>1070</v>
      </c>
      <c r="M2278" s="26">
        <v>25</v>
      </c>
      <c r="N2278" s="27">
        <v>25</v>
      </c>
      <c r="O2278" s="28">
        <v>2.2727272727272728E-2</v>
      </c>
      <c r="P2278" s="28">
        <v>23.672566371681416</v>
      </c>
    </row>
    <row r="2279" spans="1:16" x14ac:dyDescent="0.3">
      <c r="A2279" t="s">
        <v>5159</v>
      </c>
      <c r="B2279" s="24">
        <v>101206</v>
      </c>
      <c r="C2279" s="24" t="s">
        <v>1199</v>
      </c>
      <c r="D2279" s="24" t="s">
        <v>1102</v>
      </c>
      <c r="E2279" s="24" t="s">
        <v>51</v>
      </c>
      <c r="F2279" s="24" t="s">
        <v>1142</v>
      </c>
      <c r="G2279" s="24" t="s">
        <v>1200</v>
      </c>
      <c r="H2279" s="24" t="s">
        <v>291</v>
      </c>
      <c r="I2279" s="24" t="s">
        <v>1861</v>
      </c>
      <c r="J2279" s="24" t="s">
        <v>761</v>
      </c>
      <c r="K2279" s="24" t="s">
        <v>1146</v>
      </c>
      <c r="L2279" s="25">
        <v>1070</v>
      </c>
      <c r="M2279" s="26">
        <v>25</v>
      </c>
      <c r="N2279" s="27">
        <v>25</v>
      </c>
      <c r="O2279" s="28">
        <v>2.2727272727272728E-2</v>
      </c>
      <c r="P2279" s="28">
        <v>23.672566371681416</v>
      </c>
    </row>
    <row r="2280" spans="1:16" x14ac:dyDescent="0.3">
      <c r="A2280" t="s">
        <v>5160</v>
      </c>
      <c r="B2280" s="24">
        <v>101424</v>
      </c>
      <c r="C2280" s="24" t="s">
        <v>1278</v>
      </c>
      <c r="D2280" s="24" t="s">
        <v>1102</v>
      </c>
      <c r="E2280" s="24" t="s">
        <v>51</v>
      </c>
      <c r="F2280" s="24" t="s">
        <v>1142</v>
      </c>
      <c r="G2280" s="24" t="s">
        <v>1203</v>
      </c>
      <c r="H2280" s="24" t="s">
        <v>291</v>
      </c>
      <c r="I2280" s="24" t="s">
        <v>1861</v>
      </c>
      <c r="J2280" s="24" t="s">
        <v>761</v>
      </c>
      <c r="K2280" s="24" t="s">
        <v>1146</v>
      </c>
      <c r="L2280" s="25">
        <v>1070</v>
      </c>
      <c r="M2280" s="26">
        <v>25</v>
      </c>
      <c r="N2280" s="27">
        <v>25</v>
      </c>
      <c r="O2280" s="28">
        <v>2.2727272727272728E-2</v>
      </c>
      <c r="P2280" s="28">
        <v>23.672566371681416</v>
      </c>
    </row>
    <row r="2281" spans="1:16" x14ac:dyDescent="0.3">
      <c r="A2281" t="s">
        <v>5161</v>
      </c>
      <c r="B2281" s="24">
        <v>106916</v>
      </c>
      <c r="C2281" s="24" t="s">
        <v>1216</v>
      </c>
      <c r="D2281" s="24" t="s">
        <v>1102</v>
      </c>
      <c r="E2281" s="24" t="s">
        <v>51</v>
      </c>
      <c r="F2281" s="24" t="s">
        <v>1142</v>
      </c>
      <c r="G2281" s="24" t="s">
        <v>1203</v>
      </c>
      <c r="H2281" s="24" t="s">
        <v>291</v>
      </c>
      <c r="I2281" s="24" t="s">
        <v>1861</v>
      </c>
      <c r="J2281" s="24" t="s">
        <v>761</v>
      </c>
      <c r="K2281" s="24" t="s">
        <v>1146</v>
      </c>
      <c r="L2281" s="25">
        <v>1070</v>
      </c>
      <c r="M2281" s="26">
        <v>25</v>
      </c>
      <c r="N2281" s="27">
        <v>25</v>
      </c>
      <c r="O2281" s="28">
        <v>2.2727272727272728E-2</v>
      </c>
      <c r="P2281" s="28">
        <v>23.672566371681416</v>
      </c>
    </row>
    <row r="2282" spans="1:16" x14ac:dyDescent="0.3">
      <c r="A2282" t="s">
        <v>5162</v>
      </c>
      <c r="B2282" s="24">
        <v>111550</v>
      </c>
      <c r="C2282" s="24" t="s">
        <v>1582</v>
      </c>
      <c r="D2282" s="24" t="s">
        <v>1102</v>
      </c>
      <c r="E2282" s="24" t="s">
        <v>51</v>
      </c>
      <c r="F2282" s="24" t="s">
        <v>1142</v>
      </c>
      <c r="G2282" s="24" t="s">
        <v>1402</v>
      </c>
      <c r="H2282" s="24" t="s">
        <v>291</v>
      </c>
      <c r="I2282" s="24" t="s">
        <v>1861</v>
      </c>
      <c r="J2282" s="24" t="s">
        <v>761</v>
      </c>
      <c r="K2282" s="24" t="s">
        <v>1146</v>
      </c>
      <c r="L2282" s="25">
        <v>1070</v>
      </c>
      <c r="M2282" s="26">
        <v>25</v>
      </c>
      <c r="N2282" s="27">
        <v>25</v>
      </c>
      <c r="O2282" s="28">
        <v>2.2727272727272728E-2</v>
      </c>
      <c r="P2282" s="28">
        <v>23.672566371681416</v>
      </c>
    </row>
    <row r="2283" spans="1:16" x14ac:dyDescent="0.3">
      <c r="A2283" t="s">
        <v>5163</v>
      </c>
      <c r="B2283" s="24">
        <v>114501</v>
      </c>
      <c r="C2283" s="24" t="s">
        <v>1409</v>
      </c>
      <c r="D2283" s="24" t="s">
        <v>1102</v>
      </c>
      <c r="E2283" s="24" t="s">
        <v>51</v>
      </c>
      <c r="F2283" s="24" t="s">
        <v>1142</v>
      </c>
      <c r="G2283" s="24" t="s">
        <v>1402</v>
      </c>
      <c r="H2283" s="24" t="s">
        <v>291</v>
      </c>
      <c r="I2283" s="24" t="s">
        <v>1861</v>
      </c>
      <c r="J2283" s="24" t="s">
        <v>761</v>
      </c>
      <c r="K2283" s="24" t="s">
        <v>1146</v>
      </c>
      <c r="L2283" s="25">
        <v>1070</v>
      </c>
      <c r="M2283" s="26">
        <v>25</v>
      </c>
      <c r="N2283" s="27">
        <v>25</v>
      </c>
      <c r="O2283" s="28">
        <v>2.2727272727272728E-2</v>
      </c>
      <c r="P2283" s="28">
        <v>23.672566371681416</v>
      </c>
    </row>
    <row r="2284" spans="1:16" x14ac:dyDescent="0.3">
      <c r="A2284" t="s">
        <v>5164</v>
      </c>
      <c r="B2284" s="24">
        <v>101206</v>
      </c>
      <c r="C2284" s="24" t="s">
        <v>1199</v>
      </c>
      <c r="D2284" s="24" t="s">
        <v>1102</v>
      </c>
      <c r="E2284" s="24" t="s">
        <v>51</v>
      </c>
      <c r="F2284" s="24" t="s">
        <v>1142</v>
      </c>
      <c r="G2284" s="24" t="s">
        <v>1200</v>
      </c>
      <c r="H2284" s="24" t="s">
        <v>270</v>
      </c>
      <c r="I2284" s="24" t="s">
        <v>1862</v>
      </c>
      <c r="J2284" s="24" t="s">
        <v>761</v>
      </c>
      <c r="K2284" s="24" t="s">
        <v>1146</v>
      </c>
      <c r="L2284" s="25">
        <v>1070</v>
      </c>
      <c r="M2284" s="26">
        <v>19.5</v>
      </c>
      <c r="N2284" s="27">
        <v>19.5</v>
      </c>
      <c r="O2284" s="28">
        <v>1.7727272727272727E-2</v>
      </c>
      <c r="P2284" s="28">
        <v>18.464601769911503</v>
      </c>
    </row>
    <row r="2285" spans="1:16" x14ac:dyDescent="0.3">
      <c r="A2285" t="s">
        <v>5165</v>
      </c>
      <c r="B2285" s="24">
        <v>101424</v>
      </c>
      <c r="C2285" s="24" t="s">
        <v>1278</v>
      </c>
      <c r="D2285" s="24" t="s">
        <v>1102</v>
      </c>
      <c r="E2285" s="24" t="s">
        <v>51</v>
      </c>
      <c r="F2285" s="24" t="s">
        <v>1142</v>
      </c>
      <c r="G2285" s="24" t="s">
        <v>1203</v>
      </c>
      <c r="H2285" s="24" t="s">
        <v>270</v>
      </c>
      <c r="I2285" s="24" t="s">
        <v>1862</v>
      </c>
      <c r="J2285" s="24" t="s">
        <v>761</v>
      </c>
      <c r="K2285" s="24" t="s">
        <v>1146</v>
      </c>
      <c r="L2285" s="25">
        <v>1070</v>
      </c>
      <c r="M2285" s="26">
        <v>19.5</v>
      </c>
      <c r="N2285" s="27">
        <v>19.5</v>
      </c>
      <c r="O2285" s="28">
        <v>1.7727272727272727E-2</v>
      </c>
      <c r="P2285" s="28">
        <v>18.464601769911503</v>
      </c>
    </row>
    <row r="2286" spans="1:16" x14ac:dyDescent="0.3">
      <c r="A2286" t="s">
        <v>5166</v>
      </c>
      <c r="B2286" s="24">
        <v>106916</v>
      </c>
      <c r="C2286" s="24" t="s">
        <v>1216</v>
      </c>
      <c r="D2286" s="24" t="s">
        <v>1102</v>
      </c>
      <c r="E2286" s="24" t="s">
        <v>51</v>
      </c>
      <c r="F2286" s="24" t="s">
        <v>1142</v>
      </c>
      <c r="G2286" s="24" t="s">
        <v>1203</v>
      </c>
      <c r="H2286" s="24" t="s">
        <v>270</v>
      </c>
      <c r="I2286" s="24" t="s">
        <v>1862</v>
      </c>
      <c r="J2286" s="24" t="s">
        <v>761</v>
      </c>
      <c r="K2286" s="24" t="s">
        <v>1146</v>
      </c>
      <c r="L2286" s="25">
        <v>1070</v>
      </c>
      <c r="M2286" s="26">
        <v>19.5</v>
      </c>
      <c r="N2286" s="27">
        <v>19.5</v>
      </c>
      <c r="O2286" s="28">
        <v>1.7727272727272727E-2</v>
      </c>
      <c r="P2286" s="28">
        <v>18.464601769911503</v>
      </c>
    </row>
    <row r="2287" spans="1:16" x14ac:dyDescent="0.3">
      <c r="A2287" t="s">
        <v>5167</v>
      </c>
      <c r="B2287" s="24">
        <v>100581</v>
      </c>
      <c r="C2287" s="24" t="s">
        <v>1232</v>
      </c>
      <c r="D2287" s="24" t="s">
        <v>1102</v>
      </c>
      <c r="E2287" s="24" t="s">
        <v>51</v>
      </c>
      <c r="F2287" s="24" t="s">
        <v>1142</v>
      </c>
      <c r="G2287" s="24" t="s">
        <v>1233</v>
      </c>
      <c r="H2287" s="24" t="s">
        <v>266</v>
      </c>
      <c r="I2287" s="24" t="s">
        <v>1863</v>
      </c>
      <c r="J2287" s="24" t="s">
        <v>761</v>
      </c>
      <c r="K2287" s="24" t="s">
        <v>1146</v>
      </c>
      <c r="L2287" s="25">
        <v>1070</v>
      </c>
      <c r="M2287" s="26">
        <v>17.97</v>
      </c>
      <c r="N2287" s="27">
        <v>17.97</v>
      </c>
      <c r="O2287" s="28">
        <v>1.6336363636363635E-2</v>
      </c>
      <c r="P2287" s="28">
        <v>17.0158407079646</v>
      </c>
    </row>
    <row r="2288" spans="1:16" x14ac:dyDescent="0.3">
      <c r="A2288" t="s">
        <v>5168</v>
      </c>
      <c r="B2288" s="24">
        <v>101186</v>
      </c>
      <c r="C2288" s="24" t="s">
        <v>1273</v>
      </c>
      <c r="D2288" s="24" t="s">
        <v>1102</v>
      </c>
      <c r="E2288" s="24" t="s">
        <v>51</v>
      </c>
      <c r="F2288" s="24" t="s">
        <v>1142</v>
      </c>
      <c r="G2288" s="24" t="s">
        <v>1203</v>
      </c>
      <c r="H2288" s="24" t="s">
        <v>266</v>
      </c>
      <c r="I2288" s="24" t="s">
        <v>1863</v>
      </c>
      <c r="J2288" s="24" t="s">
        <v>761</v>
      </c>
      <c r="K2288" s="24" t="s">
        <v>1146</v>
      </c>
      <c r="L2288" s="25">
        <v>1070</v>
      </c>
      <c r="M2288" s="26">
        <v>17.97</v>
      </c>
      <c r="N2288" s="27">
        <v>17.97</v>
      </c>
      <c r="O2288" s="28">
        <v>1.6336363636363635E-2</v>
      </c>
      <c r="P2288" s="28">
        <v>17.0158407079646</v>
      </c>
    </row>
    <row r="2289" spans="1:16" x14ac:dyDescent="0.3">
      <c r="A2289" t="s">
        <v>5169</v>
      </c>
      <c r="B2289" s="24">
        <v>101206</v>
      </c>
      <c r="C2289" s="24" t="s">
        <v>1199</v>
      </c>
      <c r="D2289" s="24" t="s">
        <v>1102</v>
      </c>
      <c r="E2289" s="24" t="s">
        <v>51</v>
      </c>
      <c r="F2289" s="24" t="s">
        <v>1142</v>
      </c>
      <c r="G2289" s="24" t="s">
        <v>1200</v>
      </c>
      <c r="H2289" s="24" t="s">
        <v>266</v>
      </c>
      <c r="I2289" s="24" t="s">
        <v>1863</v>
      </c>
      <c r="J2289" s="24" t="s">
        <v>761</v>
      </c>
      <c r="K2289" s="24" t="s">
        <v>1146</v>
      </c>
      <c r="L2289" s="25">
        <v>1070</v>
      </c>
      <c r="M2289" s="26">
        <v>18.53</v>
      </c>
      <c r="N2289" s="27">
        <v>18.53</v>
      </c>
      <c r="O2289" s="28">
        <v>1.6845454545454545E-2</v>
      </c>
      <c r="P2289" s="28">
        <v>17.546106194690267</v>
      </c>
    </row>
    <row r="2290" spans="1:16" x14ac:dyDescent="0.3">
      <c r="A2290" t="s">
        <v>5170</v>
      </c>
      <c r="B2290" s="24">
        <v>101424</v>
      </c>
      <c r="C2290" s="24" t="s">
        <v>1278</v>
      </c>
      <c r="D2290" s="24" t="s">
        <v>1102</v>
      </c>
      <c r="E2290" s="24" t="s">
        <v>51</v>
      </c>
      <c r="F2290" s="24" t="s">
        <v>1142</v>
      </c>
      <c r="G2290" s="24" t="s">
        <v>1203</v>
      </c>
      <c r="H2290" s="24" t="s">
        <v>266</v>
      </c>
      <c r="I2290" s="24" t="s">
        <v>1863</v>
      </c>
      <c r="J2290" s="24" t="s">
        <v>761</v>
      </c>
      <c r="K2290" s="24" t="s">
        <v>1146</v>
      </c>
      <c r="L2290" s="25">
        <v>1070</v>
      </c>
      <c r="M2290" s="26">
        <v>18.53</v>
      </c>
      <c r="N2290" s="27">
        <v>18.53</v>
      </c>
      <c r="O2290" s="28">
        <v>1.6845454545454545E-2</v>
      </c>
      <c r="P2290" s="28">
        <v>17.546106194690267</v>
      </c>
    </row>
    <row r="2291" spans="1:16" x14ac:dyDescent="0.3">
      <c r="A2291" t="s">
        <v>5171</v>
      </c>
      <c r="B2291" s="24">
        <v>106916</v>
      </c>
      <c r="C2291" s="24" t="s">
        <v>1216</v>
      </c>
      <c r="D2291" s="24" t="s">
        <v>1102</v>
      </c>
      <c r="E2291" s="24" t="s">
        <v>51</v>
      </c>
      <c r="F2291" s="24" t="s">
        <v>1142</v>
      </c>
      <c r="G2291" s="24" t="s">
        <v>1203</v>
      </c>
      <c r="H2291" s="24" t="s">
        <v>266</v>
      </c>
      <c r="I2291" s="24" t="s">
        <v>1863</v>
      </c>
      <c r="J2291" s="24" t="s">
        <v>761</v>
      </c>
      <c r="K2291" s="24" t="s">
        <v>1146</v>
      </c>
      <c r="L2291" s="25">
        <v>1070</v>
      </c>
      <c r="M2291" s="26">
        <v>18.53</v>
      </c>
      <c r="N2291" s="27">
        <v>18.53</v>
      </c>
      <c r="O2291" s="28">
        <v>1.6845454545454545E-2</v>
      </c>
      <c r="P2291" s="28">
        <v>17.546106194690267</v>
      </c>
    </row>
    <row r="2292" spans="1:16" x14ac:dyDescent="0.3">
      <c r="A2292" t="s">
        <v>5172</v>
      </c>
      <c r="B2292" s="24">
        <v>114501</v>
      </c>
      <c r="C2292" s="24" t="s">
        <v>1409</v>
      </c>
      <c r="D2292" s="24" t="s">
        <v>1102</v>
      </c>
      <c r="E2292" s="24" t="s">
        <v>51</v>
      </c>
      <c r="F2292" s="24" t="s">
        <v>1142</v>
      </c>
      <c r="G2292" s="24" t="s">
        <v>1402</v>
      </c>
      <c r="H2292" s="24" t="s">
        <v>266</v>
      </c>
      <c r="I2292" s="24" t="s">
        <v>1863</v>
      </c>
      <c r="J2292" s="24" t="s">
        <v>761</v>
      </c>
      <c r="K2292" s="24" t="s">
        <v>1146</v>
      </c>
      <c r="L2292" s="25">
        <v>1070</v>
      </c>
      <c r="M2292" s="26">
        <v>17.97</v>
      </c>
      <c r="N2292" s="27">
        <v>17.97</v>
      </c>
      <c r="O2292" s="28">
        <v>1.6336363636363635E-2</v>
      </c>
      <c r="P2292" s="28">
        <v>17.0158407079646</v>
      </c>
    </row>
    <row r="2293" spans="1:16" x14ac:dyDescent="0.3">
      <c r="A2293" t="s">
        <v>5173</v>
      </c>
      <c r="B2293" s="24">
        <v>101424</v>
      </c>
      <c r="C2293" s="24" t="s">
        <v>1278</v>
      </c>
      <c r="D2293" s="24" t="s">
        <v>1102</v>
      </c>
      <c r="E2293" s="24" t="s">
        <v>51</v>
      </c>
      <c r="F2293" s="24" t="s">
        <v>1142</v>
      </c>
      <c r="G2293" s="24" t="s">
        <v>1203</v>
      </c>
      <c r="H2293" s="24" t="s">
        <v>292</v>
      </c>
      <c r="I2293" s="24" t="s">
        <v>1864</v>
      </c>
      <c r="J2293" s="24" t="s">
        <v>761</v>
      </c>
      <c r="K2293" s="24" t="s">
        <v>1146</v>
      </c>
      <c r="L2293" s="25">
        <v>1070</v>
      </c>
      <c r="M2293" s="26">
        <v>31.49</v>
      </c>
      <c r="N2293" s="27">
        <v>31.49</v>
      </c>
      <c r="O2293" s="28">
        <v>2.8627272727272727E-2</v>
      </c>
      <c r="P2293" s="28">
        <v>29.817964601769908</v>
      </c>
    </row>
    <row r="2294" spans="1:16" x14ac:dyDescent="0.3">
      <c r="A2294" t="s">
        <v>5174</v>
      </c>
      <c r="B2294" s="24">
        <v>100603</v>
      </c>
      <c r="C2294" s="24" t="s">
        <v>1277</v>
      </c>
      <c r="D2294" s="24" t="s">
        <v>1102</v>
      </c>
      <c r="E2294" s="24" t="s">
        <v>51</v>
      </c>
      <c r="F2294" s="24" t="s">
        <v>1142</v>
      </c>
      <c r="G2294" s="24" t="s">
        <v>1082</v>
      </c>
      <c r="H2294" s="24" t="s">
        <v>333</v>
      </c>
      <c r="I2294" s="24" t="s">
        <v>1865</v>
      </c>
      <c r="J2294" s="24" t="s">
        <v>761</v>
      </c>
      <c r="K2294" s="24" t="s">
        <v>1146</v>
      </c>
      <c r="L2294" s="25">
        <v>1070</v>
      </c>
      <c r="M2294" s="26">
        <v>28.5</v>
      </c>
      <c r="N2294" s="27">
        <v>28.5</v>
      </c>
      <c r="O2294" s="28">
        <v>2.5909090909090909E-2</v>
      </c>
      <c r="P2294" s="28">
        <v>26.986725663716815</v>
      </c>
    </row>
    <row r="2295" spans="1:16" x14ac:dyDescent="0.3">
      <c r="A2295" t="s">
        <v>5175</v>
      </c>
      <c r="B2295" s="24">
        <v>111550</v>
      </c>
      <c r="C2295" s="24" t="s">
        <v>1582</v>
      </c>
      <c r="D2295" s="24" t="s">
        <v>1102</v>
      </c>
      <c r="E2295" s="24" t="s">
        <v>51</v>
      </c>
      <c r="F2295" s="24" t="s">
        <v>1142</v>
      </c>
      <c r="G2295" s="24" t="s">
        <v>1402</v>
      </c>
      <c r="H2295" s="24" t="s">
        <v>333</v>
      </c>
      <c r="I2295" s="24" t="s">
        <v>1865</v>
      </c>
      <c r="J2295" s="24" t="s">
        <v>761</v>
      </c>
      <c r="K2295" s="24" t="s">
        <v>1146</v>
      </c>
      <c r="L2295" s="25">
        <v>1070</v>
      </c>
      <c r="M2295" s="26">
        <v>28.5</v>
      </c>
      <c r="N2295" s="27">
        <v>28.5</v>
      </c>
      <c r="O2295" s="28">
        <v>2.5909090909090909E-2</v>
      </c>
      <c r="P2295" s="28">
        <v>26.986725663716815</v>
      </c>
    </row>
    <row r="2296" spans="1:16" x14ac:dyDescent="0.3">
      <c r="A2296" t="s">
        <v>5176</v>
      </c>
      <c r="B2296" s="24">
        <v>100581</v>
      </c>
      <c r="C2296" s="24" t="s">
        <v>1232</v>
      </c>
      <c r="D2296" s="24" t="s">
        <v>1102</v>
      </c>
      <c r="E2296" s="24" t="s">
        <v>51</v>
      </c>
      <c r="F2296" s="24" t="s">
        <v>1142</v>
      </c>
      <c r="G2296" s="24" t="s">
        <v>1233</v>
      </c>
      <c r="H2296" s="24" t="s">
        <v>274</v>
      </c>
      <c r="I2296" s="24" t="s">
        <v>1866</v>
      </c>
      <c r="J2296" s="24" t="s">
        <v>761</v>
      </c>
      <c r="K2296" s="24" t="s">
        <v>1146</v>
      </c>
      <c r="L2296" s="25">
        <v>1070</v>
      </c>
      <c r="M2296" s="26">
        <v>38.79</v>
      </c>
      <c r="N2296" s="27">
        <v>38.79</v>
      </c>
      <c r="O2296" s="28">
        <v>3.5263636363636365E-2</v>
      </c>
      <c r="P2296" s="28">
        <v>36.730353982300883</v>
      </c>
    </row>
    <row r="2297" spans="1:16" x14ac:dyDescent="0.3">
      <c r="A2297" t="s">
        <v>5177</v>
      </c>
      <c r="B2297" s="24">
        <v>100603</v>
      </c>
      <c r="C2297" s="24" t="s">
        <v>1277</v>
      </c>
      <c r="D2297" s="24" t="s">
        <v>1102</v>
      </c>
      <c r="E2297" s="24" t="s">
        <v>51</v>
      </c>
      <c r="F2297" s="24" t="s">
        <v>1142</v>
      </c>
      <c r="G2297" s="24" t="s">
        <v>1082</v>
      </c>
      <c r="H2297" s="24" t="s">
        <v>274</v>
      </c>
      <c r="I2297" s="24" t="s">
        <v>1866</v>
      </c>
      <c r="J2297" s="24" t="s">
        <v>761</v>
      </c>
      <c r="K2297" s="24" t="s">
        <v>1146</v>
      </c>
      <c r="L2297" s="25">
        <v>1070</v>
      </c>
      <c r="M2297" s="26">
        <v>38.79</v>
      </c>
      <c r="N2297" s="27">
        <v>38.79</v>
      </c>
      <c r="O2297" s="28">
        <v>3.5263636363636365E-2</v>
      </c>
      <c r="P2297" s="28">
        <v>36.730353982300883</v>
      </c>
    </row>
    <row r="2298" spans="1:16" x14ac:dyDescent="0.3">
      <c r="A2298" t="s">
        <v>5178</v>
      </c>
      <c r="B2298" s="24">
        <v>101186</v>
      </c>
      <c r="C2298" s="24" t="s">
        <v>1273</v>
      </c>
      <c r="D2298" s="24" t="s">
        <v>1102</v>
      </c>
      <c r="E2298" s="24" t="s">
        <v>51</v>
      </c>
      <c r="F2298" s="24" t="s">
        <v>1142</v>
      </c>
      <c r="G2298" s="24" t="s">
        <v>1203</v>
      </c>
      <c r="H2298" s="24" t="s">
        <v>274</v>
      </c>
      <c r="I2298" s="24" t="s">
        <v>1866</v>
      </c>
      <c r="J2298" s="24" t="s">
        <v>761</v>
      </c>
      <c r="K2298" s="24" t="s">
        <v>1146</v>
      </c>
      <c r="L2298" s="25">
        <v>1070</v>
      </c>
      <c r="M2298" s="26">
        <v>38.79</v>
      </c>
      <c r="N2298" s="27">
        <v>38.79</v>
      </c>
      <c r="O2298" s="28">
        <v>3.5263636363636365E-2</v>
      </c>
      <c r="P2298" s="28">
        <v>36.730353982300883</v>
      </c>
    </row>
    <row r="2299" spans="1:16" x14ac:dyDescent="0.3">
      <c r="A2299" t="s">
        <v>5179</v>
      </c>
      <c r="B2299" s="24">
        <v>101424</v>
      </c>
      <c r="C2299" s="24" t="s">
        <v>1278</v>
      </c>
      <c r="D2299" s="24" t="s">
        <v>1102</v>
      </c>
      <c r="E2299" s="24" t="s">
        <v>51</v>
      </c>
      <c r="F2299" s="24" t="s">
        <v>1142</v>
      </c>
      <c r="G2299" s="24" t="s">
        <v>1203</v>
      </c>
      <c r="H2299" s="24" t="s">
        <v>274</v>
      </c>
      <c r="I2299" s="24" t="s">
        <v>1866</v>
      </c>
      <c r="J2299" s="24" t="s">
        <v>761</v>
      </c>
      <c r="K2299" s="24" t="s">
        <v>1146</v>
      </c>
      <c r="L2299" s="25">
        <v>1070</v>
      </c>
      <c r="M2299" s="26">
        <v>39.99</v>
      </c>
      <c r="N2299" s="27">
        <v>39.99</v>
      </c>
      <c r="O2299" s="28">
        <v>3.6354545454545459E-2</v>
      </c>
      <c r="P2299" s="28">
        <v>37.866637168141594</v>
      </c>
    </row>
    <row r="2300" spans="1:16" x14ac:dyDescent="0.3">
      <c r="A2300" t="s">
        <v>5180</v>
      </c>
      <c r="B2300" s="24">
        <v>111550</v>
      </c>
      <c r="C2300" s="24" t="s">
        <v>1582</v>
      </c>
      <c r="D2300" s="24" t="s">
        <v>1102</v>
      </c>
      <c r="E2300" s="24" t="s">
        <v>51</v>
      </c>
      <c r="F2300" s="24" t="s">
        <v>1142</v>
      </c>
      <c r="G2300" s="24" t="s">
        <v>1402</v>
      </c>
      <c r="H2300" s="24" t="s">
        <v>274</v>
      </c>
      <c r="I2300" s="24" t="s">
        <v>1866</v>
      </c>
      <c r="J2300" s="24" t="s">
        <v>761</v>
      </c>
      <c r="K2300" s="24" t="s">
        <v>1146</v>
      </c>
      <c r="L2300" s="25">
        <v>1070</v>
      </c>
      <c r="M2300" s="26">
        <v>38.79</v>
      </c>
      <c r="N2300" s="27">
        <v>38.79</v>
      </c>
      <c r="O2300" s="28">
        <v>3.5263636363636365E-2</v>
      </c>
      <c r="P2300" s="28">
        <v>36.730353982300883</v>
      </c>
    </row>
    <row r="2301" spans="1:16" x14ac:dyDescent="0.3">
      <c r="A2301" t="s">
        <v>5181</v>
      </c>
      <c r="B2301" s="24">
        <v>114501</v>
      </c>
      <c r="C2301" s="24" t="s">
        <v>1409</v>
      </c>
      <c r="D2301" s="24" t="s">
        <v>1102</v>
      </c>
      <c r="E2301" s="24" t="s">
        <v>51</v>
      </c>
      <c r="F2301" s="24" t="s">
        <v>1142</v>
      </c>
      <c r="G2301" s="24" t="s">
        <v>1402</v>
      </c>
      <c r="H2301" s="24" t="s">
        <v>274</v>
      </c>
      <c r="I2301" s="24" t="s">
        <v>1866</v>
      </c>
      <c r="J2301" s="24" t="s">
        <v>761</v>
      </c>
      <c r="K2301" s="24" t="s">
        <v>1146</v>
      </c>
      <c r="L2301" s="25">
        <v>1070</v>
      </c>
      <c r="M2301" s="26">
        <v>38.79</v>
      </c>
      <c r="N2301" s="27">
        <v>38.79</v>
      </c>
      <c r="O2301" s="28">
        <v>3.5263636363636365E-2</v>
      </c>
      <c r="P2301" s="28">
        <v>36.730353982300883</v>
      </c>
    </row>
    <row r="2302" spans="1:16" x14ac:dyDescent="0.3">
      <c r="A2302" t="s">
        <v>5182</v>
      </c>
      <c r="B2302" s="24">
        <v>100581</v>
      </c>
      <c r="C2302" s="24" t="s">
        <v>1232</v>
      </c>
      <c r="D2302" s="24" t="s">
        <v>1102</v>
      </c>
      <c r="E2302" s="24" t="s">
        <v>51</v>
      </c>
      <c r="F2302" s="24" t="s">
        <v>1142</v>
      </c>
      <c r="G2302" s="24" t="s">
        <v>1233</v>
      </c>
      <c r="H2302" s="24" t="s">
        <v>275</v>
      </c>
      <c r="I2302" s="24" t="s">
        <v>1867</v>
      </c>
      <c r="J2302" s="24" t="s">
        <v>761</v>
      </c>
      <c r="K2302" s="24" t="s">
        <v>1146</v>
      </c>
      <c r="L2302" s="25">
        <v>1070</v>
      </c>
      <c r="M2302" s="26">
        <v>94.03</v>
      </c>
      <c r="N2302" s="27">
        <v>94.03</v>
      </c>
      <c r="O2302" s="28">
        <v>8.5481818181818187E-2</v>
      </c>
      <c r="P2302" s="28">
        <v>89.037256637168142</v>
      </c>
    </row>
    <row r="2303" spans="1:16" x14ac:dyDescent="0.3">
      <c r="A2303" t="s">
        <v>5183</v>
      </c>
      <c r="B2303" s="24">
        <v>100603</v>
      </c>
      <c r="C2303" s="24" t="s">
        <v>1277</v>
      </c>
      <c r="D2303" s="24" t="s">
        <v>1102</v>
      </c>
      <c r="E2303" s="24" t="s">
        <v>51</v>
      </c>
      <c r="F2303" s="24" t="s">
        <v>1142</v>
      </c>
      <c r="G2303" s="24" t="s">
        <v>1082</v>
      </c>
      <c r="H2303" s="24" t="s">
        <v>275</v>
      </c>
      <c r="I2303" s="24" t="s">
        <v>1867</v>
      </c>
      <c r="J2303" s="24" t="s">
        <v>761</v>
      </c>
      <c r="K2303" s="24" t="s">
        <v>1146</v>
      </c>
      <c r="L2303" s="25">
        <v>1070</v>
      </c>
      <c r="M2303" s="26">
        <v>94.03</v>
      </c>
      <c r="N2303" s="27">
        <v>94.03</v>
      </c>
      <c r="O2303" s="28">
        <v>8.5481818181818187E-2</v>
      </c>
      <c r="P2303" s="28">
        <v>89.037256637168142</v>
      </c>
    </row>
    <row r="2304" spans="1:16" x14ac:dyDescent="0.3">
      <c r="A2304" t="s">
        <v>5184</v>
      </c>
      <c r="B2304" s="24">
        <v>101424</v>
      </c>
      <c r="C2304" s="24" t="s">
        <v>1278</v>
      </c>
      <c r="D2304" s="24" t="s">
        <v>1102</v>
      </c>
      <c r="E2304" s="24" t="s">
        <v>51</v>
      </c>
      <c r="F2304" s="24" t="s">
        <v>1142</v>
      </c>
      <c r="G2304" s="24" t="s">
        <v>1203</v>
      </c>
      <c r="H2304" s="24" t="s">
        <v>275</v>
      </c>
      <c r="I2304" s="24" t="s">
        <v>1867</v>
      </c>
      <c r="J2304" s="24" t="s">
        <v>761</v>
      </c>
      <c r="K2304" s="24" t="s">
        <v>1146</v>
      </c>
      <c r="L2304" s="25">
        <v>1070</v>
      </c>
      <c r="M2304" s="26">
        <v>105.5</v>
      </c>
      <c r="N2304" s="27">
        <v>105.5</v>
      </c>
      <c r="O2304" s="28">
        <v>9.5909090909090902E-2</v>
      </c>
      <c r="P2304" s="28">
        <v>99.898230088495581</v>
      </c>
    </row>
    <row r="2305" spans="1:16" x14ac:dyDescent="0.3">
      <c r="A2305" t="s">
        <v>5185</v>
      </c>
      <c r="B2305" s="24">
        <v>111550</v>
      </c>
      <c r="C2305" s="24" t="s">
        <v>1582</v>
      </c>
      <c r="D2305" s="24" t="s">
        <v>1102</v>
      </c>
      <c r="E2305" s="24" t="s">
        <v>51</v>
      </c>
      <c r="F2305" s="24" t="s">
        <v>1142</v>
      </c>
      <c r="G2305" s="24" t="s">
        <v>1402</v>
      </c>
      <c r="H2305" s="24" t="s">
        <v>275</v>
      </c>
      <c r="I2305" s="24" t="s">
        <v>1867</v>
      </c>
      <c r="J2305" s="24" t="s">
        <v>761</v>
      </c>
      <c r="K2305" s="24" t="s">
        <v>1146</v>
      </c>
      <c r="L2305" s="25">
        <v>1070</v>
      </c>
      <c r="M2305" s="26">
        <v>94.03</v>
      </c>
      <c r="N2305" s="27">
        <v>94.03</v>
      </c>
      <c r="O2305" s="28">
        <v>8.5481818181818187E-2</v>
      </c>
      <c r="P2305" s="28">
        <v>89.037256637168142</v>
      </c>
    </row>
    <row r="2306" spans="1:16" x14ac:dyDescent="0.3">
      <c r="A2306" t="s">
        <v>5186</v>
      </c>
      <c r="B2306" s="24">
        <v>100581</v>
      </c>
      <c r="C2306" s="24" t="s">
        <v>1232</v>
      </c>
      <c r="D2306" s="24" t="s">
        <v>1102</v>
      </c>
      <c r="E2306" s="24" t="s">
        <v>51</v>
      </c>
      <c r="F2306" s="24" t="s">
        <v>1142</v>
      </c>
      <c r="G2306" s="24" t="s">
        <v>1233</v>
      </c>
      <c r="H2306" s="24" t="s">
        <v>320</v>
      </c>
      <c r="I2306" s="24" t="s">
        <v>1868</v>
      </c>
      <c r="J2306" s="24" t="s">
        <v>761</v>
      </c>
      <c r="K2306" s="24" t="s">
        <v>1146</v>
      </c>
      <c r="L2306" s="25">
        <v>1070</v>
      </c>
      <c r="M2306" s="26">
        <v>32.36</v>
      </c>
      <c r="N2306" s="27">
        <v>32.36</v>
      </c>
      <c r="O2306" s="28">
        <v>2.9418181818181819E-2</v>
      </c>
      <c r="P2306" s="28">
        <v>30.641769911504422</v>
      </c>
    </row>
    <row r="2307" spans="1:16" x14ac:dyDescent="0.3">
      <c r="A2307" t="s">
        <v>5187</v>
      </c>
      <c r="B2307" s="24">
        <v>101186</v>
      </c>
      <c r="C2307" s="24" t="s">
        <v>1273</v>
      </c>
      <c r="D2307" s="24" t="s">
        <v>1102</v>
      </c>
      <c r="E2307" s="24" t="s">
        <v>51</v>
      </c>
      <c r="F2307" s="24" t="s">
        <v>1142</v>
      </c>
      <c r="G2307" s="24" t="s">
        <v>1203</v>
      </c>
      <c r="H2307" s="24" t="s">
        <v>320</v>
      </c>
      <c r="I2307" s="24" t="s">
        <v>1868</v>
      </c>
      <c r="J2307" s="24" t="s">
        <v>761</v>
      </c>
      <c r="K2307" s="24" t="s">
        <v>1146</v>
      </c>
      <c r="L2307" s="25">
        <v>1070</v>
      </c>
      <c r="M2307" s="26">
        <v>32.36</v>
      </c>
      <c r="N2307" s="27">
        <v>32.36</v>
      </c>
      <c r="O2307" s="28">
        <v>2.9418181818181819E-2</v>
      </c>
      <c r="P2307" s="28">
        <v>30.641769911504422</v>
      </c>
    </row>
    <row r="2308" spans="1:16" x14ac:dyDescent="0.3">
      <c r="A2308" t="s">
        <v>5188</v>
      </c>
      <c r="B2308" s="24">
        <v>111550</v>
      </c>
      <c r="C2308" s="24" t="s">
        <v>1582</v>
      </c>
      <c r="D2308" s="24" t="s">
        <v>1102</v>
      </c>
      <c r="E2308" s="24" t="s">
        <v>51</v>
      </c>
      <c r="F2308" s="24" t="s">
        <v>1142</v>
      </c>
      <c r="G2308" s="24" t="s">
        <v>1402</v>
      </c>
      <c r="H2308" s="24" t="s">
        <v>320</v>
      </c>
      <c r="I2308" s="24" t="s">
        <v>1868</v>
      </c>
      <c r="J2308" s="24" t="s">
        <v>761</v>
      </c>
      <c r="K2308" s="24" t="s">
        <v>1146</v>
      </c>
      <c r="L2308" s="25">
        <v>1070</v>
      </c>
      <c r="M2308" s="26">
        <v>32.36</v>
      </c>
      <c r="N2308" s="27">
        <v>32.36</v>
      </c>
      <c r="O2308" s="28">
        <v>2.9418181818181819E-2</v>
      </c>
      <c r="P2308" s="28">
        <v>30.641769911504422</v>
      </c>
    </row>
    <row r="2309" spans="1:16" x14ac:dyDescent="0.3">
      <c r="A2309" t="s">
        <v>5189</v>
      </c>
      <c r="B2309" s="24">
        <v>101186</v>
      </c>
      <c r="C2309" s="24" t="s">
        <v>1273</v>
      </c>
      <c r="D2309" s="24" t="s">
        <v>1102</v>
      </c>
      <c r="E2309" s="24" t="s">
        <v>51</v>
      </c>
      <c r="F2309" s="24" t="s">
        <v>1142</v>
      </c>
      <c r="G2309" s="24" t="s">
        <v>1203</v>
      </c>
      <c r="H2309" s="24" t="s">
        <v>192</v>
      </c>
      <c r="I2309" s="24" t="s">
        <v>1869</v>
      </c>
      <c r="J2309" s="24" t="s">
        <v>761</v>
      </c>
      <c r="K2309" s="24" t="s">
        <v>1146</v>
      </c>
      <c r="L2309" s="25">
        <v>1070</v>
      </c>
      <c r="M2309" s="26">
        <v>8.17</v>
      </c>
      <c r="N2309" s="27">
        <v>8.17</v>
      </c>
      <c r="O2309" s="28">
        <v>7.4272727272727268E-3</v>
      </c>
      <c r="P2309" s="28">
        <v>7.7361946902654868</v>
      </c>
    </row>
    <row r="2310" spans="1:16" x14ac:dyDescent="0.3">
      <c r="A2310" t="s">
        <v>5190</v>
      </c>
      <c r="B2310" s="24">
        <v>106916</v>
      </c>
      <c r="C2310" s="24" t="s">
        <v>1216</v>
      </c>
      <c r="D2310" s="24" t="s">
        <v>1102</v>
      </c>
      <c r="E2310" s="24" t="s">
        <v>51</v>
      </c>
      <c r="F2310" s="24" t="s">
        <v>1142</v>
      </c>
      <c r="G2310" s="24" t="s">
        <v>1203</v>
      </c>
      <c r="H2310" s="24" t="s">
        <v>132</v>
      </c>
      <c r="I2310" s="24" t="s">
        <v>1870</v>
      </c>
      <c r="J2310" s="24" t="s">
        <v>761</v>
      </c>
      <c r="K2310" s="24" t="s">
        <v>1146</v>
      </c>
      <c r="L2310" s="25">
        <v>1070</v>
      </c>
      <c r="M2310" s="26">
        <v>5.99</v>
      </c>
      <c r="N2310" s="27">
        <v>5.99</v>
      </c>
      <c r="O2310" s="28">
        <v>5.4454545454545459E-3</v>
      </c>
      <c r="P2310" s="28">
        <v>5.6719469026548675</v>
      </c>
    </row>
    <row r="2311" spans="1:16" x14ac:dyDescent="0.3">
      <c r="A2311" t="s">
        <v>5191</v>
      </c>
      <c r="B2311" s="24">
        <v>114163</v>
      </c>
      <c r="C2311" s="24" t="s">
        <v>1490</v>
      </c>
      <c r="D2311" s="24" t="s">
        <v>1102</v>
      </c>
      <c r="E2311" s="24" t="s">
        <v>51</v>
      </c>
      <c r="F2311" s="24" t="s">
        <v>1142</v>
      </c>
      <c r="G2311" s="24" t="s">
        <v>1203</v>
      </c>
      <c r="H2311" s="24" t="s">
        <v>132</v>
      </c>
      <c r="I2311" s="24" t="s">
        <v>1870</v>
      </c>
      <c r="J2311" s="24" t="s">
        <v>761</v>
      </c>
      <c r="K2311" s="24" t="s">
        <v>1146</v>
      </c>
      <c r="L2311" s="25">
        <v>1070</v>
      </c>
      <c r="M2311" s="26">
        <v>5.99</v>
      </c>
      <c r="N2311" s="27">
        <v>5.99</v>
      </c>
      <c r="O2311" s="28">
        <v>5.4454545454545459E-3</v>
      </c>
      <c r="P2311" s="28">
        <v>5.6719469026548675</v>
      </c>
    </row>
    <row r="2312" spans="1:16" x14ac:dyDescent="0.3">
      <c r="A2312" t="s">
        <v>5192</v>
      </c>
      <c r="B2312" s="24">
        <v>101186</v>
      </c>
      <c r="C2312" s="24" t="s">
        <v>1273</v>
      </c>
      <c r="D2312" s="24" t="s">
        <v>1102</v>
      </c>
      <c r="E2312" s="24" t="s">
        <v>51</v>
      </c>
      <c r="F2312" s="24" t="s">
        <v>1142</v>
      </c>
      <c r="G2312" s="24" t="s">
        <v>1203</v>
      </c>
      <c r="H2312" s="24" t="s">
        <v>133</v>
      </c>
      <c r="I2312" s="24" t="s">
        <v>1871</v>
      </c>
      <c r="J2312" s="24" t="s">
        <v>761</v>
      </c>
      <c r="K2312" s="24" t="s">
        <v>1146</v>
      </c>
      <c r="L2312" s="25">
        <v>1070</v>
      </c>
      <c r="M2312" s="26">
        <v>4.54</v>
      </c>
      <c r="N2312" s="27">
        <v>4.54</v>
      </c>
      <c r="O2312" s="28">
        <v>4.1272727272727277E-3</v>
      </c>
      <c r="P2312" s="28">
        <v>4.2989380530973449</v>
      </c>
    </row>
    <row r="2313" spans="1:16" x14ac:dyDescent="0.3">
      <c r="A2313" t="s">
        <v>5193</v>
      </c>
      <c r="B2313" s="24">
        <v>106916</v>
      </c>
      <c r="C2313" s="24" t="s">
        <v>1216</v>
      </c>
      <c r="D2313" s="24" t="s">
        <v>1102</v>
      </c>
      <c r="E2313" s="24" t="s">
        <v>51</v>
      </c>
      <c r="F2313" s="24" t="s">
        <v>1142</v>
      </c>
      <c r="G2313" s="24" t="s">
        <v>1203</v>
      </c>
      <c r="H2313" s="24" t="s">
        <v>133</v>
      </c>
      <c r="I2313" s="24" t="s">
        <v>1871</v>
      </c>
      <c r="J2313" s="24" t="s">
        <v>761</v>
      </c>
      <c r="K2313" s="24" t="s">
        <v>1146</v>
      </c>
      <c r="L2313" s="25">
        <v>1070</v>
      </c>
      <c r="M2313" s="26">
        <v>4.54</v>
      </c>
      <c r="N2313" s="27">
        <v>4.54</v>
      </c>
      <c r="O2313" s="28">
        <v>4.1272727272727277E-3</v>
      </c>
      <c r="P2313" s="28">
        <v>4.2989380530973449</v>
      </c>
    </row>
    <row r="2314" spans="1:16" x14ac:dyDescent="0.3">
      <c r="A2314" t="s">
        <v>5194</v>
      </c>
      <c r="B2314" s="24">
        <v>142600</v>
      </c>
      <c r="C2314" s="24" t="s">
        <v>1828</v>
      </c>
      <c r="D2314" s="24" t="s">
        <v>1102</v>
      </c>
      <c r="E2314" s="24" t="s">
        <v>51</v>
      </c>
      <c r="F2314" s="24" t="s">
        <v>1386</v>
      </c>
      <c r="G2314" s="24" t="s">
        <v>1387</v>
      </c>
      <c r="H2314" s="24" t="s">
        <v>246</v>
      </c>
      <c r="I2314" s="24" t="s">
        <v>1872</v>
      </c>
      <c r="J2314" s="24" t="s">
        <v>761</v>
      </c>
      <c r="K2314" s="24" t="s">
        <v>1146</v>
      </c>
      <c r="L2314" s="25">
        <v>1070</v>
      </c>
      <c r="M2314" s="26">
        <v>32.79</v>
      </c>
      <c r="N2314" s="27">
        <v>32.79</v>
      </c>
      <c r="O2314" s="28">
        <v>2.9809090909090907E-2</v>
      </c>
      <c r="P2314" s="28">
        <v>31.048938053097341</v>
      </c>
    </row>
    <row r="2315" spans="1:16" x14ac:dyDescent="0.3">
      <c r="A2315" t="s">
        <v>5195</v>
      </c>
      <c r="B2315" s="24">
        <v>104155</v>
      </c>
      <c r="C2315" s="24" t="s">
        <v>1826</v>
      </c>
      <c r="D2315" s="24" t="s">
        <v>1102</v>
      </c>
      <c r="E2315" s="24" t="s">
        <v>51</v>
      </c>
      <c r="F2315" s="24" t="s">
        <v>1386</v>
      </c>
      <c r="G2315" s="24" t="s">
        <v>1387</v>
      </c>
      <c r="H2315" s="24" t="s">
        <v>247</v>
      </c>
      <c r="I2315" s="24" t="s">
        <v>1873</v>
      </c>
      <c r="J2315" s="24" t="s">
        <v>761</v>
      </c>
      <c r="K2315" s="24" t="s">
        <v>1146</v>
      </c>
      <c r="L2315" s="25">
        <v>1070</v>
      </c>
      <c r="M2315" s="26">
        <v>13.55</v>
      </c>
      <c r="N2315" s="27">
        <v>13.55</v>
      </c>
      <c r="O2315" s="28">
        <v>1.2318181818181818E-2</v>
      </c>
      <c r="P2315" s="28">
        <v>12.830530973451328</v>
      </c>
    </row>
    <row r="2316" spans="1:16" x14ac:dyDescent="0.3">
      <c r="A2316" t="s">
        <v>5196</v>
      </c>
      <c r="B2316" s="24">
        <v>142600</v>
      </c>
      <c r="C2316" s="24" t="s">
        <v>1828</v>
      </c>
      <c r="D2316" s="24" t="s">
        <v>1102</v>
      </c>
      <c r="E2316" s="24" t="s">
        <v>51</v>
      </c>
      <c r="F2316" s="24" t="s">
        <v>1386</v>
      </c>
      <c r="G2316" s="24" t="s">
        <v>1387</v>
      </c>
      <c r="H2316" s="24" t="s">
        <v>247</v>
      </c>
      <c r="I2316" s="24" t="s">
        <v>1873</v>
      </c>
      <c r="J2316" s="24" t="s">
        <v>761</v>
      </c>
      <c r="K2316" s="24" t="s">
        <v>1146</v>
      </c>
      <c r="L2316" s="25">
        <v>1070</v>
      </c>
      <c r="M2316" s="26">
        <v>19.73</v>
      </c>
      <c r="N2316" s="27">
        <v>19.73</v>
      </c>
      <c r="O2316" s="28">
        <v>1.7936363636363636E-2</v>
      </c>
      <c r="P2316" s="28">
        <v>18.682389380530974</v>
      </c>
    </row>
    <row r="2317" spans="1:16" x14ac:dyDescent="0.3">
      <c r="A2317" t="s">
        <v>5197</v>
      </c>
      <c r="B2317" s="24">
        <v>142600</v>
      </c>
      <c r="C2317" s="24" t="s">
        <v>1828</v>
      </c>
      <c r="D2317" s="24" t="s">
        <v>1102</v>
      </c>
      <c r="E2317" s="24" t="s">
        <v>51</v>
      </c>
      <c r="F2317" s="24" t="s">
        <v>1386</v>
      </c>
      <c r="G2317" s="24" t="s">
        <v>1387</v>
      </c>
      <c r="H2317" s="24" t="s">
        <v>245</v>
      </c>
      <c r="I2317" s="24" t="s">
        <v>1874</v>
      </c>
      <c r="J2317" s="24" t="s">
        <v>761</v>
      </c>
      <c r="K2317" s="24" t="s">
        <v>1146</v>
      </c>
      <c r="L2317" s="25">
        <v>1070</v>
      </c>
      <c r="M2317" s="26">
        <v>32.79</v>
      </c>
      <c r="N2317" s="27">
        <v>32.79</v>
      </c>
      <c r="O2317" s="28">
        <v>2.9809090909090907E-2</v>
      </c>
      <c r="P2317" s="28">
        <v>31.048938053097341</v>
      </c>
    </row>
    <row r="2318" spans="1:16" x14ac:dyDescent="0.3">
      <c r="A2318" t="s">
        <v>5198</v>
      </c>
      <c r="B2318" s="24">
        <v>142051</v>
      </c>
      <c r="C2318" s="24" t="s">
        <v>1491</v>
      </c>
      <c r="D2318" s="24" t="s">
        <v>1102</v>
      </c>
      <c r="E2318" s="24" t="s">
        <v>51</v>
      </c>
      <c r="F2318" s="24" t="s">
        <v>1237</v>
      </c>
      <c r="G2318" s="24" t="s">
        <v>1238</v>
      </c>
      <c r="H2318" s="24" t="s">
        <v>184</v>
      </c>
      <c r="I2318" s="24" t="s">
        <v>1875</v>
      </c>
      <c r="J2318" s="24" t="s">
        <v>761</v>
      </c>
      <c r="K2318" s="24" t="s">
        <v>1146</v>
      </c>
      <c r="L2318" s="25">
        <v>1070</v>
      </c>
      <c r="M2318" s="26">
        <v>46</v>
      </c>
      <c r="N2318" s="27">
        <v>46</v>
      </c>
      <c r="O2318" s="28">
        <v>4.1818181818181817E-2</v>
      </c>
      <c r="P2318" s="28">
        <v>43.557522123893804</v>
      </c>
    </row>
    <row r="2319" spans="1:16" x14ac:dyDescent="0.3">
      <c r="A2319" t="s">
        <v>5199</v>
      </c>
      <c r="B2319" s="24">
        <v>142051</v>
      </c>
      <c r="C2319" s="24" t="s">
        <v>1491</v>
      </c>
      <c r="D2319" s="24" t="s">
        <v>1102</v>
      </c>
      <c r="E2319" s="24" t="s">
        <v>51</v>
      </c>
      <c r="F2319" s="24" t="s">
        <v>1237</v>
      </c>
      <c r="G2319" s="24" t="s">
        <v>1238</v>
      </c>
      <c r="H2319" s="24" t="s">
        <v>185</v>
      </c>
      <c r="I2319" s="24" t="s">
        <v>1876</v>
      </c>
      <c r="J2319" s="24" t="s">
        <v>761</v>
      </c>
      <c r="K2319" s="24" t="s">
        <v>1146</v>
      </c>
      <c r="L2319" s="25">
        <v>1070</v>
      </c>
      <c r="M2319" s="26">
        <v>46.2</v>
      </c>
      <c r="N2319" s="27">
        <v>46.2</v>
      </c>
      <c r="O2319" s="28">
        <v>4.2000000000000003E-2</v>
      </c>
      <c r="P2319" s="28">
        <v>43.746902654867256</v>
      </c>
    </row>
    <row r="2320" spans="1:16" x14ac:dyDescent="0.3">
      <c r="A2320" t="s">
        <v>5200</v>
      </c>
      <c r="B2320" s="24">
        <v>111550</v>
      </c>
      <c r="C2320" s="24" t="s">
        <v>1582</v>
      </c>
      <c r="D2320" s="24" t="s">
        <v>1102</v>
      </c>
      <c r="E2320" s="24" t="s">
        <v>51</v>
      </c>
      <c r="F2320" s="24" t="s">
        <v>1142</v>
      </c>
      <c r="G2320" s="24" t="s">
        <v>1402</v>
      </c>
      <c r="H2320" s="24" t="s">
        <v>293</v>
      </c>
      <c r="I2320" s="24" t="s">
        <v>1877</v>
      </c>
      <c r="J2320" s="24" t="s">
        <v>761</v>
      </c>
      <c r="K2320" s="24" t="s">
        <v>1146</v>
      </c>
      <c r="L2320" s="25">
        <v>1070</v>
      </c>
      <c r="M2320" s="26">
        <v>63.27</v>
      </c>
      <c r="N2320" s="27">
        <v>63.27</v>
      </c>
      <c r="O2320" s="28">
        <v>5.7518181818181822E-2</v>
      </c>
      <c r="P2320" s="28">
        <v>59.910530973451337</v>
      </c>
    </row>
    <row r="2321" spans="1:16" x14ac:dyDescent="0.3">
      <c r="A2321" t="s">
        <v>5201</v>
      </c>
      <c r="B2321" s="24">
        <v>141245</v>
      </c>
      <c r="C2321" s="24" t="s">
        <v>1606</v>
      </c>
      <c r="D2321" s="24" t="s">
        <v>1102</v>
      </c>
      <c r="E2321" s="24" t="s">
        <v>51</v>
      </c>
      <c r="F2321" s="24" t="s">
        <v>1386</v>
      </c>
      <c r="G2321" s="24" t="s">
        <v>1387</v>
      </c>
      <c r="H2321" s="24" t="s">
        <v>1878</v>
      </c>
      <c r="I2321" s="24" t="s">
        <v>1879</v>
      </c>
      <c r="J2321" s="24" t="s">
        <v>761</v>
      </c>
      <c r="K2321" s="24" t="s">
        <v>1146</v>
      </c>
      <c r="L2321" s="25">
        <v>1070</v>
      </c>
      <c r="M2321" s="26">
        <v>75</v>
      </c>
      <c r="N2321" s="27">
        <v>75</v>
      </c>
      <c r="O2321" s="28">
        <v>6.8181818181818177E-2</v>
      </c>
      <c r="P2321" s="28">
        <v>71.017699115044252</v>
      </c>
    </row>
    <row r="2322" spans="1:16" x14ac:dyDescent="0.3">
      <c r="A2322" t="s">
        <v>5202</v>
      </c>
      <c r="B2322" s="24">
        <v>101424</v>
      </c>
      <c r="C2322" s="24" t="s">
        <v>1278</v>
      </c>
      <c r="D2322" s="24" t="s">
        <v>1102</v>
      </c>
      <c r="E2322" s="24" t="s">
        <v>51</v>
      </c>
      <c r="F2322" s="24" t="s">
        <v>1142</v>
      </c>
      <c r="G2322" s="24" t="s">
        <v>1203</v>
      </c>
      <c r="H2322" s="24" t="s">
        <v>129</v>
      </c>
      <c r="I2322" s="24" t="s">
        <v>1880</v>
      </c>
      <c r="J2322" s="24" t="s">
        <v>761</v>
      </c>
      <c r="K2322" s="24" t="s">
        <v>1146</v>
      </c>
      <c r="L2322" s="25">
        <v>1070</v>
      </c>
      <c r="M2322" s="26">
        <v>115</v>
      </c>
      <c r="N2322" s="27">
        <v>115</v>
      </c>
      <c r="O2322" s="28">
        <v>0.10454545454545454</v>
      </c>
      <c r="P2322" s="28">
        <v>108.89380530973452</v>
      </c>
    </row>
    <row r="2323" spans="1:16" x14ac:dyDescent="0.3">
      <c r="A2323" t="s">
        <v>5203</v>
      </c>
      <c r="B2323" s="24">
        <v>100603</v>
      </c>
      <c r="C2323" s="24" t="s">
        <v>1277</v>
      </c>
      <c r="D2323" s="24" t="s">
        <v>1102</v>
      </c>
      <c r="E2323" s="24" t="s">
        <v>51</v>
      </c>
      <c r="F2323" s="24" t="s">
        <v>1142</v>
      </c>
      <c r="G2323" s="24" t="s">
        <v>1082</v>
      </c>
      <c r="H2323" s="24" t="s">
        <v>1881</v>
      </c>
      <c r="I2323" s="24" t="s">
        <v>1882</v>
      </c>
      <c r="J2323" s="24" t="s">
        <v>761</v>
      </c>
      <c r="K2323" s="24" t="s">
        <v>1146</v>
      </c>
      <c r="L2323" s="25">
        <v>1070</v>
      </c>
      <c r="M2323" s="26">
        <v>80.84</v>
      </c>
      <c r="N2323" s="27">
        <v>80.84</v>
      </c>
      <c r="O2323" s="28">
        <v>7.3490909090909093E-2</v>
      </c>
      <c r="P2323" s="28">
        <v>76.547610619469026</v>
      </c>
    </row>
    <row r="2324" spans="1:16" x14ac:dyDescent="0.3">
      <c r="A2324" t="s">
        <v>5204</v>
      </c>
      <c r="B2324" s="24">
        <v>101424</v>
      </c>
      <c r="C2324" s="24" t="s">
        <v>1278</v>
      </c>
      <c r="D2324" s="24" t="s">
        <v>1102</v>
      </c>
      <c r="E2324" s="24" t="s">
        <v>51</v>
      </c>
      <c r="F2324" s="24" t="s">
        <v>1142</v>
      </c>
      <c r="G2324" s="24" t="s">
        <v>1203</v>
      </c>
      <c r="H2324" s="24" t="s">
        <v>1076</v>
      </c>
      <c r="I2324" s="24" t="s">
        <v>1883</v>
      </c>
      <c r="J2324" s="24" t="s">
        <v>761</v>
      </c>
      <c r="K2324" s="24" t="s">
        <v>1146</v>
      </c>
      <c r="L2324" s="25">
        <v>1070</v>
      </c>
      <c r="M2324" s="26">
        <v>3.77</v>
      </c>
      <c r="N2324" s="27">
        <v>3.77</v>
      </c>
      <c r="O2324" s="28">
        <v>3.4272727272727272E-3</v>
      </c>
      <c r="P2324" s="28">
        <v>3.5698230088495575</v>
      </c>
    </row>
    <row r="2325" spans="1:16" x14ac:dyDescent="0.3">
      <c r="A2325" t="s">
        <v>5205</v>
      </c>
      <c r="B2325" s="24">
        <v>109171</v>
      </c>
      <c r="C2325" s="24" t="s">
        <v>1279</v>
      </c>
      <c r="D2325" s="24" t="s">
        <v>1102</v>
      </c>
      <c r="E2325" s="24" t="s">
        <v>51</v>
      </c>
      <c r="F2325" s="24" t="s">
        <v>1142</v>
      </c>
      <c r="G2325" s="24" t="s">
        <v>1203</v>
      </c>
      <c r="H2325" s="24" t="s">
        <v>1076</v>
      </c>
      <c r="I2325" s="24" t="s">
        <v>1883</v>
      </c>
      <c r="J2325" s="24" t="s">
        <v>761</v>
      </c>
      <c r="K2325" s="24" t="s">
        <v>1146</v>
      </c>
      <c r="L2325" s="25">
        <v>1070</v>
      </c>
      <c r="M2325" s="26">
        <v>3.77</v>
      </c>
      <c r="N2325" s="27">
        <v>3.77</v>
      </c>
      <c r="O2325" s="28">
        <v>3.4272727272727272E-3</v>
      </c>
      <c r="P2325" s="28">
        <v>3.5698230088495575</v>
      </c>
    </row>
    <row r="2326" spans="1:16" x14ac:dyDescent="0.3">
      <c r="A2326" t="s">
        <v>5206</v>
      </c>
      <c r="B2326" s="24">
        <v>100581</v>
      </c>
      <c r="C2326" s="24" t="s">
        <v>1232</v>
      </c>
      <c r="D2326" s="24" t="s">
        <v>1102</v>
      </c>
      <c r="E2326" s="24" t="s">
        <v>51</v>
      </c>
      <c r="F2326" s="24" t="s">
        <v>1142</v>
      </c>
      <c r="G2326" s="24" t="s">
        <v>1233</v>
      </c>
      <c r="H2326" s="24" t="s">
        <v>244</v>
      </c>
      <c r="I2326" s="24" t="s">
        <v>1884</v>
      </c>
      <c r="J2326" s="24" t="s">
        <v>761</v>
      </c>
      <c r="K2326" s="24" t="s">
        <v>1146</v>
      </c>
      <c r="L2326" s="25">
        <v>1070</v>
      </c>
      <c r="M2326" s="26">
        <v>5.3</v>
      </c>
      <c r="N2326" s="27">
        <v>5.3</v>
      </c>
      <c r="O2326" s="28">
        <v>4.8181818181818178E-3</v>
      </c>
      <c r="P2326" s="28">
        <v>5.01858407079646</v>
      </c>
    </row>
    <row r="2327" spans="1:16" x14ac:dyDescent="0.3">
      <c r="A2327" t="s">
        <v>5207</v>
      </c>
      <c r="B2327" s="24">
        <v>101184</v>
      </c>
      <c r="C2327" s="24" t="s">
        <v>1401</v>
      </c>
      <c r="D2327" s="24" t="s">
        <v>1102</v>
      </c>
      <c r="E2327" s="24" t="s">
        <v>51</v>
      </c>
      <c r="F2327" s="24" t="s">
        <v>1142</v>
      </c>
      <c r="G2327" s="24" t="s">
        <v>1402</v>
      </c>
      <c r="H2327" s="24" t="s">
        <v>244</v>
      </c>
      <c r="I2327" s="24" t="s">
        <v>1884</v>
      </c>
      <c r="J2327" s="24" t="s">
        <v>761</v>
      </c>
      <c r="K2327" s="24" t="s">
        <v>1146</v>
      </c>
      <c r="L2327" s="25">
        <v>1070</v>
      </c>
      <c r="M2327" s="26">
        <v>5.3</v>
      </c>
      <c r="N2327" s="27">
        <v>5.3</v>
      </c>
      <c r="O2327" s="28">
        <v>4.8181818181818178E-3</v>
      </c>
      <c r="P2327" s="28">
        <v>5.01858407079646</v>
      </c>
    </row>
    <row r="2328" spans="1:16" x14ac:dyDescent="0.3">
      <c r="A2328" t="s">
        <v>5208</v>
      </c>
      <c r="B2328" s="24">
        <v>101186</v>
      </c>
      <c r="C2328" s="24" t="s">
        <v>1273</v>
      </c>
      <c r="D2328" s="24" t="s">
        <v>1102</v>
      </c>
      <c r="E2328" s="24" t="s">
        <v>51</v>
      </c>
      <c r="F2328" s="24" t="s">
        <v>1142</v>
      </c>
      <c r="G2328" s="24" t="s">
        <v>1203</v>
      </c>
      <c r="H2328" s="24" t="s">
        <v>244</v>
      </c>
      <c r="I2328" s="24" t="s">
        <v>1884</v>
      </c>
      <c r="J2328" s="24" t="s">
        <v>761</v>
      </c>
      <c r="K2328" s="24" t="s">
        <v>1146</v>
      </c>
      <c r="L2328" s="25">
        <v>1070</v>
      </c>
      <c r="M2328" s="26">
        <v>5.3</v>
      </c>
      <c r="N2328" s="27">
        <v>5.3</v>
      </c>
      <c r="O2328" s="28">
        <v>4.8181818181818178E-3</v>
      </c>
      <c r="P2328" s="28">
        <v>5.01858407079646</v>
      </c>
    </row>
    <row r="2329" spans="1:16" x14ac:dyDescent="0.3">
      <c r="A2329" t="s">
        <v>5209</v>
      </c>
      <c r="B2329" s="24">
        <v>100581</v>
      </c>
      <c r="C2329" s="24" t="s">
        <v>1232</v>
      </c>
      <c r="D2329" s="24" t="s">
        <v>1102</v>
      </c>
      <c r="E2329" s="24" t="s">
        <v>51</v>
      </c>
      <c r="F2329" s="24" t="s">
        <v>1142</v>
      </c>
      <c r="G2329" s="24" t="s">
        <v>1233</v>
      </c>
      <c r="H2329" s="24" t="s">
        <v>336</v>
      </c>
      <c r="I2329" s="24" t="s">
        <v>1885</v>
      </c>
      <c r="J2329" s="24" t="s">
        <v>761</v>
      </c>
      <c r="K2329" s="24" t="s">
        <v>1146</v>
      </c>
      <c r="L2329" s="25">
        <v>1070</v>
      </c>
      <c r="M2329" s="26">
        <v>39</v>
      </c>
      <c r="N2329" s="27">
        <v>39</v>
      </c>
      <c r="O2329" s="28">
        <v>3.5454545454545454E-2</v>
      </c>
      <c r="P2329" s="28">
        <v>36.929203539823007</v>
      </c>
    </row>
    <row r="2330" spans="1:16" x14ac:dyDescent="0.3">
      <c r="A2330" t="s">
        <v>5210</v>
      </c>
      <c r="B2330" s="24">
        <v>100603</v>
      </c>
      <c r="C2330" s="24" t="s">
        <v>1277</v>
      </c>
      <c r="D2330" s="24" t="s">
        <v>1102</v>
      </c>
      <c r="E2330" s="24" t="s">
        <v>51</v>
      </c>
      <c r="F2330" s="24" t="s">
        <v>1142</v>
      </c>
      <c r="G2330" s="24" t="s">
        <v>1082</v>
      </c>
      <c r="H2330" s="24" t="s">
        <v>336</v>
      </c>
      <c r="I2330" s="24" t="s">
        <v>1885</v>
      </c>
      <c r="J2330" s="24" t="s">
        <v>761</v>
      </c>
      <c r="K2330" s="24" t="s">
        <v>1146</v>
      </c>
      <c r="L2330" s="25">
        <v>1070</v>
      </c>
      <c r="M2330" s="26">
        <v>39</v>
      </c>
      <c r="N2330" s="27">
        <v>39</v>
      </c>
      <c r="O2330" s="28">
        <v>3.5454545454545454E-2</v>
      </c>
      <c r="P2330" s="28">
        <v>36.929203539823007</v>
      </c>
    </row>
    <row r="2331" spans="1:16" x14ac:dyDescent="0.3">
      <c r="A2331" t="s">
        <v>5211</v>
      </c>
      <c r="B2331" s="24">
        <v>101186</v>
      </c>
      <c r="C2331" s="24" t="s">
        <v>1273</v>
      </c>
      <c r="D2331" s="24" t="s">
        <v>1102</v>
      </c>
      <c r="E2331" s="24" t="s">
        <v>51</v>
      </c>
      <c r="F2331" s="24" t="s">
        <v>1142</v>
      </c>
      <c r="G2331" s="24" t="s">
        <v>1203</v>
      </c>
      <c r="H2331" s="24" t="s">
        <v>336</v>
      </c>
      <c r="I2331" s="24" t="s">
        <v>1885</v>
      </c>
      <c r="J2331" s="24" t="s">
        <v>761</v>
      </c>
      <c r="K2331" s="24" t="s">
        <v>1146</v>
      </c>
      <c r="L2331" s="25">
        <v>1070</v>
      </c>
      <c r="M2331" s="26">
        <v>39</v>
      </c>
      <c r="N2331" s="27">
        <v>39</v>
      </c>
      <c r="O2331" s="28">
        <v>3.5454545454545454E-2</v>
      </c>
      <c r="P2331" s="28">
        <v>36.929203539823007</v>
      </c>
    </row>
    <row r="2332" spans="1:16" x14ac:dyDescent="0.3">
      <c r="A2332" t="s">
        <v>5212</v>
      </c>
      <c r="B2332" s="24">
        <v>101206</v>
      </c>
      <c r="C2332" s="24" t="s">
        <v>1199</v>
      </c>
      <c r="D2332" s="24" t="s">
        <v>1102</v>
      </c>
      <c r="E2332" s="24" t="s">
        <v>51</v>
      </c>
      <c r="F2332" s="24" t="s">
        <v>1142</v>
      </c>
      <c r="G2332" s="24" t="s">
        <v>1200</v>
      </c>
      <c r="H2332" s="24" t="s">
        <v>336</v>
      </c>
      <c r="I2332" s="24" t="s">
        <v>1885</v>
      </c>
      <c r="J2332" s="24" t="s">
        <v>761</v>
      </c>
      <c r="K2332" s="24" t="s">
        <v>1146</v>
      </c>
      <c r="L2332" s="25">
        <v>1070</v>
      </c>
      <c r="M2332" s="26">
        <v>39</v>
      </c>
      <c r="N2332" s="27">
        <v>39</v>
      </c>
      <c r="O2332" s="28">
        <v>3.5454545454545454E-2</v>
      </c>
      <c r="P2332" s="28">
        <v>36.929203539823007</v>
      </c>
    </row>
    <row r="2333" spans="1:16" x14ac:dyDescent="0.3">
      <c r="A2333" t="s">
        <v>5213</v>
      </c>
      <c r="B2333" s="24">
        <v>101424</v>
      </c>
      <c r="C2333" s="24" t="s">
        <v>1278</v>
      </c>
      <c r="D2333" s="24" t="s">
        <v>1102</v>
      </c>
      <c r="E2333" s="24" t="s">
        <v>51</v>
      </c>
      <c r="F2333" s="24" t="s">
        <v>1142</v>
      </c>
      <c r="G2333" s="24" t="s">
        <v>1203</v>
      </c>
      <c r="H2333" s="24" t="s">
        <v>336</v>
      </c>
      <c r="I2333" s="24" t="s">
        <v>1885</v>
      </c>
      <c r="J2333" s="24" t="s">
        <v>761</v>
      </c>
      <c r="K2333" s="24" t="s">
        <v>1146</v>
      </c>
      <c r="L2333" s="25">
        <v>1070</v>
      </c>
      <c r="M2333" s="26">
        <v>39</v>
      </c>
      <c r="N2333" s="27">
        <v>39</v>
      </c>
      <c r="O2333" s="28">
        <v>3.5454545454545454E-2</v>
      </c>
      <c r="P2333" s="28">
        <v>36.929203539823007</v>
      </c>
    </row>
    <row r="2334" spans="1:16" x14ac:dyDescent="0.3">
      <c r="A2334" t="s">
        <v>5214</v>
      </c>
      <c r="B2334" s="24">
        <v>111550</v>
      </c>
      <c r="C2334" s="24" t="s">
        <v>1582</v>
      </c>
      <c r="D2334" s="24" t="s">
        <v>1102</v>
      </c>
      <c r="E2334" s="24" t="s">
        <v>51</v>
      </c>
      <c r="F2334" s="24" t="s">
        <v>1142</v>
      </c>
      <c r="G2334" s="24" t="s">
        <v>1402</v>
      </c>
      <c r="H2334" s="24" t="s">
        <v>336</v>
      </c>
      <c r="I2334" s="24" t="s">
        <v>1885</v>
      </c>
      <c r="J2334" s="24" t="s">
        <v>761</v>
      </c>
      <c r="K2334" s="24" t="s">
        <v>1146</v>
      </c>
      <c r="L2334" s="25">
        <v>1070</v>
      </c>
      <c r="M2334" s="26">
        <v>39</v>
      </c>
      <c r="N2334" s="27">
        <v>39</v>
      </c>
      <c r="O2334" s="28">
        <v>3.5454545454545454E-2</v>
      </c>
      <c r="P2334" s="28">
        <v>36.929203539823007</v>
      </c>
    </row>
    <row r="2335" spans="1:16" x14ac:dyDescent="0.3">
      <c r="A2335" t="s">
        <v>5215</v>
      </c>
      <c r="B2335" s="24">
        <v>114163</v>
      </c>
      <c r="C2335" s="24" t="s">
        <v>1490</v>
      </c>
      <c r="D2335" s="24" t="s">
        <v>1102</v>
      </c>
      <c r="E2335" s="24" t="s">
        <v>51</v>
      </c>
      <c r="F2335" s="24" t="s">
        <v>1142</v>
      </c>
      <c r="G2335" s="24" t="s">
        <v>1203</v>
      </c>
      <c r="H2335" s="24" t="s">
        <v>336</v>
      </c>
      <c r="I2335" s="24" t="s">
        <v>1885</v>
      </c>
      <c r="J2335" s="24" t="s">
        <v>761</v>
      </c>
      <c r="K2335" s="24" t="s">
        <v>1146</v>
      </c>
      <c r="L2335" s="25">
        <v>1070</v>
      </c>
      <c r="M2335" s="26">
        <v>39</v>
      </c>
      <c r="N2335" s="27">
        <v>39</v>
      </c>
      <c r="O2335" s="28">
        <v>3.5454545454545454E-2</v>
      </c>
      <c r="P2335" s="28">
        <v>36.929203539823007</v>
      </c>
    </row>
    <row r="2336" spans="1:16" x14ac:dyDescent="0.3">
      <c r="A2336" t="s">
        <v>5216</v>
      </c>
      <c r="B2336" s="24">
        <v>114501</v>
      </c>
      <c r="C2336" s="24" t="s">
        <v>1409</v>
      </c>
      <c r="D2336" s="24" t="s">
        <v>1102</v>
      </c>
      <c r="E2336" s="24" t="s">
        <v>51</v>
      </c>
      <c r="F2336" s="24" t="s">
        <v>1142</v>
      </c>
      <c r="G2336" s="24" t="s">
        <v>1402</v>
      </c>
      <c r="H2336" s="24" t="s">
        <v>336</v>
      </c>
      <c r="I2336" s="24" t="s">
        <v>1885</v>
      </c>
      <c r="J2336" s="24" t="s">
        <v>761</v>
      </c>
      <c r="K2336" s="24" t="s">
        <v>1146</v>
      </c>
      <c r="L2336" s="25">
        <v>1070</v>
      </c>
      <c r="M2336" s="26">
        <v>39</v>
      </c>
      <c r="N2336" s="27">
        <v>39</v>
      </c>
      <c r="O2336" s="28">
        <v>3.5454545454545454E-2</v>
      </c>
      <c r="P2336" s="28">
        <v>36.929203539823007</v>
      </c>
    </row>
    <row r="2337" spans="1:16" x14ac:dyDescent="0.3">
      <c r="A2337" t="s">
        <v>5217</v>
      </c>
      <c r="B2337" s="24">
        <v>142310</v>
      </c>
      <c r="C2337" s="24" t="s">
        <v>1474</v>
      </c>
      <c r="D2337" s="24" t="s">
        <v>1102</v>
      </c>
      <c r="E2337" s="24" t="s">
        <v>51</v>
      </c>
      <c r="F2337" s="24" t="s">
        <v>1142</v>
      </c>
      <c r="G2337" s="24" t="s">
        <v>1402</v>
      </c>
      <c r="H2337" s="24" t="s">
        <v>336</v>
      </c>
      <c r="I2337" s="24" t="s">
        <v>1885</v>
      </c>
      <c r="J2337" s="24" t="s">
        <v>761</v>
      </c>
      <c r="K2337" s="24" t="s">
        <v>1146</v>
      </c>
      <c r="L2337" s="25">
        <v>1070</v>
      </c>
      <c r="M2337" s="26">
        <v>39</v>
      </c>
      <c r="N2337" s="27">
        <v>39</v>
      </c>
      <c r="O2337" s="28">
        <v>3.5454545454545454E-2</v>
      </c>
      <c r="P2337" s="28">
        <v>36.929203539823007</v>
      </c>
    </row>
    <row r="2338" spans="1:16" x14ac:dyDescent="0.3">
      <c r="A2338" t="s">
        <v>5218</v>
      </c>
      <c r="B2338" s="24">
        <v>100581</v>
      </c>
      <c r="C2338" s="24" t="s">
        <v>1232</v>
      </c>
      <c r="D2338" s="24" t="s">
        <v>1102</v>
      </c>
      <c r="E2338" s="24" t="s">
        <v>51</v>
      </c>
      <c r="F2338" s="24" t="s">
        <v>1142</v>
      </c>
      <c r="G2338" s="24" t="s">
        <v>1233</v>
      </c>
      <c r="H2338" s="24" t="s">
        <v>1055</v>
      </c>
      <c r="I2338" s="24" t="s">
        <v>1886</v>
      </c>
      <c r="J2338" s="24" t="s">
        <v>761</v>
      </c>
      <c r="K2338" s="24" t="s">
        <v>1146</v>
      </c>
      <c r="L2338" s="25">
        <v>1070</v>
      </c>
      <c r="M2338" s="26">
        <v>39</v>
      </c>
      <c r="N2338" s="27">
        <v>39</v>
      </c>
      <c r="O2338" s="28">
        <v>3.5454545454545454E-2</v>
      </c>
      <c r="P2338" s="28">
        <v>36.929203539823007</v>
      </c>
    </row>
    <row r="2339" spans="1:16" x14ac:dyDescent="0.3">
      <c r="A2339" t="s">
        <v>5219</v>
      </c>
      <c r="B2339" s="24">
        <v>100603</v>
      </c>
      <c r="C2339" s="24" t="s">
        <v>1277</v>
      </c>
      <c r="D2339" s="24" t="s">
        <v>1102</v>
      </c>
      <c r="E2339" s="24" t="s">
        <v>51</v>
      </c>
      <c r="F2339" s="24" t="s">
        <v>1142</v>
      </c>
      <c r="G2339" s="24" t="s">
        <v>1082</v>
      </c>
      <c r="H2339" s="24" t="s">
        <v>1055</v>
      </c>
      <c r="I2339" s="24" t="s">
        <v>1886</v>
      </c>
      <c r="J2339" s="24" t="s">
        <v>761</v>
      </c>
      <c r="K2339" s="24" t="s">
        <v>1146</v>
      </c>
      <c r="L2339" s="25">
        <v>1070</v>
      </c>
      <c r="M2339" s="26">
        <v>39</v>
      </c>
      <c r="N2339" s="27">
        <v>39</v>
      </c>
      <c r="O2339" s="28">
        <v>3.5454545454545454E-2</v>
      </c>
      <c r="P2339" s="28">
        <v>36.929203539823007</v>
      </c>
    </row>
    <row r="2340" spans="1:16" x14ac:dyDescent="0.3">
      <c r="A2340" t="s">
        <v>5220</v>
      </c>
      <c r="B2340" s="24">
        <v>101186</v>
      </c>
      <c r="C2340" s="24" t="s">
        <v>1273</v>
      </c>
      <c r="D2340" s="24" t="s">
        <v>1102</v>
      </c>
      <c r="E2340" s="24" t="s">
        <v>51</v>
      </c>
      <c r="F2340" s="24" t="s">
        <v>1142</v>
      </c>
      <c r="G2340" s="24" t="s">
        <v>1203</v>
      </c>
      <c r="H2340" s="24" t="s">
        <v>1055</v>
      </c>
      <c r="I2340" s="24" t="s">
        <v>1886</v>
      </c>
      <c r="J2340" s="24" t="s">
        <v>761</v>
      </c>
      <c r="K2340" s="24" t="s">
        <v>1146</v>
      </c>
      <c r="L2340" s="25">
        <v>1070</v>
      </c>
      <c r="M2340" s="26">
        <v>39</v>
      </c>
      <c r="N2340" s="27">
        <v>39</v>
      </c>
      <c r="O2340" s="28">
        <v>3.5454545454545454E-2</v>
      </c>
      <c r="P2340" s="28">
        <v>36.929203539823007</v>
      </c>
    </row>
    <row r="2341" spans="1:16" x14ac:dyDescent="0.3">
      <c r="A2341" t="s">
        <v>5221</v>
      </c>
      <c r="B2341" s="24">
        <v>101206</v>
      </c>
      <c r="C2341" s="24" t="s">
        <v>1199</v>
      </c>
      <c r="D2341" s="24" t="s">
        <v>1102</v>
      </c>
      <c r="E2341" s="24" t="s">
        <v>51</v>
      </c>
      <c r="F2341" s="24" t="s">
        <v>1142</v>
      </c>
      <c r="G2341" s="24" t="s">
        <v>1200</v>
      </c>
      <c r="H2341" s="24" t="s">
        <v>1055</v>
      </c>
      <c r="I2341" s="24" t="s">
        <v>1886</v>
      </c>
      <c r="J2341" s="24" t="s">
        <v>761</v>
      </c>
      <c r="K2341" s="24" t="s">
        <v>1146</v>
      </c>
      <c r="L2341" s="25">
        <v>1070</v>
      </c>
      <c r="M2341" s="26">
        <v>39</v>
      </c>
      <c r="N2341" s="27">
        <v>39</v>
      </c>
      <c r="O2341" s="28">
        <v>3.5454545454545454E-2</v>
      </c>
      <c r="P2341" s="28">
        <v>36.929203539823007</v>
      </c>
    </row>
    <row r="2342" spans="1:16" x14ac:dyDescent="0.3">
      <c r="A2342" t="s">
        <v>5222</v>
      </c>
      <c r="B2342" s="24">
        <v>101424</v>
      </c>
      <c r="C2342" s="24" t="s">
        <v>1278</v>
      </c>
      <c r="D2342" s="24" t="s">
        <v>1102</v>
      </c>
      <c r="E2342" s="24" t="s">
        <v>51</v>
      </c>
      <c r="F2342" s="24" t="s">
        <v>1142</v>
      </c>
      <c r="G2342" s="24" t="s">
        <v>1203</v>
      </c>
      <c r="H2342" s="24" t="s">
        <v>1055</v>
      </c>
      <c r="I2342" s="24" t="s">
        <v>1886</v>
      </c>
      <c r="J2342" s="24" t="s">
        <v>761</v>
      </c>
      <c r="K2342" s="24" t="s">
        <v>1146</v>
      </c>
      <c r="L2342" s="25">
        <v>1070</v>
      </c>
      <c r="M2342" s="26">
        <v>39</v>
      </c>
      <c r="N2342" s="27">
        <v>39</v>
      </c>
      <c r="O2342" s="28">
        <v>3.5454545454545454E-2</v>
      </c>
      <c r="P2342" s="28">
        <v>36.929203539823007</v>
      </c>
    </row>
    <row r="2343" spans="1:16" x14ac:dyDescent="0.3">
      <c r="A2343" t="s">
        <v>5223</v>
      </c>
      <c r="B2343" s="24">
        <v>111550</v>
      </c>
      <c r="C2343" s="24" t="s">
        <v>1582</v>
      </c>
      <c r="D2343" s="24" t="s">
        <v>1102</v>
      </c>
      <c r="E2343" s="24" t="s">
        <v>51</v>
      </c>
      <c r="F2343" s="24" t="s">
        <v>1142</v>
      </c>
      <c r="G2343" s="24" t="s">
        <v>1402</v>
      </c>
      <c r="H2343" s="24" t="s">
        <v>1055</v>
      </c>
      <c r="I2343" s="24" t="s">
        <v>1886</v>
      </c>
      <c r="J2343" s="24" t="s">
        <v>761</v>
      </c>
      <c r="K2343" s="24" t="s">
        <v>1146</v>
      </c>
      <c r="L2343" s="25">
        <v>1070</v>
      </c>
      <c r="M2343" s="26">
        <v>39</v>
      </c>
      <c r="N2343" s="27">
        <v>39</v>
      </c>
      <c r="O2343" s="28">
        <v>3.5454545454545454E-2</v>
      </c>
      <c r="P2343" s="28">
        <v>36.929203539823007</v>
      </c>
    </row>
    <row r="2344" spans="1:16" x14ac:dyDescent="0.3">
      <c r="A2344" t="s">
        <v>5224</v>
      </c>
      <c r="B2344" s="24">
        <v>114163</v>
      </c>
      <c r="C2344" s="24" t="s">
        <v>1490</v>
      </c>
      <c r="D2344" s="24" t="s">
        <v>1102</v>
      </c>
      <c r="E2344" s="24" t="s">
        <v>51</v>
      </c>
      <c r="F2344" s="24" t="s">
        <v>1142</v>
      </c>
      <c r="G2344" s="24" t="s">
        <v>1203</v>
      </c>
      <c r="H2344" s="24" t="s">
        <v>1055</v>
      </c>
      <c r="I2344" s="24" t="s">
        <v>1886</v>
      </c>
      <c r="J2344" s="24" t="s">
        <v>761</v>
      </c>
      <c r="K2344" s="24" t="s">
        <v>1146</v>
      </c>
      <c r="L2344" s="25">
        <v>1070</v>
      </c>
      <c r="M2344" s="26">
        <v>39</v>
      </c>
      <c r="N2344" s="27">
        <v>39</v>
      </c>
      <c r="O2344" s="28">
        <v>3.5454545454545454E-2</v>
      </c>
      <c r="P2344" s="28">
        <v>36.929203539823007</v>
      </c>
    </row>
    <row r="2345" spans="1:16" x14ac:dyDescent="0.3">
      <c r="A2345" t="s">
        <v>5225</v>
      </c>
      <c r="B2345" s="24">
        <v>114501</v>
      </c>
      <c r="C2345" s="24" t="s">
        <v>1409</v>
      </c>
      <c r="D2345" s="24" t="s">
        <v>1102</v>
      </c>
      <c r="E2345" s="24" t="s">
        <v>51</v>
      </c>
      <c r="F2345" s="24" t="s">
        <v>1142</v>
      </c>
      <c r="G2345" s="24" t="s">
        <v>1402</v>
      </c>
      <c r="H2345" s="24" t="s">
        <v>1055</v>
      </c>
      <c r="I2345" s="24" t="s">
        <v>1886</v>
      </c>
      <c r="J2345" s="24" t="s">
        <v>761</v>
      </c>
      <c r="K2345" s="24" t="s">
        <v>1146</v>
      </c>
      <c r="L2345" s="25">
        <v>1070</v>
      </c>
      <c r="M2345" s="26">
        <v>39</v>
      </c>
      <c r="N2345" s="27">
        <v>39</v>
      </c>
      <c r="O2345" s="28">
        <v>3.5454545454545454E-2</v>
      </c>
      <c r="P2345" s="28">
        <v>36.929203539823007</v>
      </c>
    </row>
    <row r="2346" spans="1:16" x14ac:dyDescent="0.3">
      <c r="A2346" t="s">
        <v>5226</v>
      </c>
      <c r="B2346" s="24">
        <v>142310</v>
      </c>
      <c r="C2346" s="24" t="s">
        <v>1474</v>
      </c>
      <c r="D2346" s="24" t="s">
        <v>1102</v>
      </c>
      <c r="E2346" s="24" t="s">
        <v>51</v>
      </c>
      <c r="F2346" s="24" t="s">
        <v>1142</v>
      </c>
      <c r="G2346" s="24" t="s">
        <v>1402</v>
      </c>
      <c r="H2346" s="24" t="s">
        <v>1055</v>
      </c>
      <c r="I2346" s="24" t="s">
        <v>1886</v>
      </c>
      <c r="J2346" s="24" t="s">
        <v>761</v>
      </c>
      <c r="K2346" s="24" t="s">
        <v>1146</v>
      </c>
      <c r="L2346" s="25">
        <v>1070</v>
      </c>
      <c r="M2346" s="26">
        <v>39</v>
      </c>
      <c r="N2346" s="27">
        <v>39</v>
      </c>
      <c r="O2346" s="28">
        <v>3.5454545454545454E-2</v>
      </c>
      <c r="P2346" s="28">
        <v>36.929203539823007</v>
      </c>
    </row>
    <row r="2347" spans="1:16" x14ac:dyDescent="0.3">
      <c r="A2347" t="s">
        <v>5227</v>
      </c>
      <c r="B2347" s="24">
        <v>100581</v>
      </c>
      <c r="C2347" s="24" t="s">
        <v>1232</v>
      </c>
      <c r="D2347" s="24" t="s">
        <v>1102</v>
      </c>
      <c r="E2347" s="24" t="s">
        <v>51</v>
      </c>
      <c r="F2347" s="24" t="s">
        <v>1142</v>
      </c>
      <c r="G2347" s="24" t="s">
        <v>1233</v>
      </c>
      <c r="H2347" s="24" t="s">
        <v>294</v>
      </c>
      <c r="I2347" s="24" t="s">
        <v>1887</v>
      </c>
      <c r="J2347" s="24" t="s">
        <v>761</v>
      </c>
      <c r="K2347" s="24" t="s">
        <v>1146</v>
      </c>
      <c r="L2347" s="25">
        <v>1070</v>
      </c>
      <c r="M2347" s="26">
        <v>39.83</v>
      </c>
      <c r="N2347" s="27">
        <v>39.83</v>
      </c>
      <c r="O2347" s="28">
        <v>3.6209090909090906E-2</v>
      </c>
      <c r="P2347" s="28">
        <v>37.71513274336283</v>
      </c>
    </row>
    <row r="2348" spans="1:16" x14ac:dyDescent="0.3">
      <c r="A2348" t="s">
        <v>5228</v>
      </c>
      <c r="B2348" s="24">
        <v>100603</v>
      </c>
      <c r="C2348" s="24" t="s">
        <v>1277</v>
      </c>
      <c r="D2348" s="24" t="s">
        <v>1102</v>
      </c>
      <c r="E2348" s="24" t="s">
        <v>51</v>
      </c>
      <c r="F2348" s="24" t="s">
        <v>1142</v>
      </c>
      <c r="G2348" s="24" t="s">
        <v>1082</v>
      </c>
      <c r="H2348" s="24" t="s">
        <v>294</v>
      </c>
      <c r="I2348" s="24" t="s">
        <v>1887</v>
      </c>
      <c r="J2348" s="24" t="s">
        <v>761</v>
      </c>
      <c r="K2348" s="24" t="s">
        <v>1146</v>
      </c>
      <c r="L2348" s="25">
        <v>1070</v>
      </c>
      <c r="M2348" s="26">
        <v>39.83</v>
      </c>
      <c r="N2348" s="27">
        <v>39.83</v>
      </c>
      <c r="O2348" s="28">
        <v>3.6209090909090906E-2</v>
      </c>
      <c r="P2348" s="28">
        <v>37.71513274336283</v>
      </c>
    </row>
    <row r="2349" spans="1:16" x14ac:dyDescent="0.3">
      <c r="A2349" t="s">
        <v>5229</v>
      </c>
      <c r="B2349" s="24">
        <v>101186</v>
      </c>
      <c r="C2349" s="24" t="s">
        <v>1273</v>
      </c>
      <c r="D2349" s="24" t="s">
        <v>1102</v>
      </c>
      <c r="E2349" s="24" t="s">
        <v>51</v>
      </c>
      <c r="F2349" s="24" t="s">
        <v>1142</v>
      </c>
      <c r="G2349" s="24" t="s">
        <v>1203</v>
      </c>
      <c r="H2349" s="24" t="s">
        <v>294</v>
      </c>
      <c r="I2349" s="24" t="s">
        <v>1887</v>
      </c>
      <c r="J2349" s="24" t="s">
        <v>761</v>
      </c>
      <c r="K2349" s="24" t="s">
        <v>1146</v>
      </c>
      <c r="L2349" s="25">
        <v>1070</v>
      </c>
      <c r="M2349" s="26">
        <v>39.83</v>
      </c>
      <c r="N2349" s="27">
        <v>39.83</v>
      </c>
      <c r="O2349" s="28">
        <v>3.6209090909090906E-2</v>
      </c>
      <c r="P2349" s="28">
        <v>37.71513274336283</v>
      </c>
    </row>
    <row r="2350" spans="1:16" x14ac:dyDescent="0.3">
      <c r="A2350" t="s">
        <v>5230</v>
      </c>
      <c r="B2350" s="24">
        <v>100581</v>
      </c>
      <c r="C2350" s="24" t="s">
        <v>1232</v>
      </c>
      <c r="D2350" s="24" t="s">
        <v>1102</v>
      </c>
      <c r="E2350" s="24" t="s">
        <v>51</v>
      </c>
      <c r="F2350" s="24" t="s">
        <v>1142</v>
      </c>
      <c r="G2350" s="24" t="s">
        <v>1233</v>
      </c>
      <c r="H2350" s="24" t="s">
        <v>295</v>
      </c>
      <c r="I2350" s="24" t="s">
        <v>1888</v>
      </c>
      <c r="J2350" s="24" t="s">
        <v>761</v>
      </c>
      <c r="K2350" s="24" t="s">
        <v>1146</v>
      </c>
      <c r="L2350" s="25">
        <v>1070</v>
      </c>
      <c r="M2350" s="26">
        <v>31.3</v>
      </c>
      <c r="N2350" s="27">
        <v>31.3</v>
      </c>
      <c r="O2350" s="28">
        <v>2.8454545454545455E-2</v>
      </c>
      <c r="P2350" s="28">
        <v>29.638053097345132</v>
      </c>
    </row>
    <row r="2351" spans="1:16" x14ac:dyDescent="0.3">
      <c r="A2351" t="s">
        <v>5231</v>
      </c>
      <c r="B2351" s="24">
        <v>100603</v>
      </c>
      <c r="C2351" s="24" t="s">
        <v>1277</v>
      </c>
      <c r="D2351" s="24" t="s">
        <v>1102</v>
      </c>
      <c r="E2351" s="24" t="s">
        <v>51</v>
      </c>
      <c r="F2351" s="24" t="s">
        <v>1142</v>
      </c>
      <c r="G2351" s="24" t="s">
        <v>1082</v>
      </c>
      <c r="H2351" s="24" t="s">
        <v>295</v>
      </c>
      <c r="I2351" s="24" t="s">
        <v>1888</v>
      </c>
      <c r="J2351" s="24" t="s">
        <v>761</v>
      </c>
      <c r="K2351" s="24" t="s">
        <v>1146</v>
      </c>
      <c r="L2351" s="25">
        <v>1070</v>
      </c>
      <c r="M2351" s="26">
        <v>31.62</v>
      </c>
      <c r="N2351" s="27">
        <v>31.62</v>
      </c>
      <c r="O2351" s="28">
        <v>2.8745454545454546E-2</v>
      </c>
      <c r="P2351" s="28">
        <v>29.941061946902657</v>
      </c>
    </row>
    <row r="2352" spans="1:16" x14ac:dyDescent="0.3">
      <c r="A2352" t="s">
        <v>5232</v>
      </c>
      <c r="B2352" s="24">
        <v>101186</v>
      </c>
      <c r="C2352" s="24" t="s">
        <v>1273</v>
      </c>
      <c r="D2352" s="24" t="s">
        <v>1102</v>
      </c>
      <c r="E2352" s="24" t="s">
        <v>51</v>
      </c>
      <c r="F2352" s="24" t="s">
        <v>1142</v>
      </c>
      <c r="G2352" s="24" t="s">
        <v>1203</v>
      </c>
      <c r="H2352" s="24" t="s">
        <v>295</v>
      </c>
      <c r="I2352" s="24" t="s">
        <v>1888</v>
      </c>
      <c r="J2352" s="24" t="s">
        <v>761</v>
      </c>
      <c r="K2352" s="24" t="s">
        <v>1146</v>
      </c>
      <c r="L2352" s="25">
        <v>1070</v>
      </c>
      <c r="M2352" s="26">
        <v>31.3</v>
      </c>
      <c r="N2352" s="27">
        <v>31.3</v>
      </c>
      <c r="O2352" s="28">
        <v>2.8454545454545455E-2</v>
      </c>
      <c r="P2352" s="28">
        <v>29.638053097345132</v>
      </c>
    </row>
    <row r="2353" spans="1:16" x14ac:dyDescent="0.3">
      <c r="A2353" t="s">
        <v>5233</v>
      </c>
      <c r="B2353" s="24">
        <v>141245</v>
      </c>
      <c r="C2353" s="24" t="s">
        <v>1606</v>
      </c>
      <c r="D2353" s="24" t="s">
        <v>1102</v>
      </c>
      <c r="E2353" s="24" t="s">
        <v>51</v>
      </c>
      <c r="F2353" s="24" t="s">
        <v>1386</v>
      </c>
      <c r="G2353" s="24" t="s">
        <v>1387</v>
      </c>
      <c r="H2353" s="24" t="s">
        <v>359</v>
      </c>
      <c r="I2353" s="24" t="s">
        <v>1889</v>
      </c>
      <c r="J2353" s="24" t="s">
        <v>761</v>
      </c>
      <c r="K2353" s="24" t="s">
        <v>1146</v>
      </c>
      <c r="L2353" s="25">
        <v>1070</v>
      </c>
      <c r="M2353" s="26">
        <v>100</v>
      </c>
      <c r="N2353" s="27">
        <v>100</v>
      </c>
      <c r="O2353" s="28">
        <v>9.0909090909090912E-2</v>
      </c>
      <c r="P2353" s="28">
        <v>94.690265486725664</v>
      </c>
    </row>
    <row r="2354" spans="1:16" x14ac:dyDescent="0.3">
      <c r="A2354" t="s">
        <v>5234</v>
      </c>
      <c r="B2354" s="24">
        <v>100581</v>
      </c>
      <c r="C2354" s="24" t="s">
        <v>1232</v>
      </c>
      <c r="D2354" s="24" t="s">
        <v>1102</v>
      </c>
      <c r="E2354" s="24" t="s">
        <v>51</v>
      </c>
      <c r="F2354" s="24" t="s">
        <v>1142</v>
      </c>
      <c r="G2354" s="24" t="s">
        <v>1233</v>
      </c>
      <c r="H2354" s="24" t="s">
        <v>1890</v>
      </c>
      <c r="I2354" s="24" t="s">
        <v>1891</v>
      </c>
      <c r="J2354" s="24" t="s">
        <v>761</v>
      </c>
      <c r="K2354" s="24" t="s">
        <v>1146</v>
      </c>
      <c r="L2354" s="25">
        <v>1070</v>
      </c>
      <c r="M2354" s="26">
        <v>165</v>
      </c>
      <c r="N2354" s="27">
        <v>165</v>
      </c>
      <c r="O2354" s="28">
        <v>0.15</v>
      </c>
      <c r="P2354" s="28">
        <v>156.23893805309734</v>
      </c>
    </row>
    <row r="2355" spans="1:16" x14ac:dyDescent="0.3">
      <c r="A2355" t="s">
        <v>5235</v>
      </c>
      <c r="B2355" s="24">
        <v>100581</v>
      </c>
      <c r="C2355" s="24" t="s">
        <v>1232</v>
      </c>
      <c r="D2355" s="24" t="s">
        <v>1102</v>
      </c>
      <c r="E2355" s="24" t="s">
        <v>51</v>
      </c>
      <c r="F2355" s="24" t="s">
        <v>1142</v>
      </c>
      <c r="G2355" s="24" t="s">
        <v>1233</v>
      </c>
      <c r="H2355" s="24" t="s">
        <v>1892</v>
      </c>
      <c r="I2355" s="24" t="s">
        <v>1893</v>
      </c>
      <c r="J2355" s="24" t="s">
        <v>761</v>
      </c>
      <c r="K2355" s="24" t="s">
        <v>1146</v>
      </c>
      <c r="L2355" s="25">
        <v>1070</v>
      </c>
      <c r="M2355" s="26">
        <v>165</v>
      </c>
      <c r="N2355" s="27">
        <v>165</v>
      </c>
      <c r="O2355" s="28">
        <v>0.15</v>
      </c>
      <c r="P2355" s="28">
        <v>156.23893805309734</v>
      </c>
    </row>
    <row r="2356" spans="1:16" x14ac:dyDescent="0.3">
      <c r="A2356" t="s">
        <v>5236</v>
      </c>
      <c r="B2356" s="24">
        <v>100581</v>
      </c>
      <c r="C2356" s="24" t="s">
        <v>1232</v>
      </c>
      <c r="D2356" s="24" t="s">
        <v>1102</v>
      </c>
      <c r="E2356" s="24" t="s">
        <v>51</v>
      </c>
      <c r="F2356" s="24" t="s">
        <v>1142</v>
      </c>
      <c r="G2356" s="24" t="s">
        <v>1233</v>
      </c>
      <c r="H2356" s="24" t="s">
        <v>253</v>
      </c>
      <c r="I2356" s="24" t="s">
        <v>1894</v>
      </c>
      <c r="J2356" s="24" t="s">
        <v>761</v>
      </c>
      <c r="K2356" s="24" t="s">
        <v>1146</v>
      </c>
      <c r="L2356" s="25">
        <v>1070</v>
      </c>
      <c r="M2356" s="26">
        <v>161.69999999999999</v>
      </c>
      <c r="N2356" s="27">
        <v>161.69999999999999</v>
      </c>
      <c r="O2356" s="28">
        <v>0.14699999999999999</v>
      </c>
      <c r="P2356" s="28">
        <v>153.1141592920354</v>
      </c>
    </row>
    <row r="2357" spans="1:16" x14ac:dyDescent="0.3">
      <c r="A2357" t="s">
        <v>5237</v>
      </c>
      <c r="B2357" s="24">
        <v>101424</v>
      </c>
      <c r="C2357" s="24" t="s">
        <v>1278</v>
      </c>
      <c r="D2357" s="24" t="s">
        <v>1102</v>
      </c>
      <c r="E2357" s="24" t="s">
        <v>51</v>
      </c>
      <c r="F2357" s="24" t="s">
        <v>1142</v>
      </c>
      <c r="G2357" s="24" t="s">
        <v>1203</v>
      </c>
      <c r="H2357" s="24" t="s">
        <v>253</v>
      </c>
      <c r="I2357" s="24" t="s">
        <v>1894</v>
      </c>
      <c r="J2357" s="24" t="s">
        <v>761</v>
      </c>
      <c r="K2357" s="24" t="s">
        <v>1146</v>
      </c>
      <c r="L2357" s="25">
        <v>1070</v>
      </c>
      <c r="M2357" s="26">
        <v>161.69999999999999</v>
      </c>
      <c r="N2357" s="27">
        <v>161.69999999999999</v>
      </c>
      <c r="O2357" s="28">
        <v>0.14699999999999999</v>
      </c>
      <c r="P2357" s="28">
        <v>153.1141592920354</v>
      </c>
    </row>
    <row r="2358" spans="1:16" x14ac:dyDescent="0.3">
      <c r="A2358" t="s">
        <v>5238</v>
      </c>
      <c r="B2358" s="24">
        <v>100581</v>
      </c>
      <c r="C2358" s="24" t="s">
        <v>1232</v>
      </c>
      <c r="D2358" s="24" t="s">
        <v>1102</v>
      </c>
      <c r="E2358" s="24" t="s">
        <v>51</v>
      </c>
      <c r="F2358" s="24" t="s">
        <v>1142</v>
      </c>
      <c r="G2358" s="24" t="s">
        <v>1233</v>
      </c>
      <c r="H2358" s="24" t="s">
        <v>254</v>
      </c>
      <c r="I2358" s="24" t="s">
        <v>1895</v>
      </c>
      <c r="J2358" s="24" t="s">
        <v>761</v>
      </c>
      <c r="K2358" s="24" t="s">
        <v>1146</v>
      </c>
      <c r="L2358" s="25">
        <v>1070</v>
      </c>
      <c r="M2358" s="26">
        <v>161.69999999999999</v>
      </c>
      <c r="N2358" s="27">
        <v>161.69999999999999</v>
      </c>
      <c r="O2358" s="28">
        <v>0.14699999999999999</v>
      </c>
      <c r="P2358" s="28">
        <v>153.1141592920354</v>
      </c>
    </row>
    <row r="2359" spans="1:16" x14ac:dyDescent="0.3">
      <c r="A2359" t="s">
        <v>5239</v>
      </c>
      <c r="B2359" s="24">
        <v>101424</v>
      </c>
      <c r="C2359" s="24" t="s">
        <v>1278</v>
      </c>
      <c r="D2359" s="24" t="s">
        <v>1102</v>
      </c>
      <c r="E2359" s="24" t="s">
        <v>51</v>
      </c>
      <c r="F2359" s="24" t="s">
        <v>1142</v>
      </c>
      <c r="G2359" s="24" t="s">
        <v>1203</v>
      </c>
      <c r="H2359" s="24" t="s">
        <v>254</v>
      </c>
      <c r="I2359" s="24" t="s">
        <v>1895</v>
      </c>
      <c r="J2359" s="24" t="s">
        <v>761</v>
      </c>
      <c r="K2359" s="24" t="s">
        <v>1146</v>
      </c>
      <c r="L2359" s="25">
        <v>1070</v>
      </c>
      <c r="M2359" s="26">
        <v>161.69999999999999</v>
      </c>
      <c r="N2359" s="27">
        <v>161.69999999999999</v>
      </c>
      <c r="O2359" s="28">
        <v>0.14699999999999999</v>
      </c>
      <c r="P2359" s="28">
        <v>153.1141592920354</v>
      </c>
    </row>
    <row r="2360" spans="1:16" x14ac:dyDescent="0.3">
      <c r="A2360" t="s">
        <v>5240</v>
      </c>
      <c r="B2360" s="24">
        <v>100581</v>
      </c>
      <c r="C2360" s="24" t="s">
        <v>1232</v>
      </c>
      <c r="D2360" s="24" t="s">
        <v>1102</v>
      </c>
      <c r="E2360" s="24" t="s">
        <v>51</v>
      </c>
      <c r="F2360" s="24" t="s">
        <v>1142</v>
      </c>
      <c r="G2360" s="24" t="s">
        <v>1233</v>
      </c>
      <c r="H2360" s="24" t="s">
        <v>261</v>
      </c>
      <c r="I2360" s="24" t="s">
        <v>1896</v>
      </c>
      <c r="J2360" s="24" t="s">
        <v>761</v>
      </c>
      <c r="K2360" s="24" t="s">
        <v>1146</v>
      </c>
      <c r="L2360" s="25">
        <v>1070</v>
      </c>
      <c r="M2360" s="26">
        <v>92.2</v>
      </c>
      <c r="N2360" s="27">
        <v>92.2</v>
      </c>
      <c r="O2360" s="28">
        <v>8.3818181818181819E-2</v>
      </c>
      <c r="P2360" s="28">
        <v>87.30442477876106</v>
      </c>
    </row>
    <row r="2361" spans="1:16" x14ac:dyDescent="0.3">
      <c r="A2361" t="s">
        <v>5241</v>
      </c>
      <c r="B2361" s="24">
        <v>101186</v>
      </c>
      <c r="C2361" s="24" t="s">
        <v>1273</v>
      </c>
      <c r="D2361" s="24" t="s">
        <v>1102</v>
      </c>
      <c r="E2361" s="24" t="s">
        <v>51</v>
      </c>
      <c r="F2361" s="24" t="s">
        <v>1142</v>
      </c>
      <c r="G2361" s="24" t="s">
        <v>1203</v>
      </c>
      <c r="H2361" s="24" t="s">
        <v>261</v>
      </c>
      <c r="I2361" s="24" t="s">
        <v>1896</v>
      </c>
      <c r="J2361" s="24" t="s">
        <v>761</v>
      </c>
      <c r="K2361" s="24" t="s">
        <v>1146</v>
      </c>
      <c r="L2361" s="25">
        <v>1070</v>
      </c>
      <c r="M2361" s="26">
        <v>92.2</v>
      </c>
      <c r="N2361" s="27">
        <v>92.2</v>
      </c>
      <c r="O2361" s="28">
        <v>8.3818181818181819E-2</v>
      </c>
      <c r="P2361" s="28">
        <v>87.30442477876106</v>
      </c>
    </row>
    <row r="2362" spans="1:16" x14ac:dyDescent="0.3">
      <c r="A2362" t="s">
        <v>5242</v>
      </c>
      <c r="B2362" s="24">
        <v>101206</v>
      </c>
      <c r="C2362" s="24" t="s">
        <v>1199</v>
      </c>
      <c r="D2362" s="24" t="s">
        <v>1102</v>
      </c>
      <c r="E2362" s="24" t="s">
        <v>51</v>
      </c>
      <c r="F2362" s="24" t="s">
        <v>1142</v>
      </c>
      <c r="G2362" s="24" t="s">
        <v>1200</v>
      </c>
      <c r="H2362" s="24" t="s">
        <v>261</v>
      </c>
      <c r="I2362" s="24" t="s">
        <v>1896</v>
      </c>
      <c r="J2362" s="24" t="s">
        <v>761</v>
      </c>
      <c r="K2362" s="24" t="s">
        <v>1146</v>
      </c>
      <c r="L2362" s="25">
        <v>1070</v>
      </c>
      <c r="M2362" s="26">
        <v>92.2</v>
      </c>
      <c r="N2362" s="27">
        <v>92.2</v>
      </c>
      <c r="O2362" s="28">
        <v>8.3818181818181819E-2</v>
      </c>
      <c r="P2362" s="28">
        <v>87.30442477876106</v>
      </c>
    </row>
    <row r="2363" spans="1:16" x14ac:dyDescent="0.3">
      <c r="A2363" t="s">
        <v>5243</v>
      </c>
      <c r="B2363" s="24">
        <v>111550</v>
      </c>
      <c r="C2363" s="24" t="s">
        <v>1582</v>
      </c>
      <c r="D2363" s="24" t="s">
        <v>1102</v>
      </c>
      <c r="E2363" s="24" t="s">
        <v>51</v>
      </c>
      <c r="F2363" s="24" t="s">
        <v>1142</v>
      </c>
      <c r="G2363" s="24" t="s">
        <v>1402</v>
      </c>
      <c r="H2363" s="24" t="s">
        <v>261</v>
      </c>
      <c r="I2363" s="24" t="s">
        <v>1896</v>
      </c>
      <c r="J2363" s="24" t="s">
        <v>761</v>
      </c>
      <c r="K2363" s="24" t="s">
        <v>1146</v>
      </c>
      <c r="L2363" s="25">
        <v>1070</v>
      </c>
      <c r="M2363" s="26">
        <v>92.2</v>
      </c>
      <c r="N2363" s="27">
        <v>92.2</v>
      </c>
      <c r="O2363" s="28">
        <v>8.3818181818181819E-2</v>
      </c>
      <c r="P2363" s="28">
        <v>87.30442477876106</v>
      </c>
    </row>
    <row r="2364" spans="1:16" x14ac:dyDescent="0.3">
      <c r="A2364" t="s">
        <v>5244</v>
      </c>
      <c r="B2364" s="24">
        <v>100603</v>
      </c>
      <c r="C2364" s="24" t="s">
        <v>1277</v>
      </c>
      <c r="D2364" s="24" t="s">
        <v>1102</v>
      </c>
      <c r="E2364" s="24" t="s">
        <v>51</v>
      </c>
      <c r="F2364" s="24" t="s">
        <v>1142</v>
      </c>
      <c r="G2364" s="24" t="s">
        <v>1082</v>
      </c>
      <c r="H2364" s="24" t="s">
        <v>128</v>
      </c>
      <c r="I2364" s="24" t="s">
        <v>1897</v>
      </c>
      <c r="J2364" s="24" t="s">
        <v>761</v>
      </c>
      <c r="K2364" s="24" t="s">
        <v>1146</v>
      </c>
      <c r="L2364" s="25">
        <v>1070</v>
      </c>
      <c r="M2364" s="26">
        <v>79.540000000000006</v>
      </c>
      <c r="N2364" s="27">
        <v>79.540000000000006</v>
      </c>
      <c r="O2364" s="28">
        <v>7.230909090909092E-2</v>
      </c>
      <c r="P2364" s="28">
        <v>75.316637168141597</v>
      </c>
    </row>
    <row r="2365" spans="1:16" x14ac:dyDescent="0.3">
      <c r="A2365" t="s">
        <v>5245</v>
      </c>
      <c r="B2365" s="24">
        <v>101186</v>
      </c>
      <c r="C2365" s="24" t="s">
        <v>1273</v>
      </c>
      <c r="D2365" s="24" t="s">
        <v>1102</v>
      </c>
      <c r="E2365" s="24" t="s">
        <v>51</v>
      </c>
      <c r="F2365" s="24" t="s">
        <v>1142</v>
      </c>
      <c r="G2365" s="24" t="s">
        <v>1203</v>
      </c>
      <c r="H2365" s="24" t="s">
        <v>128</v>
      </c>
      <c r="I2365" s="24" t="s">
        <v>1897</v>
      </c>
      <c r="J2365" s="24" t="s">
        <v>761</v>
      </c>
      <c r="K2365" s="24" t="s">
        <v>1146</v>
      </c>
      <c r="L2365" s="25">
        <v>1070</v>
      </c>
      <c r="M2365" s="26">
        <v>88.38</v>
      </c>
      <c r="N2365" s="27">
        <v>88.38</v>
      </c>
      <c r="O2365" s="28">
        <v>8.0345454545454539E-2</v>
      </c>
      <c r="P2365" s="28">
        <v>83.687256637168133</v>
      </c>
    </row>
    <row r="2366" spans="1:16" x14ac:dyDescent="0.3">
      <c r="A2366" t="s">
        <v>5246</v>
      </c>
      <c r="B2366" s="24">
        <v>101424</v>
      </c>
      <c r="C2366" s="24" t="s">
        <v>1278</v>
      </c>
      <c r="D2366" s="24" t="s">
        <v>1102</v>
      </c>
      <c r="E2366" s="24" t="s">
        <v>51</v>
      </c>
      <c r="F2366" s="24" t="s">
        <v>1142</v>
      </c>
      <c r="G2366" s="24" t="s">
        <v>1203</v>
      </c>
      <c r="H2366" s="24" t="s">
        <v>128</v>
      </c>
      <c r="I2366" s="24" t="s">
        <v>1897</v>
      </c>
      <c r="J2366" s="24" t="s">
        <v>761</v>
      </c>
      <c r="K2366" s="24" t="s">
        <v>1146</v>
      </c>
      <c r="L2366" s="25">
        <v>1070</v>
      </c>
      <c r="M2366" s="26">
        <v>79.540000000000006</v>
      </c>
      <c r="N2366" s="27">
        <v>79.540000000000006</v>
      </c>
      <c r="O2366" s="28">
        <v>7.230909090909092E-2</v>
      </c>
      <c r="P2366" s="28">
        <v>75.316637168141597</v>
      </c>
    </row>
    <row r="2367" spans="1:16" x14ac:dyDescent="0.3">
      <c r="A2367" t="s">
        <v>5247</v>
      </c>
      <c r="B2367" s="24">
        <v>111550</v>
      </c>
      <c r="C2367" s="24" t="s">
        <v>1582</v>
      </c>
      <c r="D2367" s="24" t="s">
        <v>1102</v>
      </c>
      <c r="E2367" s="24" t="s">
        <v>51</v>
      </c>
      <c r="F2367" s="24" t="s">
        <v>1142</v>
      </c>
      <c r="G2367" s="24" t="s">
        <v>1402</v>
      </c>
      <c r="H2367" s="24" t="s">
        <v>128</v>
      </c>
      <c r="I2367" s="24" t="s">
        <v>1897</v>
      </c>
      <c r="J2367" s="24" t="s">
        <v>761</v>
      </c>
      <c r="K2367" s="24" t="s">
        <v>1146</v>
      </c>
      <c r="L2367" s="25">
        <v>1070</v>
      </c>
      <c r="M2367" s="26">
        <v>79.540000000000006</v>
      </c>
      <c r="N2367" s="27">
        <v>79.540000000000006</v>
      </c>
      <c r="O2367" s="28">
        <v>7.230909090909092E-2</v>
      </c>
      <c r="P2367" s="28">
        <v>75.316637168141597</v>
      </c>
    </row>
    <row r="2368" spans="1:16" x14ac:dyDescent="0.3">
      <c r="A2368" t="s">
        <v>5248</v>
      </c>
      <c r="B2368" s="24">
        <v>101206</v>
      </c>
      <c r="C2368" s="24" t="s">
        <v>1199</v>
      </c>
      <c r="D2368" s="24" t="s">
        <v>1102</v>
      </c>
      <c r="E2368" s="24" t="s">
        <v>51</v>
      </c>
      <c r="F2368" s="24" t="s">
        <v>1142</v>
      </c>
      <c r="G2368" s="24" t="s">
        <v>1200</v>
      </c>
      <c r="H2368" s="24" t="s">
        <v>1898</v>
      </c>
      <c r="I2368" s="24" t="s">
        <v>1899</v>
      </c>
      <c r="J2368" s="24" t="s">
        <v>761</v>
      </c>
      <c r="K2368" s="24" t="s">
        <v>1146</v>
      </c>
      <c r="L2368" s="25">
        <v>1070</v>
      </c>
      <c r="M2368" s="26">
        <v>0</v>
      </c>
      <c r="N2368" s="27">
        <v>0</v>
      </c>
      <c r="O2368" s="28">
        <v>0</v>
      </c>
      <c r="P2368" s="28">
        <v>0</v>
      </c>
    </row>
    <row r="2369" spans="1:16" x14ac:dyDescent="0.3">
      <c r="A2369" t="s">
        <v>5249</v>
      </c>
      <c r="B2369" s="24">
        <v>100581</v>
      </c>
      <c r="C2369" s="24" t="s">
        <v>1232</v>
      </c>
      <c r="D2369" s="24" t="s">
        <v>1102</v>
      </c>
      <c r="E2369" s="24" t="s">
        <v>51</v>
      </c>
      <c r="F2369" s="24" t="s">
        <v>1142</v>
      </c>
      <c r="G2369" s="24" t="s">
        <v>1233</v>
      </c>
      <c r="H2369" s="24" t="s">
        <v>334</v>
      </c>
      <c r="I2369" s="24" t="s">
        <v>1900</v>
      </c>
      <c r="J2369" s="24" t="s">
        <v>761</v>
      </c>
      <c r="K2369" s="24" t="s">
        <v>1146</v>
      </c>
      <c r="L2369" s="25">
        <v>1070</v>
      </c>
      <c r="M2369" s="26">
        <v>30</v>
      </c>
      <c r="N2369" s="27">
        <v>30</v>
      </c>
      <c r="O2369" s="28">
        <v>2.7272727272727271E-2</v>
      </c>
      <c r="P2369" s="28">
        <v>28.407079646017699</v>
      </c>
    </row>
    <row r="2370" spans="1:16" x14ac:dyDescent="0.3">
      <c r="A2370" t="s">
        <v>5250</v>
      </c>
      <c r="B2370" s="24">
        <v>100603</v>
      </c>
      <c r="C2370" s="24" t="s">
        <v>1277</v>
      </c>
      <c r="D2370" s="24" t="s">
        <v>1102</v>
      </c>
      <c r="E2370" s="24" t="s">
        <v>51</v>
      </c>
      <c r="F2370" s="24" t="s">
        <v>1142</v>
      </c>
      <c r="G2370" s="24" t="s">
        <v>1082</v>
      </c>
      <c r="H2370" s="24" t="s">
        <v>334</v>
      </c>
      <c r="I2370" s="24" t="s">
        <v>1900</v>
      </c>
      <c r="J2370" s="24" t="s">
        <v>761</v>
      </c>
      <c r="K2370" s="24" t="s">
        <v>1146</v>
      </c>
      <c r="L2370" s="25">
        <v>1070</v>
      </c>
      <c r="M2370" s="26">
        <v>30</v>
      </c>
      <c r="N2370" s="27">
        <v>30</v>
      </c>
      <c r="O2370" s="28">
        <v>2.7272727272727271E-2</v>
      </c>
      <c r="P2370" s="28">
        <v>28.407079646017699</v>
      </c>
    </row>
    <row r="2371" spans="1:16" x14ac:dyDescent="0.3">
      <c r="A2371" t="s">
        <v>5251</v>
      </c>
      <c r="B2371" s="24">
        <v>111550</v>
      </c>
      <c r="C2371" s="24" t="s">
        <v>1582</v>
      </c>
      <c r="D2371" s="24" t="s">
        <v>1102</v>
      </c>
      <c r="E2371" s="24" t="s">
        <v>51</v>
      </c>
      <c r="F2371" s="24" t="s">
        <v>1142</v>
      </c>
      <c r="G2371" s="24" t="s">
        <v>1402</v>
      </c>
      <c r="H2371" s="24" t="s">
        <v>334</v>
      </c>
      <c r="I2371" s="24" t="s">
        <v>1900</v>
      </c>
      <c r="J2371" s="24" t="s">
        <v>761</v>
      </c>
      <c r="K2371" s="24" t="s">
        <v>1146</v>
      </c>
      <c r="L2371" s="25">
        <v>1070</v>
      </c>
      <c r="M2371" s="26">
        <v>30</v>
      </c>
      <c r="N2371" s="27">
        <v>30</v>
      </c>
      <c r="O2371" s="28">
        <v>2.7272727272727271E-2</v>
      </c>
      <c r="P2371" s="28">
        <v>28.407079646017699</v>
      </c>
    </row>
    <row r="2372" spans="1:16" x14ac:dyDescent="0.3">
      <c r="A2372" t="s">
        <v>5252</v>
      </c>
      <c r="B2372" s="24">
        <v>100581</v>
      </c>
      <c r="C2372" s="24" t="s">
        <v>1232</v>
      </c>
      <c r="D2372" s="24" t="s">
        <v>1102</v>
      </c>
      <c r="E2372" s="24" t="s">
        <v>51</v>
      </c>
      <c r="F2372" s="24" t="s">
        <v>1142</v>
      </c>
      <c r="G2372" s="24" t="s">
        <v>1233</v>
      </c>
      <c r="H2372" s="24" t="s">
        <v>296</v>
      </c>
      <c r="I2372" s="24" t="s">
        <v>1901</v>
      </c>
      <c r="J2372" s="24" t="s">
        <v>761</v>
      </c>
      <c r="K2372" s="24" t="s">
        <v>1146</v>
      </c>
      <c r="L2372" s="25">
        <v>1070</v>
      </c>
      <c r="M2372" s="26">
        <v>84.95</v>
      </c>
      <c r="N2372" s="27">
        <v>84.95</v>
      </c>
      <c r="O2372" s="28">
        <v>7.7227272727272728E-2</v>
      </c>
      <c r="P2372" s="28">
        <v>80.439380530973452</v>
      </c>
    </row>
    <row r="2373" spans="1:16" x14ac:dyDescent="0.3">
      <c r="A2373" t="s">
        <v>5253</v>
      </c>
      <c r="B2373" s="24">
        <v>100581</v>
      </c>
      <c r="C2373" s="24" t="s">
        <v>1232</v>
      </c>
      <c r="D2373" s="24" t="s">
        <v>1102</v>
      </c>
      <c r="E2373" s="24" t="s">
        <v>51</v>
      </c>
      <c r="F2373" s="24" t="s">
        <v>1142</v>
      </c>
      <c r="G2373" s="24" t="s">
        <v>1233</v>
      </c>
      <c r="H2373" s="24" t="s">
        <v>255</v>
      </c>
      <c r="I2373" s="24" t="s">
        <v>1902</v>
      </c>
      <c r="J2373" s="24" t="s">
        <v>761</v>
      </c>
      <c r="K2373" s="24" t="s">
        <v>1146</v>
      </c>
      <c r="L2373" s="25">
        <v>1070</v>
      </c>
      <c r="M2373" s="26">
        <v>65.64</v>
      </c>
      <c r="N2373" s="27">
        <v>65.64</v>
      </c>
      <c r="O2373" s="28">
        <v>5.9672727272727273E-2</v>
      </c>
      <c r="P2373" s="28">
        <v>62.154690265486728</v>
      </c>
    </row>
    <row r="2374" spans="1:16" x14ac:dyDescent="0.3">
      <c r="A2374" t="s">
        <v>5254</v>
      </c>
      <c r="B2374" s="24">
        <v>100603</v>
      </c>
      <c r="C2374" s="24" t="s">
        <v>1277</v>
      </c>
      <c r="D2374" s="24" t="s">
        <v>1102</v>
      </c>
      <c r="E2374" s="24" t="s">
        <v>51</v>
      </c>
      <c r="F2374" s="24" t="s">
        <v>1142</v>
      </c>
      <c r="G2374" s="24" t="s">
        <v>1082</v>
      </c>
      <c r="H2374" s="24" t="s">
        <v>255</v>
      </c>
      <c r="I2374" s="24" t="s">
        <v>1902</v>
      </c>
      <c r="J2374" s="24" t="s">
        <v>761</v>
      </c>
      <c r="K2374" s="24" t="s">
        <v>1146</v>
      </c>
      <c r="L2374" s="25">
        <v>1070</v>
      </c>
      <c r="M2374" s="26">
        <v>65.64</v>
      </c>
      <c r="N2374" s="27">
        <v>65.64</v>
      </c>
      <c r="O2374" s="28">
        <v>5.9672727272727273E-2</v>
      </c>
      <c r="P2374" s="28">
        <v>62.154690265486728</v>
      </c>
    </row>
    <row r="2375" spans="1:16" x14ac:dyDescent="0.3">
      <c r="A2375" t="s">
        <v>5255</v>
      </c>
      <c r="B2375" s="24">
        <v>101186</v>
      </c>
      <c r="C2375" s="24" t="s">
        <v>1273</v>
      </c>
      <c r="D2375" s="24" t="s">
        <v>1102</v>
      </c>
      <c r="E2375" s="24" t="s">
        <v>51</v>
      </c>
      <c r="F2375" s="24" t="s">
        <v>1142</v>
      </c>
      <c r="G2375" s="24" t="s">
        <v>1203</v>
      </c>
      <c r="H2375" s="24" t="s">
        <v>255</v>
      </c>
      <c r="I2375" s="24" t="s">
        <v>1902</v>
      </c>
      <c r="J2375" s="24" t="s">
        <v>761</v>
      </c>
      <c r="K2375" s="24" t="s">
        <v>1146</v>
      </c>
      <c r="L2375" s="25">
        <v>1070</v>
      </c>
      <c r="M2375" s="26">
        <v>65.64</v>
      </c>
      <c r="N2375" s="27">
        <v>65.64</v>
      </c>
      <c r="O2375" s="28">
        <v>5.9672727272727273E-2</v>
      </c>
      <c r="P2375" s="28">
        <v>62.154690265486728</v>
      </c>
    </row>
    <row r="2376" spans="1:16" x14ac:dyDescent="0.3">
      <c r="A2376" t="s">
        <v>5256</v>
      </c>
      <c r="B2376" s="24">
        <v>101206</v>
      </c>
      <c r="C2376" s="24" t="s">
        <v>1199</v>
      </c>
      <c r="D2376" s="24" t="s">
        <v>1102</v>
      </c>
      <c r="E2376" s="24" t="s">
        <v>51</v>
      </c>
      <c r="F2376" s="24" t="s">
        <v>1142</v>
      </c>
      <c r="G2376" s="24" t="s">
        <v>1200</v>
      </c>
      <c r="H2376" s="24" t="s">
        <v>255</v>
      </c>
      <c r="I2376" s="24" t="s">
        <v>1902</v>
      </c>
      <c r="J2376" s="24" t="s">
        <v>761</v>
      </c>
      <c r="K2376" s="24" t="s">
        <v>1146</v>
      </c>
      <c r="L2376" s="25">
        <v>1070</v>
      </c>
      <c r="M2376" s="26">
        <v>65.64</v>
      </c>
      <c r="N2376" s="27">
        <v>65.64</v>
      </c>
      <c r="O2376" s="28">
        <v>5.9672727272727273E-2</v>
      </c>
      <c r="P2376" s="28">
        <v>62.154690265486728</v>
      </c>
    </row>
    <row r="2377" spans="1:16" x14ac:dyDescent="0.3">
      <c r="A2377" t="s">
        <v>5257</v>
      </c>
      <c r="B2377" s="24">
        <v>101424</v>
      </c>
      <c r="C2377" s="24" t="s">
        <v>1278</v>
      </c>
      <c r="D2377" s="24" t="s">
        <v>1102</v>
      </c>
      <c r="E2377" s="24" t="s">
        <v>51</v>
      </c>
      <c r="F2377" s="24" t="s">
        <v>1142</v>
      </c>
      <c r="G2377" s="24" t="s">
        <v>1203</v>
      </c>
      <c r="H2377" s="24" t="s">
        <v>255</v>
      </c>
      <c r="I2377" s="24" t="s">
        <v>1902</v>
      </c>
      <c r="J2377" s="24" t="s">
        <v>761</v>
      </c>
      <c r="K2377" s="24" t="s">
        <v>1146</v>
      </c>
      <c r="L2377" s="25">
        <v>1070</v>
      </c>
      <c r="M2377" s="26">
        <v>65.64</v>
      </c>
      <c r="N2377" s="27">
        <v>65.64</v>
      </c>
      <c r="O2377" s="28">
        <v>5.9672727272727273E-2</v>
      </c>
      <c r="P2377" s="28">
        <v>62.154690265486728</v>
      </c>
    </row>
    <row r="2378" spans="1:16" x14ac:dyDescent="0.3">
      <c r="A2378" t="s">
        <v>5258</v>
      </c>
      <c r="B2378" s="24">
        <v>111550</v>
      </c>
      <c r="C2378" s="24" t="s">
        <v>1582</v>
      </c>
      <c r="D2378" s="24" t="s">
        <v>1102</v>
      </c>
      <c r="E2378" s="24" t="s">
        <v>51</v>
      </c>
      <c r="F2378" s="24" t="s">
        <v>1142</v>
      </c>
      <c r="G2378" s="24" t="s">
        <v>1402</v>
      </c>
      <c r="H2378" s="24" t="s">
        <v>255</v>
      </c>
      <c r="I2378" s="24" t="s">
        <v>1902</v>
      </c>
      <c r="J2378" s="24" t="s">
        <v>761</v>
      </c>
      <c r="K2378" s="24" t="s">
        <v>1146</v>
      </c>
      <c r="L2378" s="25">
        <v>1070</v>
      </c>
      <c r="M2378" s="26">
        <v>65.64</v>
      </c>
      <c r="N2378" s="27">
        <v>65.64</v>
      </c>
      <c r="O2378" s="28">
        <v>5.9672727272727273E-2</v>
      </c>
      <c r="P2378" s="28">
        <v>62.154690265486728</v>
      </c>
    </row>
    <row r="2379" spans="1:16" x14ac:dyDescent="0.3">
      <c r="A2379" t="s">
        <v>5259</v>
      </c>
      <c r="B2379" s="24">
        <v>114501</v>
      </c>
      <c r="C2379" s="24" t="s">
        <v>1409</v>
      </c>
      <c r="D2379" s="24" t="s">
        <v>1102</v>
      </c>
      <c r="E2379" s="24" t="s">
        <v>51</v>
      </c>
      <c r="F2379" s="24" t="s">
        <v>1142</v>
      </c>
      <c r="G2379" s="24" t="s">
        <v>1402</v>
      </c>
      <c r="H2379" s="24" t="s">
        <v>255</v>
      </c>
      <c r="I2379" s="24" t="s">
        <v>1902</v>
      </c>
      <c r="J2379" s="24" t="s">
        <v>761</v>
      </c>
      <c r="K2379" s="24" t="s">
        <v>1146</v>
      </c>
      <c r="L2379" s="25">
        <v>1070</v>
      </c>
      <c r="M2379" s="26">
        <v>65.64</v>
      </c>
      <c r="N2379" s="27">
        <v>65.64</v>
      </c>
      <c r="O2379" s="28">
        <v>5.9672727272727273E-2</v>
      </c>
      <c r="P2379" s="28">
        <v>62.154690265486728</v>
      </c>
    </row>
    <row r="2380" spans="1:16" x14ac:dyDescent="0.3">
      <c r="A2380" t="s">
        <v>5260</v>
      </c>
      <c r="B2380" s="24">
        <v>100581</v>
      </c>
      <c r="C2380" s="24" t="s">
        <v>1232</v>
      </c>
      <c r="D2380" s="24" t="s">
        <v>1102</v>
      </c>
      <c r="E2380" s="24" t="s">
        <v>51</v>
      </c>
      <c r="F2380" s="24" t="s">
        <v>1142</v>
      </c>
      <c r="G2380" s="24" t="s">
        <v>1233</v>
      </c>
      <c r="H2380" s="24" t="s">
        <v>256</v>
      </c>
      <c r="I2380" s="24" t="s">
        <v>1903</v>
      </c>
      <c r="J2380" s="24" t="s">
        <v>761</v>
      </c>
      <c r="K2380" s="24" t="s">
        <v>1146</v>
      </c>
      <c r="L2380" s="25">
        <v>1070</v>
      </c>
      <c r="M2380" s="26">
        <v>40.07</v>
      </c>
      <c r="N2380" s="27">
        <v>40.07</v>
      </c>
      <c r="O2380" s="28">
        <v>3.6427272727272725E-2</v>
      </c>
      <c r="P2380" s="28">
        <v>37.942389380530976</v>
      </c>
    </row>
    <row r="2381" spans="1:16" x14ac:dyDescent="0.3">
      <c r="A2381" t="s">
        <v>5261</v>
      </c>
      <c r="B2381" s="24">
        <v>100603</v>
      </c>
      <c r="C2381" s="24" t="s">
        <v>1277</v>
      </c>
      <c r="D2381" s="24" t="s">
        <v>1102</v>
      </c>
      <c r="E2381" s="24" t="s">
        <v>51</v>
      </c>
      <c r="F2381" s="24" t="s">
        <v>1142</v>
      </c>
      <c r="G2381" s="24" t="s">
        <v>1082</v>
      </c>
      <c r="H2381" s="24" t="s">
        <v>256</v>
      </c>
      <c r="I2381" s="24" t="s">
        <v>1903</v>
      </c>
      <c r="J2381" s="24" t="s">
        <v>761</v>
      </c>
      <c r="K2381" s="24" t="s">
        <v>1146</v>
      </c>
      <c r="L2381" s="25">
        <v>1070</v>
      </c>
      <c r="M2381" s="26">
        <v>40.07</v>
      </c>
      <c r="N2381" s="27">
        <v>40.07</v>
      </c>
      <c r="O2381" s="28">
        <v>3.6427272727272725E-2</v>
      </c>
      <c r="P2381" s="28">
        <v>37.942389380530976</v>
      </c>
    </row>
    <row r="2382" spans="1:16" x14ac:dyDescent="0.3">
      <c r="A2382" t="s">
        <v>5262</v>
      </c>
      <c r="B2382" s="24">
        <v>101186</v>
      </c>
      <c r="C2382" s="24" t="s">
        <v>1273</v>
      </c>
      <c r="D2382" s="24" t="s">
        <v>1102</v>
      </c>
      <c r="E2382" s="24" t="s">
        <v>51</v>
      </c>
      <c r="F2382" s="24" t="s">
        <v>1142</v>
      </c>
      <c r="G2382" s="24" t="s">
        <v>1203</v>
      </c>
      <c r="H2382" s="24" t="s">
        <v>256</v>
      </c>
      <c r="I2382" s="24" t="s">
        <v>1903</v>
      </c>
      <c r="J2382" s="24" t="s">
        <v>761</v>
      </c>
      <c r="K2382" s="24" t="s">
        <v>1146</v>
      </c>
      <c r="L2382" s="25">
        <v>1070</v>
      </c>
      <c r="M2382" s="26">
        <v>40.07</v>
      </c>
      <c r="N2382" s="27">
        <v>40.07</v>
      </c>
      <c r="O2382" s="28">
        <v>3.6427272727272725E-2</v>
      </c>
      <c r="P2382" s="28">
        <v>37.942389380530976</v>
      </c>
    </row>
    <row r="2383" spans="1:16" x14ac:dyDescent="0.3">
      <c r="A2383" t="s">
        <v>5263</v>
      </c>
      <c r="B2383" s="24">
        <v>101206</v>
      </c>
      <c r="C2383" s="24" t="s">
        <v>1199</v>
      </c>
      <c r="D2383" s="24" t="s">
        <v>1102</v>
      </c>
      <c r="E2383" s="24" t="s">
        <v>51</v>
      </c>
      <c r="F2383" s="24" t="s">
        <v>1142</v>
      </c>
      <c r="G2383" s="24" t="s">
        <v>1200</v>
      </c>
      <c r="H2383" s="24" t="s">
        <v>256</v>
      </c>
      <c r="I2383" s="24" t="s">
        <v>1903</v>
      </c>
      <c r="J2383" s="24" t="s">
        <v>761</v>
      </c>
      <c r="K2383" s="24" t="s">
        <v>1146</v>
      </c>
      <c r="L2383" s="25">
        <v>1070</v>
      </c>
      <c r="M2383" s="26">
        <v>40.07</v>
      </c>
      <c r="N2383" s="27">
        <v>40.07</v>
      </c>
      <c r="O2383" s="28">
        <v>3.6427272727272725E-2</v>
      </c>
      <c r="P2383" s="28">
        <v>37.942389380530976</v>
      </c>
    </row>
    <row r="2384" spans="1:16" x14ac:dyDescent="0.3">
      <c r="A2384" t="s">
        <v>5264</v>
      </c>
      <c r="B2384" s="24">
        <v>101424</v>
      </c>
      <c r="C2384" s="24" t="s">
        <v>1278</v>
      </c>
      <c r="D2384" s="24" t="s">
        <v>1102</v>
      </c>
      <c r="E2384" s="24" t="s">
        <v>51</v>
      </c>
      <c r="F2384" s="24" t="s">
        <v>1142</v>
      </c>
      <c r="G2384" s="24" t="s">
        <v>1203</v>
      </c>
      <c r="H2384" s="24" t="s">
        <v>256</v>
      </c>
      <c r="I2384" s="24" t="s">
        <v>1903</v>
      </c>
      <c r="J2384" s="24" t="s">
        <v>761</v>
      </c>
      <c r="K2384" s="24" t="s">
        <v>1146</v>
      </c>
      <c r="L2384" s="25">
        <v>1070</v>
      </c>
      <c r="M2384" s="26">
        <v>40.07</v>
      </c>
      <c r="N2384" s="27">
        <v>40.07</v>
      </c>
      <c r="O2384" s="28">
        <v>3.6427272727272725E-2</v>
      </c>
      <c r="P2384" s="28">
        <v>37.942389380530976</v>
      </c>
    </row>
    <row r="2385" spans="1:16" x14ac:dyDescent="0.3">
      <c r="A2385" t="s">
        <v>5265</v>
      </c>
      <c r="B2385" s="24">
        <v>111550</v>
      </c>
      <c r="C2385" s="24" t="s">
        <v>1582</v>
      </c>
      <c r="D2385" s="24" t="s">
        <v>1102</v>
      </c>
      <c r="E2385" s="24" t="s">
        <v>51</v>
      </c>
      <c r="F2385" s="24" t="s">
        <v>1142</v>
      </c>
      <c r="G2385" s="24" t="s">
        <v>1402</v>
      </c>
      <c r="H2385" s="24" t="s">
        <v>256</v>
      </c>
      <c r="I2385" s="24" t="s">
        <v>1903</v>
      </c>
      <c r="J2385" s="24" t="s">
        <v>761</v>
      </c>
      <c r="K2385" s="24" t="s">
        <v>1146</v>
      </c>
      <c r="L2385" s="25">
        <v>1070</v>
      </c>
      <c r="M2385" s="26">
        <v>40.07</v>
      </c>
      <c r="N2385" s="27">
        <v>40.07</v>
      </c>
      <c r="O2385" s="28">
        <v>3.6427272727272725E-2</v>
      </c>
      <c r="P2385" s="28">
        <v>37.942389380530976</v>
      </c>
    </row>
    <row r="2386" spans="1:16" x14ac:dyDescent="0.3">
      <c r="A2386" t="s">
        <v>5266</v>
      </c>
      <c r="B2386" s="24">
        <v>114501</v>
      </c>
      <c r="C2386" s="24" t="s">
        <v>1409</v>
      </c>
      <c r="D2386" s="24" t="s">
        <v>1102</v>
      </c>
      <c r="E2386" s="24" t="s">
        <v>51</v>
      </c>
      <c r="F2386" s="24" t="s">
        <v>1142</v>
      </c>
      <c r="G2386" s="24" t="s">
        <v>1402</v>
      </c>
      <c r="H2386" s="24" t="s">
        <v>256</v>
      </c>
      <c r="I2386" s="24" t="s">
        <v>1903</v>
      </c>
      <c r="J2386" s="24" t="s">
        <v>761</v>
      </c>
      <c r="K2386" s="24" t="s">
        <v>1146</v>
      </c>
      <c r="L2386" s="25">
        <v>1070</v>
      </c>
      <c r="M2386" s="26">
        <v>40.07</v>
      </c>
      <c r="N2386" s="27">
        <v>40.07</v>
      </c>
      <c r="O2386" s="28">
        <v>3.6427272727272725E-2</v>
      </c>
      <c r="P2386" s="28">
        <v>37.942389380530976</v>
      </c>
    </row>
    <row r="2387" spans="1:16" x14ac:dyDescent="0.3">
      <c r="A2387" t="s">
        <v>5267</v>
      </c>
      <c r="B2387" s="24">
        <v>107603</v>
      </c>
      <c r="C2387" s="24" t="s">
        <v>1241</v>
      </c>
      <c r="D2387" s="24" t="s">
        <v>1102</v>
      </c>
      <c r="E2387" s="24" t="s">
        <v>51</v>
      </c>
      <c r="F2387" s="24" t="s">
        <v>1142</v>
      </c>
      <c r="G2387" s="24" t="s">
        <v>1200</v>
      </c>
      <c r="H2387" s="24" t="s">
        <v>95</v>
      </c>
      <c r="I2387" s="24" t="s">
        <v>1904</v>
      </c>
      <c r="J2387" s="24" t="s">
        <v>761</v>
      </c>
      <c r="K2387" s="24" t="s">
        <v>1146</v>
      </c>
      <c r="L2387" s="25">
        <v>1070</v>
      </c>
      <c r="M2387" s="26">
        <v>7.4</v>
      </c>
      <c r="N2387" s="27">
        <v>7.4</v>
      </c>
      <c r="O2387" s="28">
        <v>6.7272727272727276E-3</v>
      </c>
      <c r="P2387" s="28">
        <v>7.0070796460176989</v>
      </c>
    </row>
    <row r="2388" spans="1:16" x14ac:dyDescent="0.3">
      <c r="A2388" t="s">
        <v>5268</v>
      </c>
      <c r="B2388" s="24">
        <v>100581</v>
      </c>
      <c r="C2388" s="24" t="s">
        <v>1232</v>
      </c>
      <c r="D2388" s="24" t="s">
        <v>1102</v>
      </c>
      <c r="E2388" s="24" t="s">
        <v>51</v>
      </c>
      <c r="F2388" s="24" t="s">
        <v>1142</v>
      </c>
      <c r="G2388" s="24" t="s">
        <v>1233</v>
      </c>
      <c r="H2388" s="24" t="s">
        <v>337</v>
      </c>
      <c r="I2388" s="24" t="s">
        <v>1905</v>
      </c>
      <c r="J2388" s="24" t="s">
        <v>761</v>
      </c>
      <c r="K2388" s="24" t="s">
        <v>1146</v>
      </c>
      <c r="L2388" s="25">
        <v>1070</v>
      </c>
      <c r="M2388" s="26">
        <v>44.9</v>
      </c>
      <c r="N2388" s="27">
        <v>44.9</v>
      </c>
      <c r="O2388" s="28">
        <v>4.0818181818181816E-2</v>
      </c>
      <c r="P2388" s="28">
        <v>42.51592920353982</v>
      </c>
    </row>
    <row r="2389" spans="1:16" x14ac:dyDescent="0.3">
      <c r="A2389" t="s">
        <v>5269</v>
      </c>
      <c r="B2389" s="24">
        <v>100603</v>
      </c>
      <c r="C2389" s="24" t="s">
        <v>1277</v>
      </c>
      <c r="D2389" s="24" t="s">
        <v>1102</v>
      </c>
      <c r="E2389" s="24" t="s">
        <v>51</v>
      </c>
      <c r="F2389" s="24" t="s">
        <v>1142</v>
      </c>
      <c r="G2389" s="24" t="s">
        <v>1082</v>
      </c>
      <c r="H2389" s="24" t="s">
        <v>337</v>
      </c>
      <c r="I2389" s="24" t="s">
        <v>1905</v>
      </c>
      <c r="J2389" s="24" t="s">
        <v>761</v>
      </c>
      <c r="K2389" s="24" t="s">
        <v>1146</v>
      </c>
      <c r="L2389" s="25">
        <v>1070</v>
      </c>
      <c r="M2389" s="26">
        <v>44.9</v>
      </c>
      <c r="N2389" s="27">
        <v>44.9</v>
      </c>
      <c r="O2389" s="28">
        <v>4.0818181818181816E-2</v>
      </c>
      <c r="P2389" s="28">
        <v>42.51592920353982</v>
      </c>
    </row>
    <row r="2390" spans="1:16" x14ac:dyDescent="0.3">
      <c r="A2390" t="s">
        <v>5270</v>
      </c>
      <c r="B2390" s="24">
        <v>101186</v>
      </c>
      <c r="C2390" s="24" t="s">
        <v>1273</v>
      </c>
      <c r="D2390" s="24" t="s">
        <v>1102</v>
      </c>
      <c r="E2390" s="24" t="s">
        <v>51</v>
      </c>
      <c r="F2390" s="24" t="s">
        <v>1142</v>
      </c>
      <c r="G2390" s="24" t="s">
        <v>1203</v>
      </c>
      <c r="H2390" s="24" t="s">
        <v>337</v>
      </c>
      <c r="I2390" s="24" t="s">
        <v>1905</v>
      </c>
      <c r="J2390" s="24" t="s">
        <v>761</v>
      </c>
      <c r="K2390" s="24" t="s">
        <v>1146</v>
      </c>
      <c r="L2390" s="25">
        <v>1070</v>
      </c>
      <c r="M2390" s="26">
        <v>44.9</v>
      </c>
      <c r="N2390" s="27">
        <v>44.9</v>
      </c>
      <c r="O2390" s="28">
        <v>4.0818181818181816E-2</v>
      </c>
      <c r="P2390" s="28">
        <v>42.51592920353982</v>
      </c>
    </row>
    <row r="2391" spans="1:16" x14ac:dyDescent="0.3">
      <c r="A2391" t="s">
        <v>5271</v>
      </c>
      <c r="B2391" s="24">
        <v>101424</v>
      </c>
      <c r="C2391" s="24" t="s">
        <v>1278</v>
      </c>
      <c r="D2391" s="24" t="s">
        <v>1102</v>
      </c>
      <c r="E2391" s="24" t="s">
        <v>51</v>
      </c>
      <c r="F2391" s="24" t="s">
        <v>1142</v>
      </c>
      <c r="G2391" s="24" t="s">
        <v>1203</v>
      </c>
      <c r="H2391" s="24" t="s">
        <v>337</v>
      </c>
      <c r="I2391" s="24" t="s">
        <v>1905</v>
      </c>
      <c r="J2391" s="24" t="s">
        <v>761</v>
      </c>
      <c r="K2391" s="24" t="s">
        <v>1146</v>
      </c>
      <c r="L2391" s="25">
        <v>1070</v>
      </c>
      <c r="M2391" s="26">
        <v>44.9</v>
      </c>
      <c r="N2391" s="27">
        <v>44.9</v>
      </c>
      <c r="O2391" s="28">
        <v>4.0818181818181816E-2</v>
      </c>
      <c r="P2391" s="28">
        <v>42.51592920353982</v>
      </c>
    </row>
    <row r="2392" spans="1:16" x14ac:dyDescent="0.3">
      <c r="A2392" t="s">
        <v>5272</v>
      </c>
      <c r="B2392" s="24">
        <v>111550</v>
      </c>
      <c r="C2392" s="24" t="s">
        <v>1582</v>
      </c>
      <c r="D2392" s="24" t="s">
        <v>1102</v>
      </c>
      <c r="E2392" s="24" t="s">
        <v>51</v>
      </c>
      <c r="F2392" s="24" t="s">
        <v>1142</v>
      </c>
      <c r="G2392" s="24" t="s">
        <v>1402</v>
      </c>
      <c r="H2392" s="24" t="s">
        <v>337</v>
      </c>
      <c r="I2392" s="24" t="s">
        <v>1905</v>
      </c>
      <c r="J2392" s="24" t="s">
        <v>761</v>
      </c>
      <c r="K2392" s="24" t="s">
        <v>1146</v>
      </c>
      <c r="L2392" s="25">
        <v>1070</v>
      </c>
      <c r="M2392" s="26">
        <v>44.9</v>
      </c>
      <c r="N2392" s="27">
        <v>44.9</v>
      </c>
      <c r="O2392" s="28">
        <v>4.0818181818181816E-2</v>
      </c>
      <c r="P2392" s="28">
        <v>42.51592920353982</v>
      </c>
    </row>
    <row r="2393" spans="1:16" x14ac:dyDescent="0.3">
      <c r="A2393" t="s">
        <v>5273</v>
      </c>
      <c r="B2393" s="24">
        <v>114501</v>
      </c>
      <c r="C2393" s="24" t="s">
        <v>1409</v>
      </c>
      <c r="D2393" s="24" t="s">
        <v>1102</v>
      </c>
      <c r="E2393" s="24" t="s">
        <v>51</v>
      </c>
      <c r="F2393" s="24" t="s">
        <v>1142</v>
      </c>
      <c r="G2393" s="24" t="s">
        <v>1402</v>
      </c>
      <c r="H2393" s="24" t="s">
        <v>337</v>
      </c>
      <c r="I2393" s="24" t="s">
        <v>1905</v>
      </c>
      <c r="J2393" s="24" t="s">
        <v>761</v>
      </c>
      <c r="K2393" s="24" t="s">
        <v>1146</v>
      </c>
      <c r="L2393" s="25">
        <v>1070</v>
      </c>
      <c r="M2393" s="26">
        <v>44.9</v>
      </c>
      <c r="N2393" s="27">
        <v>44.9</v>
      </c>
      <c r="O2393" s="28">
        <v>4.0818181818181816E-2</v>
      </c>
      <c r="P2393" s="28">
        <v>42.51592920353982</v>
      </c>
    </row>
    <row r="2394" spans="1:16" x14ac:dyDescent="0.3">
      <c r="A2394" t="s">
        <v>5274</v>
      </c>
      <c r="B2394" s="24">
        <v>100581</v>
      </c>
      <c r="C2394" s="24" t="s">
        <v>1232</v>
      </c>
      <c r="D2394" s="24" t="s">
        <v>1102</v>
      </c>
      <c r="E2394" s="24" t="s">
        <v>51</v>
      </c>
      <c r="F2394" s="24" t="s">
        <v>1142</v>
      </c>
      <c r="G2394" s="24" t="s">
        <v>1233</v>
      </c>
      <c r="H2394" s="24" t="s">
        <v>321</v>
      </c>
      <c r="I2394" s="24" t="s">
        <v>1906</v>
      </c>
      <c r="J2394" s="24" t="s">
        <v>761</v>
      </c>
      <c r="K2394" s="24" t="s">
        <v>1146</v>
      </c>
      <c r="L2394" s="25">
        <v>1070</v>
      </c>
      <c r="M2394" s="26">
        <v>60.92</v>
      </c>
      <c r="N2394" s="27">
        <v>60.92</v>
      </c>
      <c r="O2394" s="28">
        <v>5.5381818181818185E-2</v>
      </c>
      <c r="P2394" s="28">
        <v>57.685309734513275</v>
      </c>
    </row>
    <row r="2395" spans="1:16" x14ac:dyDescent="0.3">
      <c r="A2395" t="s">
        <v>5275</v>
      </c>
      <c r="B2395" s="24">
        <v>101186</v>
      </c>
      <c r="C2395" s="24" t="s">
        <v>1273</v>
      </c>
      <c r="D2395" s="24" t="s">
        <v>1102</v>
      </c>
      <c r="E2395" s="24" t="s">
        <v>51</v>
      </c>
      <c r="F2395" s="24" t="s">
        <v>1142</v>
      </c>
      <c r="G2395" s="24" t="s">
        <v>1203</v>
      </c>
      <c r="H2395" s="24" t="s">
        <v>321</v>
      </c>
      <c r="I2395" s="24" t="s">
        <v>1906</v>
      </c>
      <c r="J2395" s="24" t="s">
        <v>761</v>
      </c>
      <c r="K2395" s="24" t="s">
        <v>1146</v>
      </c>
      <c r="L2395" s="25">
        <v>1070</v>
      </c>
      <c r="M2395" s="26">
        <v>60.92</v>
      </c>
      <c r="N2395" s="27">
        <v>60.92</v>
      </c>
      <c r="O2395" s="28">
        <v>5.5381818181818185E-2</v>
      </c>
      <c r="P2395" s="28">
        <v>57.685309734513275</v>
      </c>
    </row>
    <row r="2396" spans="1:16" x14ac:dyDescent="0.3">
      <c r="A2396" t="s">
        <v>5276</v>
      </c>
      <c r="B2396" s="24">
        <v>101424</v>
      </c>
      <c r="C2396" s="24" t="s">
        <v>1278</v>
      </c>
      <c r="D2396" s="24" t="s">
        <v>1102</v>
      </c>
      <c r="E2396" s="24" t="s">
        <v>51</v>
      </c>
      <c r="F2396" s="24" t="s">
        <v>1142</v>
      </c>
      <c r="G2396" s="24" t="s">
        <v>1203</v>
      </c>
      <c r="H2396" s="24" t="s">
        <v>321</v>
      </c>
      <c r="I2396" s="24" t="s">
        <v>1906</v>
      </c>
      <c r="J2396" s="24" t="s">
        <v>761</v>
      </c>
      <c r="K2396" s="24" t="s">
        <v>1146</v>
      </c>
      <c r="L2396" s="25">
        <v>1070</v>
      </c>
      <c r="M2396" s="26">
        <v>60.92</v>
      </c>
      <c r="N2396" s="27">
        <v>60.92</v>
      </c>
      <c r="O2396" s="28">
        <v>5.5381818181818185E-2</v>
      </c>
      <c r="P2396" s="28">
        <v>57.685309734513275</v>
      </c>
    </row>
    <row r="2397" spans="1:16" x14ac:dyDescent="0.3">
      <c r="A2397" t="s">
        <v>5277</v>
      </c>
      <c r="B2397" s="24">
        <v>111550</v>
      </c>
      <c r="C2397" s="24" t="s">
        <v>1582</v>
      </c>
      <c r="D2397" s="24" t="s">
        <v>1102</v>
      </c>
      <c r="E2397" s="24" t="s">
        <v>51</v>
      </c>
      <c r="F2397" s="24" t="s">
        <v>1142</v>
      </c>
      <c r="G2397" s="24" t="s">
        <v>1402</v>
      </c>
      <c r="H2397" s="24" t="s">
        <v>321</v>
      </c>
      <c r="I2397" s="24" t="s">
        <v>1906</v>
      </c>
      <c r="J2397" s="24" t="s">
        <v>761</v>
      </c>
      <c r="K2397" s="24" t="s">
        <v>1146</v>
      </c>
      <c r="L2397" s="25">
        <v>1070</v>
      </c>
      <c r="M2397" s="26">
        <v>60.92</v>
      </c>
      <c r="N2397" s="27">
        <v>60.92</v>
      </c>
      <c r="O2397" s="28">
        <v>5.5381818181818185E-2</v>
      </c>
      <c r="P2397" s="28">
        <v>57.685309734513275</v>
      </c>
    </row>
    <row r="2398" spans="1:16" x14ac:dyDescent="0.3">
      <c r="A2398" t="s">
        <v>5278</v>
      </c>
      <c r="B2398" s="24">
        <v>100603</v>
      </c>
      <c r="C2398" s="24" t="s">
        <v>1277</v>
      </c>
      <c r="D2398" s="24" t="s">
        <v>1102</v>
      </c>
      <c r="E2398" s="24" t="s">
        <v>51</v>
      </c>
      <c r="F2398" s="24" t="s">
        <v>1142</v>
      </c>
      <c r="G2398" s="24" t="s">
        <v>1082</v>
      </c>
      <c r="H2398" s="24" t="s">
        <v>1097</v>
      </c>
      <c r="I2398" s="24" t="s">
        <v>1907</v>
      </c>
      <c r="J2398" s="24" t="s">
        <v>761</v>
      </c>
      <c r="K2398" s="24" t="s">
        <v>1146</v>
      </c>
      <c r="L2398" s="25">
        <v>1070</v>
      </c>
      <c r="M2398" s="26">
        <v>32</v>
      </c>
      <c r="N2398" s="27">
        <v>32</v>
      </c>
      <c r="O2398" s="28">
        <v>2.9090909090909091E-2</v>
      </c>
      <c r="P2398" s="28">
        <v>30.300884955752213</v>
      </c>
    </row>
    <row r="2399" spans="1:16" x14ac:dyDescent="0.3">
      <c r="A2399" t="s">
        <v>5279</v>
      </c>
      <c r="B2399" s="24">
        <v>100603</v>
      </c>
      <c r="C2399" s="24" t="s">
        <v>1277</v>
      </c>
      <c r="D2399" s="24" t="s">
        <v>1102</v>
      </c>
      <c r="E2399" s="24" t="s">
        <v>51</v>
      </c>
      <c r="F2399" s="24" t="s">
        <v>1142</v>
      </c>
      <c r="G2399" s="24" t="s">
        <v>1082</v>
      </c>
      <c r="H2399" s="24" t="s">
        <v>271</v>
      </c>
      <c r="I2399" s="24" t="s">
        <v>1908</v>
      </c>
      <c r="J2399" s="24" t="s">
        <v>761</v>
      </c>
      <c r="K2399" s="24" t="s">
        <v>1146</v>
      </c>
      <c r="L2399" s="25">
        <v>1070</v>
      </c>
      <c r="M2399" s="26">
        <v>46.09</v>
      </c>
      <c r="N2399" s="27">
        <v>46.09</v>
      </c>
      <c r="O2399" s="28">
        <v>4.19E-2</v>
      </c>
      <c r="P2399" s="28">
        <v>43.642743362831858</v>
      </c>
    </row>
    <row r="2400" spans="1:16" x14ac:dyDescent="0.3">
      <c r="A2400" t="s">
        <v>5280</v>
      </c>
      <c r="B2400" s="24">
        <v>101186</v>
      </c>
      <c r="C2400" s="24" t="s">
        <v>1273</v>
      </c>
      <c r="D2400" s="24" t="s">
        <v>1102</v>
      </c>
      <c r="E2400" s="24" t="s">
        <v>51</v>
      </c>
      <c r="F2400" s="24" t="s">
        <v>1142</v>
      </c>
      <c r="G2400" s="24" t="s">
        <v>1203</v>
      </c>
      <c r="H2400" s="24" t="s">
        <v>271</v>
      </c>
      <c r="I2400" s="24" t="s">
        <v>1908</v>
      </c>
      <c r="J2400" s="24" t="s">
        <v>761</v>
      </c>
      <c r="K2400" s="24" t="s">
        <v>1146</v>
      </c>
      <c r="L2400" s="25">
        <v>1070</v>
      </c>
      <c r="M2400" s="26">
        <v>46.09</v>
      </c>
      <c r="N2400" s="27">
        <v>46.09</v>
      </c>
      <c r="O2400" s="28">
        <v>4.19E-2</v>
      </c>
      <c r="P2400" s="28">
        <v>43.642743362831858</v>
      </c>
    </row>
    <row r="2401" spans="1:16" x14ac:dyDescent="0.3">
      <c r="A2401" t="s">
        <v>5281</v>
      </c>
      <c r="B2401" s="24">
        <v>101424</v>
      </c>
      <c r="C2401" s="24" t="s">
        <v>1278</v>
      </c>
      <c r="D2401" s="24" t="s">
        <v>1102</v>
      </c>
      <c r="E2401" s="24" t="s">
        <v>51</v>
      </c>
      <c r="F2401" s="24" t="s">
        <v>1142</v>
      </c>
      <c r="G2401" s="24" t="s">
        <v>1203</v>
      </c>
      <c r="H2401" s="24" t="s">
        <v>271</v>
      </c>
      <c r="I2401" s="24" t="s">
        <v>1908</v>
      </c>
      <c r="J2401" s="24" t="s">
        <v>761</v>
      </c>
      <c r="K2401" s="24" t="s">
        <v>1146</v>
      </c>
      <c r="L2401" s="25">
        <v>1070</v>
      </c>
      <c r="M2401" s="26">
        <v>46.09</v>
      </c>
      <c r="N2401" s="27">
        <v>46.09</v>
      </c>
      <c r="O2401" s="28">
        <v>4.19E-2</v>
      </c>
      <c r="P2401" s="28">
        <v>43.642743362831858</v>
      </c>
    </row>
    <row r="2402" spans="1:16" x14ac:dyDescent="0.3">
      <c r="A2402" t="s">
        <v>5282</v>
      </c>
      <c r="B2402" s="24">
        <v>114501</v>
      </c>
      <c r="C2402" s="24" t="s">
        <v>1409</v>
      </c>
      <c r="D2402" s="24" t="s">
        <v>1102</v>
      </c>
      <c r="E2402" s="24" t="s">
        <v>51</v>
      </c>
      <c r="F2402" s="24" t="s">
        <v>1142</v>
      </c>
      <c r="G2402" s="24" t="s">
        <v>1402</v>
      </c>
      <c r="H2402" s="24" t="s">
        <v>271</v>
      </c>
      <c r="I2402" s="24" t="s">
        <v>1908</v>
      </c>
      <c r="J2402" s="24" t="s">
        <v>761</v>
      </c>
      <c r="K2402" s="24" t="s">
        <v>1146</v>
      </c>
      <c r="L2402" s="25">
        <v>1070</v>
      </c>
      <c r="M2402" s="26">
        <v>46.09</v>
      </c>
      <c r="N2402" s="27">
        <v>46.09</v>
      </c>
      <c r="O2402" s="28">
        <v>4.19E-2</v>
      </c>
      <c r="P2402" s="28">
        <v>43.642743362831858</v>
      </c>
    </row>
    <row r="2403" spans="1:16" x14ac:dyDescent="0.3">
      <c r="A2403" t="s">
        <v>5283</v>
      </c>
      <c r="B2403" s="24">
        <v>141245</v>
      </c>
      <c r="C2403" s="24" t="s">
        <v>1606</v>
      </c>
      <c r="D2403" s="24" t="s">
        <v>1102</v>
      </c>
      <c r="E2403" s="24" t="s">
        <v>51</v>
      </c>
      <c r="F2403" s="24" t="s">
        <v>1386</v>
      </c>
      <c r="G2403" s="24" t="s">
        <v>1387</v>
      </c>
      <c r="H2403" s="24" t="s">
        <v>218</v>
      </c>
      <c r="I2403" s="24" t="s">
        <v>1909</v>
      </c>
      <c r="J2403" s="24" t="s">
        <v>761</v>
      </c>
      <c r="K2403" s="24" t="s">
        <v>1146</v>
      </c>
      <c r="L2403" s="25">
        <v>1070</v>
      </c>
      <c r="M2403" s="26">
        <v>5.21</v>
      </c>
      <c r="N2403" s="27">
        <v>5.21</v>
      </c>
      <c r="O2403" s="28">
        <v>4.7363636363636366E-3</v>
      </c>
      <c r="P2403" s="28">
        <v>4.9333628318584068</v>
      </c>
    </row>
    <row r="2404" spans="1:16" x14ac:dyDescent="0.3">
      <c r="A2404" t="s">
        <v>5284</v>
      </c>
      <c r="B2404" s="24">
        <v>100581</v>
      </c>
      <c r="C2404" s="24" t="s">
        <v>1232</v>
      </c>
      <c r="D2404" s="24" t="s">
        <v>1102</v>
      </c>
      <c r="E2404" s="24" t="s">
        <v>51</v>
      </c>
      <c r="F2404" s="24" t="s">
        <v>1142</v>
      </c>
      <c r="G2404" s="24" t="s">
        <v>1233</v>
      </c>
      <c r="H2404" s="24" t="s">
        <v>94</v>
      </c>
      <c r="I2404" s="24" t="s">
        <v>1910</v>
      </c>
      <c r="J2404" s="24" t="s">
        <v>761</v>
      </c>
      <c r="K2404" s="24" t="s">
        <v>1146</v>
      </c>
      <c r="L2404" s="25">
        <v>1070</v>
      </c>
      <c r="M2404" s="26">
        <v>5.3</v>
      </c>
      <c r="N2404" s="27">
        <v>5.3</v>
      </c>
      <c r="O2404" s="28">
        <v>4.8181818181818178E-3</v>
      </c>
      <c r="P2404" s="28">
        <v>5.01858407079646</v>
      </c>
    </row>
    <row r="2405" spans="1:16" x14ac:dyDescent="0.3">
      <c r="A2405" t="s">
        <v>5285</v>
      </c>
      <c r="B2405" s="24">
        <v>101184</v>
      </c>
      <c r="C2405" s="24" t="s">
        <v>1401</v>
      </c>
      <c r="D2405" s="24" t="s">
        <v>1102</v>
      </c>
      <c r="E2405" s="24" t="s">
        <v>51</v>
      </c>
      <c r="F2405" s="24" t="s">
        <v>1142</v>
      </c>
      <c r="G2405" s="24" t="s">
        <v>1402</v>
      </c>
      <c r="H2405" s="24" t="s">
        <v>94</v>
      </c>
      <c r="I2405" s="24" t="s">
        <v>1910</v>
      </c>
      <c r="J2405" s="24" t="s">
        <v>761</v>
      </c>
      <c r="K2405" s="24" t="s">
        <v>1146</v>
      </c>
      <c r="L2405" s="25">
        <v>1070</v>
      </c>
      <c r="M2405" s="26">
        <v>5.3</v>
      </c>
      <c r="N2405" s="27">
        <v>5.3</v>
      </c>
      <c r="O2405" s="28">
        <v>4.8181818181818178E-3</v>
      </c>
      <c r="P2405" s="28">
        <v>5.01858407079646</v>
      </c>
    </row>
    <row r="2406" spans="1:16" x14ac:dyDescent="0.3">
      <c r="A2406" t="s">
        <v>5286</v>
      </c>
      <c r="B2406" s="24">
        <v>101186</v>
      </c>
      <c r="C2406" s="24" t="s">
        <v>1273</v>
      </c>
      <c r="D2406" s="24" t="s">
        <v>1102</v>
      </c>
      <c r="E2406" s="24" t="s">
        <v>51</v>
      </c>
      <c r="F2406" s="24" t="s">
        <v>1142</v>
      </c>
      <c r="G2406" s="24" t="s">
        <v>1203</v>
      </c>
      <c r="H2406" s="24" t="s">
        <v>94</v>
      </c>
      <c r="I2406" s="24" t="s">
        <v>1910</v>
      </c>
      <c r="J2406" s="24" t="s">
        <v>761</v>
      </c>
      <c r="K2406" s="24" t="s">
        <v>1146</v>
      </c>
      <c r="L2406" s="25">
        <v>1070</v>
      </c>
      <c r="M2406" s="26">
        <v>5.3</v>
      </c>
      <c r="N2406" s="27">
        <v>5.3</v>
      </c>
      <c r="O2406" s="28">
        <v>4.8181818181818178E-3</v>
      </c>
      <c r="P2406" s="28">
        <v>5.01858407079646</v>
      </c>
    </row>
    <row r="2407" spans="1:16" x14ac:dyDescent="0.3">
      <c r="A2407" t="s">
        <v>5287</v>
      </c>
      <c r="B2407" s="24">
        <v>101206</v>
      </c>
      <c r="C2407" s="24" t="s">
        <v>1199</v>
      </c>
      <c r="D2407" s="24" t="s">
        <v>1102</v>
      </c>
      <c r="E2407" s="24" t="s">
        <v>51</v>
      </c>
      <c r="F2407" s="24" t="s">
        <v>1142</v>
      </c>
      <c r="G2407" s="24" t="s">
        <v>1200</v>
      </c>
      <c r="H2407" s="24" t="s">
        <v>94</v>
      </c>
      <c r="I2407" s="24" t="s">
        <v>1910</v>
      </c>
      <c r="J2407" s="24" t="s">
        <v>761</v>
      </c>
      <c r="K2407" s="24" t="s">
        <v>1146</v>
      </c>
      <c r="L2407" s="25">
        <v>1070</v>
      </c>
      <c r="M2407" s="26">
        <v>5.3</v>
      </c>
      <c r="N2407" s="27">
        <v>5.3</v>
      </c>
      <c r="O2407" s="28">
        <v>4.8181818181818178E-3</v>
      </c>
      <c r="P2407" s="28">
        <v>5.01858407079646</v>
      </c>
    </row>
    <row r="2408" spans="1:16" x14ac:dyDescent="0.3">
      <c r="A2408" t="s">
        <v>5288</v>
      </c>
      <c r="B2408" s="24">
        <v>106916</v>
      </c>
      <c r="C2408" s="24" t="s">
        <v>1216</v>
      </c>
      <c r="D2408" s="24" t="s">
        <v>1102</v>
      </c>
      <c r="E2408" s="24" t="s">
        <v>51</v>
      </c>
      <c r="F2408" s="24" t="s">
        <v>1142</v>
      </c>
      <c r="G2408" s="24" t="s">
        <v>1203</v>
      </c>
      <c r="H2408" s="24" t="s">
        <v>94</v>
      </c>
      <c r="I2408" s="24" t="s">
        <v>1910</v>
      </c>
      <c r="J2408" s="24" t="s">
        <v>761</v>
      </c>
      <c r="K2408" s="24" t="s">
        <v>1146</v>
      </c>
      <c r="L2408" s="25">
        <v>1070</v>
      </c>
      <c r="M2408" s="26">
        <v>5.3</v>
      </c>
      <c r="N2408" s="27">
        <v>5.3</v>
      </c>
      <c r="O2408" s="28">
        <v>4.8181818181818178E-3</v>
      </c>
      <c r="P2408" s="28">
        <v>5.01858407079646</v>
      </c>
    </row>
    <row r="2409" spans="1:16" x14ac:dyDescent="0.3">
      <c r="A2409" t="s">
        <v>5289</v>
      </c>
      <c r="B2409" s="24">
        <v>100603</v>
      </c>
      <c r="C2409" s="24" t="s">
        <v>1277</v>
      </c>
      <c r="D2409" s="24" t="s">
        <v>1102</v>
      </c>
      <c r="E2409" s="24" t="s">
        <v>51</v>
      </c>
      <c r="F2409" s="24" t="s">
        <v>1142</v>
      </c>
      <c r="G2409" s="24" t="s">
        <v>1082</v>
      </c>
      <c r="H2409" s="24" t="s">
        <v>180</v>
      </c>
      <c r="I2409" s="24" t="s">
        <v>1911</v>
      </c>
      <c r="J2409" s="24" t="s">
        <v>761</v>
      </c>
      <c r="K2409" s="24" t="s">
        <v>1146</v>
      </c>
      <c r="L2409" s="25">
        <v>1070</v>
      </c>
      <c r="M2409" s="26">
        <v>4.9000000000000004</v>
      </c>
      <c r="N2409" s="27">
        <v>4.9000000000000004</v>
      </c>
      <c r="O2409" s="28">
        <v>4.454545454545455E-3</v>
      </c>
      <c r="P2409" s="28">
        <v>4.6398230088495573</v>
      </c>
    </row>
    <row r="2410" spans="1:16" x14ac:dyDescent="0.3">
      <c r="A2410" t="s">
        <v>5290</v>
      </c>
      <c r="B2410" s="24">
        <v>101184</v>
      </c>
      <c r="C2410" s="24" t="s">
        <v>1401</v>
      </c>
      <c r="D2410" s="24" t="s">
        <v>1102</v>
      </c>
      <c r="E2410" s="24" t="s">
        <v>51</v>
      </c>
      <c r="F2410" s="24" t="s">
        <v>1142</v>
      </c>
      <c r="G2410" s="24" t="s">
        <v>1402</v>
      </c>
      <c r="H2410" s="24" t="s">
        <v>180</v>
      </c>
      <c r="I2410" s="24" t="s">
        <v>1911</v>
      </c>
      <c r="J2410" s="24" t="s">
        <v>761</v>
      </c>
      <c r="K2410" s="24" t="s">
        <v>1146</v>
      </c>
      <c r="L2410" s="25">
        <v>1070</v>
      </c>
      <c r="M2410" s="26">
        <v>4.9000000000000004</v>
      </c>
      <c r="N2410" s="27">
        <v>4.9000000000000004</v>
      </c>
      <c r="O2410" s="28">
        <v>4.454545454545455E-3</v>
      </c>
      <c r="P2410" s="28">
        <v>4.6398230088495573</v>
      </c>
    </row>
    <row r="2411" spans="1:16" x14ac:dyDescent="0.3">
      <c r="A2411" t="s">
        <v>5291</v>
      </c>
      <c r="B2411" s="24">
        <v>101186</v>
      </c>
      <c r="C2411" s="24" t="s">
        <v>1273</v>
      </c>
      <c r="D2411" s="24" t="s">
        <v>1102</v>
      </c>
      <c r="E2411" s="24" t="s">
        <v>51</v>
      </c>
      <c r="F2411" s="24" t="s">
        <v>1142</v>
      </c>
      <c r="G2411" s="24" t="s">
        <v>1203</v>
      </c>
      <c r="H2411" s="24" t="s">
        <v>180</v>
      </c>
      <c r="I2411" s="24" t="s">
        <v>1911</v>
      </c>
      <c r="J2411" s="24" t="s">
        <v>761</v>
      </c>
      <c r="K2411" s="24" t="s">
        <v>1146</v>
      </c>
      <c r="L2411" s="25">
        <v>1070</v>
      </c>
      <c r="M2411" s="26">
        <v>4.9000000000000004</v>
      </c>
      <c r="N2411" s="27">
        <v>4.9000000000000004</v>
      </c>
      <c r="O2411" s="28">
        <v>4.454545454545455E-3</v>
      </c>
      <c r="P2411" s="28">
        <v>4.6398230088495573</v>
      </c>
    </row>
    <row r="2412" spans="1:16" x14ac:dyDescent="0.3">
      <c r="A2412" t="s">
        <v>5292</v>
      </c>
      <c r="B2412" s="24">
        <v>101424</v>
      </c>
      <c r="C2412" s="24" t="s">
        <v>1278</v>
      </c>
      <c r="D2412" s="24" t="s">
        <v>1102</v>
      </c>
      <c r="E2412" s="24" t="s">
        <v>51</v>
      </c>
      <c r="F2412" s="24" t="s">
        <v>1142</v>
      </c>
      <c r="G2412" s="24" t="s">
        <v>1203</v>
      </c>
      <c r="H2412" s="24" t="s">
        <v>180</v>
      </c>
      <c r="I2412" s="24" t="s">
        <v>1911</v>
      </c>
      <c r="J2412" s="24" t="s">
        <v>761</v>
      </c>
      <c r="K2412" s="24" t="s">
        <v>1146</v>
      </c>
      <c r="L2412" s="25">
        <v>1070</v>
      </c>
      <c r="M2412" s="26">
        <v>4.9000000000000004</v>
      </c>
      <c r="N2412" s="27">
        <v>4.9000000000000004</v>
      </c>
      <c r="O2412" s="28">
        <v>4.454545454545455E-3</v>
      </c>
      <c r="P2412" s="28">
        <v>4.6398230088495573</v>
      </c>
    </row>
    <row r="2413" spans="1:16" x14ac:dyDescent="0.3">
      <c r="A2413" t="s">
        <v>5293</v>
      </c>
      <c r="B2413" s="24">
        <v>114501</v>
      </c>
      <c r="C2413" s="24" t="s">
        <v>1409</v>
      </c>
      <c r="D2413" s="24" t="s">
        <v>1102</v>
      </c>
      <c r="E2413" s="24" t="s">
        <v>51</v>
      </c>
      <c r="F2413" s="24" t="s">
        <v>1142</v>
      </c>
      <c r="G2413" s="24" t="s">
        <v>1402</v>
      </c>
      <c r="H2413" s="24" t="s">
        <v>180</v>
      </c>
      <c r="I2413" s="24" t="s">
        <v>1911</v>
      </c>
      <c r="J2413" s="24" t="s">
        <v>761</v>
      </c>
      <c r="K2413" s="24" t="s">
        <v>1146</v>
      </c>
      <c r="L2413" s="25">
        <v>1070</v>
      </c>
      <c r="M2413" s="26">
        <v>4.9000000000000004</v>
      </c>
      <c r="N2413" s="27">
        <v>4.9000000000000004</v>
      </c>
      <c r="O2413" s="28">
        <v>4.454545454545455E-3</v>
      </c>
      <c r="P2413" s="28">
        <v>4.6398230088495573</v>
      </c>
    </row>
    <row r="2414" spans="1:16" x14ac:dyDescent="0.3">
      <c r="A2414" t="s">
        <v>5294</v>
      </c>
      <c r="B2414" s="24">
        <v>101186</v>
      </c>
      <c r="C2414" s="24" t="s">
        <v>1273</v>
      </c>
      <c r="D2414" s="24" t="s">
        <v>1102</v>
      </c>
      <c r="E2414" s="24" t="s">
        <v>51</v>
      </c>
      <c r="F2414" s="24" t="s">
        <v>1142</v>
      </c>
      <c r="G2414" s="24" t="s">
        <v>1203</v>
      </c>
      <c r="H2414" s="24" t="s">
        <v>181</v>
      </c>
      <c r="I2414" s="24" t="s">
        <v>1912</v>
      </c>
      <c r="J2414" s="24" t="s">
        <v>761</v>
      </c>
      <c r="K2414" s="24" t="s">
        <v>1146</v>
      </c>
      <c r="L2414" s="25">
        <v>1070</v>
      </c>
      <c r="M2414" s="26">
        <v>5.4</v>
      </c>
      <c r="N2414" s="27">
        <v>5.4</v>
      </c>
      <c r="O2414" s="28">
        <v>4.9090909090909098E-3</v>
      </c>
      <c r="P2414" s="28">
        <v>5.1132743362831858</v>
      </c>
    </row>
    <row r="2415" spans="1:16" x14ac:dyDescent="0.3">
      <c r="A2415" t="s">
        <v>5295</v>
      </c>
      <c r="B2415" s="24">
        <v>101186</v>
      </c>
      <c r="C2415" s="24" t="s">
        <v>1273</v>
      </c>
      <c r="D2415" s="24" t="s">
        <v>1102</v>
      </c>
      <c r="E2415" s="24" t="s">
        <v>51</v>
      </c>
      <c r="F2415" s="24" t="s">
        <v>1142</v>
      </c>
      <c r="G2415" s="24" t="s">
        <v>1203</v>
      </c>
      <c r="H2415" s="24" t="s">
        <v>134</v>
      </c>
      <c r="I2415" s="24" t="s">
        <v>1913</v>
      </c>
      <c r="J2415" s="24" t="s">
        <v>761</v>
      </c>
      <c r="K2415" s="24" t="s">
        <v>1146</v>
      </c>
      <c r="L2415" s="25">
        <v>1070</v>
      </c>
      <c r="M2415" s="26">
        <v>5.45</v>
      </c>
      <c r="N2415" s="27">
        <v>5.45</v>
      </c>
      <c r="O2415" s="28">
        <v>4.9545454545454545E-3</v>
      </c>
      <c r="P2415" s="28">
        <v>5.1606194690265488</v>
      </c>
    </row>
    <row r="2416" spans="1:16" x14ac:dyDescent="0.3">
      <c r="A2416" t="s">
        <v>5296</v>
      </c>
      <c r="B2416" s="24">
        <v>106916</v>
      </c>
      <c r="C2416" s="24" t="s">
        <v>1216</v>
      </c>
      <c r="D2416" s="24" t="s">
        <v>1102</v>
      </c>
      <c r="E2416" s="24" t="s">
        <v>51</v>
      </c>
      <c r="F2416" s="24" t="s">
        <v>1142</v>
      </c>
      <c r="G2416" s="24" t="s">
        <v>1203</v>
      </c>
      <c r="H2416" s="24" t="s">
        <v>134</v>
      </c>
      <c r="I2416" s="24" t="s">
        <v>1913</v>
      </c>
      <c r="J2416" s="24" t="s">
        <v>761</v>
      </c>
      <c r="K2416" s="24" t="s">
        <v>1146</v>
      </c>
      <c r="L2416" s="25">
        <v>1070</v>
      </c>
      <c r="M2416" s="26">
        <v>5.45</v>
      </c>
      <c r="N2416" s="27">
        <v>5.45</v>
      </c>
      <c r="O2416" s="28">
        <v>4.9545454545454545E-3</v>
      </c>
      <c r="P2416" s="28">
        <v>5.1606194690265488</v>
      </c>
    </row>
    <row r="2417" spans="1:16" x14ac:dyDescent="0.3">
      <c r="A2417" t="s">
        <v>5297</v>
      </c>
      <c r="B2417" s="24">
        <v>101184</v>
      </c>
      <c r="C2417" s="24" t="s">
        <v>1401</v>
      </c>
      <c r="D2417" s="24" t="s">
        <v>1102</v>
      </c>
      <c r="E2417" s="24" t="s">
        <v>51</v>
      </c>
      <c r="F2417" s="24" t="s">
        <v>1142</v>
      </c>
      <c r="G2417" s="24" t="s">
        <v>1402</v>
      </c>
      <c r="H2417" s="24" t="s">
        <v>171</v>
      </c>
      <c r="I2417" s="24" t="s">
        <v>1914</v>
      </c>
      <c r="J2417" s="24" t="s">
        <v>761</v>
      </c>
      <c r="K2417" s="24" t="s">
        <v>1146</v>
      </c>
      <c r="L2417" s="25">
        <v>1070</v>
      </c>
      <c r="M2417" s="26">
        <v>6.22</v>
      </c>
      <c r="N2417" s="27">
        <v>6.22</v>
      </c>
      <c r="O2417" s="28">
        <v>5.6545454545454546E-3</v>
      </c>
      <c r="P2417" s="28">
        <v>5.8897345132743357</v>
      </c>
    </row>
    <row r="2418" spans="1:16" x14ac:dyDescent="0.3">
      <c r="A2418" t="s">
        <v>5298</v>
      </c>
      <c r="B2418" s="24">
        <v>100581</v>
      </c>
      <c r="C2418" s="24" t="s">
        <v>1232</v>
      </c>
      <c r="D2418" s="24" t="s">
        <v>1102</v>
      </c>
      <c r="E2418" s="24" t="s">
        <v>51</v>
      </c>
      <c r="F2418" s="24" t="s">
        <v>1142</v>
      </c>
      <c r="G2418" s="24" t="s">
        <v>1233</v>
      </c>
      <c r="H2418" s="24" t="s">
        <v>102</v>
      </c>
      <c r="I2418" s="24" t="s">
        <v>1915</v>
      </c>
      <c r="J2418" s="24" t="s">
        <v>761</v>
      </c>
      <c r="K2418" s="24" t="s">
        <v>1146</v>
      </c>
      <c r="L2418" s="25">
        <v>1070</v>
      </c>
      <c r="M2418" s="26">
        <v>141.5</v>
      </c>
      <c r="N2418" s="27">
        <v>141.5</v>
      </c>
      <c r="O2418" s="28">
        <v>0.12863636363636363</v>
      </c>
      <c r="P2418" s="28">
        <v>133.98672566371681</v>
      </c>
    </row>
    <row r="2419" spans="1:16" x14ac:dyDescent="0.3">
      <c r="A2419" t="s">
        <v>5299</v>
      </c>
      <c r="B2419" s="24">
        <v>100603</v>
      </c>
      <c r="C2419" s="24" t="s">
        <v>1277</v>
      </c>
      <c r="D2419" s="24" t="s">
        <v>1102</v>
      </c>
      <c r="E2419" s="24" t="s">
        <v>51</v>
      </c>
      <c r="F2419" s="24" t="s">
        <v>1142</v>
      </c>
      <c r="G2419" s="24" t="s">
        <v>1082</v>
      </c>
      <c r="H2419" s="24" t="s">
        <v>102</v>
      </c>
      <c r="I2419" s="24" t="s">
        <v>1915</v>
      </c>
      <c r="J2419" s="24" t="s">
        <v>761</v>
      </c>
      <c r="K2419" s="24" t="s">
        <v>1146</v>
      </c>
      <c r="L2419" s="25">
        <v>1070</v>
      </c>
      <c r="M2419" s="26">
        <v>141.5</v>
      </c>
      <c r="N2419" s="27">
        <v>141.5</v>
      </c>
      <c r="O2419" s="28">
        <v>0.12863636363636363</v>
      </c>
      <c r="P2419" s="28">
        <v>133.98672566371681</v>
      </c>
    </row>
    <row r="2420" spans="1:16" x14ac:dyDescent="0.3">
      <c r="A2420" t="s">
        <v>5300</v>
      </c>
      <c r="B2420" s="24">
        <v>101424</v>
      </c>
      <c r="C2420" s="24" t="s">
        <v>1278</v>
      </c>
      <c r="D2420" s="24" t="s">
        <v>1102</v>
      </c>
      <c r="E2420" s="24" t="s">
        <v>51</v>
      </c>
      <c r="F2420" s="24" t="s">
        <v>1142</v>
      </c>
      <c r="G2420" s="24" t="s">
        <v>1203</v>
      </c>
      <c r="H2420" s="24" t="s">
        <v>102</v>
      </c>
      <c r="I2420" s="24" t="s">
        <v>1915</v>
      </c>
      <c r="J2420" s="24" t="s">
        <v>761</v>
      </c>
      <c r="K2420" s="24" t="s">
        <v>1146</v>
      </c>
      <c r="L2420" s="25">
        <v>1070</v>
      </c>
      <c r="M2420" s="26">
        <v>141.5</v>
      </c>
      <c r="N2420" s="27">
        <v>141.5</v>
      </c>
      <c r="O2420" s="28">
        <v>0.12863636363636363</v>
      </c>
      <c r="P2420" s="28">
        <v>133.98672566371681</v>
      </c>
    </row>
    <row r="2421" spans="1:16" x14ac:dyDescent="0.3">
      <c r="A2421" t="s">
        <v>5301</v>
      </c>
      <c r="B2421" s="24">
        <v>100581</v>
      </c>
      <c r="C2421" s="24" t="s">
        <v>1232</v>
      </c>
      <c r="D2421" s="24" t="s">
        <v>1102</v>
      </c>
      <c r="E2421" s="24" t="s">
        <v>51</v>
      </c>
      <c r="F2421" s="24" t="s">
        <v>1142</v>
      </c>
      <c r="G2421" s="24" t="s">
        <v>1233</v>
      </c>
      <c r="H2421" s="24" t="s">
        <v>183</v>
      </c>
      <c r="I2421" s="24" t="s">
        <v>1916</v>
      </c>
      <c r="J2421" s="24" t="s">
        <v>761</v>
      </c>
      <c r="K2421" s="24" t="s">
        <v>1146</v>
      </c>
      <c r="L2421" s="25">
        <v>1070</v>
      </c>
      <c r="M2421" s="26">
        <v>163.69999999999999</v>
      </c>
      <c r="N2421" s="27">
        <v>163.69999999999999</v>
      </c>
      <c r="O2421" s="28">
        <v>0.14881818181818182</v>
      </c>
      <c r="P2421" s="28">
        <v>155.00796460176991</v>
      </c>
    </row>
    <row r="2422" spans="1:16" x14ac:dyDescent="0.3">
      <c r="A2422" t="s">
        <v>5302</v>
      </c>
      <c r="B2422" s="24">
        <v>111550</v>
      </c>
      <c r="C2422" s="24" t="s">
        <v>1582</v>
      </c>
      <c r="D2422" s="24" t="s">
        <v>1102</v>
      </c>
      <c r="E2422" s="24" t="s">
        <v>51</v>
      </c>
      <c r="F2422" s="24" t="s">
        <v>1142</v>
      </c>
      <c r="G2422" s="24" t="s">
        <v>1402</v>
      </c>
      <c r="H2422" s="24" t="s">
        <v>183</v>
      </c>
      <c r="I2422" s="24" t="s">
        <v>1916</v>
      </c>
      <c r="J2422" s="24" t="s">
        <v>761</v>
      </c>
      <c r="K2422" s="24" t="s">
        <v>1146</v>
      </c>
      <c r="L2422" s="25">
        <v>1070</v>
      </c>
      <c r="M2422" s="26">
        <v>163.69999999999999</v>
      </c>
      <c r="N2422" s="27">
        <v>163.69999999999999</v>
      </c>
      <c r="O2422" s="28">
        <v>0.14881818181818182</v>
      </c>
      <c r="P2422" s="28">
        <v>155.00796460176991</v>
      </c>
    </row>
    <row r="2423" spans="1:16" x14ac:dyDescent="0.3">
      <c r="A2423" t="s">
        <v>5303</v>
      </c>
      <c r="B2423" s="24">
        <v>100581</v>
      </c>
      <c r="C2423" s="24" t="s">
        <v>1232</v>
      </c>
      <c r="D2423" s="24" t="s">
        <v>1102</v>
      </c>
      <c r="E2423" s="24" t="s">
        <v>51</v>
      </c>
      <c r="F2423" s="24" t="s">
        <v>1142</v>
      </c>
      <c r="G2423" s="24" t="s">
        <v>1233</v>
      </c>
      <c r="H2423" s="24" t="s">
        <v>93</v>
      </c>
      <c r="I2423" s="24" t="s">
        <v>1917</v>
      </c>
      <c r="J2423" s="24" t="s">
        <v>761</v>
      </c>
      <c r="K2423" s="24" t="s">
        <v>1146</v>
      </c>
      <c r="L2423" s="25">
        <v>1070</v>
      </c>
      <c r="M2423" s="26">
        <v>10.199999999999999</v>
      </c>
      <c r="N2423" s="27">
        <v>10.199999999999999</v>
      </c>
      <c r="O2423" s="28">
        <v>9.2727272727272728E-3</v>
      </c>
      <c r="P2423" s="28">
        <v>9.6584070796460182</v>
      </c>
    </row>
    <row r="2424" spans="1:16" x14ac:dyDescent="0.3">
      <c r="A2424" t="s">
        <v>5304</v>
      </c>
      <c r="B2424" s="24">
        <v>101206</v>
      </c>
      <c r="C2424" s="24" t="s">
        <v>1199</v>
      </c>
      <c r="D2424" s="24" t="s">
        <v>1102</v>
      </c>
      <c r="E2424" s="24" t="s">
        <v>51</v>
      </c>
      <c r="F2424" s="24" t="s">
        <v>1142</v>
      </c>
      <c r="G2424" s="24" t="s">
        <v>1200</v>
      </c>
      <c r="H2424" s="24" t="s">
        <v>93</v>
      </c>
      <c r="I2424" s="24" t="s">
        <v>1917</v>
      </c>
      <c r="J2424" s="24" t="s">
        <v>761</v>
      </c>
      <c r="K2424" s="24" t="s">
        <v>1146</v>
      </c>
      <c r="L2424" s="25">
        <v>1070</v>
      </c>
      <c r="M2424" s="26">
        <v>10.199999999999999</v>
      </c>
      <c r="N2424" s="27">
        <v>10.199999999999999</v>
      </c>
      <c r="O2424" s="28">
        <v>9.2727272727272728E-3</v>
      </c>
      <c r="P2424" s="28">
        <v>9.6584070796460182</v>
      </c>
    </row>
    <row r="2425" spans="1:16" x14ac:dyDescent="0.3">
      <c r="A2425" t="s">
        <v>5305</v>
      </c>
      <c r="B2425" s="24">
        <v>300015</v>
      </c>
      <c r="C2425" s="24" t="s">
        <v>1236</v>
      </c>
      <c r="D2425" s="24" t="s">
        <v>1102</v>
      </c>
      <c r="E2425" s="24" t="s">
        <v>51</v>
      </c>
      <c r="F2425" s="24" t="s">
        <v>1237</v>
      </c>
      <c r="G2425" s="24" t="s">
        <v>1238</v>
      </c>
      <c r="H2425" s="24" t="s">
        <v>66</v>
      </c>
      <c r="I2425" s="24" t="s">
        <v>1918</v>
      </c>
      <c r="J2425" s="24" t="s">
        <v>761</v>
      </c>
      <c r="K2425" s="24" t="s">
        <v>1146</v>
      </c>
      <c r="L2425" s="25">
        <v>1070</v>
      </c>
      <c r="M2425" s="26">
        <v>55.82</v>
      </c>
      <c r="N2425" s="27">
        <v>55.82</v>
      </c>
      <c r="O2425" s="28">
        <v>5.0745454545454545E-2</v>
      </c>
      <c r="P2425" s="28">
        <v>52.85610619469027</v>
      </c>
    </row>
    <row r="2426" spans="1:16" x14ac:dyDescent="0.3">
      <c r="A2426" t="s">
        <v>5306</v>
      </c>
      <c r="B2426" s="24">
        <v>100581</v>
      </c>
      <c r="C2426" s="24" t="s">
        <v>1232</v>
      </c>
      <c r="D2426" s="24" t="s">
        <v>1102</v>
      </c>
      <c r="E2426" s="24" t="s">
        <v>51</v>
      </c>
      <c r="F2426" s="24" t="s">
        <v>1142</v>
      </c>
      <c r="G2426" s="24" t="s">
        <v>1233</v>
      </c>
      <c r="H2426" s="24" t="s">
        <v>360</v>
      </c>
      <c r="I2426" s="24" t="s">
        <v>1919</v>
      </c>
      <c r="J2426" s="24" t="s">
        <v>761</v>
      </c>
      <c r="K2426" s="24" t="s">
        <v>1146</v>
      </c>
      <c r="L2426" s="25">
        <v>1070</v>
      </c>
      <c r="M2426" s="26">
        <v>50.74</v>
      </c>
      <c r="N2426" s="27">
        <v>50.74</v>
      </c>
      <c r="O2426" s="28">
        <v>4.6127272727272732E-2</v>
      </c>
      <c r="P2426" s="28">
        <v>48.045840707964601</v>
      </c>
    </row>
    <row r="2427" spans="1:16" x14ac:dyDescent="0.3">
      <c r="A2427" t="s">
        <v>5307</v>
      </c>
      <c r="B2427" s="24">
        <v>100603</v>
      </c>
      <c r="C2427" s="24" t="s">
        <v>1277</v>
      </c>
      <c r="D2427" s="24" t="s">
        <v>1102</v>
      </c>
      <c r="E2427" s="24" t="s">
        <v>51</v>
      </c>
      <c r="F2427" s="24" t="s">
        <v>1142</v>
      </c>
      <c r="G2427" s="24" t="s">
        <v>1082</v>
      </c>
      <c r="H2427" s="24" t="s">
        <v>360</v>
      </c>
      <c r="I2427" s="24" t="s">
        <v>1919</v>
      </c>
      <c r="J2427" s="24" t="s">
        <v>761</v>
      </c>
      <c r="K2427" s="24" t="s">
        <v>1146</v>
      </c>
      <c r="L2427" s="25">
        <v>1070</v>
      </c>
      <c r="M2427" s="26">
        <v>50.74</v>
      </c>
      <c r="N2427" s="27">
        <v>50.74</v>
      </c>
      <c r="O2427" s="28">
        <v>4.6127272727272732E-2</v>
      </c>
      <c r="P2427" s="28">
        <v>48.045840707964601</v>
      </c>
    </row>
    <row r="2428" spans="1:16" x14ac:dyDescent="0.3">
      <c r="A2428" t="s">
        <v>5308</v>
      </c>
      <c r="B2428" s="24">
        <v>101186</v>
      </c>
      <c r="C2428" s="24" t="s">
        <v>1273</v>
      </c>
      <c r="D2428" s="24" t="s">
        <v>1102</v>
      </c>
      <c r="E2428" s="24" t="s">
        <v>51</v>
      </c>
      <c r="F2428" s="24" t="s">
        <v>1142</v>
      </c>
      <c r="G2428" s="24" t="s">
        <v>1203</v>
      </c>
      <c r="H2428" s="24" t="s">
        <v>360</v>
      </c>
      <c r="I2428" s="24" t="s">
        <v>1919</v>
      </c>
      <c r="J2428" s="24" t="s">
        <v>761</v>
      </c>
      <c r="K2428" s="24" t="s">
        <v>1146</v>
      </c>
      <c r="L2428" s="25">
        <v>1070</v>
      </c>
      <c r="M2428" s="26">
        <v>50.74</v>
      </c>
      <c r="N2428" s="27">
        <v>50.74</v>
      </c>
      <c r="O2428" s="28">
        <v>4.6127272727272732E-2</v>
      </c>
      <c r="P2428" s="28">
        <v>48.045840707964601</v>
      </c>
    </row>
    <row r="2429" spans="1:16" x14ac:dyDescent="0.3">
      <c r="A2429" t="s">
        <v>5309</v>
      </c>
      <c r="B2429" s="24">
        <v>101206</v>
      </c>
      <c r="C2429" s="24" t="s">
        <v>1199</v>
      </c>
      <c r="D2429" s="24" t="s">
        <v>1102</v>
      </c>
      <c r="E2429" s="24" t="s">
        <v>51</v>
      </c>
      <c r="F2429" s="24" t="s">
        <v>1142</v>
      </c>
      <c r="G2429" s="24" t="s">
        <v>1200</v>
      </c>
      <c r="H2429" s="24" t="s">
        <v>360</v>
      </c>
      <c r="I2429" s="24" t="s">
        <v>1919</v>
      </c>
      <c r="J2429" s="24" t="s">
        <v>761</v>
      </c>
      <c r="K2429" s="24" t="s">
        <v>1146</v>
      </c>
      <c r="L2429" s="25">
        <v>1070</v>
      </c>
      <c r="M2429" s="26">
        <v>50.74</v>
      </c>
      <c r="N2429" s="27">
        <v>50.74</v>
      </c>
      <c r="O2429" s="28">
        <v>4.6127272727272732E-2</v>
      </c>
      <c r="P2429" s="28">
        <v>48.045840707964601</v>
      </c>
    </row>
    <row r="2430" spans="1:16" x14ac:dyDescent="0.3">
      <c r="A2430" t="s">
        <v>5310</v>
      </c>
      <c r="B2430" s="24">
        <v>101424</v>
      </c>
      <c r="C2430" s="24" t="s">
        <v>1278</v>
      </c>
      <c r="D2430" s="24" t="s">
        <v>1102</v>
      </c>
      <c r="E2430" s="24" t="s">
        <v>51</v>
      </c>
      <c r="F2430" s="24" t="s">
        <v>1142</v>
      </c>
      <c r="G2430" s="24" t="s">
        <v>1203</v>
      </c>
      <c r="H2430" s="24" t="s">
        <v>360</v>
      </c>
      <c r="I2430" s="24" t="s">
        <v>1919</v>
      </c>
      <c r="J2430" s="24" t="s">
        <v>761</v>
      </c>
      <c r="K2430" s="24" t="s">
        <v>1146</v>
      </c>
      <c r="L2430" s="25">
        <v>1070</v>
      </c>
      <c r="M2430" s="26">
        <v>50.74</v>
      </c>
      <c r="N2430" s="27">
        <v>50.74</v>
      </c>
      <c r="O2430" s="28">
        <v>4.6127272727272732E-2</v>
      </c>
      <c r="P2430" s="28">
        <v>48.045840707964601</v>
      </c>
    </row>
    <row r="2431" spans="1:16" x14ac:dyDescent="0.3">
      <c r="A2431" t="s">
        <v>5311</v>
      </c>
      <c r="B2431" s="24">
        <v>111550</v>
      </c>
      <c r="C2431" s="24" t="s">
        <v>1582</v>
      </c>
      <c r="D2431" s="24" t="s">
        <v>1102</v>
      </c>
      <c r="E2431" s="24" t="s">
        <v>51</v>
      </c>
      <c r="F2431" s="24" t="s">
        <v>1142</v>
      </c>
      <c r="G2431" s="24" t="s">
        <v>1402</v>
      </c>
      <c r="H2431" s="24" t="s">
        <v>360</v>
      </c>
      <c r="I2431" s="24" t="s">
        <v>1919</v>
      </c>
      <c r="J2431" s="24" t="s">
        <v>761</v>
      </c>
      <c r="K2431" s="24" t="s">
        <v>1146</v>
      </c>
      <c r="L2431" s="25">
        <v>1070</v>
      </c>
      <c r="M2431" s="26">
        <v>50.74</v>
      </c>
      <c r="N2431" s="27">
        <v>50.74</v>
      </c>
      <c r="O2431" s="28">
        <v>4.6127272727272732E-2</v>
      </c>
      <c r="P2431" s="28">
        <v>48.045840707964601</v>
      </c>
    </row>
    <row r="2432" spans="1:16" x14ac:dyDescent="0.3">
      <c r="A2432" t="s">
        <v>5312</v>
      </c>
      <c r="B2432" s="24">
        <v>101206</v>
      </c>
      <c r="C2432" s="24" t="s">
        <v>1199</v>
      </c>
      <c r="D2432" s="24" t="s">
        <v>1102</v>
      </c>
      <c r="E2432" s="24" t="s">
        <v>51</v>
      </c>
      <c r="F2432" s="24" t="s">
        <v>1142</v>
      </c>
      <c r="G2432" s="24" t="s">
        <v>1200</v>
      </c>
      <c r="H2432" s="24" t="s">
        <v>67</v>
      </c>
      <c r="I2432" s="24" t="s">
        <v>1920</v>
      </c>
      <c r="J2432" s="24" t="s">
        <v>761</v>
      </c>
      <c r="K2432" s="24" t="s">
        <v>1146</v>
      </c>
      <c r="L2432" s="25">
        <v>1070</v>
      </c>
      <c r="M2432" s="26">
        <v>6.31</v>
      </c>
      <c r="N2432" s="27">
        <v>6.31</v>
      </c>
      <c r="O2432" s="28">
        <v>5.7363636363636358E-3</v>
      </c>
      <c r="P2432" s="28">
        <v>5.9749557522123888</v>
      </c>
    </row>
    <row r="2433" spans="1:16" x14ac:dyDescent="0.3">
      <c r="A2433" t="s">
        <v>5313</v>
      </c>
      <c r="B2433" s="24">
        <v>101424</v>
      </c>
      <c r="C2433" s="24" t="s">
        <v>1278</v>
      </c>
      <c r="D2433" s="24" t="s">
        <v>1102</v>
      </c>
      <c r="E2433" s="24" t="s">
        <v>51</v>
      </c>
      <c r="F2433" s="24" t="s">
        <v>1142</v>
      </c>
      <c r="G2433" s="24" t="s">
        <v>1203</v>
      </c>
      <c r="H2433" s="24" t="s">
        <v>67</v>
      </c>
      <c r="I2433" s="24" t="s">
        <v>1920</v>
      </c>
      <c r="J2433" s="24" t="s">
        <v>761</v>
      </c>
      <c r="K2433" s="24" t="s">
        <v>1146</v>
      </c>
      <c r="L2433" s="25">
        <v>1070</v>
      </c>
      <c r="M2433" s="26">
        <v>6.31</v>
      </c>
      <c r="N2433" s="27">
        <v>6.31</v>
      </c>
      <c r="O2433" s="28">
        <v>5.7363636363636358E-3</v>
      </c>
      <c r="P2433" s="28">
        <v>5.9749557522123888</v>
      </c>
    </row>
    <row r="2434" spans="1:16" x14ac:dyDescent="0.3">
      <c r="A2434" t="s">
        <v>5314</v>
      </c>
      <c r="B2434" s="24">
        <v>106916</v>
      </c>
      <c r="C2434" s="24" t="s">
        <v>1216</v>
      </c>
      <c r="D2434" s="24" t="s">
        <v>1102</v>
      </c>
      <c r="E2434" s="24" t="s">
        <v>51</v>
      </c>
      <c r="F2434" s="24" t="s">
        <v>1142</v>
      </c>
      <c r="G2434" s="24" t="s">
        <v>1203</v>
      </c>
      <c r="H2434" s="24" t="s">
        <v>1921</v>
      </c>
      <c r="I2434" s="24" t="s">
        <v>1922</v>
      </c>
      <c r="J2434" s="24" t="s">
        <v>761</v>
      </c>
      <c r="K2434" s="24" t="s">
        <v>1146</v>
      </c>
      <c r="L2434" s="25">
        <v>1070</v>
      </c>
      <c r="M2434" s="26">
        <v>9.0500000000000007</v>
      </c>
      <c r="N2434" s="27">
        <v>9.0500000000000007</v>
      </c>
      <c r="O2434" s="28">
        <v>8.2272727272727272E-3</v>
      </c>
      <c r="P2434" s="28">
        <v>8.5694690265486724</v>
      </c>
    </row>
    <row r="2435" spans="1:16" x14ac:dyDescent="0.3">
      <c r="A2435" t="s">
        <v>5315</v>
      </c>
      <c r="B2435" s="24">
        <v>100581</v>
      </c>
      <c r="C2435" s="24" t="s">
        <v>1232</v>
      </c>
      <c r="D2435" s="24" t="s">
        <v>1102</v>
      </c>
      <c r="E2435" s="24" t="s">
        <v>51</v>
      </c>
      <c r="F2435" s="24" t="s">
        <v>1142</v>
      </c>
      <c r="G2435" s="24" t="s">
        <v>1233</v>
      </c>
      <c r="H2435" s="24" t="s">
        <v>322</v>
      </c>
      <c r="I2435" s="24" t="s">
        <v>1923</v>
      </c>
      <c r="J2435" s="24" t="s">
        <v>761</v>
      </c>
      <c r="K2435" s="24" t="s">
        <v>1146</v>
      </c>
      <c r="L2435" s="25">
        <v>1070</v>
      </c>
      <c r="M2435" s="26">
        <v>51.5</v>
      </c>
      <c r="N2435" s="27">
        <v>51.5</v>
      </c>
      <c r="O2435" s="28">
        <v>4.6818181818181821E-2</v>
      </c>
      <c r="P2435" s="28">
        <v>48.76548672566372</v>
      </c>
    </row>
    <row r="2436" spans="1:16" x14ac:dyDescent="0.3">
      <c r="A2436" t="s">
        <v>5316</v>
      </c>
      <c r="B2436" s="24">
        <v>101186</v>
      </c>
      <c r="C2436" s="24" t="s">
        <v>1273</v>
      </c>
      <c r="D2436" s="24" t="s">
        <v>1102</v>
      </c>
      <c r="E2436" s="24" t="s">
        <v>51</v>
      </c>
      <c r="F2436" s="24" t="s">
        <v>1142</v>
      </c>
      <c r="G2436" s="24" t="s">
        <v>1203</v>
      </c>
      <c r="H2436" s="24" t="s">
        <v>322</v>
      </c>
      <c r="I2436" s="24" t="s">
        <v>1923</v>
      </c>
      <c r="J2436" s="24" t="s">
        <v>761</v>
      </c>
      <c r="K2436" s="24" t="s">
        <v>1146</v>
      </c>
      <c r="L2436" s="25">
        <v>1070</v>
      </c>
      <c r="M2436" s="26">
        <v>51.5</v>
      </c>
      <c r="N2436" s="27">
        <v>51.5</v>
      </c>
      <c r="O2436" s="28">
        <v>4.6818181818181821E-2</v>
      </c>
      <c r="P2436" s="28">
        <v>48.76548672566372</v>
      </c>
    </row>
    <row r="2437" spans="1:16" x14ac:dyDescent="0.3">
      <c r="A2437" t="s">
        <v>5317</v>
      </c>
      <c r="B2437" s="24">
        <v>101206</v>
      </c>
      <c r="C2437" s="24" t="s">
        <v>1199</v>
      </c>
      <c r="D2437" s="24" t="s">
        <v>1102</v>
      </c>
      <c r="E2437" s="24" t="s">
        <v>51</v>
      </c>
      <c r="F2437" s="24" t="s">
        <v>1142</v>
      </c>
      <c r="G2437" s="24" t="s">
        <v>1200</v>
      </c>
      <c r="H2437" s="24" t="s">
        <v>322</v>
      </c>
      <c r="I2437" s="24" t="s">
        <v>1923</v>
      </c>
      <c r="J2437" s="24" t="s">
        <v>761</v>
      </c>
      <c r="K2437" s="24" t="s">
        <v>1146</v>
      </c>
      <c r="L2437" s="25">
        <v>1070</v>
      </c>
      <c r="M2437" s="26">
        <v>51.5</v>
      </c>
      <c r="N2437" s="27">
        <v>51.5</v>
      </c>
      <c r="O2437" s="28">
        <v>4.6818181818181821E-2</v>
      </c>
      <c r="P2437" s="28">
        <v>48.76548672566372</v>
      </c>
    </row>
    <row r="2438" spans="1:16" x14ac:dyDescent="0.3">
      <c r="A2438" t="s">
        <v>5318</v>
      </c>
      <c r="B2438" s="24">
        <v>101424</v>
      </c>
      <c r="C2438" s="24" t="s">
        <v>1278</v>
      </c>
      <c r="D2438" s="24" t="s">
        <v>1102</v>
      </c>
      <c r="E2438" s="24" t="s">
        <v>51</v>
      </c>
      <c r="F2438" s="24" t="s">
        <v>1142</v>
      </c>
      <c r="G2438" s="24" t="s">
        <v>1203</v>
      </c>
      <c r="H2438" s="24" t="s">
        <v>322</v>
      </c>
      <c r="I2438" s="24" t="s">
        <v>1923</v>
      </c>
      <c r="J2438" s="24" t="s">
        <v>761</v>
      </c>
      <c r="K2438" s="24" t="s">
        <v>1146</v>
      </c>
      <c r="L2438" s="25">
        <v>1070</v>
      </c>
      <c r="M2438" s="26">
        <v>51.5</v>
      </c>
      <c r="N2438" s="27">
        <v>51.5</v>
      </c>
      <c r="O2438" s="28">
        <v>4.6818181818181821E-2</v>
      </c>
      <c r="P2438" s="28">
        <v>48.76548672566372</v>
      </c>
    </row>
    <row r="2439" spans="1:16" x14ac:dyDescent="0.3">
      <c r="A2439" t="s">
        <v>5319</v>
      </c>
      <c r="B2439" s="24">
        <v>111550</v>
      </c>
      <c r="C2439" s="24" t="s">
        <v>1582</v>
      </c>
      <c r="D2439" s="24" t="s">
        <v>1102</v>
      </c>
      <c r="E2439" s="24" t="s">
        <v>51</v>
      </c>
      <c r="F2439" s="24" t="s">
        <v>1142</v>
      </c>
      <c r="G2439" s="24" t="s">
        <v>1402</v>
      </c>
      <c r="H2439" s="24" t="s">
        <v>322</v>
      </c>
      <c r="I2439" s="24" t="s">
        <v>1923</v>
      </c>
      <c r="J2439" s="24" t="s">
        <v>761</v>
      </c>
      <c r="K2439" s="24" t="s">
        <v>1146</v>
      </c>
      <c r="L2439" s="25">
        <v>1070</v>
      </c>
      <c r="M2439" s="26">
        <v>51.5</v>
      </c>
      <c r="N2439" s="27">
        <v>51.5</v>
      </c>
      <c r="O2439" s="28">
        <v>4.6818181818181821E-2</v>
      </c>
      <c r="P2439" s="28">
        <v>48.76548672566372</v>
      </c>
    </row>
    <row r="2440" spans="1:16" x14ac:dyDescent="0.3">
      <c r="A2440" t="s">
        <v>5320</v>
      </c>
      <c r="B2440" s="24">
        <v>100581</v>
      </c>
      <c r="C2440" s="24" t="s">
        <v>1232</v>
      </c>
      <c r="D2440" s="24" t="s">
        <v>1102</v>
      </c>
      <c r="E2440" s="24" t="s">
        <v>51</v>
      </c>
      <c r="F2440" s="24" t="s">
        <v>1142</v>
      </c>
      <c r="G2440" s="24" t="s">
        <v>1233</v>
      </c>
      <c r="H2440" s="24" t="s">
        <v>323</v>
      </c>
      <c r="I2440" s="24" t="s">
        <v>1924</v>
      </c>
      <c r="J2440" s="24" t="s">
        <v>761</v>
      </c>
      <c r="K2440" s="24" t="s">
        <v>1146</v>
      </c>
      <c r="L2440" s="25">
        <v>1070</v>
      </c>
      <c r="M2440" s="26">
        <v>35.119999999999997</v>
      </c>
      <c r="N2440" s="27">
        <v>35.119999999999997</v>
      </c>
      <c r="O2440" s="28">
        <v>3.1927272727272728E-2</v>
      </c>
      <c r="P2440" s="28">
        <v>33.255221238938049</v>
      </c>
    </row>
    <row r="2441" spans="1:16" x14ac:dyDescent="0.3">
      <c r="A2441" t="s">
        <v>5321</v>
      </c>
      <c r="B2441" s="24">
        <v>101186</v>
      </c>
      <c r="C2441" s="24" t="s">
        <v>1273</v>
      </c>
      <c r="D2441" s="24" t="s">
        <v>1102</v>
      </c>
      <c r="E2441" s="24" t="s">
        <v>51</v>
      </c>
      <c r="F2441" s="24" t="s">
        <v>1142</v>
      </c>
      <c r="G2441" s="24" t="s">
        <v>1203</v>
      </c>
      <c r="H2441" s="24" t="s">
        <v>323</v>
      </c>
      <c r="I2441" s="24" t="s">
        <v>1924</v>
      </c>
      <c r="J2441" s="24" t="s">
        <v>761</v>
      </c>
      <c r="K2441" s="24" t="s">
        <v>1146</v>
      </c>
      <c r="L2441" s="25">
        <v>1070</v>
      </c>
      <c r="M2441" s="26">
        <v>35.119999999999997</v>
      </c>
      <c r="N2441" s="27">
        <v>35.119999999999997</v>
      </c>
      <c r="O2441" s="28">
        <v>3.1927272727272728E-2</v>
      </c>
      <c r="P2441" s="28">
        <v>33.255221238938049</v>
      </c>
    </row>
    <row r="2442" spans="1:16" x14ac:dyDescent="0.3">
      <c r="A2442" t="s">
        <v>5322</v>
      </c>
      <c r="B2442" s="24">
        <v>101206</v>
      </c>
      <c r="C2442" s="24" t="s">
        <v>1199</v>
      </c>
      <c r="D2442" s="24" t="s">
        <v>1102</v>
      </c>
      <c r="E2442" s="24" t="s">
        <v>51</v>
      </c>
      <c r="F2442" s="24" t="s">
        <v>1142</v>
      </c>
      <c r="G2442" s="24" t="s">
        <v>1200</v>
      </c>
      <c r="H2442" s="24" t="s">
        <v>323</v>
      </c>
      <c r="I2442" s="24" t="s">
        <v>1924</v>
      </c>
      <c r="J2442" s="24" t="s">
        <v>761</v>
      </c>
      <c r="K2442" s="24" t="s">
        <v>1146</v>
      </c>
      <c r="L2442" s="25">
        <v>1070</v>
      </c>
      <c r="M2442" s="26">
        <v>35.119999999999997</v>
      </c>
      <c r="N2442" s="27">
        <v>35.119999999999997</v>
      </c>
      <c r="O2442" s="28">
        <v>3.1927272727272728E-2</v>
      </c>
      <c r="P2442" s="28">
        <v>33.255221238938049</v>
      </c>
    </row>
    <row r="2443" spans="1:16" x14ac:dyDescent="0.3">
      <c r="A2443" t="s">
        <v>5323</v>
      </c>
      <c r="B2443" s="24">
        <v>101424</v>
      </c>
      <c r="C2443" s="24" t="s">
        <v>1278</v>
      </c>
      <c r="D2443" s="24" t="s">
        <v>1102</v>
      </c>
      <c r="E2443" s="24" t="s">
        <v>51</v>
      </c>
      <c r="F2443" s="24" t="s">
        <v>1142</v>
      </c>
      <c r="G2443" s="24" t="s">
        <v>1203</v>
      </c>
      <c r="H2443" s="24" t="s">
        <v>323</v>
      </c>
      <c r="I2443" s="24" t="s">
        <v>1924</v>
      </c>
      <c r="J2443" s="24" t="s">
        <v>761</v>
      </c>
      <c r="K2443" s="24" t="s">
        <v>1146</v>
      </c>
      <c r="L2443" s="25">
        <v>1070</v>
      </c>
      <c r="M2443" s="26">
        <v>35.119999999999997</v>
      </c>
      <c r="N2443" s="27">
        <v>35.119999999999997</v>
      </c>
      <c r="O2443" s="28">
        <v>3.1927272727272728E-2</v>
      </c>
      <c r="P2443" s="28">
        <v>33.255221238938049</v>
      </c>
    </row>
    <row r="2444" spans="1:16" x14ac:dyDescent="0.3">
      <c r="A2444" t="s">
        <v>5324</v>
      </c>
      <c r="B2444" s="24">
        <v>111550</v>
      </c>
      <c r="C2444" s="24" t="s">
        <v>1582</v>
      </c>
      <c r="D2444" s="24" t="s">
        <v>1102</v>
      </c>
      <c r="E2444" s="24" t="s">
        <v>51</v>
      </c>
      <c r="F2444" s="24" t="s">
        <v>1142</v>
      </c>
      <c r="G2444" s="24" t="s">
        <v>1402</v>
      </c>
      <c r="H2444" s="24" t="s">
        <v>323</v>
      </c>
      <c r="I2444" s="24" t="s">
        <v>1924</v>
      </c>
      <c r="J2444" s="24" t="s">
        <v>761</v>
      </c>
      <c r="K2444" s="24" t="s">
        <v>1146</v>
      </c>
      <c r="L2444" s="25">
        <v>1070</v>
      </c>
      <c r="M2444" s="26">
        <v>35.119999999999997</v>
      </c>
      <c r="N2444" s="27">
        <v>35.119999999999997</v>
      </c>
      <c r="O2444" s="28">
        <v>3.1927272727272728E-2</v>
      </c>
      <c r="P2444" s="28">
        <v>33.255221238938049</v>
      </c>
    </row>
    <row r="2445" spans="1:16" x14ac:dyDescent="0.3">
      <c r="A2445" t="s">
        <v>5325</v>
      </c>
      <c r="B2445" s="24">
        <v>100581</v>
      </c>
      <c r="C2445" s="24" t="s">
        <v>1232</v>
      </c>
      <c r="D2445" s="24" t="s">
        <v>1102</v>
      </c>
      <c r="E2445" s="24" t="s">
        <v>51</v>
      </c>
      <c r="F2445" s="24" t="s">
        <v>1142</v>
      </c>
      <c r="G2445" s="24" t="s">
        <v>1233</v>
      </c>
      <c r="H2445" s="24" t="s">
        <v>112</v>
      </c>
      <c r="I2445" s="24" t="s">
        <v>1925</v>
      </c>
      <c r="J2445" s="24" t="s">
        <v>761</v>
      </c>
      <c r="K2445" s="24" t="s">
        <v>1146</v>
      </c>
      <c r="L2445" s="25">
        <v>1070</v>
      </c>
      <c r="M2445" s="26">
        <v>5.89</v>
      </c>
      <c r="N2445" s="27">
        <v>5.89</v>
      </c>
      <c r="O2445" s="28">
        <v>5.3545454545454538E-3</v>
      </c>
      <c r="P2445" s="28">
        <v>5.5772566371681407</v>
      </c>
    </row>
    <row r="2446" spans="1:16" x14ac:dyDescent="0.3">
      <c r="A2446" t="s">
        <v>5326</v>
      </c>
      <c r="B2446" s="24">
        <v>100603</v>
      </c>
      <c r="C2446" s="24" t="s">
        <v>1277</v>
      </c>
      <c r="D2446" s="24" t="s">
        <v>1102</v>
      </c>
      <c r="E2446" s="24" t="s">
        <v>51</v>
      </c>
      <c r="F2446" s="24" t="s">
        <v>1142</v>
      </c>
      <c r="G2446" s="24" t="s">
        <v>1082</v>
      </c>
      <c r="H2446" s="24" t="s">
        <v>112</v>
      </c>
      <c r="I2446" s="24" t="s">
        <v>1925</v>
      </c>
      <c r="J2446" s="24" t="s">
        <v>761</v>
      </c>
      <c r="K2446" s="24" t="s">
        <v>1146</v>
      </c>
      <c r="L2446" s="25">
        <v>1070</v>
      </c>
      <c r="M2446" s="26">
        <v>5.89</v>
      </c>
      <c r="N2446" s="27">
        <v>5.89</v>
      </c>
      <c r="O2446" s="28">
        <v>5.3545454545454538E-3</v>
      </c>
      <c r="P2446" s="28">
        <v>5.5772566371681407</v>
      </c>
    </row>
    <row r="2447" spans="1:16" x14ac:dyDescent="0.3">
      <c r="A2447" t="s">
        <v>5327</v>
      </c>
      <c r="B2447" s="24">
        <v>101184</v>
      </c>
      <c r="C2447" s="24" t="s">
        <v>1401</v>
      </c>
      <c r="D2447" s="24" t="s">
        <v>1102</v>
      </c>
      <c r="E2447" s="24" t="s">
        <v>51</v>
      </c>
      <c r="F2447" s="24" t="s">
        <v>1142</v>
      </c>
      <c r="G2447" s="24" t="s">
        <v>1402</v>
      </c>
      <c r="H2447" s="24" t="s">
        <v>112</v>
      </c>
      <c r="I2447" s="24" t="s">
        <v>1925</v>
      </c>
      <c r="J2447" s="24" t="s">
        <v>761</v>
      </c>
      <c r="K2447" s="24" t="s">
        <v>1146</v>
      </c>
      <c r="L2447" s="25">
        <v>1070</v>
      </c>
      <c r="M2447" s="26">
        <v>5.89</v>
      </c>
      <c r="N2447" s="27">
        <v>5.89</v>
      </c>
      <c r="O2447" s="28">
        <v>5.3545454545454538E-3</v>
      </c>
      <c r="P2447" s="28">
        <v>5.5772566371681407</v>
      </c>
    </row>
    <row r="2448" spans="1:16" x14ac:dyDescent="0.3">
      <c r="A2448" t="s">
        <v>5328</v>
      </c>
      <c r="B2448" s="24">
        <v>101186</v>
      </c>
      <c r="C2448" s="24" t="s">
        <v>1273</v>
      </c>
      <c r="D2448" s="24" t="s">
        <v>1102</v>
      </c>
      <c r="E2448" s="24" t="s">
        <v>51</v>
      </c>
      <c r="F2448" s="24" t="s">
        <v>1142</v>
      </c>
      <c r="G2448" s="24" t="s">
        <v>1203</v>
      </c>
      <c r="H2448" s="24" t="s">
        <v>112</v>
      </c>
      <c r="I2448" s="24" t="s">
        <v>1925</v>
      </c>
      <c r="J2448" s="24" t="s">
        <v>761</v>
      </c>
      <c r="K2448" s="24" t="s">
        <v>1146</v>
      </c>
      <c r="L2448" s="25">
        <v>1070</v>
      </c>
      <c r="M2448" s="26">
        <v>5.89</v>
      </c>
      <c r="N2448" s="27">
        <v>5.89</v>
      </c>
      <c r="O2448" s="28">
        <v>5.3545454545454538E-3</v>
      </c>
      <c r="P2448" s="28">
        <v>5.5772566371681407</v>
      </c>
    </row>
    <row r="2449" spans="1:16" x14ac:dyDescent="0.3">
      <c r="A2449" t="s">
        <v>5329</v>
      </c>
      <c r="B2449" s="24">
        <v>100581</v>
      </c>
      <c r="C2449" s="24" t="s">
        <v>1232</v>
      </c>
      <c r="D2449" s="24" t="s">
        <v>1102</v>
      </c>
      <c r="E2449" s="24" t="s">
        <v>51</v>
      </c>
      <c r="F2449" s="24" t="s">
        <v>1142</v>
      </c>
      <c r="G2449" s="24" t="s">
        <v>1233</v>
      </c>
      <c r="H2449" s="24" t="s">
        <v>68</v>
      </c>
      <c r="I2449" s="24" t="s">
        <v>1926</v>
      </c>
      <c r="J2449" s="24" t="s">
        <v>761</v>
      </c>
      <c r="K2449" s="24" t="s">
        <v>1146</v>
      </c>
      <c r="L2449" s="25">
        <v>1070</v>
      </c>
      <c r="M2449" s="26">
        <v>7.5</v>
      </c>
      <c r="N2449" s="27">
        <v>7.5</v>
      </c>
      <c r="O2449" s="28">
        <v>6.8181818181818179E-3</v>
      </c>
      <c r="P2449" s="28">
        <v>7.1017699115044248</v>
      </c>
    </row>
    <row r="2450" spans="1:16" x14ac:dyDescent="0.3">
      <c r="A2450" t="s">
        <v>5330</v>
      </c>
      <c r="B2450" s="24">
        <v>101206</v>
      </c>
      <c r="C2450" s="24" t="s">
        <v>1199</v>
      </c>
      <c r="D2450" s="24" t="s">
        <v>1102</v>
      </c>
      <c r="E2450" s="24" t="s">
        <v>51</v>
      </c>
      <c r="F2450" s="24" t="s">
        <v>1142</v>
      </c>
      <c r="G2450" s="24" t="s">
        <v>1200</v>
      </c>
      <c r="H2450" s="24" t="s">
        <v>68</v>
      </c>
      <c r="I2450" s="24" t="s">
        <v>1926</v>
      </c>
      <c r="J2450" s="24" t="s">
        <v>761</v>
      </c>
      <c r="K2450" s="24" t="s">
        <v>1146</v>
      </c>
      <c r="L2450" s="25">
        <v>1070</v>
      </c>
      <c r="M2450" s="26">
        <v>7.5</v>
      </c>
      <c r="N2450" s="27">
        <v>7.5</v>
      </c>
      <c r="O2450" s="28">
        <v>6.8181818181818179E-3</v>
      </c>
      <c r="P2450" s="28">
        <v>7.1017699115044248</v>
      </c>
    </row>
    <row r="2451" spans="1:16" x14ac:dyDescent="0.3">
      <c r="A2451" t="s">
        <v>5331</v>
      </c>
      <c r="B2451" s="24">
        <v>101424</v>
      </c>
      <c r="C2451" s="24" t="s">
        <v>1278</v>
      </c>
      <c r="D2451" s="24" t="s">
        <v>1102</v>
      </c>
      <c r="E2451" s="24" t="s">
        <v>51</v>
      </c>
      <c r="F2451" s="24" t="s">
        <v>1142</v>
      </c>
      <c r="G2451" s="24" t="s">
        <v>1203</v>
      </c>
      <c r="H2451" s="24" t="s">
        <v>68</v>
      </c>
      <c r="I2451" s="24" t="s">
        <v>1926</v>
      </c>
      <c r="J2451" s="24" t="s">
        <v>761</v>
      </c>
      <c r="K2451" s="24" t="s">
        <v>1146</v>
      </c>
      <c r="L2451" s="25">
        <v>1070</v>
      </c>
      <c r="M2451" s="26">
        <v>7.5</v>
      </c>
      <c r="N2451" s="27">
        <v>7.5</v>
      </c>
      <c r="O2451" s="28">
        <v>6.8181818181818179E-3</v>
      </c>
      <c r="P2451" s="28">
        <v>7.1017699115044248</v>
      </c>
    </row>
    <row r="2452" spans="1:16" x14ac:dyDescent="0.3">
      <c r="A2452" t="s">
        <v>5332</v>
      </c>
      <c r="B2452" s="24">
        <v>100581</v>
      </c>
      <c r="C2452" s="24" t="s">
        <v>1232</v>
      </c>
      <c r="D2452" s="24" t="s">
        <v>1102</v>
      </c>
      <c r="E2452" s="24" t="s">
        <v>366</v>
      </c>
      <c r="F2452" s="24" t="s">
        <v>1142</v>
      </c>
      <c r="G2452" s="24" t="s">
        <v>1233</v>
      </c>
      <c r="H2452" s="24" t="s">
        <v>368</v>
      </c>
      <c r="I2452" s="24" t="s">
        <v>1927</v>
      </c>
      <c r="J2452" s="24" t="s">
        <v>761</v>
      </c>
      <c r="K2452" s="24" t="s">
        <v>1146</v>
      </c>
      <c r="L2452" s="25">
        <v>1070</v>
      </c>
      <c r="M2452" s="26">
        <v>10.69</v>
      </c>
      <c r="N2452" s="27">
        <v>10.69</v>
      </c>
      <c r="O2452" s="28">
        <v>9.7181818181818185E-3</v>
      </c>
      <c r="P2452" s="28">
        <v>10.122389380530972</v>
      </c>
    </row>
    <row r="2453" spans="1:16" x14ac:dyDescent="0.3">
      <c r="A2453" t="s">
        <v>5333</v>
      </c>
      <c r="B2453" s="24">
        <v>100603</v>
      </c>
      <c r="C2453" s="24" t="s">
        <v>1277</v>
      </c>
      <c r="D2453" s="24" t="s">
        <v>1102</v>
      </c>
      <c r="E2453" s="24" t="s">
        <v>366</v>
      </c>
      <c r="F2453" s="24" t="s">
        <v>1142</v>
      </c>
      <c r="G2453" s="24" t="s">
        <v>1082</v>
      </c>
      <c r="H2453" s="24" t="s">
        <v>368</v>
      </c>
      <c r="I2453" s="24" t="s">
        <v>1927</v>
      </c>
      <c r="J2453" s="24" t="s">
        <v>761</v>
      </c>
      <c r="K2453" s="24" t="s">
        <v>1146</v>
      </c>
      <c r="L2453" s="25">
        <v>1070</v>
      </c>
      <c r="M2453" s="26">
        <v>10.69</v>
      </c>
      <c r="N2453" s="27">
        <v>10.69</v>
      </c>
      <c r="O2453" s="28">
        <v>9.7181818181818185E-3</v>
      </c>
      <c r="P2453" s="28">
        <v>10.122389380530972</v>
      </c>
    </row>
    <row r="2454" spans="1:16" x14ac:dyDescent="0.3">
      <c r="A2454" t="s">
        <v>5334</v>
      </c>
      <c r="B2454" s="24">
        <v>101424</v>
      </c>
      <c r="C2454" s="24" t="s">
        <v>1278</v>
      </c>
      <c r="D2454" s="24" t="s">
        <v>1102</v>
      </c>
      <c r="E2454" s="24" t="s">
        <v>366</v>
      </c>
      <c r="F2454" s="24" t="s">
        <v>1142</v>
      </c>
      <c r="G2454" s="24" t="s">
        <v>1203</v>
      </c>
      <c r="H2454" s="24" t="s">
        <v>368</v>
      </c>
      <c r="I2454" s="24" t="s">
        <v>1927</v>
      </c>
      <c r="J2454" s="24" t="s">
        <v>761</v>
      </c>
      <c r="K2454" s="24" t="s">
        <v>1146</v>
      </c>
      <c r="L2454" s="25">
        <v>1070</v>
      </c>
      <c r="M2454" s="26">
        <v>10.69</v>
      </c>
      <c r="N2454" s="27">
        <v>10.69</v>
      </c>
      <c r="O2454" s="28">
        <v>9.7181818181818185E-3</v>
      </c>
      <c r="P2454" s="28">
        <v>10.122389380530972</v>
      </c>
    </row>
    <row r="2455" spans="1:16" x14ac:dyDescent="0.3">
      <c r="A2455" t="s">
        <v>5335</v>
      </c>
      <c r="B2455" s="24">
        <v>100581</v>
      </c>
      <c r="C2455" s="24" t="s">
        <v>1232</v>
      </c>
      <c r="D2455" s="24" t="s">
        <v>1102</v>
      </c>
      <c r="E2455" s="24" t="s">
        <v>51</v>
      </c>
      <c r="F2455" s="24" t="s">
        <v>1142</v>
      </c>
      <c r="G2455" s="24" t="s">
        <v>1233</v>
      </c>
      <c r="H2455" s="24" t="s">
        <v>135</v>
      </c>
      <c r="I2455" s="24" t="s">
        <v>1928</v>
      </c>
      <c r="J2455" s="24" t="s">
        <v>761</v>
      </c>
      <c r="K2455" s="24" t="s">
        <v>1146</v>
      </c>
      <c r="L2455" s="25">
        <v>1070</v>
      </c>
      <c r="M2455" s="26">
        <v>7.1</v>
      </c>
      <c r="N2455" s="27">
        <v>7.1</v>
      </c>
      <c r="O2455" s="28">
        <v>6.4545454545454541E-3</v>
      </c>
      <c r="P2455" s="28">
        <v>6.7230088495575222</v>
      </c>
    </row>
    <row r="2456" spans="1:16" x14ac:dyDescent="0.3">
      <c r="A2456" t="s">
        <v>5336</v>
      </c>
      <c r="B2456" s="24">
        <v>101184</v>
      </c>
      <c r="C2456" s="24" t="s">
        <v>1401</v>
      </c>
      <c r="D2456" s="24" t="s">
        <v>1102</v>
      </c>
      <c r="E2456" s="24" t="s">
        <v>51</v>
      </c>
      <c r="F2456" s="24" t="s">
        <v>1142</v>
      </c>
      <c r="G2456" s="24" t="s">
        <v>1402</v>
      </c>
      <c r="H2456" s="24" t="s">
        <v>194</v>
      </c>
      <c r="I2456" s="24" t="s">
        <v>1929</v>
      </c>
      <c r="J2456" s="24" t="s">
        <v>761</v>
      </c>
      <c r="K2456" s="24" t="s">
        <v>1146</v>
      </c>
      <c r="L2456" s="25">
        <v>1070</v>
      </c>
      <c r="M2456" s="26">
        <v>5.49</v>
      </c>
      <c r="N2456" s="27">
        <v>5.49</v>
      </c>
      <c r="O2456" s="28">
        <v>4.990909090909091E-3</v>
      </c>
      <c r="P2456" s="28">
        <v>5.198495575221239</v>
      </c>
    </row>
    <row r="2457" spans="1:16" x14ac:dyDescent="0.3">
      <c r="A2457" t="s">
        <v>5337</v>
      </c>
      <c r="B2457" s="24">
        <v>142310</v>
      </c>
      <c r="C2457" s="24" t="s">
        <v>1474</v>
      </c>
      <c r="D2457" s="24" t="s">
        <v>1102</v>
      </c>
      <c r="E2457" s="24" t="s">
        <v>51</v>
      </c>
      <c r="F2457" s="24" t="s">
        <v>1142</v>
      </c>
      <c r="G2457" s="24" t="s">
        <v>1402</v>
      </c>
      <c r="H2457" s="24" t="s">
        <v>194</v>
      </c>
      <c r="I2457" s="24" t="s">
        <v>1929</v>
      </c>
      <c r="J2457" s="24" t="s">
        <v>761</v>
      </c>
      <c r="K2457" s="24" t="s">
        <v>1146</v>
      </c>
      <c r="L2457" s="25">
        <v>1070</v>
      </c>
      <c r="M2457" s="26">
        <v>5.49</v>
      </c>
      <c r="N2457" s="27">
        <v>5.49</v>
      </c>
      <c r="O2457" s="28">
        <v>4.990909090909091E-3</v>
      </c>
      <c r="P2457" s="28">
        <v>5.198495575221239</v>
      </c>
    </row>
    <row r="2458" spans="1:16" x14ac:dyDescent="0.3">
      <c r="A2458" t="s">
        <v>5338</v>
      </c>
      <c r="B2458" s="24">
        <v>100581</v>
      </c>
      <c r="C2458" s="24" t="s">
        <v>1232</v>
      </c>
      <c r="D2458" s="24" t="s">
        <v>1102</v>
      </c>
      <c r="E2458" s="24" t="s">
        <v>51</v>
      </c>
      <c r="F2458" s="24" t="s">
        <v>1142</v>
      </c>
      <c r="G2458" s="24" t="s">
        <v>1233</v>
      </c>
      <c r="H2458" s="24" t="s">
        <v>195</v>
      </c>
      <c r="I2458" s="24" t="s">
        <v>1929</v>
      </c>
      <c r="J2458" s="24" t="s">
        <v>761</v>
      </c>
      <c r="K2458" s="24" t="s">
        <v>1146</v>
      </c>
      <c r="L2458" s="25">
        <v>1070</v>
      </c>
      <c r="M2458" s="26">
        <v>5.58</v>
      </c>
      <c r="N2458" s="27">
        <v>5.58</v>
      </c>
      <c r="O2458" s="28">
        <v>5.072727272727273E-3</v>
      </c>
      <c r="P2458" s="28">
        <v>5.2837168141592921</v>
      </c>
    </row>
    <row r="2459" spans="1:16" x14ac:dyDescent="0.3">
      <c r="A2459" t="s">
        <v>5339</v>
      </c>
      <c r="B2459" s="24">
        <v>101186</v>
      </c>
      <c r="C2459" s="24" t="s">
        <v>1273</v>
      </c>
      <c r="D2459" s="24" t="s">
        <v>1102</v>
      </c>
      <c r="E2459" s="24" t="s">
        <v>51</v>
      </c>
      <c r="F2459" s="24" t="s">
        <v>1142</v>
      </c>
      <c r="G2459" s="24" t="s">
        <v>1203</v>
      </c>
      <c r="H2459" s="24" t="s">
        <v>195</v>
      </c>
      <c r="I2459" s="24" t="s">
        <v>1929</v>
      </c>
      <c r="J2459" s="24" t="s">
        <v>761</v>
      </c>
      <c r="K2459" s="24" t="s">
        <v>1146</v>
      </c>
      <c r="L2459" s="25">
        <v>1070</v>
      </c>
      <c r="M2459" s="26">
        <v>5.58</v>
      </c>
      <c r="N2459" s="27">
        <v>5.58</v>
      </c>
      <c r="O2459" s="28">
        <v>5.072727272727273E-3</v>
      </c>
      <c r="P2459" s="28">
        <v>5.2837168141592921</v>
      </c>
    </row>
    <row r="2460" spans="1:16" x14ac:dyDescent="0.3">
      <c r="A2460" t="s">
        <v>5340</v>
      </c>
      <c r="B2460" s="24">
        <v>100581</v>
      </c>
      <c r="C2460" s="24" t="s">
        <v>1232</v>
      </c>
      <c r="D2460" s="24" t="s">
        <v>1102</v>
      </c>
      <c r="E2460" s="24" t="s">
        <v>51</v>
      </c>
      <c r="F2460" s="24" t="s">
        <v>1142</v>
      </c>
      <c r="G2460" s="24" t="s">
        <v>1233</v>
      </c>
      <c r="H2460" s="24" t="s">
        <v>272</v>
      </c>
      <c r="I2460" s="24" t="s">
        <v>1930</v>
      </c>
      <c r="J2460" s="24" t="s">
        <v>761</v>
      </c>
      <c r="K2460" s="24" t="s">
        <v>1146</v>
      </c>
      <c r="L2460" s="25">
        <v>1070</v>
      </c>
      <c r="M2460" s="26">
        <v>64</v>
      </c>
      <c r="N2460" s="27">
        <v>64</v>
      </c>
      <c r="O2460" s="28">
        <v>5.8181818181818182E-2</v>
      </c>
      <c r="P2460" s="28">
        <v>60.601769911504427</v>
      </c>
    </row>
    <row r="2461" spans="1:16" x14ac:dyDescent="0.3">
      <c r="A2461" t="s">
        <v>5341</v>
      </c>
      <c r="B2461" s="24">
        <v>100603</v>
      </c>
      <c r="C2461" s="24" t="s">
        <v>1277</v>
      </c>
      <c r="D2461" s="24" t="s">
        <v>1102</v>
      </c>
      <c r="E2461" s="24" t="s">
        <v>51</v>
      </c>
      <c r="F2461" s="24" t="s">
        <v>1142</v>
      </c>
      <c r="G2461" s="24" t="s">
        <v>1082</v>
      </c>
      <c r="H2461" s="24" t="s">
        <v>272</v>
      </c>
      <c r="I2461" s="24" t="s">
        <v>1930</v>
      </c>
      <c r="J2461" s="24" t="s">
        <v>761</v>
      </c>
      <c r="K2461" s="24" t="s">
        <v>1146</v>
      </c>
      <c r="L2461" s="25">
        <v>1070</v>
      </c>
      <c r="M2461" s="26">
        <v>64</v>
      </c>
      <c r="N2461" s="27">
        <v>64</v>
      </c>
      <c r="O2461" s="28">
        <v>5.8181818181818182E-2</v>
      </c>
      <c r="P2461" s="28">
        <v>60.601769911504427</v>
      </c>
    </row>
    <row r="2462" spans="1:16" x14ac:dyDescent="0.3">
      <c r="A2462" t="s">
        <v>5342</v>
      </c>
      <c r="B2462" s="24">
        <v>101186</v>
      </c>
      <c r="C2462" s="24" t="s">
        <v>1273</v>
      </c>
      <c r="D2462" s="24" t="s">
        <v>1102</v>
      </c>
      <c r="E2462" s="24" t="s">
        <v>51</v>
      </c>
      <c r="F2462" s="24" t="s">
        <v>1142</v>
      </c>
      <c r="G2462" s="24" t="s">
        <v>1203</v>
      </c>
      <c r="H2462" s="24" t="s">
        <v>272</v>
      </c>
      <c r="I2462" s="24" t="s">
        <v>1930</v>
      </c>
      <c r="J2462" s="24" t="s">
        <v>761</v>
      </c>
      <c r="K2462" s="24" t="s">
        <v>1146</v>
      </c>
      <c r="L2462" s="25">
        <v>1070</v>
      </c>
      <c r="M2462" s="26">
        <v>64</v>
      </c>
      <c r="N2462" s="27">
        <v>64</v>
      </c>
      <c r="O2462" s="28">
        <v>5.8181818181818182E-2</v>
      </c>
      <c r="P2462" s="28">
        <v>60.601769911504427</v>
      </c>
    </row>
    <row r="2463" spans="1:16" x14ac:dyDescent="0.3">
      <c r="A2463" t="s">
        <v>5343</v>
      </c>
      <c r="B2463" s="24">
        <v>101206</v>
      </c>
      <c r="C2463" s="24" t="s">
        <v>1199</v>
      </c>
      <c r="D2463" s="24" t="s">
        <v>1102</v>
      </c>
      <c r="E2463" s="24" t="s">
        <v>51</v>
      </c>
      <c r="F2463" s="24" t="s">
        <v>1142</v>
      </c>
      <c r="G2463" s="24" t="s">
        <v>1200</v>
      </c>
      <c r="H2463" s="24" t="s">
        <v>272</v>
      </c>
      <c r="I2463" s="24" t="s">
        <v>1930</v>
      </c>
      <c r="J2463" s="24" t="s">
        <v>761</v>
      </c>
      <c r="K2463" s="24" t="s">
        <v>1146</v>
      </c>
      <c r="L2463" s="25">
        <v>1070</v>
      </c>
      <c r="M2463" s="26">
        <v>64</v>
      </c>
      <c r="N2463" s="27">
        <v>64</v>
      </c>
      <c r="O2463" s="28">
        <v>5.8181818181818182E-2</v>
      </c>
      <c r="P2463" s="28">
        <v>60.601769911504427</v>
      </c>
    </row>
    <row r="2464" spans="1:16" x14ac:dyDescent="0.3">
      <c r="A2464" t="s">
        <v>5344</v>
      </c>
      <c r="B2464" s="24">
        <v>101424</v>
      </c>
      <c r="C2464" s="24" t="s">
        <v>1278</v>
      </c>
      <c r="D2464" s="24" t="s">
        <v>1102</v>
      </c>
      <c r="E2464" s="24" t="s">
        <v>51</v>
      </c>
      <c r="F2464" s="24" t="s">
        <v>1142</v>
      </c>
      <c r="G2464" s="24" t="s">
        <v>1203</v>
      </c>
      <c r="H2464" s="24" t="s">
        <v>272</v>
      </c>
      <c r="I2464" s="24" t="s">
        <v>1930</v>
      </c>
      <c r="J2464" s="24" t="s">
        <v>761</v>
      </c>
      <c r="K2464" s="24" t="s">
        <v>1146</v>
      </c>
      <c r="L2464" s="25">
        <v>1070</v>
      </c>
      <c r="M2464" s="26">
        <v>64</v>
      </c>
      <c r="N2464" s="27">
        <v>64</v>
      </c>
      <c r="O2464" s="28">
        <v>5.8181818181818182E-2</v>
      </c>
      <c r="P2464" s="28">
        <v>60.601769911504427</v>
      </c>
    </row>
    <row r="2465" spans="1:16" x14ac:dyDescent="0.3">
      <c r="A2465" t="s">
        <v>5345</v>
      </c>
      <c r="B2465" s="24">
        <v>114501</v>
      </c>
      <c r="C2465" s="24" t="s">
        <v>1409</v>
      </c>
      <c r="D2465" s="24" t="s">
        <v>1102</v>
      </c>
      <c r="E2465" s="24" t="s">
        <v>51</v>
      </c>
      <c r="F2465" s="24" t="s">
        <v>1142</v>
      </c>
      <c r="G2465" s="24" t="s">
        <v>1402</v>
      </c>
      <c r="H2465" s="24" t="s">
        <v>272</v>
      </c>
      <c r="I2465" s="24" t="s">
        <v>1930</v>
      </c>
      <c r="J2465" s="24" t="s">
        <v>761</v>
      </c>
      <c r="K2465" s="24" t="s">
        <v>1146</v>
      </c>
      <c r="L2465" s="25">
        <v>1070</v>
      </c>
      <c r="M2465" s="26">
        <v>64</v>
      </c>
      <c r="N2465" s="27">
        <v>64</v>
      </c>
      <c r="O2465" s="28">
        <v>5.8181818181818182E-2</v>
      </c>
      <c r="P2465" s="28">
        <v>60.601769911504427</v>
      </c>
    </row>
    <row r="2466" spans="1:16" x14ac:dyDescent="0.3">
      <c r="A2466" t="s">
        <v>5346</v>
      </c>
      <c r="B2466" s="24">
        <v>100581</v>
      </c>
      <c r="C2466" s="24" t="s">
        <v>1232</v>
      </c>
      <c r="D2466" s="24" t="s">
        <v>1102</v>
      </c>
      <c r="E2466" s="24" t="s">
        <v>51</v>
      </c>
      <c r="F2466" s="24" t="s">
        <v>1142</v>
      </c>
      <c r="G2466" s="24" t="s">
        <v>1233</v>
      </c>
      <c r="H2466" s="24" t="s">
        <v>273</v>
      </c>
      <c r="I2466" s="24" t="s">
        <v>1931</v>
      </c>
      <c r="J2466" s="24" t="s">
        <v>761</v>
      </c>
      <c r="K2466" s="24" t="s">
        <v>1146</v>
      </c>
      <c r="L2466" s="25">
        <v>1070</v>
      </c>
      <c r="M2466" s="26">
        <v>117.53</v>
      </c>
      <c r="N2466" s="27">
        <v>117.53</v>
      </c>
      <c r="O2466" s="28">
        <v>0.10684545454545455</v>
      </c>
      <c r="P2466" s="28">
        <v>111.28946902654867</v>
      </c>
    </row>
    <row r="2467" spans="1:16" x14ac:dyDescent="0.3">
      <c r="A2467" t="s">
        <v>5347</v>
      </c>
      <c r="B2467" s="24">
        <v>101186</v>
      </c>
      <c r="C2467" s="24" t="s">
        <v>1273</v>
      </c>
      <c r="D2467" s="24" t="s">
        <v>1102</v>
      </c>
      <c r="E2467" s="24" t="s">
        <v>51</v>
      </c>
      <c r="F2467" s="24" t="s">
        <v>1142</v>
      </c>
      <c r="G2467" s="24" t="s">
        <v>1203</v>
      </c>
      <c r="H2467" s="24" t="s">
        <v>273</v>
      </c>
      <c r="I2467" s="24" t="s">
        <v>1931</v>
      </c>
      <c r="J2467" s="24" t="s">
        <v>761</v>
      </c>
      <c r="K2467" s="24" t="s">
        <v>1146</v>
      </c>
      <c r="L2467" s="25">
        <v>1070</v>
      </c>
      <c r="M2467" s="26">
        <v>117.53</v>
      </c>
      <c r="N2467" s="27">
        <v>117.53</v>
      </c>
      <c r="O2467" s="28">
        <v>0.10684545454545455</v>
      </c>
      <c r="P2467" s="28">
        <v>111.28946902654867</v>
      </c>
    </row>
    <row r="2468" spans="1:16" x14ac:dyDescent="0.3">
      <c r="A2468" t="s">
        <v>5348</v>
      </c>
      <c r="B2468" s="24">
        <v>101206</v>
      </c>
      <c r="C2468" s="24" t="s">
        <v>1199</v>
      </c>
      <c r="D2468" s="24" t="s">
        <v>1102</v>
      </c>
      <c r="E2468" s="24" t="s">
        <v>51</v>
      </c>
      <c r="F2468" s="24" t="s">
        <v>1142</v>
      </c>
      <c r="G2468" s="24" t="s">
        <v>1200</v>
      </c>
      <c r="H2468" s="24" t="s">
        <v>273</v>
      </c>
      <c r="I2468" s="24" t="s">
        <v>1931</v>
      </c>
      <c r="J2468" s="24" t="s">
        <v>761</v>
      </c>
      <c r="K2468" s="24" t="s">
        <v>1146</v>
      </c>
      <c r="L2468" s="25">
        <v>1070</v>
      </c>
      <c r="M2468" s="26">
        <v>117.53</v>
      </c>
      <c r="N2468" s="27">
        <v>117.53</v>
      </c>
      <c r="O2468" s="28">
        <v>0.10684545454545455</v>
      </c>
      <c r="P2468" s="28">
        <v>111.28946902654867</v>
      </c>
    </row>
    <row r="2469" spans="1:16" x14ac:dyDescent="0.3">
      <c r="A2469" t="s">
        <v>5349</v>
      </c>
      <c r="B2469" s="24">
        <v>101424</v>
      </c>
      <c r="C2469" s="24" t="s">
        <v>1278</v>
      </c>
      <c r="D2469" s="24" t="s">
        <v>1102</v>
      </c>
      <c r="E2469" s="24" t="s">
        <v>51</v>
      </c>
      <c r="F2469" s="24" t="s">
        <v>1142</v>
      </c>
      <c r="G2469" s="24" t="s">
        <v>1203</v>
      </c>
      <c r="H2469" s="24" t="s">
        <v>273</v>
      </c>
      <c r="I2469" s="24" t="s">
        <v>1931</v>
      </c>
      <c r="J2469" s="24" t="s">
        <v>761</v>
      </c>
      <c r="K2469" s="24" t="s">
        <v>1146</v>
      </c>
      <c r="L2469" s="25">
        <v>1070</v>
      </c>
      <c r="M2469" s="26">
        <v>117.53</v>
      </c>
      <c r="N2469" s="27">
        <v>117.53</v>
      </c>
      <c r="O2469" s="28">
        <v>0.10684545454545455</v>
      </c>
      <c r="P2469" s="28">
        <v>111.28946902654867</v>
      </c>
    </row>
    <row r="2470" spans="1:16" x14ac:dyDescent="0.3">
      <c r="A2470" t="s">
        <v>5350</v>
      </c>
      <c r="B2470" s="24">
        <v>111550</v>
      </c>
      <c r="C2470" s="24" t="s">
        <v>1582</v>
      </c>
      <c r="D2470" s="24" t="s">
        <v>1102</v>
      </c>
      <c r="E2470" s="24" t="s">
        <v>51</v>
      </c>
      <c r="F2470" s="24" t="s">
        <v>1142</v>
      </c>
      <c r="G2470" s="24" t="s">
        <v>1402</v>
      </c>
      <c r="H2470" s="24" t="s">
        <v>273</v>
      </c>
      <c r="I2470" s="24" t="s">
        <v>1931</v>
      </c>
      <c r="J2470" s="24" t="s">
        <v>761</v>
      </c>
      <c r="K2470" s="24" t="s">
        <v>1146</v>
      </c>
      <c r="L2470" s="25">
        <v>1070</v>
      </c>
      <c r="M2470" s="26">
        <v>117.53</v>
      </c>
      <c r="N2470" s="27">
        <v>117.53</v>
      </c>
      <c r="O2470" s="28">
        <v>0.10684545454545455</v>
      </c>
      <c r="P2470" s="28">
        <v>111.28946902654867</v>
      </c>
    </row>
    <row r="2471" spans="1:16" x14ac:dyDescent="0.3">
      <c r="A2471" t="s">
        <v>5351</v>
      </c>
      <c r="B2471" s="24">
        <v>100581</v>
      </c>
      <c r="C2471" s="24" t="s">
        <v>1232</v>
      </c>
      <c r="D2471" s="24" t="s">
        <v>1102</v>
      </c>
      <c r="E2471" s="24" t="s">
        <v>51</v>
      </c>
      <c r="F2471" s="24" t="s">
        <v>1142</v>
      </c>
      <c r="G2471" s="24" t="s">
        <v>1233</v>
      </c>
      <c r="H2471" s="24" t="s">
        <v>269</v>
      </c>
      <c r="I2471" s="24" t="s">
        <v>1932</v>
      </c>
      <c r="J2471" s="24" t="s">
        <v>761</v>
      </c>
      <c r="K2471" s="24" t="s">
        <v>1146</v>
      </c>
      <c r="L2471" s="25">
        <v>1070</v>
      </c>
      <c r="M2471" s="26">
        <v>136.15</v>
      </c>
      <c r="N2471" s="27">
        <v>136.15</v>
      </c>
      <c r="O2471" s="28">
        <v>0.12377272727272728</v>
      </c>
      <c r="P2471" s="28">
        <v>128.920796460177</v>
      </c>
    </row>
    <row r="2472" spans="1:16" x14ac:dyDescent="0.3">
      <c r="A2472" t="s">
        <v>5352</v>
      </c>
      <c r="B2472" s="24">
        <v>100603</v>
      </c>
      <c r="C2472" s="24" t="s">
        <v>1277</v>
      </c>
      <c r="D2472" s="24" t="s">
        <v>1102</v>
      </c>
      <c r="E2472" s="24" t="s">
        <v>51</v>
      </c>
      <c r="F2472" s="24" t="s">
        <v>1142</v>
      </c>
      <c r="G2472" s="24" t="s">
        <v>1082</v>
      </c>
      <c r="H2472" s="24" t="s">
        <v>361</v>
      </c>
      <c r="I2472" s="24" t="s">
        <v>1933</v>
      </c>
      <c r="J2472" s="24" t="s">
        <v>761</v>
      </c>
      <c r="K2472" s="24" t="s">
        <v>1146</v>
      </c>
      <c r="L2472" s="25">
        <v>1070</v>
      </c>
      <c r="M2472" s="26">
        <v>6.95</v>
      </c>
      <c r="N2472" s="27">
        <v>6.95</v>
      </c>
      <c r="O2472" s="28">
        <v>6.3181818181818183E-3</v>
      </c>
      <c r="P2472" s="28">
        <v>6.5809734513274334</v>
      </c>
    </row>
    <row r="2473" spans="1:16" x14ac:dyDescent="0.3">
      <c r="A2473" t="s">
        <v>5353</v>
      </c>
      <c r="B2473" s="24">
        <v>101424</v>
      </c>
      <c r="C2473" s="24" t="s">
        <v>1278</v>
      </c>
      <c r="D2473" s="24" t="s">
        <v>1102</v>
      </c>
      <c r="E2473" s="24" t="s">
        <v>51</v>
      </c>
      <c r="F2473" s="24" t="s">
        <v>1142</v>
      </c>
      <c r="G2473" s="24" t="s">
        <v>1203</v>
      </c>
      <c r="H2473" s="24" t="s">
        <v>361</v>
      </c>
      <c r="I2473" s="24" t="s">
        <v>1933</v>
      </c>
      <c r="J2473" s="24" t="s">
        <v>761</v>
      </c>
      <c r="K2473" s="24" t="s">
        <v>1146</v>
      </c>
      <c r="L2473" s="25">
        <v>1070</v>
      </c>
      <c r="M2473" s="26">
        <v>6.95</v>
      </c>
      <c r="N2473" s="27">
        <v>6.95</v>
      </c>
      <c r="O2473" s="28">
        <v>6.3181818181818183E-3</v>
      </c>
      <c r="P2473" s="28">
        <v>6.5809734513274334</v>
      </c>
    </row>
    <row r="2474" spans="1:16" x14ac:dyDescent="0.3">
      <c r="A2474" t="s">
        <v>5354</v>
      </c>
      <c r="B2474" s="24">
        <v>101424</v>
      </c>
      <c r="C2474" s="24" t="s">
        <v>1278</v>
      </c>
      <c r="D2474" s="24" t="s">
        <v>1102</v>
      </c>
      <c r="E2474" s="24" t="s">
        <v>51</v>
      </c>
      <c r="F2474" s="24" t="s">
        <v>1142</v>
      </c>
      <c r="G2474" s="24" t="s">
        <v>1203</v>
      </c>
      <c r="H2474" s="24" t="s">
        <v>362</v>
      </c>
      <c r="I2474" s="24" t="s">
        <v>1934</v>
      </c>
      <c r="J2474" s="24" t="s">
        <v>761</v>
      </c>
      <c r="K2474" s="24" t="s">
        <v>1146</v>
      </c>
      <c r="L2474" s="25">
        <v>1070</v>
      </c>
      <c r="M2474" s="26">
        <v>8.92</v>
      </c>
      <c r="N2474" s="27">
        <v>8.92</v>
      </c>
      <c r="O2474" s="28">
        <v>8.1090909090909095E-3</v>
      </c>
      <c r="P2474" s="28">
        <v>8.4463716814159291</v>
      </c>
    </row>
    <row r="2475" spans="1:16" x14ac:dyDescent="0.3">
      <c r="A2475" t="s">
        <v>5355</v>
      </c>
      <c r="B2475" s="24">
        <v>101186</v>
      </c>
      <c r="C2475" s="24" t="s">
        <v>1273</v>
      </c>
      <c r="D2475" s="24" t="s">
        <v>1102</v>
      </c>
      <c r="E2475" s="24" t="s">
        <v>51</v>
      </c>
      <c r="F2475" s="24" t="s">
        <v>1142</v>
      </c>
      <c r="G2475" s="24" t="s">
        <v>1203</v>
      </c>
      <c r="H2475" s="24" t="s">
        <v>92</v>
      </c>
      <c r="I2475" s="24" t="s">
        <v>1935</v>
      </c>
      <c r="J2475" s="24" t="s">
        <v>761</v>
      </c>
      <c r="K2475" s="24" t="s">
        <v>1146</v>
      </c>
      <c r="L2475" s="25">
        <v>1070</v>
      </c>
      <c r="M2475" s="26">
        <v>11.3</v>
      </c>
      <c r="N2475" s="27">
        <v>11.3</v>
      </c>
      <c r="O2475" s="28">
        <v>1.0272727272727274E-2</v>
      </c>
      <c r="P2475" s="28">
        <v>10.7</v>
      </c>
    </row>
    <row r="2476" spans="1:16" x14ac:dyDescent="0.3">
      <c r="A2476" t="s">
        <v>5356</v>
      </c>
      <c r="B2476" s="24">
        <v>101424</v>
      </c>
      <c r="C2476" s="24" t="s">
        <v>1278</v>
      </c>
      <c r="D2476" s="24" t="s">
        <v>1102</v>
      </c>
      <c r="E2476" s="24" t="s">
        <v>51</v>
      </c>
      <c r="F2476" s="24" t="s">
        <v>1142</v>
      </c>
      <c r="G2476" s="24" t="s">
        <v>1203</v>
      </c>
      <c r="H2476" s="24" t="s">
        <v>92</v>
      </c>
      <c r="I2476" s="24" t="s">
        <v>1935</v>
      </c>
      <c r="J2476" s="24" t="s">
        <v>761</v>
      </c>
      <c r="K2476" s="24" t="s">
        <v>1146</v>
      </c>
      <c r="L2476" s="25">
        <v>1070</v>
      </c>
      <c r="M2476" s="26">
        <v>11.3</v>
      </c>
      <c r="N2476" s="27">
        <v>11.3</v>
      </c>
      <c r="O2476" s="28">
        <v>1.0272727272727274E-2</v>
      </c>
      <c r="P2476" s="28">
        <v>10.7</v>
      </c>
    </row>
    <row r="2477" spans="1:16" x14ac:dyDescent="0.3">
      <c r="A2477" t="s">
        <v>5357</v>
      </c>
      <c r="B2477" s="24">
        <v>106916</v>
      </c>
      <c r="C2477" s="24" t="s">
        <v>1216</v>
      </c>
      <c r="D2477" s="24" t="s">
        <v>1102</v>
      </c>
      <c r="E2477" s="24" t="s">
        <v>51</v>
      </c>
      <c r="F2477" s="24" t="s">
        <v>1142</v>
      </c>
      <c r="G2477" s="24" t="s">
        <v>1203</v>
      </c>
      <c r="H2477" s="24" t="s">
        <v>92</v>
      </c>
      <c r="I2477" s="24" t="s">
        <v>1935</v>
      </c>
      <c r="J2477" s="24" t="s">
        <v>761</v>
      </c>
      <c r="K2477" s="24" t="s">
        <v>1146</v>
      </c>
      <c r="L2477" s="25">
        <v>1070</v>
      </c>
      <c r="M2477" s="26">
        <v>11.3</v>
      </c>
      <c r="N2477" s="27">
        <v>11.3</v>
      </c>
      <c r="O2477" s="28">
        <v>1.0272727272727274E-2</v>
      </c>
      <c r="P2477" s="28">
        <v>10.7</v>
      </c>
    </row>
    <row r="2478" spans="1:16" x14ac:dyDescent="0.3">
      <c r="A2478" t="s">
        <v>5358</v>
      </c>
      <c r="B2478" s="24">
        <v>101186</v>
      </c>
      <c r="C2478" s="24" t="s">
        <v>1273</v>
      </c>
      <c r="D2478" s="24" t="s">
        <v>1102</v>
      </c>
      <c r="E2478" s="24" t="s">
        <v>51</v>
      </c>
      <c r="F2478" s="24" t="s">
        <v>1142</v>
      </c>
      <c r="G2478" s="24" t="s">
        <v>1203</v>
      </c>
      <c r="H2478" s="24" t="s">
        <v>158</v>
      </c>
      <c r="I2478" s="24" t="s">
        <v>1936</v>
      </c>
      <c r="J2478" s="24" t="s">
        <v>761</v>
      </c>
      <c r="K2478" s="24" t="s">
        <v>1146</v>
      </c>
      <c r="L2478" s="25">
        <v>1070</v>
      </c>
      <c r="M2478" s="26">
        <v>6.22</v>
      </c>
      <c r="N2478" s="27">
        <v>6.22</v>
      </c>
      <c r="O2478" s="28">
        <v>5.6545454545454546E-3</v>
      </c>
      <c r="P2478" s="28">
        <v>5.8897345132743357</v>
      </c>
    </row>
    <row r="2479" spans="1:16" x14ac:dyDescent="0.3">
      <c r="A2479" t="s">
        <v>5359</v>
      </c>
      <c r="B2479" s="24">
        <v>101206</v>
      </c>
      <c r="C2479" s="24" t="s">
        <v>1199</v>
      </c>
      <c r="D2479" s="24" t="s">
        <v>1102</v>
      </c>
      <c r="E2479" s="24" t="s">
        <v>51</v>
      </c>
      <c r="F2479" s="24" t="s">
        <v>1142</v>
      </c>
      <c r="G2479" s="24" t="s">
        <v>1200</v>
      </c>
      <c r="H2479" s="24" t="s">
        <v>158</v>
      </c>
      <c r="I2479" s="24" t="s">
        <v>1936</v>
      </c>
      <c r="J2479" s="24" t="s">
        <v>761</v>
      </c>
      <c r="K2479" s="24" t="s">
        <v>1146</v>
      </c>
      <c r="L2479" s="25">
        <v>1070</v>
      </c>
      <c r="M2479" s="26">
        <v>6.22</v>
      </c>
      <c r="N2479" s="27">
        <v>6.22</v>
      </c>
      <c r="O2479" s="28">
        <v>5.6545454545454546E-3</v>
      </c>
      <c r="P2479" s="28">
        <v>5.8897345132743357</v>
      </c>
    </row>
    <row r="2480" spans="1:16" x14ac:dyDescent="0.3">
      <c r="A2480" t="s">
        <v>5360</v>
      </c>
      <c r="B2480" s="24">
        <v>101424</v>
      </c>
      <c r="C2480" s="24" t="s">
        <v>1278</v>
      </c>
      <c r="D2480" s="24" t="s">
        <v>1102</v>
      </c>
      <c r="E2480" s="24" t="s">
        <v>51</v>
      </c>
      <c r="F2480" s="24" t="s">
        <v>1142</v>
      </c>
      <c r="G2480" s="24" t="s">
        <v>1203</v>
      </c>
      <c r="H2480" s="24" t="s">
        <v>158</v>
      </c>
      <c r="I2480" s="24" t="s">
        <v>1936</v>
      </c>
      <c r="J2480" s="24" t="s">
        <v>761</v>
      </c>
      <c r="K2480" s="24" t="s">
        <v>1146</v>
      </c>
      <c r="L2480" s="25">
        <v>1070</v>
      </c>
      <c r="M2480" s="26">
        <v>6.22</v>
      </c>
      <c r="N2480" s="27">
        <v>6.22</v>
      </c>
      <c r="O2480" s="28">
        <v>5.6545454545454546E-3</v>
      </c>
      <c r="P2480" s="28">
        <v>5.8897345132743357</v>
      </c>
    </row>
    <row r="2481" spans="1:16" x14ac:dyDescent="0.3">
      <c r="A2481" t="s">
        <v>5361</v>
      </c>
      <c r="B2481" s="24">
        <v>106916</v>
      </c>
      <c r="C2481" s="24" t="s">
        <v>1216</v>
      </c>
      <c r="D2481" s="24" t="s">
        <v>1102</v>
      </c>
      <c r="E2481" s="24" t="s">
        <v>51</v>
      </c>
      <c r="F2481" s="24" t="s">
        <v>1142</v>
      </c>
      <c r="G2481" s="24" t="s">
        <v>1203</v>
      </c>
      <c r="H2481" s="24" t="s">
        <v>158</v>
      </c>
      <c r="I2481" s="24" t="s">
        <v>1936</v>
      </c>
      <c r="J2481" s="24" t="s">
        <v>761</v>
      </c>
      <c r="K2481" s="24" t="s">
        <v>1146</v>
      </c>
      <c r="L2481" s="25">
        <v>1070</v>
      </c>
      <c r="M2481" s="26">
        <v>6.22</v>
      </c>
      <c r="N2481" s="27">
        <v>6.22</v>
      </c>
      <c r="O2481" s="28">
        <v>5.6545454545454546E-3</v>
      </c>
      <c r="P2481" s="28">
        <v>5.8897345132743357</v>
      </c>
    </row>
    <row r="2482" spans="1:16" x14ac:dyDescent="0.3">
      <c r="A2482" t="s">
        <v>5362</v>
      </c>
      <c r="B2482" s="24">
        <v>101424</v>
      </c>
      <c r="C2482" s="24" t="s">
        <v>1278</v>
      </c>
      <c r="D2482" s="24" t="s">
        <v>1102</v>
      </c>
      <c r="E2482" s="24" t="s">
        <v>51</v>
      </c>
      <c r="F2482" s="24" t="s">
        <v>1142</v>
      </c>
      <c r="G2482" s="24" t="s">
        <v>1203</v>
      </c>
      <c r="H2482" s="24" t="s">
        <v>1062</v>
      </c>
      <c r="I2482" s="24" t="s">
        <v>1937</v>
      </c>
      <c r="J2482" s="24" t="s">
        <v>761</v>
      </c>
      <c r="K2482" s="24" t="s">
        <v>1146</v>
      </c>
      <c r="L2482" s="25">
        <v>1070</v>
      </c>
      <c r="M2482" s="26">
        <v>5.0999999999999996</v>
      </c>
      <c r="N2482" s="27">
        <v>5.0999999999999996</v>
      </c>
      <c r="O2482" s="28">
        <v>4.6363636363636364E-3</v>
      </c>
      <c r="P2482" s="28">
        <v>4.8292035398230091</v>
      </c>
    </row>
    <row r="2483" spans="1:16" x14ac:dyDescent="0.3">
      <c r="A2483" t="s">
        <v>5363</v>
      </c>
      <c r="B2483" s="24">
        <v>101206</v>
      </c>
      <c r="C2483" s="24" t="s">
        <v>1199</v>
      </c>
      <c r="D2483" s="24" t="s">
        <v>1102</v>
      </c>
      <c r="E2483" s="24" t="s">
        <v>51</v>
      </c>
      <c r="F2483" s="24" t="s">
        <v>1142</v>
      </c>
      <c r="G2483" s="24" t="s">
        <v>1200</v>
      </c>
      <c r="H2483" s="24" t="s">
        <v>1938</v>
      </c>
      <c r="I2483" s="24" t="s">
        <v>1939</v>
      </c>
      <c r="J2483" s="24" t="s">
        <v>761</v>
      </c>
      <c r="K2483" s="24" t="s">
        <v>1146</v>
      </c>
      <c r="L2483" s="25">
        <v>1070</v>
      </c>
      <c r="M2483" s="26">
        <v>140</v>
      </c>
      <c r="N2483" s="27">
        <v>140</v>
      </c>
      <c r="O2483" s="28">
        <v>0.12727272727272726</v>
      </c>
      <c r="P2483" s="28">
        <v>132.56637168141592</v>
      </c>
    </row>
    <row r="2484" spans="1:16" x14ac:dyDescent="0.3">
      <c r="A2484" t="s">
        <v>5364</v>
      </c>
      <c r="B2484" s="24">
        <v>100581</v>
      </c>
      <c r="C2484" s="24" t="s">
        <v>1232</v>
      </c>
      <c r="D2484" s="24" t="s">
        <v>1102</v>
      </c>
      <c r="E2484" s="24" t="s">
        <v>51</v>
      </c>
      <c r="F2484" s="24" t="s">
        <v>1142</v>
      </c>
      <c r="G2484" s="24" t="s">
        <v>1233</v>
      </c>
      <c r="H2484" s="24" t="s">
        <v>1060</v>
      </c>
      <c r="I2484" s="24" t="s">
        <v>1940</v>
      </c>
      <c r="J2484" s="24" t="s">
        <v>761</v>
      </c>
      <c r="K2484" s="24" t="s">
        <v>1146</v>
      </c>
      <c r="L2484" s="25">
        <v>1070</v>
      </c>
      <c r="M2484" s="26">
        <v>7.2</v>
      </c>
      <c r="N2484" s="27">
        <v>7.2</v>
      </c>
      <c r="O2484" s="28">
        <v>6.5454545454545453E-3</v>
      </c>
      <c r="P2484" s="28">
        <v>6.8176991150442481</v>
      </c>
    </row>
    <row r="2485" spans="1:16" x14ac:dyDescent="0.3">
      <c r="A2485" t="s">
        <v>5365</v>
      </c>
      <c r="B2485" s="24">
        <v>101424</v>
      </c>
      <c r="C2485" s="24" t="s">
        <v>1278</v>
      </c>
      <c r="D2485" s="24" t="s">
        <v>1102</v>
      </c>
      <c r="E2485" s="24" t="s">
        <v>51</v>
      </c>
      <c r="F2485" s="24" t="s">
        <v>1142</v>
      </c>
      <c r="G2485" s="24" t="s">
        <v>1203</v>
      </c>
      <c r="H2485" s="24" t="s">
        <v>1060</v>
      </c>
      <c r="I2485" s="24" t="s">
        <v>1940</v>
      </c>
      <c r="J2485" s="24" t="s">
        <v>761</v>
      </c>
      <c r="K2485" s="24" t="s">
        <v>1146</v>
      </c>
      <c r="L2485" s="25">
        <v>1070</v>
      </c>
      <c r="M2485" s="26">
        <v>7.2</v>
      </c>
      <c r="N2485" s="27">
        <v>7.2</v>
      </c>
      <c r="O2485" s="28">
        <v>6.5454545454545453E-3</v>
      </c>
      <c r="P2485" s="28">
        <v>6.8176991150442481</v>
      </c>
    </row>
    <row r="2486" spans="1:16" x14ac:dyDescent="0.3">
      <c r="A2486" t="s">
        <v>5366</v>
      </c>
      <c r="B2486" s="24">
        <v>101186</v>
      </c>
      <c r="C2486" s="24" t="s">
        <v>1273</v>
      </c>
      <c r="D2486" s="24" t="s">
        <v>1102</v>
      </c>
      <c r="E2486" s="24" t="s">
        <v>51</v>
      </c>
      <c r="F2486" s="24" t="s">
        <v>1142</v>
      </c>
      <c r="G2486" s="24" t="s">
        <v>1203</v>
      </c>
      <c r="H2486" s="24" t="s">
        <v>63</v>
      </c>
      <c r="I2486" s="24" t="s">
        <v>1941</v>
      </c>
      <c r="J2486" s="24" t="s">
        <v>761</v>
      </c>
      <c r="K2486" s="24" t="s">
        <v>1146</v>
      </c>
      <c r="L2486" s="25">
        <v>1070</v>
      </c>
      <c r="M2486" s="26">
        <v>15.45</v>
      </c>
      <c r="N2486" s="27">
        <v>15.45</v>
      </c>
      <c r="O2486" s="28">
        <v>1.4045454545454545E-2</v>
      </c>
      <c r="P2486" s="28">
        <v>14.629646017699114</v>
      </c>
    </row>
    <row r="2487" spans="1:16" x14ac:dyDescent="0.3">
      <c r="A2487" t="s">
        <v>5367</v>
      </c>
      <c r="B2487" s="24">
        <v>106916</v>
      </c>
      <c r="C2487" s="24" t="s">
        <v>1216</v>
      </c>
      <c r="D2487" s="24" t="s">
        <v>1102</v>
      </c>
      <c r="E2487" s="24" t="s">
        <v>51</v>
      </c>
      <c r="F2487" s="24" t="s">
        <v>1142</v>
      </c>
      <c r="G2487" s="24" t="s">
        <v>1203</v>
      </c>
      <c r="H2487" s="24" t="s">
        <v>63</v>
      </c>
      <c r="I2487" s="24" t="s">
        <v>1941</v>
      </c>
      <c r="J2487" s="24" t="s">
        <v>761</v>
      </c>
      <c r="K2487" s="24" t="s">
        <v>1146</v>
      </c>
      <c r="L2487" s="25">
        <v>1070</v>
      </c>
      <c r="M2487" s="26">
        <v>15.45</v>
      </c>
      <c r="N2487" s="27">
        <v>15.45</v>
      </c>
      <c r="O2487" s="28">
        <v>1.4045454545454545E-2</v>
      </c>
      <c r="P2487" s="28">
        <v>14.629646017699114</v>
      </c>
    </row>
    <row r="2488" spans="1:16" x14ac:dyDescent="0.3">
      <c r="A2488" t="s">
        <v>5368</v>
      </c>
      <c r="B2488" s="24">
        <v>114163</v>
      </c>
      <c r="C2488" s="24" t="s">
        <v>1490</v>
      </c>
      <c r="D2488" s="24" t="s">
        <v>1102</v>
      </c>
      <c r="E2488" s="24" t="s">
        <v>51</v>
      </c>
      <c r="F2488" s="24" t="s">
        <v>1142</v>
      </c>
      <c r="G2488" s="24" t="s">
        <v>1203</v>
      </c>
      <c r="H2488" s="24" t="s">
        <v>63</v>
      </c>
      <c r="I2488" s="24" t="s">
        <v>1941</v>
      </c>
      <c r="J2488" s="24" t="s">
        <v>761</v>
      </c>
      <c r="K2488" s="24" t="s">
        <v>1146</v>
      </c>
      <c r="L2488" s="25">
        <v>1070</v>
      </c>
      <c r="M2488" s="26">
        <v>15.45</v>
      </c>
      <c r="N2488" s="27">
        <v>15.45</v>
      </c>
      <c r="O2488" s="28">
        <v>1.4045454545454545E-2</v>
      </c>
      <c r="P2488" s="28">
        <v>14.629646017699114</v>
      </c>
    </row>
    <row r="2489" spans="1:16" x14ac:dyDescent="0.3">
      <c r="A2489" t="s">
        <v>5369</v>
      </c>
      <c r="B2489" s="24">
        <v>141245</v>
      </c>
      <c r="C2489" s="24" t="s">
        <v>1606</v>
      </c>
      <c r="D2489" s="24" t="s">
        <v>1102</v>
      </c>
      <c r="E2489" s="24" t="s">
        <v>51</v>
      </c>
      <c r="F2489" s="24" t="s">
        <v>1386</v>
      </c>
      <c r="G2489" s="24" t="s">
        <v>1387</v>
      </c>
      <c r="H2489" s="24" t="s">
        <v>1942</v>
      </c>
      <c r="I2489" s="24" t="s">
        <v>1943</v>
      </c>
      <c r="J2489" s="24" t="s">
        <v>761</v>
      </c>
      <c r="K2489" s="24" t="s">
        <v>1146</v>
      </c>
      <c r="L2489" s="25">
        <v>1070</v>
      </c>
      <c r="M2489" s="26">
        <v>8.59</v>
      </c>
      <c r="N2489" s="27">
        <v>8.59</v>
      </c>
      <c r="O2489" s="28">
        <v>7.8090909090909088E-3</v>
      </c>
      <c r="P2489" s="28">
        <v>8.133893805309734</v>
      </c>
    </row>
    <row r="2490" spans="1:16" x14ac:dyDescent="0.3">
      <c r="A2490" t="s">
        <v>5370</v>
      </c>
      <c r="B2490" s="24">
        <v>101206</v>
      </c>
      <c r="C2490" s="24" t="s">
        <v>1199</v>
      </c>
      <c r="D2490" s="24" t="s">
        <v>1102</v>
      </c>
      <c r="E2490" s="24" t="s">
        <v>51</v>
      </c>
      <c r="F2490" s="24" t="s">
        <v>1142</v>
      </c>
      <c r="G2490" s="24" t="s">
        <v>1200</v>
      </c>
      <c r="H2490" s="24" t="s">
        <v>170</v>
      </c>
      <c r="I2490" s="24" t="s">
        <v>1944</v>
      </c>
      <c r="J2490" s="24" t="s">
        <v>761</v>
      </c>
      <c r="K2490" s="24" t="s">
        <v>1146</v>
      </c>
      <c r="L2490" s="25">
        <v>1070</v>
      </c>
      <c r="M2490" s="26">
        <v>8.99</v>
      </c>
      <c r="N2490" s="27">
        <v>8.99</v>
      </c>
      <c r="O2490" s="28">
        <v>8.1727272727272725E-3</v>
      </c>
      <c r="P2490" s="28">
        <v>8.5126548672566376</v>
      </c>
    </row>
    <row r="2491" spans="1:16" x14ac:dyDescent="0.3">
      <c r="A2491" t="s">
        <v>5371</v>
      </c>
      <c r="B2491" s="24">
        <v>101424</v>
      </c>
      <c r="C2491" s="24" t="s">
        <v>1278</v>
      </c>
      <c r="D2491" s="24" t="s">
        <v>1102</v>
      </c>
      <c r="E2491" s="24" t="s">
        <v>51</v>
      </c>
      <c r="F2491" s="24" t="s">
        <v>1142</v>
      </c>
      <c r="G2491" s="24" t="s">
        <v>1203</v>
      </c>
      <c r="H2491" s="24" t="s">
        <v>170</v>
      </c>
      <c r="I2491" s="24" t="s">
        <v>1944</v>
      </c>
      <c r="J2491" s="24" t="s">
        <v>761</v>
      </c>
      <c r="K2491" s="24" t="s">
        <v>1146</v>
      </c>
      <c r="L2491" s="25">
        <v>1070</v>
      </c>
      <c r="M2491" s="26">
        <v>8.99</v>
      </c>
      <c r="N2491" s="27">
        <v>8.99</v>
      </c>
      <c r="O2491" s="28">
        <v>8.1727272727272725E-3</v>
      </c>
      <c r="P2491" s="28">
        <v>8.5126548672566376</v>
      </c>
    </row>
    <row r="2492" spans="1:16" x14ac:dyDescent="0.3">
      <c r="A2492" t="s">
        <v>5372</v>
      </c>
      <c r="B2492" s="24">
        <v>101186</v>
      </c>
      <c r="C2492" s="24" t="s">
        <v>1273</v>
      </c>
      <c r="D2492" s="24" t="s">
        <v>1102</v>
      </c>
      <c r="E2492" s="24" t="s">
        <v>51</v>
      </c>
      <c r="F2492" s="24" t="s">
        <v>1142</v>
      </c>
      <c r="G2492" s="24" t="s">
        <v>1203</v>
      </c>
      <c r="H2492" s="24" t="s">
        <v>169</v>
      </c>
      <c r="I2492" s="24" t="s">
        <v>1945</v>
      </c>
      <c r="J2492" s="24" t="s">
        <v>761</v>
      </c>
      <c r="K2492" s="24" t="s">
        <v>1146</v>
      </c>
      <c r="L2492" s="25">
        <v>1070</v>
      </c>
      <c r="M2492" s="26">
        <v>10.18</v>
      </c>
      <c r="N2492" s="27">
        <v>10.18</v>
      </c>
      <c r="O2492" s="28">
        <v>9.2545454545454545E-3</v>
      </c>
      <c r="P2492" s="28">
        <v>9.6394690265486727</v>
      </c>
    </row>
    <row r="2493" spans="1:16" x14ac:dyDescent="0.3">
      <c r="A2493" t="s">
        <v>5373</v>
      </c>
      <c r="B2493" s="24">
        <v>101424</v>
      </c>
      <c r="C2493" s="24" t="s">
        <v>1278</v>
      </c>
      <c r="D2493" s="24" t="s">
        <v>1102</v>
      </c>
      <c r="E2493" s="24" t="s">
        <v>51</v>
      </c>
      <c r="F2493" s="24" t="s">
        <v>1142</v>
      </c>
      <c r="G2493" s="24" t="s">
        <v>1203</v>
      </c>
      <c r="H2493" s="24" t="s">
        <v>169</v>
      </c>
      <c r="I2493" s="24" t="s">
        <v>1945</v>
      </c>
      <c r="J2493" s="24" t="s">
        <v>761</v>
      </c>
      <c r="K2493" s="24" t="s">
        <v>1146</v>
      </c>
      <c r="L2493" s="25">
        <v>1070</v>
      </c>
      <c r="M2493" s="26">
        <v>10.18</v>
      </c>
      <c r="N2493" s="27">
        <v>10.18</v>
      </c>
      <c r="O2493" s="28">
        <v>9.2545454545454545E-3</v>
      </c>
      <c r="P2493" s="28">
        <v>9.6394690265486727</v>
      </c>
    </row>
    <row r="2494" spans="1:16" x14ac:dyDescent="0.3">
      <c r="A2494" t="s">
        <v>5374</v>
      </c>
      <c r="B2494" s="24">
        <v>106916</v>
      </c>
      <c r="C2494" s="24" t="s">
        <v>1216</v>
      </c>
      <c r="D2494" s="24" t="s">
        <v>1102</v>
      </c>
      <c r="E2494" s="24" t="s">
        <v>51</v>
      </c>
      <c r="F2494" s="24" t="s">
        <v>1142</v>
      </c>
      <c r="G2494" s="24" t="s">
        <v>1203</v>
      </c>
      <c r="H2494" s="24" t="s">
        <v>169</v>
      </c>
      <c r="I2494" s="24" t="s">
        <v>1945</v>
      </c>
      <c r="J2494" s="24" t="s">
        <v>761</v>
      </c>
      <c r="K2494" s="24" t="s">
        <v>1146</v>
      </c>
      <c r="L2494" s="25">
        <v>1070</v>
      </c>
      <c r="M2494" s="26">
        <v>10.18</v>
      </c>
      <c r="N2494" s="27">
        <v>10.18</v>
      </c>
      <c r="O2494" s="28">
        <v>9.2545454545454545E-3</v>
      </c>
      <c r="P2494" s="28">
        <v>9.6394690265486727</v>
      </c>
    </row>
    <row r="2495" spans="1:16" x14ac:dyDescent="0.3">
      <c r="A2495" t="s">
        <v>5375</v>
      </c>
      <c r="B2495" s="24">
        <v>114163</v>
      </c>
      <c r="C2495" s="24" t="s">
        <v>1490</v>
      </c>
      <c r="D2495" s="24" t="s">
        <v>1102</v>
      </c>
      <c r="E2495" s="24" t="s">
        <v>51</v>
      </c>
      <c r="F2495" s="24" t="s">
        <v>1142</v>
      </c>
      <c r="G2495" s="24" t="s">
        <v>1203</v>
      </c>
      <c r="H2495" s="24" t="s">
        <v>169</v>
      </c>
      <c r="I2495" s="24" t="s">
        <v>1945</v>
      </c>
      <c r="J2495" s="24" t="s">
        <v>761</v>
      </c>
      <c r="K2495" s="24" t="s">
        <v>1146</v>
      </c>
      <c r="L2495" s="25">
        <v>1070</v>
      </c>
      <c r="M2495" s="26">
        <v>10.18</v>
      </c>
      <c r="N2495" s="27">
        <v>10.18</v>
      </c>
      <c r="O2495" s="28">
        <v>9.2545454545454545E-3</v>
      </c>
      <c r="P2495" s="28">
        <v>9.6394690265486727</v>
      </c>
    </row>
    <row r="2496" spans="1:16" x14ac:dyDescent="0.3">
      <c r="A2496" t="s">
        <v>5376</v>
      </c>
      <c r="B2496" s="24">
        <v>106916</v>
      </c>
      <c r="C2496" s="24" t="s">
        <v>1216</v>
      </c>
      <c r="D2496" s="24" t="s">
        <v>1102</v>
      </c>
      <c r="E2496" s="24" t="s">
        <v>51</v>
      </c>
      <c r="F2496" s="24" t="s">
        <v>1142</v>
      </c>
      <c r="G2496" s="24" t="s">
        <v>1203</v>
      </c>
      <c r="H2496" s="24" t="s">
        <v>169</v>
      </c>
      <c r="I2496" s="24" t="s">
        <v>1946</v>
      </c>
      <c r="J2496" s="24" t="s">
        <v>761</v>
      </c>
      <c r="K2496" s="24" t="s">
        <v>1146</v>
      </c>
      <c r="L2496" s="25">
        <v>1070</v>
      </c>
      <c r="M2496" s="26">
        <v>10.18</v>
      </c>
      <c r="N2496" s="27">
        <v>10.18</v>
      </c>
      <c r="O2496" s="28">
        <v>9.2545454545454545E-3</v>
      </c>
      <c r="P2496" s="28">
        <v>9.6394690265486727</v>
      </c>
    </row>
    <row r="2497" spans="1:16" x14ac:dyDescent="0.3">
      <c r="A2497" t="s">
        <v>5377</v>
      </c>
      <c r="B2497" s="24">
        <v>101184</v>
      </c>
      <c r="C2497" s="24" t="s">
        <v>1401</v>
      </c>
      <c r="D2497" s="24" t="s">
        <v>1102</v>
      </c>
      <c r="E2497" s="24" t="s">
        <v>51</v>
      </c>
      <c r="F2497" s="24" t="s">
        <v>1142</v>
      </c>
      <c r="G2497" s="24" t="s">
        <v>1402</v>
      </c>
      <c r="H2497" s="24" t="s">
        <v>205</v>
      </c>
      <c r="I2497" s="24" t="s">
        <v>1947</v>
      </c>
      <c r="J2497" s="24" t="s">
        <v>761</v>
      </c>
      <c r="K2497" s="24" t="s">
        <v>1146</v>
      </c>
      <c r="L2497" s="25">
        <v>1070</v>
      </c>
      <c r="M2497" s="26">
        <v>5.91</v>
      </c>
      <c r="N2497" s="27">
        <v>5.91</v>
      </c>
      <c r="O2497" s="28">
        <v>5.3727272727272729E-3</v>
      </c>
      <c r="P2497" s="28">
        <v>5.5961946902654862</v>
      </c>
    </row>
    <row r="2498" spans="1:16" x14ac:dyDescent="0.3">
      <c r="A2498" t="s">
        <v>5378</v>
      </c>
      <c r="B2498" s="24">
        <v>101206</v>
      </c>
      <c r="C2498" s="24" t="s">
        <v>1199</v>
      </c>
      <c r="D2498" s="24" t="s">
        <v>1102</v>
      </c>
      <c r="E2498" s="24" t="s">
        <v>51</v>
      </c>
      <c r="F2498" s="24" t="s">
        <v>1142</v>
      </c>
      <c r="G2498" s="24" t="s">
        <v>1200</v>
      </c>
      <c r="H2498" s="24" t="s">
        <v>205</v>
      </c>
      <c r="I2498" s="24" t="s">
        <v>1947</v>
      </c>
      <c r="J2498" s="24" t="s">
        <v>761</v>
      </c>
      <c r="K2498" s="24" t="s">
        <v>1146</v>
      </c>
      <c r="L2498" s="25">
        <v>1070</v>
      </c>
      <c r="M2498" s="26">
        <v>5.91</v>
      </c>
      <c r="N2498" s="27">
        <v>5.91</v>
      </c>
      <c r="O2498" s="28">
        <v>5.3727272727272729E-3</v>
      </c>
      <c r="P2498" s="28">
        <v>5.5961946902654862</v>
      </c>
    </row>
    <row r="2499" spans="1:16" x14ac:dyDescent="0.3">
      <c r="A2499" t="s">
        <v>5379</v>
      </c>
      <c r="B2499" s="24">
        <v>114501</v>
      </c>
      <c r="C2499" s="24" t="s">
        <v>1409</v>
      </c>
      <c r="D2499" s="24" t="s">
        <v>1102</v>
      </c>
      <c r="E2499" s="24" t="s">
        <v>51</v>
      </c>
      <c r="F2499" s="24" t="s">
        <v>1142</v>
      </c>
      <c r="G2499" s="24" t="s">
        <v>1402</v>
      </c>
      <c r="H2499" s="24" t="s">
        <v>205</v>
      </c>
      <c r="I2499" s="24" t="s">
        <v>1947</v>
      </c>
      <c r="J2499" s="24" t="s">
        <v>761</v>
      </c>
      <c r="K2499" s="24" t="s">
        <v>1146</v>
      </c>
      <c r="L2499" s="25">
        <v>1070</v>
      </c>
      <c r="M2499" s="26">
        <v>5.91</v>
      </c>
      <c r="N2499" s="27">
        <v>5.91</v>
      </c>
      <c r="O2499" s="28">
        <v>5.3727272727272729E-3</v>
      </c>
      <c r="P2499" s="28">
        <v>5.5961946902654862</v>
      </c>
    </row>
    <row r="2500" spans="1:16" x14ac:dyDescent="0.3">
      <c r="A2500" t="s">
        <v>5380</v>
      </c>
      <c r="B2500" s="24">
        <v>100581</v>
      </c>
      <c r="C2500" s="24" t="s">
        <v>1232</v>
      </c>
      <c r="D2500" s="24" t="s">
        <v>1102</v>
      </c>
      <c r="E2500" s="24" t="s">
        <v>51</v>
      </c>
      <c r="F2500" s="24" t="s">
        <v>1142</v>
      </c>
      <c r="G2500" s="24" t="s">
        <v>1233</v>
      </c>
      <c r="H2500" s="24" t="s">
        <v>206</v>
      </c>
      <c r="I2500" s="24" t="s">
        <v>1948</v>
      </c>
      <c r="J2500" s="24" t="s">
        <v>761</v>
      </c>
      <c r="K2500" s="24" t="s">
        <v>1146</v>
      </c>
      <c r="L2500" s="25">
        <v>1070</v>
      </c>
      <c r="M2500" s="26">
        <v>8.11</v>
      </c>
      <c r="N2500" s="27">
        <v>8.11</v>
      </c>
      <c r="O2500" s="28">
        <v>7.3727272727272721E-3</v>
      </c>
      <c r="P2500" s="28">
        <v>7.6793805309734502</v>
      </c>
    </row>
    <row r="2501" spans="1:16" x14ac:dyDescent="0.3">
      <c r="A2501" t="s">
        <v>5381</v>
      </c>
      <c r="B2501" s="24">
        <v>100603</v>
      </c>
      <c r="C2501" s="24" t="s">
        <v>1277</v>
      </c>
      <c r="D2501" s="24" t="s">
        <v>1102</v>
      </c>
      <c r="E2501" s="24" t="s">
        <v>51</v>
      </c>
      <c r="F2501" s="24" t="s">
        <v>1142</v>
      </c>
      <c r="G2501" s="24" t="s">
        <v>1082</v>
      </c>
      <c r="H2501" s="24" t="s">
        <v>206</v>
      </c>
      <c r="I2501" s="24" t="s">
        <v>1948</v>
      </c>
      <c r="J2501" s="24" t="s">
        <v>761</v>
      </c>
      <c r="K2501" s="24" t="s">
        <v>1146</v>
      </c>
      <c r="L2501" s="25">
        <v>1070</v>
      </c>
      <c r="M2501" s="26">
        <v>8.11</v>
      </c>
      <c r="N2501" s="27">
        <v>8.11</v>
      </c>
      <c r="O2501" s="28">
        <v>7.3727272727272721E-3</v>
      </c>
      <c r="P2501" s="28">
        <v>7.6793805309734502</v>
      </c>
    </row>
    <row r="2502" spans="1:16" x14ac:dyDescent="0.3">
      <c r="A2502" t="s">
        <v>5382</v>
      </c>
      <c r="B2502" s="24">
        <v>101184</v>
      </c>
      <c r="C2502" s="24" t="s">
        <v>1401</v>
      </c>
      <c r="D2502" s="24" t="s">
        <v>1102</v>
      </c>
      <c r="E2502" s="24" t="s">
        <v>51</v>
      </c>
      <c r="F2502" s="24" t="s">
        <v>1142</v>
      </c>
      <c r="G2502" s="24" t="s">
        <v>1402</v>
      </c>
      <c r="H2502" s="24" t="s">
        <v>206</v>
      </c>
      <c r="I2502" s="24" t="s">
        <v>1948</v>
      </c>
      <c r="J2502" s="24" t="s">
        <v>761</v>
      </c>
      <c r="K2502" s="24" t="s">
        <v>1146</v>
      </c>
      <c r="L2502" s="25">
        <v>1070</v>
      </c>
      <c r="M2502" s="26">
        <v>8.11</v>
      </c>
      <c r="N2502" s="27">
        <v>8.11</v>
      </c>
      <c r="O2502" s="28">
        <v>7.3727272727272721E-3</v>
      </c>
      <c r="P2502" s="28">
        <v>7.6793805309734502</v>
      </c>
    </row>
    <row r="2503" spans="1:16" x14ac:dyDescent="0.3">
      <c r="A2503" t="s">
        <v>5383</v>
      </c>
      <c r="B2503" s="24">
        <v>101186</v>
      </c>
      <c r="C2503" s="24" t="s">
        <v>1273</v>
      </c>
      <c r="D2503" s="24" t="s">
        <v>1102</v>
      </c>
      <c r="E2503" s="24" t="s">
        <v>51</v>
      </c>
      <c r="F2503" s="24" t="s">
        <v>1142</v>
      </c>
      <c r="G2503" s="24" t="s">
        <v>1203</v>
      </c>
      <c r="H2503" s="24" t="s">
        <v>206</v>
      </c>
      <c r="I2503" s="24" t="s">
        <v>1948</v>
      </c>
      <c r="J2503" s="24" t="s">
        <v>761</v>
      </c>
      <c r="K2503" s="24" t="s">
        <v>1146</v>
      </c>
      <c r="L2503" s="25">
        <v>1070</v>
      </c>
      <c r="M2503" s="26">
        <v>8.11</v>
      </c>
      <c r="N2503" s="27">
        <v>8.11</v>
      </c>
      <c r="O2503" s="28">
        <v>7.3727272727272721E-3</v>
      </c>
      <c r="P2503" s="28">
        <v>7.6793805309734502</v>
      </c>
    </row>
    <row r="2504" spans="1:16" x14ac:dyDescent="0.3">
      <c r="A2504" t="s">
        <v>5384</v>
      </c>
      <c r="B2504" s="24">
        <v>101206</v>
      </c>
      <c r="C2504" s="24" t="s">
        <v>1199</v>
      </c>
      <c r="D2504" s="24" t="s">
        <v>1102</v>
      </c>
      <c r="E2504" s="24" t="s">
        <v>51</v>
      </c>
      <c r="F2504" s="24" t="s">
        <v>1142</v>
      </c>
      <c r="G2504" s="24" t="s">
        <v>1200</v>
      </c>
      <c r="H2504" s="24" t="s">
        <v>206</v>
      </c>
      <c r="I2504" s="24" t="s">
        <v>1948</v>
      </c>
      <c r="J2504" s="24" t="s">
        <v>761</v>
      </c>
      <c r="K2504" s="24" t="s">
        <v>1146</v>
      </c>
      <c r="L2504" s="25">
        <v>1070</v>
      </c>
      <c r="M2504" s="26">
        <v>8.11</v>
      </c>
      <c r="N2504" s="27">
        <v>8.11</v>
      </c>
      <c r="O2504" s="28">
        <v>7.3727272727272721E-3</v>
      </c>
      <c r="P2504" s="28">
        <v>7.6793805309734502</v>
      </c>
    </row>
    <row r="2505" spans="1:16" x14ac:dyDescent="0.3">
      <c r="A2505" t="s">
        <v>5385</v>
      </c>
      <c r="B2505" s="24">
        <v>101424</v>
      </c>
      <c r="C2505" s="24" t="s">
        <v>1278</v>
      </c>
      <c r="D2505" s="24" t="s">
        <v>1102</v>
      </c>
      <c r="E2505" s="24" t="s">
        <v>51</v>
      </c>
      <c r="F2505" s="24" t="s">
        <v>1142</v>
      </c>
      <c r="G2505" s="24" t="s">
        <v>1203</v>
      </c>
      <c r="H2505" s="24" t="s">
        <v>206</v>
      </c>
      <c r="I2505" s="24" t="s">
        <v>1948</v>
      </c>
      <c r="J2505" s="24" t="s">
        <v>761</v>
      </c>
      <c r="K2505" s="24" t="s">
        <v>1146</v>
      </c>
      <c r="L2505" s="25">
        <v>1070</v>
      </c>
      <c r="M2505" s="26">
        <v>8.11</v>
      </c>
      <c r="N2505" s="27">
        <v>8.11</v>
      </c>
      <c r="O2505" s="28">
        <v>7.3727272727272721E-3</v>
      </c>
      <c r="P2505" s="28">
        <v>7.6793805309734502</v>
      </c>
    </row>
    <row r="2506" spans="1:16" x14ac:dyDescent="0.3">
      <c r="A2506" t="s">
        <v>5386</v>
      </c>
      <c r="B2506" s="24">
        <v>106916</v>
      </c>
      <c r="C2506" s="24" t="s">
        <v>1216</v>
      </c>
      <c r="D2506" s="24" t="s">
        <v>1102</v>
      </c>
      <c r="E2506" s="24" t="s">
        <v>51</v>
      </c>
      <c r="F2506" s="24" t="s">
        <v>1142</v>
      </c>
      <c r="G2506" s="24" t="s">
        <v>1203</v>
      </c>
      <c r="H2506" s="24" t="s">
        <v>206</v>
      </c>
      <c r="I2506" s="24" t="s">
        <v>1948</v>
      </c>
      <c r="J2506" s="24" t="s">
        <v>761</v>
      </c>
      <c r="K2506" s="24" t="s">
        <v>1146</v>
      </c>
      <c r="L2506" s="25">
        <v>1070</v>
      </c>
      <c r="M2506" s="26">
        <v>8.11</v>
      </c>
      <c r="N2506" s="27">
        <v>8.11</v>
      </c>
      <c r="O2506" s="28">
        <v>7.3727272727272721E-3</v>
      </c>
      <c r="P2506" s="28">
        <v>7.6793805309734502</v>
      </c>
    </row>
    <row r="2507" spans="1:16" x14ac:dyDescent="0.3">
      <c r="A2507" t="s">
        <v>5387</v>
      </c>
      <c r="B2507" s="24">
        <v>111550</v>
      </c>
      <c r="C2507" s="24" t="s">
        <v>1582</v>
      </c>
      <c r="D2507" s="24" t="s">
        <v>1102</v>
      </c>
      <c r="E2507" s="24" t="s">
        <v>51</v>
      </c>
      <c r="F2507" s="24" t="s">
        <v>1142</v>
      </c>
      <c r="G2507" s="24" t="s">
        <v>1402</v>
      </c>
      <c r="H2507" s="24" t="s">
        <v>206</v>
      </c>
      <c r="I2507" s="24" t="s">
        <v>1948</v>
      </c>
      <c r="J2507" s="24" t="s">
        <v>761</v>
      </c>
      <c r="K2507" s="24" t="s">
        <v>1146</v>
      </c>
      <c r="L2507" s="25">
        <v>1070</v>
      </c>
      <c r="M2507" s="26">
        <v>8.11</v>
      </c>
      <c r="N2507" s="27">
        <v>8.11</v>
      </c>
      <c r="O2507" s="28">
        <v>7.3727272727272721E-3</v>
      </c>
      <c r="P2507" s="28">
        <v>7.6793805309734502</v>
      </c>
    </row>
    <row r="2508" spans="1:16" x14ac:dyDescent="0.3">
      <c r="A2508" t="s">
        <v>5388</v>
      </c>
      <c r="B2508" s="24">
        <v>114163</v>
      </c>
      <c r="C2508" s="24" t="s">
        <v>1490</v>
      </c>
      <c r="D2508" s="24" t="s">
        <v>1102</v>
      </c>
      <c r="E2508" s="24" t="s">
        <v>51</v>
      </c>
      <c r="F2508" s="24" t="s">
        <v>1142</v>
      </c>
      <c r="G2508" s="24" t="s">
        <v>1203</v>
      </c>
      <c r="H2508" s="24" t="s">
        <v>206</v>
      </c>
      <c r="I2508" s="24" t="s">
        <v>1948</v>
      </c>
      <c r="J2508" s="24" t="s">
        <v>761</v>
      </c>
      <c r="K2508" s="24" t="s">
        <v>1146</v>
      </c>
      <c r="L2508" s="25">
        <v>1070</v>
      </c>
      <c r="M2508" s="26">
        <v>8.11</v>
      </c>
      <c r="N2508" s="27">
        <v>8.11</v>
      </c>
      <c r="O2508" s="28">
        <v>7.3727272727272721E-3</v>
      </c>
      <c r="P2508" s="28">
        <v>7.6793805309734502</v>
      </c>
    </row>
    <row r="2509" spans="1:16" x14ac:dyDescent="0.3">
      <c r="A2509" t="s">
        <v>5389</v>
      </c>
      <c r="B2509" s="24">
        <v>114501</v>
      </c>
      <c r="C2509" s="24" t="s">
        <v>1409</v>
      </c>
      <c r="D2509" s="24" t="s">
        <v>1102</v>
      </c>
      <c r="E2509" s="24" t="s">
        <v>51</v>
      </c>
      <c r="F2509" s="24" t="s">
        <v>1142</v>
      </c>
      <c r="G2509" s="24" t="s">
        <v>1402</v>
      </c>
      <c r="H2509" s="24" t="s">
        <v>206</v>
      </c>
      <c r="I2509" s="24" t="s">
        <v>1948</v>
      </c>
      <c r="J2509" s="24" t="s">
        <v>761</v>
      </c>
      <c r="K2509" s="24" t="s">
        <v>1146</v>
      </c>
      <c r="L2509" s="25">
        <v>1070</v>
      </c>
      <c r="M2509" s="26">
        <v>8.11</v>
      </c>
      <c r="N2509" s="27">
        <v>8.11</v>
      </c>
      <c r="O2509" s="28">
        <v>7.3727272727272721E-3</v>
      </c>
      <c r="P2509" s="28">
        <v>7.6793805309734502</v>
      </c>
    </row>
    <row r="2510" spans="1:16" x14ac:dyDescent="0.3">
      <c r="A2510" t="s">
        <v>5390</v>
      </c>
      <c r="B2510" s="24">
        <v>101186</v>
      </c>
      <c r="C2510" s="24" t="s">
        <v>1273</v>
      </c>
      <c r="D2510" s="24" t="s">
        <v>1102</v>
      </c>
      <c r="E2510" s="24" t="s">
        <v>51</v>
      </c>
      <c r="F2510" s="24" t="s">
        <v>1142</v>
      </c>
      <c r="G2510" s="24" t="s">
        <v>1203</v>
      </c>
      <c r="H2510" s="24" t="s">
        <v>206</v>
      </c>
      <c r="I2510" s="24" t="s">
        <v>1949</v>
      </c>
      <c r="J2510" s="24" t="s">
        <v>761</v>
      </c>
      <c r="K2510" s="24" t="s">
        <v>1146</v>
      </c>
      <c r="L2510" s="25">
        <v>1070</v>
      </c>
      <c r="M2510" s="26">
        <v>8.11</v>
      </c>
      <c r="N2510" s="27">
        <v>8.11</v>
      </c>
      <c r="O2510" s="28">
        <v>7.3727272727272721E-3</v>
      </c>
      <c r="P2510" s="28">
        <v>7.6793805309734502</v>
      </c>
    </row>
    <row r="2511" spans="1:16" x14ac:dyDescent="0.3">
      <c r="A2511" t="s">
        <v>5385</v>
      </c>
      <c r="B2511" s="24">
        <v>101424</v>
      </c>
      <c r="C2511" s="24" t="s">
        <v>1278</v>
      </c>
      <c r="D2511" s="24" t="s">
        <v>1102</v>
      </c>
      <c r="E2511" s="24" t="s">
        <v>51</v>
      </c>
      <c r="F2511" s="24" t="s">
        <v>1142</v>
      </c>
      <c r="G2511" s="24" t="s">
        <v>1203</v>
      </c>
      <c r="H2511" s="24" t="s">
        <v>206</v>
      </c>
      <c r="I2511" s="24" t="s">
        <v>1949</v>
      </c>
      <c r="J2511" s="24" t="s">
        <v>761</v>
      </c>
      <c r="K2511" s="24" t="s">
        <v>1146</v>
      </c>
      <c r="L2511" s="25">
        <v>1070</v>
      </c>
      <c r="M2511" s="26">
        <v>8.19</v>
      </c>
      <c r="N2511" s="27">
        <v>8.19</v>
      </c>
      <c r="O2511" s="28">
        <v>7.445454545454545E-3</v>
      </c>
      <c r="P2511" s="28">
        <v>7.7551327433628314</v>
      </c>
    </row>
    <row r="2512" spans="1:16" x14ac:dyDescent="0.3">
      <c r="A2512" t="s">
        <v>5391</v>
      </c>
      <c r="B2512" s="24">
        <v>106916</v>
      </c>
      <c r="C2512" s="24" t="s">
        <v>1216</v>
      </c>
      <c r="D2512" s="24" t="s">
        <v>1102</v>
      </c>
      <c r="E2512" s="24" t="s">
        <v>51</v>
      </c>
      <c r="F2512" s="24" t="s">
        <v>1142</v>
      </c>
      <c r="G2512" s="24" t="s">
        <v>1203</v>
      </c>
      <c r="H2512" s="24" t="s">
        <v>206</v>
      </c>
      <c r="I2512" s="24" t="s">
        <v>1949</v>
      </c>
      <c r="J2512" s="24" t="s">
        <v>761</v>
      </c>
      <c r="K2512" s="24" t="s">
        <v>1146</v>
      </c>
      <c r="L2512" s="25">
        <v>1070</v>
      </c>
      <c r="M2512" s="26">
        <v>8.11</v>
      </c>
      <c r="N2512" s="27">
        <v>8.11</v>
      </c>
      <c r="O2512" s="28">
        <v>7.3727272727272721E-3</v>
      </c>
      <c r="P2512" s="28">
        <v>7.6793805309734502</v>
      </c>
    </row>
    <row r="2513" spans="1:16" x14ac:dyDescent="0.3">
      <c r="A2513" t="s">
        <v>5392</v>
      </c>
      <c r="B2513" s="24">
        <v>100581</v>
      </c>
      <c r="C2513" s="24" t="s">
        <v>1232</v>
      </c>
      <c r="D2513" s="24" t="s">
        <v>1102</v>
      </c>
      <c r="E2513" s="24" t="s">
        <v>51</v>
      </c>
      <c r="F2513" s="24" t="s">
        <v>1142</v>
      </c>
      <c r="G2513" s="24" t="s">
        <v>1233</v>
      </c>
      <c r="H2513" s="24" t="s">
        <v>210</v>
      </c>
      <c r="I2513" s="24" t="s">
        <v>1950</v>
      </c>
      <c r="J2513" s="24" t="s">
        <v>761</v>
      </c>
      <c r="K2513" s="24" t="s">
        <v>1146</v>
      </c>
      <c r="L2513" s="25">
        <v>1070</v>
      </c>
      <c r="M2513" s="26">
        <v>5.65</v>
      </c>
      <c r="N2513" s="27">
        <v>5.65</v>
      </c>
      <c r="O2513" s="28">
        <v>5.1363636363636368E-3</v>
      </c>
      <c r="P2513" s="28">
        <v>5.35</v>
      </c>
    </row>
    <row r="2514" spans="1:16" x14ac:dyDescent="0.3">
      <c r="A2514" t="s">
        <v>5393</v>
      </c>
      <c r="B2514" s="24">
        <v>101184</v>
      </c>
      <c r="C2514" s="24" t="s">
        <v>1401</v>
      </c>
      <c r="D2514" s="24" t="s">
        <v>1102</v>
      </c>
      <c r="E2514" s="24" t="s">
        <v>51</v>
      </c>
      <c r="F2514" s="24" t="s">
        <v>1142</v>
      </c>
      <c r="G2514" s="24" t="s">
        <v>1402</v>
      </c>
      <c r="H2514" s="24" t="s">
        <v>210</v>
      </c>
      <c r="I2514" s="24" t="s">
        <v>1950</v>
      </c>
      <c r="J2514" s="24" t="s">
        <v>761</v>
      </c>
      <c r="K2514" s="24" t="s">
        <v>1146</v>
      </c>
      <c r="L2514" s="25">
        <v>1070</v>
      </c>
      <c r="M2514" s="26">
        <v>5.65</v>
      </c>
      <c r="N2514" s="27">
        <v>5.65</v>
      </c>
      <c r="O2514" s="28">
        <v>5.1363636363636368E-3</v>
      </c>
      <c r="P2514" s="28">
        <v>5.35</v>
      </c>
    </row>
    <row r="2515" spans="1:16" x14ac:dyDescent="0.3">
      <c r="A2515" t="s">
        <v>5394</v>
      </c>
      <c r="B2515" s="24">
        <v>101186</v>
      </c>
      <c r="C2515" s="24" t="s">
        <v>1273</v>
      </c>
      <c r="D2515" s="24" t="s">
        <v>1102</v>
      </c>
      <c r="E2515" s="24" t="s">
        <v>51</v>
      </c>
      <c r="F2515" s="24" t="s">
        <v>1142</v>
      </c>
      <c r="G2515" s="24" t="s">
        <v>1203</v>
      </c>
      <c r="H2515" s="24" t="s">
        <v>210</v>
      </c>
      <c r="I2515" s="24" t="s">
        <v>1950</v>
      </c>
      <c r="J2515" s="24" t="s">
        <v>761</v>
      </c>
      <c r="K2515" s="24" t="s">
        <v>1146</v>
      </c>
      <c r="L2515" s="25">
        <v>1070</v>
      </c>
      <c r="M2515" s="26">
        <v>5.65</v>
      </c>
      <c r="N2515" s="27">
        <v>5.65</v>
      </c>
      <c r="O2515" s="28">
        <v>5.1363636363636368E-3</v>
      </c>
      <c r="P2515" s="28">
        <v>5.35</v>
      </c>
    </row>
    <row r="2516" spans="1:16" x14ac:dyDescent="0.3">
      <c r="A2516" t="s">
        <v>5395</v>
      </c>
      <c r="B2516" s="24">
        <v>101206</v>
      </c>
      <c r="C2516" s="24" t="s">
        <v>1199</v>
      </c>
      <c r="D2516" s="24" t="s">
        <v>1102</v>
      </c>
      <c r="E2516" s="24" t="s">
        <v>51</v>
      </c>
      <c r="F2516" s="24" t="s">
        <v>1142</v>
      </c>
      <c r="G2516" s="24" t="s">
        <v>1200</v>
      </c>
      <c r="H2516" s="24" t="s">
        <v>210</v>
      </c>
      <c r="I2516" s="24" t="s">
        <v>1950</v>
      </c>
      <c r="J2516" s="24" t="s">
        <v>761</v>
      </c>
      <c r="K2516" s="24" t="s">
        <v>1146</v>
      </c>
      <c r="L2516" s="25">
        <v>1070</v>
      </c>
      <c r="M2516" s="26">
        <v>5.65</v>
      </c>
      <c r="N2516" s="27">
        <v>5.65</v>
      </c>
      <c r="O2516" s="28">
        <v>5.1363636363636368E-3</v>
      </c>
      <c r="P2516" s="28">
        <v>5.35</v>
      </c>
    </row>
    <row r="2517" spans="1:16" x14ac:dyDescent="0.3">
      <c r="A2517" t="s">
        <v>5396</v>
      </c>
      <c r="B2517" s="24">
        <v>101424</v>
      </c>
      <c r="C2517" s="24" t="s">
        <v>1278</v>
      </c>
      <c r="D2517" s="24" t="s">
        <v>1102</v>
      </c>
      <c r="E2517" s="24" t="s">
        <v>51</v>
      </c>
      <c r="F2517" s="24" t="s">
        <v>1142</v>
      </c>
      <c r="G2517" s="24" t="s">
        <v>1203</v>
      </c>
      <c r="H2517" s="24" t="s">
        <v>210</v>
      </c>
      <c r="I2517" s="24" t="s">
        <v>1950</v>
      </c>
      <c r="J2517" s="24" t="s">
        <v>761</v>
      </c>
      <c r="K2517" s="24" t="s">
        <v>1146</v>
      </c>
      <c r="L2517" s="25">
        <v>1070</v>
      </c>
      <c r="M2517" s="26">
        <v>5.65</v>
      </c>
      <c r="N2517" s="27">
        <v>5.65</v>
      </c>
      <c r="O2517" s="28">
        <v>5.1363636363636368E-3</v>
      </c>
      <c r="P2517" s="28">
        <v>5.35</v>
      </c>
    </row>
    <row r="2518" spans="1:16" x14ac:dyDescent="0.3">
      <c r="A2518" t="s">
        <v>5397</v>
      </c>
      <c r="B2518" s="24">
        <v>106916</v>
      </c>
      <c r="C2518" s="24" t="s">
        <v>1216</v>
      </c>
      <c r="D2518" s="24" t="s">
        <v>1102</v>
      </c>
      <c r="E2518" s="24" t="s">
        <v>51</v>
      </c>
      <c r="F2518" s="24" t="s">
        <v>1142</v>
      </c>
      <c r="G2518" s="24" t="s">
        <v>1203</v>
      </c>
      <c r="H2518" s="24" t="s">
        <v>210</v>
      </c>
      <c r="I2518" s="24" t="s">
        <v>1950</v>
      </c>
      <c r="J2518" s="24" t="s">
        <v>761</v>
      </c>
      <c r="K2518" s="24" t="s">
        <v>1146</v>
      </c>
      <c r="L2518" s="25">
        <v>1070</v>
      </c>
      <c r="M2518" s="26">
        <v>5.65</v>
      </c>
      <c r="N2518" s="27">
        <v>5.65</v>
      </c>
      <c r="O2518" s="28">
        <v>5.1363636363636368E-3</v>
      </c>
      <c r="P2518" s="28">
        <v>5.35</v>
      </c>
    </row>
    <row r="2519" spans="1:16" x14ac:dyDescent="0.3">
      <c r="A2519" t="s">
        <v>5398</v>
      </c>
      <c r="B2519" s="24">
        <v>114501</v>
      </c>
      <c r="C2519" s="24" t="s">
        <v>1409</v>
      </c>
      <c r="D2519" s="24" t="s">
        <v>1102</v>
      </c>
      <c r="E2519" s="24" t="s">
        <v>51</v>
      </c>
      <c r="F2519" s="24" t="s">
        <v>1142</v>
      </c>
      <c r="G2519" s="24" t="s">
        <v>1402</v>
      </c>
      <c r="H2519" s="24" t="s">
        <v>210</v>
      </c>
      <c r="I2519" s="24" t="s">
        <v>1950</v>
      </c>
      <c r="J2519" s="24" t="s">
        <v>761</v>
      </c>
      <c r="K2519" s="24" t="s">
        <v>1146</v>
      </c>
      <c r="L2519" s="25">
        <v>1070</v>
      </c>
      <c r="M2519" s="26">
        <v>5.65</v>
      </c>
      <c r="N2519" s="27">
        <v>5.65</v>
      </c>
      <c r="O2519" s="28">
        <v>5.1363636363636368E-3</v>
      </c>
      <c r="P2519" s="28">
        <v>5.35</v>
      </c>
    </row>
    <row r="2520" spans="1:16" x14ac:dyDescent="0.3">
      <c r="A2520" t="s">
        <v>5399</v>
      </c>
      <c r="B2520" s="24">
        <v>100603</v>
      </c>
      <c r="C2520" s="24" t="s">
        <v>1277</v>
      </c>
      <c r="D2520" s="24" t="s">
        <v>1102</v>
      </c>
      <c r="E2520" s="24" t="s">
        <v>51</v>
      </c>
      <c r="F2520" s="24" t="s">
        <v>1142</v>
      </c>
      <c r="G2520" s="24" t="s">
        <v>1082</v>
      </c>
      <c r="H2520" s="24" t="s">
        <v>210</v>
      </c>
      <c r="I2520" s="24" t="s">
        <v>1951</v>
      </c>
      <c r="J2520" s="24" t="s">
        <v>761</v>
      </c>
      <c r="K2520" s="24" t="s">
        <v>1146</v>
      </c>
      <c r="L2520" s="25">
        <v>1070</v>
      </c>
      <c r="M2520" s="26">
        <v>5.73</v>
      </c>
      <c r="N2520" s="27">
        <v>5.73</v>
      </c>
      <c r="O2520" s="28">
        <v>5.2090909090909097E-3</v>
      </c>
      <c r="P2520" s="28">
        <v>5.4257522123893809</v>
      </c>
    </row>
    <row r="2521" spans="1:16" x14ac:dyDescent="0.3">
      <c r="A2521" t="s">
        <v>5400</v>
      </c>
      <c r="B2521" s="24">
        <v>101186</v>
      </c>
      <c r="C2521" s="24" t="s">
        <v>1273</v>
      </c>
      <c r="D2521" s="24" t="s">
        <v>1102</v>
      </c>
      <c r="E2521" s="24" t="s">
        <v>51</v>
      </c>
      <c r="F2521" s="24" t="s">
        <v>1142</v>
      </c>
      <c r="G2521" s="24" t="s">
        <v>1203</v>
      </c>
      <c r="H2521" s="24" t="s">
        <v>211</v>
      </c>
      <c r="I2521" s="24" t="s">
        <v>1952</v>
      </c>
      <c r="J2521" s="24" t="s">
        <v>761</v>
      </c>
      <c r="K2521" s="24" t="s">
        <v>1146</v>
      </c>
      <c r="L2521" s="25">
        <v>1070</v>
      </c>
      <c r="M2521" s="26">
        <v>6.85</v>
      </c>
      <c r="N2521" s="27">
        <v>6.85</v>
      </c>
      <c r="O2521" s="28">
        <v>6.2272727272727271E-3</v>
      </c>
      <c r="P2521" s="28">
        <v>6.4862831858407084</v>
      </c>
    </row>
    <row r="2522" spans="1:16" x14ac:dyDescent="0.3">
      <c r="A2522" t="s">
        <v>5401</v>
      </c>
      <c r="B2522" s="24">
        <v>106916</v>
      </c>
      <c r="C2522" s="24" t="s">
        <v>1216</v>
      </c>
      <c r="D2522" s="24" t="s">
        <v>1102</v>
      </c>
      <c r="E2522" s="24" t="s">
        <v>51</v>
      </c>
      <c r="F2522" s="24" t="s">
        <v>1142</v>
      </c>
      <c r="G2522" s="24" t="s">
        <v>1203</v>
      </c>
      <c r="H2522" s="24" t="s">
        <v>211</v>
      </c>
      <c r="I2522" s="24" t="s">
        <v>1952</v>
      </c>
      <c r="J2522" s="24" t="s">
        <v>761</v>
      </c>
      <c r="K2522" s="24" t="s">
        <v>1146</v>
      </c>
      <c r="L2522" s="25">
        <v>1070</v>
      </c>
      <c r="M2522" s="26">
        <v>6.85</v>
      </c>
      <c r="N2522" s="27">
        <v>6.85</v>
      </c>
      <c r="O2522" s="28">
        <v>6.2272727272727271E-3</v>
      </c>
      <c r="P2522" s="28">
        <v>6.4862831858407084</v>
      </c>
    </row>
    <row r="2523" spans="1:16" x14ac:dyDescent="0.3">
      <c r="A2523" t="s">
        <v>5402</v>
      </c>
      <c r="B2523" s="24">
        <v>100603</v>
      </c>
      <c r="C2523" s="24" t="s">
        <v>1277</v>
      </c>
      <c r="D2523" s="24" t="s">
        <v>1102</v>
      </c>
      <c r="E2523" s="24" t="s">
        <v>51</v>
      </c>
      <c r="F2523" s="24" t="s">
        <v>1142</v>
      </c>
      <c r="G2523" s="24" t="s">
        <v>1082</v>
      </c>
      <c r="H2523" s="24" t="s">
        <v>212</v>
      </c>
      <c r="I2523" s="24" t="s">
        <v>1953</v>
      </c>
      <c r="J2523" s="24" t="s">
        <v>761</v>
      </c>
      <c r="K2523" s="24" t="s">
        <v>1146</v>
      </c>
      <c r="L2523" s="25">
        <v>1070</v>
      </c>
      <c r="M2523" s="26">
        <v>5.59</v>
      </c>
      <c r="N2523" s="27">
        <v>5.59</v>
      </c>
      <c r="O2523" s="28">
        <v>5.0818181818181813E-3</v>
      </c>
      <c r="P2523" s="28">
        <v>5.2931858407079648</v>
      </c>
    </row>
    <row r="2524" spans="1:16" x14ac:dyDescent="0.3">
      <c r="A2524" t="s">
        <v>5403</v>
      </c>
      <c r="B2524" s="24">
        <v>100581</v>
      </c>
      <c r="C2524" s="24" t="s">
        <v>1232</v>
      </c>
      <c r="D2524" s="24" t="s">
        <v>1102</v>
      </c>
      <c r="E2524" s="24" t="s">
        <v>51</v>
      </c>
      <c r="F2524" s="24" t="s">
        <v>1142</v>
      </c>
      <c r="G2524" s="24" t="s">
        <v>1233</v>
      </c>
      <c r="H2524" s="24" t="s">
        <v>363</v>
      </c>
      <c r="I2524" s="24" t="s">
        <v>1954</v>
      </c>
      <c r="J2524" s="24" t="s">
        <v>761</v>
      </c>
      <c r="K2524" s="24" t="s">
        <v>1146</v>
      </c>
      <c r="L2524" s="25">
        <v>1070</v>
      </c>
      <c r="M2524" s="26">
        <v>11.17</v>
      </c>
      <c r="N2524" s="27">
        <v>11.17</v>
      </c>
      <c r="O2524" s="28">
        <v>1.0154545454545454E-2</v>
      </c>
      <c r="P2524" s="28">
        <v>10.576902654867256</v>
      </c>
    </row>
    <row r="2525" spans="1:16" x14ac:dyDescent="0.3">
      <c r="A2525" t="s">
        <v>5404</v>
      </c>
      <c r="B2525" s="24">
        <v>100603</v>
      </c>
      <c r="C2525" s="24" t="s">
        <v>1277</v>
      </c>
      <c r="D2525" s="24" t="s">
        <v>1102</v>
      </c>
      <c r="E2525" s="24" t="s">
        <v>51</v>
      </c>
      <c r="F2525" s="24" t="s">
        <v>1142</v>
      </c>
      <c r="G2525" s="24" t="s">
        <v>1082</v>
      </c>
      <c r="H2525" s="24" t="s">
        <v>363</v>
      </c>
      <c r="I2525" s="24" t="s">
        <v>1954</v>
      </c>
      <c r="J2525" s="24" t="s">
        <v>761</v>
      </c>
      <c r="K2525" s="24" t="s">
        <v>1146</v>
      </c>
      <c r="L2525" s="25">
        <v>1070</v>
      </c>
      <c r="M2525" s="26">
        <v>11.17</v>
      </c>
      <c r="N2525" s="27">
        <v>11.17</v>
      </c>
      <c r="O2525" s="28">
        <v>1.0154545454545454E-2</v>
      </c>
      <c r="P2525" s="28">
        <v>10.576902654867256</v>
      </c>
    </row>
    <row r="2526" spans="1:16" x14ac:dyDescent="0.3">
      <c r="A2526" t="s">
        <v>5405</v>
      </c>
      <c r="B2526" s="24">
        <v>101186</v>
      </c>
      <c r="C2526" s="24" t="s">
        <v>1273</v>
      </c>
      <c r="D2526" s="24" t="s">
        <v>1102</v>
      </c>
      <c r="E2526" s="24" t="s">
        <v>51</v>
      </c>
      <c r="F2526" s="24" t="s">
        <v>1142</v>
      </c>
      <c r="G2526" s="24" t="s">
        <v>1203</v>
      </c>
      <c r="H2526" s="24" t="s">
        <v>363</v>
      </c>
      <c r="I2526" s="24" t="s">
        <v>1954</v>
      </c>
      <c r="J2526" s="24" t="s">
        <v>761</v>
      </c>
      <c r="K2526" s="24" t="s">
        <v>1146</v>
      </c>
      <c r="L2526" s="25">
        <v>1070</v>
      </c>
      <c r="M2526" s="26">
        <v>11.17</v>
      </c>
      <c r="N2526" s="27">
        <v>11.17</v>
      </c>
      <c r="O2526" s="28">
        <v>1.0154545454545454E-2</v>
      </c>
      <c r="P2526" s="28">
        <v>10.576902654867256</v>
      </c>
    </row>
    <row r="2527" spans="1:16" x14ac:dyDescent="0.3">
      <c r="A2527" t="s">
        <v>5406</v>
      </c>
      <c r="B2527" s="24">
        <v>101424</v>
      </c>
      <c r="C2527" s="24" t="s">
        <v>1278</v>
      </c>
      <c r="D2527" s="24" t="s">
        <v>1102</v>
      </c>
      <c r="E2527" s="24" t="s">
        <v>51</v>
      </c>
      <c r="F2527" s="24" t="s">
        <v>1142</v>
      </c>
      <c r="G2527" s="24" t="s">
        <v>1203</v>
      </c>
      <c r="H2527" s="24" t="s">
        <v>363</v>
      </c>
      <c r="I2527" s="24" t="s">
        <v>1954</v>
      </c>
      <c r="J2527" s="24" t="s">
        <v>761</v>
      </c>
      <c r="K2527" s="24" t="s">
        <v>1146</v>
      </c>
      <c r="L2527" s="25">
        <v>1070</v>
      </c>
      <c r="M2527" s="26">
        <v>11.17</v>
      </c>
      <c r="N2527" s="27">
        <v>11.17</v>
      </c>
      <c r="O2527" s="28">
        <v>1.0154545454545454E-2</v>
      </c>
      <c r="P2527" s="28">
        <v>10.576902654867256</v>
      </c>
    </row>
    <row r="2528" spans="1:16" x14ac:dyDescent="0.3">
      <c r="A2528" t="s">
        <v>5407</v>
      </c>
      <c r="B2528" s="24">
        <v>111550</v>
      </c>
      <c r="C2528" s="24" t="s">
        <v>1582</v>
      </c>
      <c r="D2528" s="24" t="s">
        <v>1102</v>
      </c>
      <c r="E2528" s="24" t="s">
        <v>51</v>
      </c>
      <c r="F2528" s="24" t="s">
        <v>1142</v>
      </c>
      <c r="G2528" s="24" t="s">
        <v>1402</v>
      </c>
      <c r="H2528" s="24" t="s">
        <v>363</v>
      </c>
      <c r="I2528" s="24" t="s">
        <v>1954</v>
      </c>
      <c r="J2528" s="24" t="s">
        <v>761</v>
      </c>
      <c r="K2528" s="24" t="s">
        <v>1146</v>
      </c>
      <c r="L2528" s="25">
        <v>1070</v>
      </c>
      <c r="M2528" s="26">
        <v>11.17</v>
      </c>
      <c r="N2528" s="27">
        <v>11.17</v>
      </c>
      <c r="O2528" s="28">
        <v>1.0154545454545454E-2</v>
      </c>
      <c r="P2528" s="28">
        <v>10.576902654867256</v>
      </c>
    </row>
    <row r="2529" spans="1:16" x14ac:dyDescent="0.3">
      <c r="A2529" t="s">
        <v>5408</v>
      </c>
      <c r="B2529" s="24">
        <v>101206</v>
      </c>
      <c r="C2529" s="24" t="s">
        <v>1199</v>
      </c>
      <c r="D2529" s="24" t="s">
        <v>1102</v>
      </c>
      <c r="E2529" s="24" t="s">
        <v>51</v>
      </c>
      <c r="F2529" s="24" t="s">
        <v>1142</v>
      </c>
      <c r="G2529" s="24" t="s">
        <v>1200</v>
      </c>
      <c r="H2529" s="24" t="s">
        <v>97</v>
      </c>
      <c r="I2529" s="24" t="s">
        <v>1955</v>
      </c>
      <c r="J2529" s="24" t="s">
        <v>761</v>
      </c>
      <c r="K2529" s="24" t="s">
        <v>1146</v>
      </c>
      <c r="L2529" s="25">
        <v>1070</v>
      </c>
      <c r="M2529" s="26">
        <v>9.3000000000000007</v>
      </c>
      <c r="N2529" s="27">
        <v>9.3000000000000007</v>
      </c>
      <c r="O2529" s="28">
        <v>8.4545454545454559E-3</v>
      </c>
      <c r="P2529" s="28">
        <v>8.8061946902654871</v>
      </c>
    </row>
    <row r="2530" spans="1:16" x14ac:dyDescent="0.3">
      <c r="A2530" t="s">
        <v>5409</v>
      </c>
      <c r="B2530" s="24">
        <v>101424</v>
      </c>
      <c r="C2530" s="24" t="s">
        <v>1278</v>
      </c>
      <c r="D2530" s="24" t="s">
        <v>1102</v>
      </c>
      <c r="E2530" s="24" t="s">
        <v>51</v>
      </c>
      <c r="F2530" s="24" t="s">
        <v>1142</v>
      </c>
      <c r="G2530" s="24" t="s">
        <v>1203</v>
      </c>
      <c r="H2530" s="24" t="s">
        <v>97</v>
      </c>
      <c r="I2530" s="24" t="s">
        <v>1955</v>
      </c>
      <c r="J2530" s="24" t="s">
        <v>761</v>
      </c>
      <c r="K2530" s="24" t="s">
        <v>1146</v>
      </c>
      <c r="L2530" s="25">
        <v>1070</v>
      </c>
      <c r="M2530" s="26">
        <v>9.3000000000000007</v>
      </c>
      <c r="N2530" s="27">
        <v>9.3000000000000007</v>
      </c>
      <c r="O2530" s="28">
        <v>8.4545454545454559E-3</v>
      </c>
      <c r="P2530" s="28">
        <v>8.8061946902654871</v>
      </c>
    </row>
    <row r="2531" spans="1:16" x14ac:dyDescent="0.3">
      <c r="A2531" t="s">
        <v>5410</v>
      </c>
      <c r="B2531" s="24">
        <v>106916</v>
      </c>
      <c r="C2531" s="24" t="s">
        <v>1216</v>
      </c>
      <c r="D2531" s="24" t="s">
        <v>1102</v>
      </c>
      <c r="E2531" s="24" t="s">
        <v>51</v>
      </c>
      <c r="F2531" s="24" t="s">
        <v>1142</v>
      </c>
      <c r="G2531" s="24" t="s">
        <v>1203</v>
      </c>
      <c r="H2531" s="24" t="s">
        <v>97</v>
      </c>
      <c r="I2531" s="24" t="s">
        <v>1955</v>
      </c>
      <c r="J2531" s="24" t="s">
        <v>761</v>
      </c>
      <c r="K2531" s="24" t="s">
        <v>1146</v>
      </c>
      <c r="L2531" s="25">
        <v>1070</v>
      </c>
      <c r="M2531" s="26">
        <v>9.3000000000000007</v>
      </c>
      <c r="N2531" s="27">
        <v>9.3000000000000007</v>
      </c>
      <c r="O2531" s="28">
        <v>8.4545454545454559E-3</v>
      </c>
      <c r="P2531" s="28">
        <v>8.8061946902654871</v>
      </c>
    </row>
    <row r="2532" spans="1:16" x14ac:dyDescent="0.3">
      <c r="A2532" t="s">
        <v>5411</v>
      </c>
      <c r="B2532" s="24">
        <v>100603</v>
      </c>
      <c r="C2532" s="24" t="s">
        <v>1277</v>
      </c>
      <c r="D2532" s="24" t="s">
        <v>1102</v>
      </c>
      <c r="E2532" s="24" t="s">
        <v>51</v>
      </c>
      <c r="F2532" s="24" t="s">
        <v>1142</v>
      </c>
      <c r="G2532" s="24" t="s">
        <v>1082</v>
      </c>
      <c r="H2532" s="24" t="s">
        <v>96</v>
      </c>
      <c r="I2532" s="24" t="s">
        <v>1956</v>
      </c>
      <c r="J2532" s="24" t="s">
        <v>761</v>
      </c>
      <c r="K2532" s="24" t="s">
        <v>1146</v>
      </c>
      <c r="L2532" s="25">
        <v>1070</v>
      </c>
      <c r="M2532" s="26">
        <v>7.5</v>
      </c>
      <c r="N2532" s="27">
        <v>7.5</v>
      </c>
      <c r="O2532" s="28">
        <v>6.8181818181818179E-3</v>
      </c>
      <c r="P2532" s="28">
        <v>7.1017699115044248</v>
      </c>
    </row>
    <row r="2533" spans="1:16" x14ac:dyDescent="0.3">
      <c r="A2533" t="s">
        <v>5412</v>
      </c>
      <c r="B2533" s="24">
        <v>101184</v>
      </c>
      <c r="C2533" s="24" t="s">
        <v>1401</v>
      </c>
      <c r="D2533" s="24" t="s">
        <v>1102</v>
      </c>
      <c r="E2533" s="24" t="s">
        <v>51</v>
      </c>
      <c r="F2533" s="24" t="s">
        <v>1142</v>
      </c>
      <c r="G2533" s="24" t="s">
        <v>1402</v>
      </c>
      <c r="H2533" s="24" t="s">
        <v>96</v>
      </c>
      <c r="I2533" s="24" t="s">
        <v>1956</v>
      </c>
      <c r="J2533" s="24" t="s">
        <v>761</v>
      </c>
      <c r="K2533" s="24" t="s">
        <v>1146</v>
      </c>
      <c r="L2533" s="25">
        <v>1070</v>
      </c>
      <c r="M2533" s="26">
        <v>7.5</v>
      </c>
      <c r="N2533" s="27">
        <v>7.5</v>
      </c>
      <c r="O2533" s="28">
        <v>6.8181818181818179E-3</v>
      </c>
      <c r="P2533" s="28">
        <v>7.1017699115044248</v>
      </c>
    </row>
    <row r="2534" spans="1:16" x14ac:dyDescent="0.3">
      <c r="A2534" t="s">
        <v>5413</v>
      </c>
      <c r="B2534" s="24">
        <v>106916</v>
      </c>
      <c r="C2534" s="24" t="s">
        <v>1216</v>
      </c>
      <c r="D2534" s="24" t="s">
        <v>1102</v>
      </c>
      <c r="E2534" s="24" t="s">
        <v>51</v>
      </c>
      <c r="F2534" s="24" t="s">
        <v>1142</v>
      </c>
      <c r="G2534" s="24" t="s">
        <v>1203</v>
      </c>
      <c r="H2534" s="24" t="s">
        <v>96</v>
      </c>
      <c r="I2534" s="24" t="s">
        <v>1956</v>
      </c>
      <c r="J2534" s="24" t="s">
        <v>761</v>
      </c>
      <c r="K2534" s="24" t="s">
        <v>1146</v>
      </c>
      <c r="L2534" s="25">
        <v>1070</v>
      </c>
      <c r="M2534" s="26">
        <v>7.5</v>
      </c>
      <c r="N2534" s="27">
        <v>7.5</v>
      </c>
      <c r="O2534" s="28">
        <v>6.8181818181818179E-3</v>
      </c>
      <c r="P2534" s="28">
        <v>7.1017699115044248</v>
      </c>
    </row>
    <row r="2535" spans="1:16" x14ac:dyDescent="0.3">
      <c r="A2535" t="s">
        <v>5414</v>
      </c>
      <c r="B2535" s="24">
        <v>100581</v>
      </c>
      <c r="C2535" s="24" t="s">
        <v>1232</v>
      </c>
      <c r="D2535" s="24" t="s">
        <v>1102</v>
      </c>
      <c r="E2535" s="24" t="s">
        <v>51</v>
      </c>
      <c r="F2535" s="24" t="s">
        <v>1142</v>
      </c>
      <c r="G2535" s="24" t="s">
        <v>1233</v>
      </c>
      <c r="H2535" s="24" t="s">
        <v>213</v>
      </c>
      <c r="I2535" s="24" t="s">
        <v>1957</v>
      </c>
      <c r="J2535" s="24" t="s">
        <v>761</v>
      </c>
      <c r="K2535" s="24" t="s">
        <v>1146</v>
      </c>
      <c r="L2535" s="25">
        <v>1070</v>
      </c>
      <c r="M2535" s="26">
        <v>9.09</v>
      </c>
      <c r="N2535" s="27">
        <v>9.09</v>
      </c>
      <c r="O2535" s="28">
        <v>8.2636363636363636E-3</v>
      </c>
      <c r="P2535" s="28">
        <v>8.6073451327433617</v>
      </c>
    </row>
    <row r="2536" spans="1:16" x14ac:dyDescent="0.3">
      <c r="A2536" t="s">
        <v>5415</v>
      </c>
      <c r="B2536" s="24">
        <v>101186</v>
      </c>
      <c r="C2536" s="24" t="s">
        <v>1273</v>
      </c>
      <c r="D2536" s="24" t="s">
        <v>1102</v>
      </c>
      <c r="E2536" s="24" t="s">
        <v>51</v>
      </c>
      <c r="F2536" s="24" t="s">
        <v>1142</v>
      </c>
      <c r="G2536" s="24" t="s">
        <v>1203</v>
      </c>
      <c r="H2536" s="24" t="s">
        <v>213</v>
      </c>
      <c r="I2536" s="24" t="s">
        <v>1957</v>
      </c>
      <c r="J2536" s="24" t="s">
        <v>761</v>
      </c>
      <c r="K2536" s="24" t="s">
        <v>1146</v>
      </c>
      <c r="L2536" s="25">
        <v>1070</v>
      </c>
      <c r="M2536" s="26">
        <v>9.09</v>
      </c>
      <c r="N2536" s="27">
        <v>9.09</v>
      </c>
      <c r="O2536" s="28">
        <v>8.2636363636363636E-3</v>
      </c>
      <c r="P2536" s="28">
        <v>8.6073451327433617</v>
      </c>
    </row>
    <row r="2537" spans="1:16" x14ac:dyDescent="0.3">
      <c r="A2537" t="s">
        <v>5416</v>
      </c>
      <c r="B2537" s="24">
        <v>101206</v>
      </c>
      <c r="C2537" s="24" t="s">
        <v>1199</v>
      </c>
      <c r="D2537" s="24" t="s">
        <v>1102</v>
      </c>
      <c r="E2537" s="24" t="s">
        <v>51</v>
      </c>
      <c r="F2537" s="24" t="s">
        <v>1142</v>
      </c>
      <c r="G2537" s="24" t="s">
        <v>1200</v>
      </c>
      <c r="H2537" s="24" t="s">
        <v>214</v>
      </c>
      <c r="I2537" s="24" t="s">
        <v>2905</v>
      </c>
      <c r="J2537" s="24" t="s">
        <v>761</v>
      </c>
      <c r="K2537" s="24" t="s">
        <v>1146</v>
      </c>
      <c r="L2537" s="25">
        <v>1070</v>
      </c>
      <c r="M2537" s="26">
        <v>6.77</v>
      </c>
      <c r="N2537" s="27">
        <v>6.77</v>
      </c>
      <c r="O2537" s="28">
        <v>6.1545454545454542E-3</v>
      </c>
      <c r="P2537" s="28">
        <v>6.4105309734513272</v>
      </c>
    </row>
    <row r="2538" spans="1:16" x14ac:dyDescent="0.3">
      <c r="A2538" t="s">
        <v>5417</v>
      </c>
      <c r="B2538" s="24">
        <v>101184</v>
      </c>
      <c r="C2538" s="24" t="s">
        <v>1401</v>
      </c>
      <c r="D2538" s="24" t="s">
        <v>1102</v>
      </c>
      <c r="E2538" s="24" t="s">
        <v>51</v>
      </c>
      <c r="F2538" s="24" t="s">
        <v>1142</v>
      </c>
      <c r="G2538" s="24" t="s">
        <v>1402</v>
      </c>
      <c r="H2538" s="24" t="s">
        <v>159</v>
      </c>
      <c r="I2538" s="24" t="s">
        <v>1958</v>
      </c>
      <c r="J2538" s="24" t="s">
        <v>761</v>
      </c>
      <c r="K2538" s="24" t="s">
        <v>1146</v>
      </c>
      <c r="L2538" s="25">
        <v>1070</v>
      </c>
      <c r="M2538" s="26">
        <v>7.2</v>
      </c>
      <c r="N2538" s="27">
        <v>7.2</v>
      </c>
      <c r="O2538" s="28">
        <v>6.5454545454545453E-3</v>
      </c>
      <c r="P2538" s="28">
        <v>6.8176991150442481</v>
      </c>
    </row>
    <row r="2539" spans="1:16" x14ac:dyDescent="0.3">
      <c r="A2539" t="s">
        <v>5418</v>
      </c>
      <c r="B2539" s="24">
        <v>101186</v>
      </c>
      <c r="C2539" s="24" t="s">
        <v>1273</v>
      </c>
      <c r="D2539" s="24" t="s">
        <v>1102</v>
      </c>
      <c r="E2539" s="24" t="s">
        <v>51</v>
      </c>
      <c r="F2539" s="24" t="s">
        <v>1142</v>
      </c>
      <c r="G2539" s="24" t="s">
        <v>1203</v>
      </c>
      <c r="H2539" s="24" t="s">
        <v>159</v>
      </c>
      <c r="I2539" s="24" t="s">
        <v>1958</v>
      </c>
      <c r="J2539" s="24" t="s">
        <v>761</v>
      </c>
      <c r="K2539" s="24" t="s">
        <v>1146</v>
      </c>
      <c r="L2539" s="25">
        <v>1070</v>
      </c>
      <c r="M2539" s="26">
        <v>7.2</v>
      </c>
      <c r="N2539" s="27">
        <v>7.2</v>
      </c>
      <c r="O2539" s="28">
        <v>6.5454545454545453E-3</v>
      </c>
      <c r="P2539" s="28">
        <v>6.8176991150442481</v>
      </c>
    </row>
    <row r="2540" spans="1:16" x14ac:dyDescent="0.3">
      <c r="A2540" t="s">
        <v>5419</v>
      </c>
      <c r="B2540" s="24">
        <v>101206</v>
      </c>
      <c r="C2540" s="24" t="s">
        <v>1199</v>
      </c>
      <c r="D2540" s="24" t="s">
        <v>1102</v>
      </c>
      <c r="E2540" s="24" t="s">
        <v>51</v>
      </c>
      <c r="F2540" s="24" t="s">
        <v>1142</v>
      </c>
      <c r="G2540" s="24" t="s">
        <v>1200</v>
      </c>
      <c r="H2540" s="24" t="s">
        <v>159</v>
      </c>
      <c r="I2540" s="24" t="s">
        <v>1958</v>
      </c>
      <c r="J2540" s="24" t="s">
        <v>761</v>
      </c>
      <c r="K2540" s="24" t="s">
        <v>1146</v>
      </c>
      <c r="L2540" s="25">
        <v>1070</v>
      </c>
      <c r="M2540" s="26">
        <v>7.2</v>
      </c>
      <c r="N2540" s="27">
        <v>7.2</v>
      </c>
      <c r="O2540" s="28">
        <v>6.5454545454545453E-3</v>
      </c>
      <c r="P2540" s="28">
        <v>6.8176991150442481</v>
      </c>
    </row>
    <row r="2541" spans="1:16" x14ac:dyDescent="0.3">
      <c r="A2541" t="s">
        <v>5420</v>
      </c>
      <c r="B2541" s="24">
        <v>101184</v>
      </c>
      <c r="C2541" s="24" t="s">
        <v>1401</v>
      </c>
      <c r="D2541" s="24" t="s">
        <v>1102</v>
      </c>
      <c r="E2541" s="24" t="s">
        <v>51</v>
      </c>
      <c r="F2541" s="24" t="s">
        <v>1142</v>
      </c>
      <c r="G2541" s="24" t="s">
        <v>1402</v>
      </c>
      <c r="H2541" s="24" t="s">
        <v>215</v>
      </c>
      <c r="I2541" s="24" t="s">
        <v>1959</v>
      </c>
      <c r="J2541" s="24" t="s">
        <v>761</v>
      </c>
      <c r="K2541" s="24" t="s">
        <v>1146</v>
      </c>
      <c r="L2541" s="25">
        <v>1070</v>
      </c>
      <c r="M2541" s="26">
        <v>6.3</v>
      </c>
      <c r="N2541" s="27">
        <v>6.3</v>
      </c>
      <c r="O2541" s="28">
        <v>5.7272727272727267E-3</v>
      </c>
      <c r="P2541" s="28">
        <v>5.965486725663717</v>
      </c>
    </row>
    <row r="2542" spans="1:16" x14ac:dyDescent="0.3">
      <c r="A2542" t="s">
        <v>5421</v>
      </c>
      <c r="B2542" s="24">
        <v>101186</v>
      </c>
      <c r="C2542" s="24" t="s">
        <v>1273</v>
      </c>
      <c r="D2542" s="24" t="s">
        <v>1102</v>
      </c>
      <c r="E2542" s="24" t="s">
        <v>51</v>
      </c>
      <c r="F2542" s="24" t="s">
        <v>1142</v>
      </c>
      <c r="G2542" s="24" t="s">
        <v>1203</v>
      </c>
      <c r="H2542" s="24" t="s">
        <v>215</v>
      </c>
      <c r="I2542" s="24" t="s">
        <v>1959</v>
      </c>
      <c r="J2542" s="24" t="s">
        <v>761</v>
      </c>
      <c r="K2542" s="24" t="s">
        <v>1146</v>
      </c>
      <c r="L2542" s="25">
        <v>1070</v>
      </c>
      <c r="M2542" s="26">
        <v>6.3</v>
      </c>
      <c r="N2542" s="27">
        <v>6.3</v>
      </c>
      <c r="O2542" s="28">
        <v>5.7272727272727267E-3</v>
      </c>
      <c r="P2542" s="28">
        <v>5.965486725663717</v>
      </c>
    </row>
    <row r="2543" spans="1:16" x14ac:dyDescent="0.3">
      <c r="A2543" t="s">
        <v>5422</v>
      </c>
      <c r="B2543" s="24">
        <v>114501</v>
      </c>
      <c r="C2543" s="24" t="s">
        <v>1409</v>
      </c>
      <c r="D2543" s="24" t="s">
        <v>1102</v>
      </c>
      <c r="E2543" s="24" t="s">
        <v>51</v>
      </c>
      <c r="F2543" s="24" t="s">
        <v>1142</v>
      </c>
      <c r="G2543" s="24" t="s">
        <v>1402</v>
      </c>
      <c r="H2543" s="24" t="s">
        <v>215</v>
      </c>
      <c r="I2543" s="24" t="s">
        <v>1959</v>
      </c>
      <c r="J2543" s="24" t="s">
        <v>761</v>
      </c>
      <c r="K2543" s="24" t="s">
        <v>1146</v>
      </c>
      <c r="L2543" s="25">
        <v>1070</v>
      </c>
      <c r="M2543" s="26">
        <v>6.3</v>
      </c>
      <c r="N2543" s="27">
        <v>6.3</v>
      </c>
      <c r="O2543" s="28">
        <v>5.7272727272727267E-3</v>
      </c>
      <c r="P2543" s="28">
        <v>5.965486725663717</v>
      </c>
    </row>
    <row r="2544" spans="1:16" x14ac:dyDescent="0.3">
      <c r="A2544" t="s">
        <v>5423</v>
      </c>
      <c r="B2544" s="24">
        <v>101186</v>
      </c>
      <c r="C2544" s="24" t="s">
        <v>1273</v>
      </c>
      <c r="D2544" s="24" t="s">
        <v>1102</v>
      </c>
      <c r="E2544" s="24" t="s">
        <v>51</v>
      </c>
      <c r="F2544" s="24" t="s">
        <v>1142</v>
      </c>
      <c r="G2544" s="24" t="s">
        <v>1203</v>
      </c>
      <c r="H2544" s="24" t="s">
        <v>216</v>
      </c>
      <c r="I2544" s="24" t="s">
        <v>1960</v>
      </c>
      <c r="J2544" s="24" t="s">
        <v>761</v>
      </c>
      <c r="K2544" s="24" t="s">
        <v>1146</v>
      </c>
      <c r="L2544" s="25">
        <v>1070</v>
      </c>
      <c r="M2544" s="26">
        <v>7.3</v>
      </c>
      <c r="N2544" s="27">
        <v>7.3</v>
      </c>
      <c r="O2544" s="28">
        <v>6.6363636363636364E-3</v>
      </c>
      <c r="P2544" s="28">
        <v>6.9123893805309731</v>
      </c>
    </row>
    <row r="2545" spans="1:16" x14ac:dyDescent="0.3">
      <c r="A2545" t="s">
        <v>5424</v>
      </c>
      <c r="B2545" s="24">
        <v>101186</v>
      </c>
      <c r="C2545" s="24" t="s">
        <v>1273</v>
      </c>
      <c r="D2545" s="24" t="s">
        <v>1102</v>
      </c>
      <c r="E2545" s="24" t="s">
        <v>51</v>
      </c>
      <c r="F2545" s="24" t="s">
        <v>1142</v>
      </c>
      <c r="G2545" s="24" t="s">
        <v>1203</v>
      </c>
      <c r="H2545" s="24" t="s">
        <v>144</v>
      </c>
      <c r="I2545" s="24" t="s">
        <v>1961</v>
      </c>
      <c r="J2545" s="24" t="s">
        <v>761</v>
      </c>
      <c r="K2545" s="24" t="s">
        <v>1146</v>
      </c>
      <c r="L2545" s="25">
        <v>1070</v>
      </c>
      <c r="M2545" s="26">
        <v>11.38</v>
      </c>
      <c r="N2545" s="27">
        <v>11.38</v>
      </c>
      <c r="O2545" s="28">
        <v>1.0345454545454547E-2</v>
      </c>
      <c r="P2545" s="28">
        <v>10.775752212389381</v>
      </c>
    </row>
    <row r="2546" spans="1:16" x14ac:dyDescent="0.3">
      <c r="A2546" t="s">
        <v>5425</v>
      </c>
      <c r="B2546" s="24">
        <v>101424</v>
      </c>
      <c r="C2546" s="24" t="s">
        <v>1278</v>
      </c>
      <c r="D2546" s="24" t="s">
        <v>1102</v>
      </c>
      <c r="E2546" s="24" t="s">
        <v>51</v>
      </c>
      <c r="F2546" s="24" t="s">
        <v>1142</v>
      </c>
      <c r="G2546" s="24" t="s">
        <v>1203</v>
      </c>
      <c r="H2546" s="24" t="s">
        <v>144</v>
      </c>
      <c r="I2546" s="24" t="s">
        <v>1961</v>
      </c>
      <c r="J2546" s="24" t="s">
        <v>761</v>
      </c>
      <c r="K2546" s="24" t="s">
        <v>1146</v>
      </c>
      <c r="L2546" s="25">
        <v>1070</v>
      </c>
      <c r="M2546" s="26">
        <v>11.38</v>
      </c>
      <c r="N2546" s="27">
        <v>11.38</v>
      </c>
      <c r="O2546" s="28">
        <v>1.0345454545454547E-2</v>
      </c>
      <c r="P2546" s="28">
        <v>10.775752212389381</v>
      </c>
    </row>
    <row r="2547" spans="1:16" x14ac:dyDescent="0.3">
      <c r="A2547" t="s">
        <v>5426</v>
      </c>
      <c r="B2547" s="24">
        <v>101186</v>
      </c>
      <c r="C2547" s="24" t="s">
        <v>1273</v>
      </c>
      <c r="D2547" s="24" t="s">
        <v>1102</v>
      </c>
      <c r="E2547" s="24" t="s">
        <v>51</v>
      </c>
      <c r="F2547" s="24" t="s">
        <v>1142</v>
      </c>
      <c r="G2547" s="24" t="s">
        <v>1203</v>
      </c>
      <c r="H2547" s="24" t="s">
        <v>138</v>
      </c>
      <c r="I2547" s="24" t="s">
        <v>1962</v>
      </c>
      <c r="J2547" s="24" t="s">
        <v>761</v>
      </c>
      <c r="K2547" s="24" t="s">
        <v>1146</v>
      </c>
      <c r="L2547" s="25">
        <v>1070</v>
      </c>
      <c r="M2547" s="26">
        <v>16.579999999999998</v>
      </c>
      <c r="N2547" s="27">
        <v>16.579999999999998</v>
      </c>
      <c r="O2547" s="28">
        <v>1.5072727272727271E-2</v>
      </c>
      <c r="P2547" s="28">
        <v>15.699646017699115</v>
      </c>
    </row>
    <row r="2548" spans="1:16" x14ac:dyDescent="0.3">
      <c r="A2548" t="s">
        <v>5427</v>
      </c>
      <c r="B2548" s="24">
        <v>101184</v>
      </c>
      <c r="C2548" s="24" t="s">
        <v>1401</v>
      </c>
      <c r="D2548" s="24" t="s">
        <v>1102</v>
      </c>
      <c r="E2548" s="24" t="s">
        <v>51</v>
      </c>
      <c r="F2548" s="24" t="s">
        <v>1142</v>
      </c>
      <c r="G2548" s="24" t="s">
        <v>1402</v>
      </c>
      <c r="H2548" s="24" t="s">
        <v>125</v>
      </c>
      <c r="I2548" s="24" t="s">
        <v>1963</v>
      </c>
      <c r="J2548" s="24" t="s">
        <v>761</v>
      </c>
      <c r="K2548" s="24" t="s">
        <v>1146</v>
      </c>
      <c r="L2548" s="25">
        <v>1070</v>
      </c>
      <c r="M2548" s="26">
        <v>14.35</v>
      </c>
      <c r="N2548" s="27">
        <v>14.35</v>
      </c>
      <c r="O2548" s="28">
        <v>1.3045454545454546E-2</v>
      </c>
      <c r="P2548" s="28">
        <v>13.588053097345133</v>
      </c>
    </row>
    <row r="2549" spans="1:16" x14ac:dyDescent="0.3">
      <c r="A2549" t="s">
        <v>5428</v>
      </c>
      <c r="B2549" s="24">
        <v>101424</v>
      </c>
      <c r="C2549" s="24" t="s">
        <v>1278</v>
      </c>
      <c r="D2549" s="24" t="s">
        <v>1102</v>
      </c>
      <c r="E2549" s="24" t="s">
        <v>51</v>
      </c>
      <c r="F2549" s="24" t="s">
        <v>1142</v>
      </c>
      <c r="G2549" s="24" t="s">
        <v>1203</v>
      </c>
      <c r="H2549" s="24" t="s">
        <v>125</v>
      </c>
      <c r="I2549" s="24" t="s">
        <v>1963</v>
      </c>
      <c r="J2549" s="24" t="s">
        <v>761</v>
      </c>
      <c r="K2549" s="24" t="s">
        <v>1146</v>
      </c>
      <c r="L2549" s="25">
        <v>1070</v>
      </c>
      <c r="M2549" s="26">
        <v>14.35</v>
      </c>
      <c r="N2549" s="27">
        <v>14.35</v>
      </c>
      <c r="O2549" s="28">
        <v>1.3045454545454546E-2</v>
      </c>
      <c r="P2549" s="28">
        <v>13.588053097345133</v>
      </c>
    </row>
    <row r="2550" spans="1:16" x14ac:dyDescent="0.3">
      <c r="A2550" t="s">
        <v>5429</v>
      </c>
      <c r="B2550" s="24">
        <v>106916</v>
      </c>
      <c r="C2550" s="24" t="s">
        <v>1216</v>
      </c>
      <c r="D2550" s="24" t="s">
        <v>1102</v>
      </c>
      <c r="E2550" s="24" t="s">
        <v>51</v>
      </c>
      <c r="F2550" s="24" t="s">
        <v>1142</v>
      </c>
      <c r="G2550" s="24" t="s">
        <v>1203</v>
      </c>
      <c r="H2550" s="24" t="s">
        <v>125</v>
      </c>
      <c r="I2550" s="24" t="s">
        <v>1963</v>
      </c>
      <c r="J2550" s="24" t="s">
        <v>761</v>
      </c>
      <c r="K2550" s="24" t="s">
        <v>1146</v>
      </c>
      <c r="L2550" s="25">
        <v>1070</v>
      </c>
      <c r="M2550" s="26">
        <v>14.35</v>
      </c>
      <c r="N2550" s="27">
        <v>14.35</v>
      </c>
      <c r="O2550" s="28">
        <v>1.3045454545454546E-2</v>
      </c>
      <c r="P2550" s="28">
        <v>13.588053097345133</v>
      </c>
    </row>
    <row r="2551" spans="1:16" x14ac:dyDescent="0.3">
      <c r="A2551" t="s">
        <v>5430</v>
      </c>
      <c r="B2551" s="24">
        <v>101184</v>
      </c>
      <c r="C2551" s="24" t="s">
        <v>1401</v>
      </c>
      <c r="D2551" s="24" t="s">
        <v>1102</v>
      </c>
      <c r="E2551" s="24" t="s">
        <v>51</v>
      </c>
      <c r="F2551" s="24" t="s">
        <v>1142</v>
      </c>
      <c r="G2551" s="24" t="s">
        <v>1402</v>
      </c>
      <c r="H2551" s="24" t="s">
        <v>103</v>
      </c>
      <c r="I2551" s="24" t="s">
        <v>1964</v>
      </c>
      <c r="J2551" s="24" t="s">
        <v>761</v>
      </c>
      <c r="K2551" s="24" t="s">
        <v>1146</v>
      </c>
      <c r="L2551" s="25">
        <v>1070</v>
      </c>
      <c r="M2551" s="26">
        <v>14.35</v>
      </c>
      <c r="N2551" s="27">
        <v>14.35</v>
      </c>
      <c r="O2551" s="28">
        <v>1.3045454545454546E-2</v>
      </c>
      <c r="P2551" s="28">
        <v>13.588053097345133</v>
      </c>
    </row>
    <row r="2552" spans="1:16" x14ac:dyDescent="0.3">
      <c r="A2552" t="s">
        <v>5431</v>
      </c>
      <c r="B2552" s="24">
        <v>101186</v>
      </c>
      <c r="C2552" s="24" t="s">
        <v>1273</v>
      </c>
      <c r="D2552" s="24" t="s">
        <v>1102</v>
      </c>
      <c r="E2552" s="24" t="s">
        <v>51</v>
      </c>
      <c r="F2552" s="24" t="s">
        <v>1142</v>
      </c>
      <c r="G2552" s="24" t="s">
        <v>1203</v>
      </c>
      <c r="H2552" s="24" t="s">
        <v>104</v>
      </c>
      <c r="I2552" s="24" t="s">
        <v>1965</v>
      </c>
      <c r="J2552" s="24" t="s">
        <v>761</v>
      </c>
      <c r="K2552" s="24" t="s">
        <v>1146</v>
      </c>
      <c r="L2552" s="25">
        <v>1070</v>
      </c>
      <c r="M2552" s="26">
        <v>16.5</v>
      </c>
      <c r="N2552" s="27">
        <v>16.5</v>
      </c>
      <c r="O2552" s="28">
        <v>1.4999999999999999E-2</v>
      </c>
      <c r="P2552" s="28">
        <v>15.623893805309734</v>
      </c>
    </row>
    <row r="2553" spans="1:16" x14ac:dyDescent="0.3">
      <c r="A2553" t="s">
        <v>5432</v>
      </c>
      <c r="B2553" s="24">
        <v>101206</v>
      </c>
      <c r="C2553" s="24" t="s">
        <v>1199</v>
      </c>
      <c r="D2553" s="24" t="s">
        <v>1102</v>
      </c>
      <c r="E2553" s="24" t="s">
        <v>51</v>
      </c>
      <c r="F2553" s="24" t="s">
        <v>1142</v>
      </c>
      <c r="G2553" s="24" t="s">
        <v>1200</v>
      </c>
      <c r="H2553" s="24" t="s">
        <v>1966</v>
      </c>
      <c r="I2553" s="24" t="s">
        <v>1967</v>
      </c>
      <c r="J2553" s="24" t="s">
        <v>761</v>
      </c>
      <c r="K2553" s="24" t="s">
        <v>1146</v>
      </c>
      <c r="L2553" s="25">
        <v>1070</v>
      </c>
      <c r="M2553" s="26">
        <v>15.9</v>
      </c>
      <c r="N2553" s="27">
        <v>15.9</v>
      </c>
      <c r="O2553" s="28">
        <v>1.4454545454545454E-2</v>
      </c>
      <c r="P2553" s="28">
        <v>15.055752212389381</v>
      </c>
    </row>
    <row r="2554" spans="1:16" x14ac:dyDescent="0.3">
      <c r="A2554" t="s">
        <v>5433</v>
      </c>
      <c r="B2554" s="24">
        <v>100581</v>
      </c>
      <c r="C2554" s="24" t="s">
        <v>1232</v>
      </c>
      <c r="D2554" s="24" t="s">
        <v>1102</v>
      </c>
      <c r="E2554" s="24" t="s">
        <v>51</v>
      </c>
      <c r="F2554" s="24" t="s">
        <v>1142</v>
      </c>
      <c r="G2554" s="24" t="s">
        <v>1233</v>
      </c>
      <c r="H2554" s="24" t="s">
        <v>87</v>
      </c>
      <c r="I2554" s="24" t="s">
        <v>1968</v>
      </c>
      <c r="J2554" s="24" t="s">
        <v>761</v>
      </c>
      <c r="K2554" s="24" t="s">
        <v>1146</v>
      </c>
      <c r="L2554" s="25">
        <v>1070</v>
      </c>
      <c r="M2554" s="26">
        <v>11.5</v>
      </c>
      <c r="N2554" s="27">
        <v>11.5</v>
      </c>
      <c r="O2554" s="28">
        <v>1.0454545454545454E-2</v>
      </c>
      <c r="P2554" s="28">
        <v>10.889380530973451</v>
      </c>
    </row>
    <row r="2555" spans="1:16" x14ac:dyDescent="0.3">
      <c r="A2555" t="s">
        <v>5434</v>
      </c>
      <c r="B2555" s="24">
        <v>101424</v>
      </c>
      <c r="C2555" s="24" t="s">
        <v>1278</v>
      </c>
      <c r="D2555" s="24" t="s">
        <v>1102</v>
      </c>
      <c r="E2555" s="24" t="s">
        <v>51</v>
      </c>
      <c r="F2555" s="24" t="s">
        <v>1142</v>
      </c>
      <c r="G2555" s="24" t="s">
        <v>1203</v>
      </c>
      <c r="H2555" s="24" t="s">
        <v>87</v>
      </c>
      <c r="I2555" s="24" t="s">
        <v>1968</v>
      </c>
      <c r="J2555" s="24" t="s">
        <v>761</v>
      </c>
      <c r="K2555" s="24" t="s">
        <v>1146</v>
      </c>
      <c r="L2555" s="25">
        <v>1070</v>
      </c>
      <c r="M2555" s="26">
        <v>11.5</v>
      </c>
      <c r="N2555" s="27">
        <v>11.5</v>
      </c>
      <c r="O2555" s="28">
        <v>1.0454545454545454E-2</v>
      </c>
      <c r="P2555" s="28">
        <v>10.889380530973451</v>
      </c>
    </row>
    <row r="2556" spans="1:16" x14ac:dyDescent="0.3">
      <c r="A2556" t="s">
        <v>5435</v>
      </c>
      <c r="B2556" s="24">
        <v>111550</v>
      </c>
      <c r="C2556" s="24" t="s">
        <v>1582</v>
      </c>
      <c r="D2556" s="24" t="s">
        <v>1102</v>
      </c>
      <c r="E2556" s="24" t="s">
        <v>51</v>
      </c>
      <c r="F2556" s="24" t="s">
        <v>1142</v>
      </c>
      <c r="G2556" s="24" t="s">
        <v>1402</v>
      </c>
      <c r="H2556" s="24" t="s">
        <v>87</v>
      </c>
      <c r="I2556" s="24" t="s">
        <v>1968</v>
      </c>
      <c r="J2556" s="24" t="s">
        <v>761</v>
      </c>
      <c r="K2556" s="24" t="s">
        <v>1146</v>
      </c>
      <c r="L2556" s="25">
        <v>1070</v>
      </c>
      <c r="M2556" s="26">
        <v>11.5</v>
      </c>
      <c r="N2556" s="27">
        <v>11.5</v>
      </c>
      <c r="O2556" s="28">
        <v>1.0454545454545454E-2</v>
      </c>
      <c r="P2556" s="28">
        <v>10.889380530973451</v>
      </c>
    </row>
    <row r="2557" spans="1:16" x14ac:dyDescent="0.3">
      <c r="A2557" t="s">
        <v>5436</v>
      </c>
      <c r="B2557" s="24">
        <v>100581</v>
      </c>
      <c r="C2557" s="24" t="s">
        <v>1232</v>
      </c>
      <c r="D2557" s="24" t="s">
        <v>1102</v>
      </c>
      <c r="E2557" s="24" t="s">
        <v>51</v>
      </c>
      <c r="F2557" s="24" t="s">
        <v>1142</v>
      </c>
      <c r="G2557" s="24" t="s">
        <v>1233</v>
      </c>
      <c r="H2557" s="24" t="s">
        <v>80</v>
      </c>
      <c r="I2557" s="24" t="s">
        <v>1969</v>
      </c>
      <c r="J2557" s="24" t="s">
        <v>761</v>
      </c>
      <c r="K2557" s="24" t="s">
        <v>1146</v>
      </c>
      <c r="L2557" s="25">
        <v>1070</v>
      </c>
      <c r="M2557" s="26">
        <v>11.5</v>
      </c>
      <c r="N2557" s="27">
        <v>11.5</v>
      </c>
      <c r="O2557" s="28">
        <v>1.0454545454545454E-2</v>
      </c>
      <c r="P2557" s="28">
        <v>10.889380530973451</v>
      </c>
    </row>
    <row r="2558" spans="1:16" x14ac:dyDescent="0.3">
      <c r="A2558" t="s">
        <v>5437</v>
      </c>
      <c r="B2558" s="24">
        <v>100603</v>
      </c>
      <c r="C2558" s="24" t="s">
        <v>1277</v>
      </c>
      <c r="D2558" s="24" t="s">
        <v>1102</v>
      </c>
      <c r="E2558" s="24" t="s">
        <v>51</v>
      </c>
      <c r="F2558" s="24" t="s">
        <v>1142</v>
      </c>
      <c r="G2558" s="24" t="s">
        <v>1082</v>
      </c>
      <c r="H2558" s="24" t="s">
        <v>80</v>
      </c>
      <c r="I2558" s="24" t="s">
        <v>1969</v>
      </c>
      <c r="J2558" s="24" t="s">
        <v>761</v>
      </c>
      <c r="K2558" s="24" t="s">
        <v>1146</v>
      </c>
      <c r="L2558" s="25">
        <v>1070</v>
      </c>
      <c r="M2558" s="26">
        <v>11.5</v>
      </c>
      <c r="N2558" s="27">
        <v>11.5</v>
      </c>
      <c r="O2558" s="28">
        <v>1.0454545454545454E-2</v>
      </c>
      <c r="P2558" s="28">
        <v>10.889380530973451</v>
      </c>
    </row>
    <row r="2559" spans="1:16" x14ac:dyDescent="0.3">
      <c r="A2559" t="s">
        <v>5438</v>
      </c>
      <c r="B2559" s="24">
        <v>101424</v>
      </c>
      <c r="C2559" s="24" t="s">
        <v>1278</v>
      </c>
      <c r="D2559" s="24" t="s">
        <v>1102</v>
      </c>
      <c r="E2559" s="24" t="s">
        <v>51</v>
      </c>
      <c r="F2559" s="24" t="s">
        <v>1142</v>
      </c>
      <c r="G2559" s="24" t="s">
        <v>1203</v>
      </c>
      <c r="H2559" s="24" t="s">
        <v>80</v>
      </c>
      <c r="I2559" s="24" t="s">
        <v>1969</v>
      </c>
      <c r="J2559" s="24" t="s">
        <v>761</v>
      </c>
      <c r="K2559" s="24" t="s">
        <v>1146</v>
      </c>
      <c r="L2559" s="25">
        <v>1070</v>
      </c>
      <c r="M2559" s="26">
        <v>11.6</v>
      </c>
      <c r="N2559" s="27">
        <v>11.6</v>
      </c>
      <c r="O2559" s="28">
        <v>1.0545454545454545E-2</v>
      </c>
      <c r="P2559" s="28">
        <v>10.984070796460177</v>
      </c>
    </row>
    <row r="2560" spans="1:16" x14ac:dyDescent="0.3">
      <c r="A2560" t="s">
        <v>5439</v>
      </c>
      <c r="B2560" s="24">
        <v>111550</v>
      </c>
      <c r="C2560" s="24" t="s">
        <v>1582</v>
      </c>
      <c r="D2560" s="24" t="s">
        <v>1102</v>
      </c>
      <c r="E2560" s="24" t="s">
        <v>51</v>
      </c>
      <c r="F2560" s="24" t="s">
        <v>1142</v>
      </c>
      <c r="G2560" s="24" t="s">
        <v>1402</v>
      </c>
      <c r="H2560" s="24" t="s">
        <v>80</v>
      </c>
      <c r="I2560" s="24" t="s">
        <v>1969</v>
      </c>
      <c r="J2560" s="24" t="s">
        <v>761</v>
      </c>
      <c r="K2560" s="24" t="s">
        <v>1146</v>
      </c>
      <c r="L2560" s="25">
        <v>1070</v>
      </c>
      <c r="M2560" s="26">
        <v>11.5</v>
      </c>
      <c r="N2560" s="27">
        <v>11.5</v>
      </c>
      <c r="O2560" s="28">
        <v>1.0454545454545454E-2</v>
      </c>
      <c r="P2560" s="28">
        <v>10.889380530973451</v>
      </c>
    </row>
    <row r="2561" spans="1:16" x14ac:dyDescent="0.3">
      <c r="A2561" t="s">
        <v>5440</v>
      </c>
      <c r="B2561" s="24">
        <v>101186</v>
      </c>
      <c r="C2561" s="24" t="s">
        <v>1273</v>
      </c>
      <c r="D2561" s="24" t="s">
        <v>1102</v>
      </c>
      <c r="E2561" s="24" t="s">
        <v>51</v>
      </c>
      <c r="F2561" s="24" t="s">
        <v>1142</v>
      </c>
      <c r="G2561" s="24" t="s">
        <v>1203</v>
      </c>
      <c r="H2561" s="24" t="s">
        <v>186</v>
      </c>
      <c r="I2561" s="24" t="s">
        <v>1970</v>
      </c>
      <c r="J2561" s="24" t="s">
        <v>761</v>
      </c>
      <c r="K2561" s="24" t="s">
        <v>1146</v>
      </c>
      <c r="L2561" s="25">
        <v>1070</v>
      </c>
      <c r="M2561" s="26">
        <v>14.79</v>
      </c>
      <c r="N2561" s="27">
        <v>14.79</v>
      </c>
      <c r="O2561" s="28">
        <v>1.3445454545454545E-2</v>
      </c>
      <c r="P2561" s="28">
        <v>14.004690265486724</v>
      </c>
    </row>
    <row r="2562" spans="1:16" x14ac:dyDescent="0.3">
      <c r="A2562" t="s">
        <v>5441</v>
      </c>
      <c r="B2562" s="24">
        <v>101424</v>
      </c>
      <c r="C2562" s="24" t="s">
        <v>1278</v>
      </c>
      <c r="D2562" s="24" t="s">
        <v>1102</v>
      </c>
      <c r="E2562" s="24" t="s">
        <v>51</v>
      </c>
      <c r="F2562" s="24" t="s">
        <v>1142</v>
      </c>
      <c r="G2562" s="24" t="s">
        <v>1203</v>
      </c>
      <c r="H2562" s="24" t="s">
        <v>186</v>
      </c>
      <c r="I2562" s="24" t="s">
        <v>1970</v>
      </c>
      <c r="J2562" s="24" t="s">
        <v>761</v>
      </c>
      <c r="K2562" s="24" t="s">
        <v>1146</v>
      </c>
      <c r="L2562" s="25">
        <v>1070</v>
      </c>
      <c r="M2562" s="26">
        <v>14.79</v>
      </c>
      <c r="N2562" s="27">
        <v>14.79</v>
      </c>
      <c r="O2562" s="28">
        <v>1.3445454545454545E-2</v>
      </c>
      <c r="P2562" s="28">
        <v>14.004690265486724</v>
      </c>
    </row>
    <row r="2563" spans="1:16" x14ac:dyDescent="0.3">
      <c r="A2563" t="s">
        <v>5442</v>
      </c>
      <c r="B2563" s="24">
        <v>101186</v>
      </c>
      <c r="C2563" s="24" t="s">
        <v>1273</v>
      </c>
      <c r="D2563" s="24" t="s">
        <v>1102</v>
      </c>
      <c r="E2563" s="24" t="s">
        <v>51</v>
      </c>
      <c r="F2563" s="24" t="s">
        <v>1142</v>
      </c>
      <c r="G2563" s="24" t="s">
        <v>1203</v>
      </c>
      <c r="H2563" s="24" t="s">
        <v>143</v>
      </c>
      <c r="I2563" s="24" t="s">
        <v>1971</v>
      </c>
      <c r="J2563" s="24" t="s">
        <v>761</v>
      </c>
      <c r="K2563" s="24" t="s">
        <v>1146</v>
      </c>
      <c r="L2563" s="25">
        <v>1070</v>
      </c>
      <c r="M2563" s="26">
        <v>11.16</v>
      </c>
      <c r="N2563" s="27">
        <v>11.16</v>
      </c>
      <c r="O2563" s="28">
        <v>1.0145454545454546E-2</v>
      </c>
      <c r="P2563" s="28">
        <v>10.567433628318584</v>
      </c>
    </row>
    <row r="2564" spans="1:16" x14ac:dyDescent="0.3">
      <c r="A2564" t="s">
        <v>5443</v>
      </c>
      <c r="B2564" s="24">
        <v>101424</v>
      </c>
      <c r="C2564" s="24" t="s">
        <v>1278</v>
      </c>
      <c r="D2564" s="24" t="s">
        <v>1102</v>
      </c>
      <c r="E2564" s="24" t="s">
        <v>51</v>
      </c>
      <c r="F2564" s="24" t="s">
        <v>1142</v>
      </c>
      <c r="G2564" s="24" t="s">
        <v>1203</v>
      </c>
      <c r="H2564" s="24" t="s">
        <v>90</v>
      </c>
      <c r="I2564" s="24" t="s">
        <v>1972</v>
      </c>
      <c r="J2564" s="24" t="s">
        <v>761</v>
      </c>
      <c r="K2564" s="24" t="s">
        <v>1146</v>
      </c>
      <c r="L2564" s="25">
        <v>1070</v>
      </c>
      <c r="M2564" s="26">
        <v>10.5</v>
      </c>
      <c r="N2564" s="27">
        <v>10.5</v>
      </c>
      <c r="O2564" s="28">
        <v>9.5454545454545462E-3</v>
      </c>
      <c r="P2564" s="28">
        <v>9.942477876106194</v>
      </c>
    </row>
    <row r="2565" spans="1:16" x14ac:dyDescent="0.3">
      <c r="A2565" t="s">
        <v>5444</v>
      </c>
      <c r="B2565" s="24">
        <v>101186</v>
      </c>
      <c r="C2565" s="24" t="s">
        <v>1273</v>
      </c>
      <c r="D2565" s="24" t="s">
        <v>1102</v>
      </c>
      <c r="E2565" s="24" t="s">
        <v>51</v>
      </c>
      <c r="F2565" s="24" t="s">
        <v>1142</v>
      </c>
      <c r="G2565" s="24" t="s">
        <v>1203</v>
      </c>
      <c r="H2565" s="24" t="s">
        <v>1973</v>
      </c>
      <c r="I2565" s="24" t="s">
        <v>1974</v>
      </c>
      <c r="J2565" s="24" t="s">
        <v>761</v>
      </c>
      <c r="K2565" s="24" t="s">
        <v>1146</v>
      </c>
      <c r="L2565" s="25">
        <v>1070</v>
      </c>
      <c r="M2565" s="26">
        <v>10.02</v>
      </c>
      <c r="N2565" s="27">
        <v>10.02</v>
      </c>
      <c r="O2565" s="28">
        <v>9.1090909090909087E-3</v>
      </c>
      <c r="P2565" s="28">
        <v>9.487964601769912</v>
      </c>
    </row>
    <row r="2566" spans="1:16" x14ac:dyDescent="0.3">
      <c r="A2566" t="s">
        <v>5445</v>
      </c>
      <c r="B2566" s="24">
        <v>101186</v>
      </c>
      <c r="C2566" s="24" t="s">
        <v>1273</v>
      </c>
      <c r="D2566" s="24" t="s">
        <v>1102</v>
      </c>
      <c r="E2566" s="24" t="s">
        <v>51</v>
      </c>
      <c r="F2566" s="24" t="s">
        <v>1142</v>
      </c>
      <c r="G2566" s="24" t="s">
        <v>1203</v>
      </c>
      <c r="H2566" s="24" t="s">
        <v>1975</v>
      </c>
      <c r="I2566" s="24" t="s">
        <v>1976</v>
      </c>
      <c r="J2566" s="24" t="s">
        <v>761</v>
      </c>
      <c r="K2566" s="24" t="s">
        <v>1146</v>
      </c>
      <c r="L2566" s="25">
        <v>1070</v>
      </c>
      <c r="M2566" s="26">
        <v>12.5</v>
      </c>
      <c r="N2566" s="27">
        <v>12.5</v>
      </c>
      <c r="O2566" s="28">
        <v>1.1363636363636364E-2</v>
      </c>
      <c r="P2566" s="28">
        <v>11.836283185840708</v>
      </c>
    </row>
    <row r="2567" spans="1:16" x14ac:dyDescent="0.3">
      <c r="A2567" t="s">
        <v>5446</v>
      </c>
      <c r="B2567" s="24">
        <v>101184</v>
      </c>
      <c r="C2567" s="24" t="s">
        <v>1401</v>
      </c>
      <c r="D2567" s="24" t="s">
        <v>1102</v>
      </c>
      <c r="E2567" s="24" t="s">
        <v>51</v>
      </c>
      <c r="F2567" s="24" t="s">
        <v>1142</v>
      </c>
      <c r="G2567" s="24" t="s">
        <v>1402</v>
      </c>
      <c r="H2567" s="24" t="s">
        <v>160</v>
      </c>
      <c r="I2567" s="24" t="s">
        <v>1977</v>
      </c>
      <c r="J2567" s="24" t="s">
        <v>761</v>
      </c>
      <c r="K2567" s="24" t="s">
        <v>1146</v>
      </c>
      <c r="L2567" s="25">
        <v>1070</v>
      </c>
      <c r="M2567" s="26">
        <v>10.9</v>
      </c>
      <c r="N2567" s="27">
        <v>10.9</v>
      </c>
      <c r="O2567" s="28">
        <v>9.9090909090909091E-3</v>
      </c>
      <c r="P2567" s="28">
        <v>10.321238938053098</v>
      </c>
    </row>
    <row r="2568" spans="1:16" x14ac:dyDescent="0.3">
      <c r="A2568" t="s">
        <v>5447</v>
      </c>
      <c r="B2568" s="24">
        <v>101424</v>
      </c>
      <c r="C2568" s="24" t="s">
        <v>1278</v>
      </c>
      <c r="D2568" s="24" t="s">
        <v>1102</v>
      </c>
      <c r="E2568" s="24" t="s">
        <v>51</v>
      </c>
      <c r="F2568" s="24" t="s">
        <v>1142</v>
      </c>
      <c r="G2568" s="24" t="s">
        <v>1203</v>
      </c>
      <c r="H2568" s="24" t="s">
        <v>160</v>
      </c>
      <c r="I2568" s="24" t="s">
        <v>1977</v>
      </c>
      <c r="J2568" s="24" t="s">
        <v>761</v>
      </c>
      <c r="K2568" s="24" t="s">
        <v>1146</v>
      </c>
      <c r="L2568" s="25">
        <v>1070</v>
      </c>
      <c r="M2568" s="26">
        <v>10.9</v>
      </c>
      <c r="N2568" s="27">
        <v>10.9</v>
      </c>
      <c r="O2568" s="28">
        <v>9.9090909090909091E-3</v>
      </c>
      <c r="P2568" s="28">
        <v>10.321238938053098</v>
      </c>
    </row>
    <row r="2569" spans="1:16" x14ac:dyDescent="0.3">
      <c r="A2569" t="s">
        <v>5448</v>
      </c>
      <c r="B2569" s="24">
        <v>100603</v>
      </c>
      <c r="C2569" s="24" t="s">
        <v>1277</v>
      </c>
      <c r="D2569" s="24" t="s">
        <v>1102</v>
      </c>
      <c r="E2569" s="24" t="s">
        <v>51</v>
      </c>
      <c r="F2569" s="24" t="s">
        <v>1142</v>
      </c>
      <c r="G2569" s="24" t="s">
        <v>1082</v>
      </c>
      <c r="H2569" s="24" t="s">
        <v>364</v>
      </c>
      <c r="I2569" s="24" t="s">
        <v>1978</v>
      </c>
      <c r="J2569" s="24" t="s">
        <v>761</v>
      </c>
      <c r="K2569" s="24" t="s">
        <v>1146</v>
      </c>
      <c r="L2569" s="25">
        <v>1070</v>
      </c>
      <c r="M2569" s="26">
        <v>9.52</v>
      </c>
      <c r="N2569" s="27">
        <v>9.52</v>
      </c>
      <c r="O2569" s="28">
        <v>8.6545454545454547E-3</v>
      </c>
      <c r="P2569" s="28">
        <v>9.0145132743362826</v>
      </c>
    </row>
    <row r="2570" spans="1:16" x14ac:dyDescent="0.3">
      <c r="A2570" t="s">
        <v>5449</v>
      </c>
      <c r="B2570" s="24">
        <v>101424</v>
      </c>
      <c r="C2570" s="24" t="s">
        <v>1278</v>
      </c>
      <c r="D2570" s="24" t="s">
        <v>1102</v>
      </c>
      <c r="E2570" s="24" t="s">
        <v>51</v>
      </c>
      <c r="F2570" s="24" t="s">
        <v>1142</v>
      </c>
      <c r="G2570" s="24" t="s">
        <v>1203</v>
      </c>
      <c r="H2570" s="24" t="s">
        <v>364</v>
      </c>
      <c r="I2570" s="24" t="s">
        <v>1978</v>
      </c>
      <c r="J2570" s="24" t="s">
        <v>761</v>
      </c>
      <c r="K2570" s="24" t="s">
        <v>1146</v>
      </c>
      <c r="L2570" s="25">
        <v>1070</v>
      </c>
      <c r="M2570" s="26">
        <v>9.52</v>
      </c>
      <c r="N2570" s="27">
        <v>9.52</v>
      </c>
      <c r="O2570" s="28">
        <v>8.6545454545454547E-3</v>
      </c>
      <c r="P2570" s="28">
        <v>9.0145132743362826</v>
      </c>
    </row>
    <row r="2571" spans="1:16" x14ac:dyDescent="0.3">
      <c r="A2571" t="s">
        <v>5450</v>
      </c>
      <c r="B2571" s="24">
        <v>300014</v>
      </c>
      <c r="C2571" s="24" t="s">
        <v>1765</v>
      </c>
      <c r="D2571" s="24" t="s">
        <v>1102</v>
      </c>
      <c r="E2571" s="24" t="s">
        <v>51</v>
      </c>
      <c r="F2571" s="24" t="s">
        <v>1237</v>
      </c>
      <c r="G2571" s="24" t="s">
        <v>1238</v>
      </c>
      <c r="H2571" s="24" t="s">
        <v>222</v>
      </c>
      <c r="I2571" s="24" t="s">
        <v>1979</v>
      </c>
      <c r="J2571" s="24" t="s">
        <v>761</v>
      </c>
      <c r="K2571" s="24" t="s">
        <v>1146</v>
      </c>
      <c r="L2571" s="25">
        <v>1070</v>
      </c>
      <c r="M2571" s="26">
        <v>10.15</v>
      </c>
      <c r="N2571" s="27">
        <v>10.15</v>
      </c>
      <c r="O2571" s="28">
        <v>9.2272727272727281E-3</v>
      </c>
      <c r="P2571" s="28">
        <v>9.6110619469026553</v>
      </c>
    </row>
    <row r="2572" spans="1:16" x14ac:dyDescent="0.3">
      <c r="A2572" t="s">
        <v>5451</v>
      </c>
      <c r="B2572" s="24">
        <v>100603</v>
      </c>
      <c r="C2572" s="24" t="s">
        <v>1277</v>
      </c>
      <c r="D2572" s="24" t="s">
        <v>1102</v>
      </c>
      <c r="E2572" s="24" t="s">
        <v>51</v>
      </c>
      <c r="F2572" s="24" t="s">
        <v>1142</v>
      </c>
      <c r="G2572" s="24" t="s">
        <v>1082</v>
      </c>
      <c r="H2572" s="24" t="s">
        <v>127</v>
      </c>
      <c r="I2572" s="24" t="s">
        <v>1980</v>
      </c>
      <c r="J2572" s="24" t="s">
        <v>761</v>
      </c>
      <c r="K2572" s="24" t="s">
        <v>1146</v>
      </c>
      <c r="L2572" s="25">
        <v>1070</v>
      </c>
      <c r="M2572" s="26">
        <v>10.5</v>
      </c>
      <c r="N2572" s="27">
        <v>10.5</v>
      </c>
      <c r="O2572" s="28">
        <v>9.5454545454545462E-3</v>
      </c>
      <c r="P2572" s="28">
        <v>9.942477876106194</v>
      </c>
    </row>
    <row r="2573" spans="1:16" x14ac:dyDescent="0.3">
      <c r="A2573" t="s">
        <v>5452</v>
      </c>
      <c r="B2573" s="24">
        <v>101206</v>
      </c>
      <c r="C2573" s="24" t="s">
        <v>1199</v>
      </c>
      <c r="D2573" s="24" t="s">
        <v>1102</v>
      </c>
      <c r="E2573" s="24" t="s">
        <v>51</v>
      </c>
      <c r="F2573" s="24" t="s">
        <v>1142</v>
      </c>
      <c r="G2573" s="24" t="s">
        <v>1200</v>
      </c>
      <c r="H2573" s="24" t="s">
        <v>127</v>
      </c>
      <c r="I2573" s="24" t="s">
        <v>1980</v>
      </c>
      <c r="J2573" s="24" t="s">
        <v>761</v>
      </c>
      <c r="K2573" s="24" t="s">
        <v>1146</v>
      </c>
      <c r="L2573" s="25">
        <v>1070</v>
      </c>
      <c r="M2573" s="26">
        <v>10.5</v>
      </c>
      <c r="N2573" s="27">
        <v>10.5</v>
      </c>
      <c r="O2573" s="28">
        <v>9.5454545454545462E-3</v>
      </c>
      <c r="P2573" s="28">
        <v>9.942477876106194</v>
      </c>
    </row>
    <row r="2574" spans="1:16" x14ac:dyDescent="0.3">
      <c r="A2574" t="s">
        <v>5453</v>
      </c>
      <c r="B2574" s="24">
        <v>111550</v>
      </c>
      <c r="C2574" s="24" t="s">
        <v>1582</v>
      </c>
      <c r="D2574" s="24" t="s">
        <v>1102</v>
      </c>
      <c r="E2574" s="24" t="s">
        <v>51</v>
      </c>
      <c r="F2574" s="24" t="s">
        <v>1142</v>
      </c>
      <c r="G2574" s="24" t="s">
        <v>1402</v>
      </c>
      <c r="H2574" s="24" t="s">
        <v>127</v>
      </c>
      <c r="I2574" s="24" t="s">
        <v>1980</v>
      </c>
      <c r="J2574" s="24" t="s">
        <v>761</v>
      </c>
      <c r="K2574" s="24" t="s">
        <v>1146</v>
      </c>
      <c r="L2574" s="25">
        <v>1070</v>
      </c>
      <c r="M2574" s="26">
        <v>10.5</v>
      </c>
      <c r="N2574" s="27">
        <v>10.5</v>
      </c>
      <c r="O2574" s="28">
        <v>9.5454545454545462E-3</v>
      </c>
      <c r="P2574" s="28">
        <v>9.942477876106194</v>
      </c>
    </row>
    <row r="2575" spans="1:16" x14ac:dyDescent="0.3">
      <c r="A2575" t="s">
        <v>5454</v>
      </c>
      <c r="B2575" s="24">
        <v>101184</v>
      </c>
      <c r="C2575" s="24" t="s">
        <v>1401</v>
      </c>
      <c r="D2575" s="24" t="s">
        <v>1102</v>
      </c>
      <c r="E2575" s="24" t="s">
        <v>51</v>
      </c>
      <c r="F2575" s="24" t="s">
        <v>1142</v>
      </c>
      <c r="G2575" s="24" t="s">
        <v>1402</v>
      </c>
      <c r="H2575" s="24" t="s">
        <v>223</v>
      </c>
      <c r="I2575" s="24" t="s">
        <v>1981</v>
      </c>
      <c r="J2575" s="24" t="s">
        <v>761</v>
      </c>
      <c r="K2575" s="24" t="s">
        <v>1146</v>
      </c>
      <c r="L2575" s="25">
        <v>1070</v>
      </c>
      <c r="M2575" s="26">
        <v>6.27</v>
      </c>
      <c r="N2575" s="27">
        <v>6.27</v>
      </c>
      <c r="O2575" s="28">
        <v>5.6999999999999993E-3</v>
      </c>
      <c r="P2575" s="28">
        <v>5.9370796460176987</v>
      </c>
    </row>
    <row r="2576" spans="1:16" x14ac:dyDescent="0.3">
      <c r="A2576" t="s">
        <v>5455</v>
      </c>
      <c r="B2576" s="24">
        <v>101186</v>
      </c>
      <c r="C2576" s="24" t="s">
        <v>1273</v>
      </c>
      <c r="D2576" s="24" t="s">
        <v>1102</v>
      </c>
      <c r="E2576" s="24" t="s">
        <v>51</v>
      </c>
      <c r="F2576" s="24" t="s">
        <v>1142</v>
      </c>
      <c r="G2576" s="24" t="s">
        <v>1203</v>
      </c>
      <c r="H2576" s="24" t="s">
        <v>223</v>
      </c>
      <c r="I2576" s="24" t="s">
        <v>1981</v>
      </c>
      <c r="J2576" s="24" t="s">
        <v>761</v>
      </c>
      <c r="K2576" s="24" t="s">
        <v>1146</v>
      </c>
      <c r="L2576" s="25">
        <v>1070</v>
      </c>
      <c r="M2576" s="26">
        <v>6.27</v>
      </c>
      <c r="N2576" s="27">
        <v>6.27</v>
      </c>
      <c r="O2576" s="28">
        <v>5.6999999999999993E-3</v>
      </c>
      <c r="P2576" s="28">
        <v>5.9370796460176987</v>
      </c>
    </row>
    <row r="2577" spans="1:16" x14ac:dyDescent="0.3">
      <c r="A2577" t="s">
        <v>5456</v>
      </c>
      <c r="B2577" s="24">
        <v>106916</v>
      </c>
      <c r="C2577" s="24" t="s">
        <v>1216</v>
      </c>
      <c r="D2577" s="24" t="s">
        <v>1102</v>
      </c>
      <c r="E2577" s="24" t="s">
        <v>51</v>
      </c>
      <c r="F2577" s="24" t="s">
        <v>1142</v>
      </c>
      <c r="G2577" s="24" t="s">
        <v>1203</v>
      </c>
      <c r="H2577" s="24" t="s">
        <v>223</v>
      </c>
      <c r="I2577" s="24" t="s">
        <v>1981</v>
      </c>
      <c r="J2577" s="24" t="s">
        <v>761</v>
      </c>
      <c r="K2577" s="24" t="s">
        <v>1146</v>
      </c>
      <c r="L2577" s="25">
        <v>1070</v>
      </c>
      <c r="M2577" s="26">
        <v>6.27</v>
      </c>
      <c r="N2577" s="27">
        <v>6.27</v>
      </c>
      <c r="O2577" s="28">
        <v>5.6999999999999993E-3</v>
      </c>
      <c r="P2577" s="28">
        <v>5.9370796460176987</v>
      </c>
    </row>
    <row r="2578" spans="1:16" x14ac:dyDescent="0.3">
      <c r="A2578" t="s">
        <v>5457</v>
      </c>
      <c r="B2578" s="24">
        <v>114501</v>
      </c>
      <c r="C2578" s="24" t="s">
        <v>1409</v>
      </c>
      <c r="D2578" s="24" t="s">
        <v>1102</v>
      </c>
      <c r="E2578" s="24" t="s">
        <v>51</v>
      </c>
      <c r="F2578" s="24" t="s">
        <v>1142</v>
      </c>
      <c r="G2578" s="24" t="s">
        <v>1402</v>
      </c>
      <c r="H2578" s="24" t="s">
        <v>223</v>
      </c>
      <c r="I2578" s="24" t="s">
        <v>1981</v>
      </c>
      <c r="J2578" s="24" t="s">
        <v>761</v>
      </c>
      <c r="K2578" s="24" t="s">
        <v>1146</v>
      </c>
      <c r="L2578" s="25">
        <v>1070</v>
      </c>
      <c r="M2578" s="26">
        <v>6.27</v>
      </c>
      <c r="N2578" s="27">
        <v>6.27</v>
      </c>
      <c r="O2578" s="28">
        <v>5.6999999999999993E-3</v>
      </c>
      <c r="P2578" s="28">
        <v>5.9370796460176987</v>
      </c>
    </row>
    <row r="2579" spans="1:16" x14ac:dyDescent="0.3">
      <c r="A2579" t="s">
        <v>5458</v>
      </c>
      <c r="B2579" s="24">
        <v>101184</v>
      </c>
      <c r="C2579" s="24" t="s">
        <v>1401</v>
      </c>
      <c r="D2579" s="24" t="s">
        <v>1102</v>
      </c>
      <c r="E2579" s="24" t="s">
        <v>51</v>
      </c>
      <c r="F2579" s="24" t="s">
        <v>1142</v>
      </c>
      <c r="G2579" s="24" t="s">
        <v>1402</v>
      </c>
      <c r="H2579" s="24" t="s">
        <v>224</v>
      </c>
      <c r="I2579" s="24" t="s">
        <v>1982</v>
      </c>
      <c r="J2579" s="24" t="s">
        <v>761</v>
      </c>
      <c r="K2579" s="24" t="s">
        <v>1146</v>
      </c>
      <c r="L2579" s="25">
        <v>1070</v>
      </c>
      <c r="M2579" s="26">
        <v>6.27</v>
      </c>
      <c r="N2579" s="27">
        <v>6.27</v>
      </c>
      <c r="O2579" s="28">
        <v>5.6999999999999993E-3</v>
      </c>
      <c r="P2579" s="28">
        <v>5.9370796460176987</v>
      </c>
    </row>
    <row r="2580" spans="1:16" x14ac:dyDescent="0.3">
      <c r="A2580" t="s">
        <v>5459</v>
      </c>
      <c r="B2580" s="24">
        <v>101186</v>
      </c>
      <c r="C2580" s="24" t="s">
        <v>1273</v>
      </c>
      <c r="D2580" s="24" t="s">
        <v>1102</v>
      </c>
      <c r="E2580" s="24" t="s">
        <v>51</v>
      </c>
      <c r="F2580" s="24" t="s">
        <v>1142</v>
      </c>
      <c r="G2580" s="24" t="s">
        <v>1203</v>
      </c>
      <c r="H2580" s="24" t="s">
        <v>225</v>
      </c>
      <c r="I2580" s="24" t="s">
        <v>1983</v>
      </c>
      <c r="J2580" s="24" t="s">
        <v>761</v>
      </c>
      <c r="K2580" s="24" t="s">
        <v>1146</v>
      </c>
      <c r="L2580" s="25">
        <v>1070</v>
      </c>
      <c r="M2580" s="26">
        <v>7.13</v>
      </c>
      <c r="N2580" s="27">
        <v>7.13</v>
      </c>
      <c r="O2580" s="28">
        <v>6.4818181818181815E-3</v>
      </c>
      <c r="P2580" s="28">
        <v>6.7514159292035396</v>
      </c>
    </row>
    <row r="2581" spans="1:16" x14ac:dyDescent="0.3">
      <c r="A2581" t="s">
        <v>5460</v>
      </c>
      <c r="B2581" s="24">
        <v>106916</v>
      </c>
      <c r="C2581" s="24" t="s">
        <v>1216</v>
      </c>
      <c r="D2581" s="24" t="s">
        <v>1102</v>
      </c>
      <c r="E2581" s="24" t="s">
        <v>51</v>
      </c>
      <c r="F2581" s="24" t="s">
        <v>1142</v>
      </c>
      <c r="G2581" s="24" t="s">
        <v>1203</v>
      </c>
      <c r="H2581" s="24" t="s">
        <v>225</v>
      </c>
      <c r="I2581" s="24" t="s">
        <v>1983</v>
      </c>
      <c r="J2581" s="24" t="s">
        <v>761</v>
      </c>
      <c r="K2581" s="24" t="s">
        <v>1146</v>
      </c>
      <c r="L2581" s="25">
        <v>1070</v>
      </c>
      <c r="M2581" s="26">
        <v>7.13</v>
      </c>
      <c r="N2581" s="27">
        <v>7.13</v>
      </c>
      <c r="O2581" s="28">
        <v>6.4818181818181815E-3</v>
      </c>
      <c r="P2581" s="28">
        <v>6.7514159292035396</v>
      </c>
    </row>
    <row r="2582" spans="1:16" x14ac:dyDescent="0.3">
      <c r="A2582" t="s">
        <v>5461</v>
      </c>
      <c r="B2582" s="24">
        <v>106916</v>
      </c>
      <c r="C2582" s="24" t="s">
        <v>1216</v>
      </c>
      <c r="D2582" s="24" t="s">
        <v>1102</v>
      </c>
      <c r="E2582" s="24" t="s">
        <v>51</v>
      </c>
      <c r="F2582" s="24" t="s">
        <v>1142</v>
      </c>
      <c r="G2582" s="24" t="s">
        <v>1203</v>
      </c>
      <c r="H2582" s="24" t="s">
        <v>1984</v>
      </c>
      <c r="I2582" s="24" t="s">
        <v>1985</v>
      </c>
      <c r="J2582" s="24" t="s">
        <v>761</v>
      </c>
      <c r="K2582" s="24" t="s">
        <v>1146</v>
      </c>
      <c r="L2582" s="25">
        <v>1070</v>
      </c>
      <c r="M2582" s="26">
        <v>19.8</v>
      </c>
      <c r="N2582" s="27">
        <v>19.8</v>
      </c>
      <c r="O2582" s="28">
        <v>1.8000000000000002E-2</v>
      </c>
      <c r="P2582" s="28">
        <v>18.748672566371681</v>
      </c>
    </row>
    <row r="2583" spans="1:16" x14ac:dyDescent="0.3">
      <c r="A2583" t="s">
        <v>5462</v>
      </c>
      <c r="B2583" s="24">
        <v>101186</v>
      </c>
      <c r="C2583" s="24" t="s">
        <v>1273</v>
      </c>
      <c r="D2583" s="24" t="s">
        <v>1102</v>
      </c>
      <c r="E2583" s="24" t="s">
        <v>51</v>
      </c>
      <c r="F2583" s="24" t="s">
        <v>1142</v>
      </c>
      <c r="G2583" s="24" t="s">
        <v>1203</v>
      </c>
      <c r="H2583" s="24" t="s">
        <v>276</v>
      </c>
      <c r="I2583" s="24" t="s">
        <v>1986</v>
      </c>
      <c r="J2583" s="24" t="s">
        <v>761</v>
      </c>
      <c r="K2583" s="24" t="s">
        <v>1146</v>
      </c>
      <c r="L2583" s="25">
        <v>1070</v>
      </c>
      <c r="M2583" s="26">
        <v>50.44</v>
      </c>
      <c r="N2583" s="27">
        <v>50.44</v>
      </c>
      <c r="O2583" s="28">
        <v>4.5854545454545453E-2</v>
      </c>
      <c r="P2583" s="28">
        <v>47.761769911504423</v>
      </c>
    </row>
    <row r="2584" spans="1:16" x14ac:dyDescent="0.3">
      <c r="A2584" t="s">
        <v>5463</v>
      </c>
      <c r="B2584" s="24">
        <v>101206</v>
      </c>
      <c r="C2584" s="24" t="s">
        <v>1199</v>
      </c>
      <c r="D2584" s="24" t="s">
        <v>1102</v>
      </c>
      <c r="E2584" s="24" t="s">
        <v>51</v>
      </c>
      <c r="F2584" s="24" t="s">
        <v>1142</v>
      </c>
      <c r="G2584" s="24" t="s">
        <v>1200</v>
      </c>
      <c r="H2584" s="24" t="s">
        <v>276</v>
      </c>
      <c r="I2584" s="24" t="s">
        <v>1986</v>
      </c>
      <c r="J2584" s="24" t="s">
        <v>761</v>
      </c>
      <c r="K2584" s="24" t="s">
        <v>1146</v>
      </c>
      <c r="L2584" s="25">
        <v>1070</v>
      </c>
      <c r="M2584" s="26">
        <v>50.44</v>
      </c>
      <c r="N2584" s="27">
        <v>50.44</v>
      </c>
      <c r="O2584" s="28">
        <v>4.5854545454545453E-2</v>
      </c>
      <c r="P2584" s="28">
        <v>47.761769911504423</v>
      </c>
    </row>
    <row r="2585" spans="1:16" x14ac:dyDescent="0.3">
      <c r="A2585" t="s">
        <v>5464</v>
      </c>
      <c r="B2585" s="24">
        <v>101424</v>
      </c>
      <c r="C2585" s="24" t="s">
        <v>1278</v>
      </c>
      <c r="D2585" s="24" t="s">
        <v>1102</v>
      </c>
      <c r="E2585" s="24" t="s">
        <v>51</v>
      </c>
      <c r="F2585" s="24" t="s">
        <v>1142</v>
      </c>
      <c r="G2585" s="24" t="s">
        <v>1203</v>
      </c>
      <c r="H2585" s="24" t="s">
        <v>276</v>
      </c>
      <c r="I2585" s="24" t="s">
        <v>1986</v>
      </c>
      <c r="J2585" s="24" t="s">
        <v>761</v>
      </c>
      <c r="K2585" s="24" t="s">
        <v>1146</v>
      </c>
      <c r="L2585" s="25">
        <v>1070</v>
      </c>
      <c r="M2585" s="26">
        <v>50.44</v>
      </c>
      <c r="N2585" s="27">
        <v>50.44</v>
      </c>
      <c r="O2585" s="28">
        <v>4.5854545454545453E-2</v>
      </c>
      <c r="P2585" s="28">
        <v>47.761769911504423</v>
      </c>
    </row>
    <row r="2586" spans="1:16" x14ac:dyDescent="0.3">
      <c r="A2586" t="s">
        <v>5465</v>
      </c>
      <c r="B2586" s="24">
        <v>101186</v>
      </c>
      <c r="C2586" s="24" t="s">
        <v>1273</v>
      </c>
      <c r="D2586" s="24" t="s">
        <v>1102</v>
      </c>
      <c r="E2586" s="24" t="s">
        <v>51</v>
      </c>
      <c r="F2586" s="24" t="s">
        <v>1142</v>
      </c>
      <c r="G2586" s="24" t="s">
        <v>1203</v>
      </c>
      <c r="H2586" s="24" t="s">
        <v>277</v>
      </c>
      <c r="I2586" s="24" t="s">
        <v>1987</v>
      </c>
      <c r="J2586" s="24" t="s">
        <v>761</v>
      </c>
      <c r="K2586" s="24" t="s">
        <v>1146</v>
      </c>
      <c r="L2586" s="25">
        <v>1070</v>
      </c>
      <c r="M2586" s="26">
        <v>35.49</v>
      </c>
      <c r="N2586" s="27">
        <v>35.49</v>
      </c>
      <c r="O2586" s="28">
        <v>3.2263636363636362E-2</v>
      </c>
      <c r="P2586" s="28">
        <v>33.605575221238944</v>
      </c>
    </row>
    <row r="2587" spans="1:16" x14ac:dyDescent="0.3">
      <c r="A2587" t="s">
        <v>5466</v>
      </c>
      <c r="B2587" s="24">
        <v>101206</v>
      </c>
      <c r="C2587" s="24" t="s">
        <v>1199</v>
      </c>
      <c r="D2587" s="24" t="s">
        <v>1102</v>
      </c>
      <c r="E2587" s="24" t="s">
        <v>51</v>
      </c>
      <c r="F2587" s="24" t="s">
        <v>1142</v>
      </c>
      <c r="G2587" s="24" t="s">
        <v>1200</v>
      </c>
      <c r="H2587" s="24" t="s">
        <v>277</v>
      </c>
      <c r="I2587" s="24" t="s">
        <v>1987</v>
      </c>
      <c r="J2587" s="24" t="s">
        <v>761</v>
      </c>
      <c r="K2587" s="24" t="s">
        <v>1146</v>
      </c>
      <c r="L2587" s="25">
        <v>1070</v>
      </c>
      <c r="M2587" s="26">
        <v>35.49</v>
      </c>
      <c r="N2587" s="27">
        <v>35.49</v>
      </c>
      <c r="O2587" s="28">
        <v>3.2263636363636362E-2</v>
      </c>
      <c r="P2587" s="28">
        <v>33.605575221238944</v>
      </c>
    </row>
    <row r="2588" spans="1:16" x14ac:dyDescent="0.3">
      <c r="A2588" t="s">
        <v>5467</v>
      </c>
      <c r="B2588" s="24">
        <v>101424</v>
      </c>
      <c r="C2588" s="24" t="s">
        <v>1278</v>
      </c>
      <c r="D2588" s="24" t="s">
        <v>1102</v>
      </c>
      <c r="E2588" s="24" t="s">
        <v>51</v>
      </c>
      <c r="F2588" s="24" t="s">
        <v>1142</v>
      </c>
      <c r="G2588" s="24" t="s">
        <v>1203</v>
      </c>
      <c r="H2588" s="24" t="s">
        <v>277</v>
      </c>
      <c r="I2588" s="24" t="s">
        <v>1987</v>
      </c>
      <c r="J2588" s="24" t="s">
        <v>761</v>
      </c>
      <c r="K2588" s="24" t="s">
        <v>1146</v>
      </c>
      <c r="L2588" s="25">
        <v>1070</v>
      </c>
      <c r="M2588" s="26">
        <v>35.49</v>
      </c>
      <c r="N2588" s="27">
        <v>35.49</v>
      </c>
      <c r="O2588" s="28">
        <v>3.2263636363636362E-2</v>
      </c>
      <c r="P2588" s="28">
        <v>33.605575221238944</v>
      </c>
    </row>
    <row r="2589" spans="1:16" x14ac:dyDescent="0.3">
      <c r="A2589" t="s">
        <v>5468</v>
      </c>
      <c r="B2589" s="24">
        <v>100581</v>
      </c>
      <c r="C2589" s="24" t="s">
        <v>1232</v>
      </c>
      <c r="D2589" s="24" t="s">
        <v>1102</v>
      </c>
      <c r="E2589" s="24" t="s">
        <v>51</v>
      </c>
      <c r="F2589" s="24" t="s">
        <v>1142</v>
      </c>
      <c r="G2589" s="24" t="s">
        <v>1233</v>
      </c>
      <c r="H2589" s="24" t="s">
        <v>278</v>
      </c>
      <c r="I2589" s="24" t="s">
        <v>1988</v>
      </c>
      <c r="J2589" s="24" t="s">
        <v>761</v>
      </c>
      <c r="K2589" s="24" t="s">
        <v>1146</v>
      </c>
      <c r="L2589" s="25">
        <v>1070</v>
      </c>
      <c r="M2589" s="26">
        <v>93.41</v>
      </c>
      <c r="N2589" s="27">
        <v>93.41</v>
      </c>
      <c r="O2589" s="28">
        <v>8.4918181818181809E-2</v>
      </c>
      <c r="P2589" s="28">
        <v>88.450176991150443</v>
      </c>
    </row>
    <row r="2590" spans="1:16" x14ac:dyDescent="0.3">
      <c r="A2590" t="s">
        <v>5469</v>
      </c>
      <c r="B2590" s="24">
        <v>101424</v>
      </c>
      <c r="C2590" s="24" t="s">
        <v>1278</v>
      </c>
      <c r="D2590" s="24" t="s">
        <v>1102</v>
      </c>
      <c r="E2590" s="24" t="s">
        <v>51</v>
      </c>
      <c r="F2590" s="24" t="s">
        <v>1142</v>
      </c>
      <c r="G2590" s="24" t="s">
        <v>1203</v>
      </c>
      <c r="H2590" s="24" t="s">
        <v>278</v>
      </c>
      <c r="I2590" s="24" t="s">
        <v>1988</v>
      </c>
      <c r="J2590" s="24" t="s">
        <v>761</v>
      </c>
      <c r="K2590" s="24" t="s">
        <v>1146</v>
      </c>
      <c r="L2590" s="25">
        <v>1070</v>
      </c>
      <c r="M2590" s="26">
        <v>96.3</v>
      </c>
      <c r="N2590" s="27">
        <v>96.3</v>
      </c>
      <c r="O2590" s="28">
        <v>8.7545454545454537E-2</v>
      </c>
      <c r="P2590" s="28">
        <v>91.186725663716814</v>
      </c>
    </row>
    <row r="2591" spans="1:16" x14ac:dyDescent="0.3">
      <c r="A2591" t="s">
        <v>5470</v>
      </c>
      <c r="B2591" s="24">
        <v>111550</v>
      </c>
      <c r="C2591" s="24" t="s">
        <v>1582</v>
      </c>
      <c r="D2591" s="24" t="s">
        <v>1102</v>
      </c>
      <c r="E2591" s="24" t="s">
        <v>51</v>
      </c>
      <c r="F2591" s="24" t="s">
        <v>1142</v>
      </c>
      <c r="G2591" s="24" t="s">
        <v>1402</v>
      </c>
      <c r="H2591" s="24" t="s">
        <v>278</v>
      </c>
      <c r="I2591" s="24" t="s">
        <v>1988</v>
      </c>
      <c r="J2591" s="24" t="s">
        <v>761</v>
      </c>
      <c r="K2591" s="24" t="s">
        <v>1146</v>
      </c>
      <c r="L2591" s="25">
        <v>1070</v>
      </c>
      <c r="M2591" s="26">
        <v>93.41</v>
      </c>
      <c r="N2591" s="27">
        <v>93.41</v>
      </c>
      <c r="O2591" s="28">
        <v>8.4918181818181809E-2</v>
      </c>
      <c r="P2591" s="28">
        <v>88.450176991150443</v>
      </c>
    </row>
    <row r="2592" spans="1:16" x14ac:dyDescent="0.3">
      <c r="A2592" t="s">
        <v>5471</v>
      </c>
      <c r="B2592" s="24">
        <v>100581</v>
      </c>
      <c r="C2592" s="24" t="s">
        <v>1232</v>
      </c>
      <c r="D2592" s="24" t="s">
        <v>1102</v>
      </c>
      <c r="E2592" s="24" t="s">
        <v>51</v>
      </c>
      <c r="F2592" s="24" t="s">
        <v>1142</v>
      </c>
      <c r="G2592" s="24" t="s">
        <v>1233</v>
      </c>
      <c r="H2592" s="24" t="s">
        <v>279</v>
      </c>
      <c r="I2592" s="24" t="s">
        <v>1989</v>
      </c>
      <c r="J2592" s="24" t="s">
        <v>761</v>
      </c>
      <c r="K2592" s="24" t="s">
        <v>1146</v>
      </c>
      <c r="L2592" s="25">
        <v>1070</v>
      </c>
      <c r="M2592" s="26">
        <v>93.41</v>
      </c>
      <c r="N2592" s="27">
        <v>93.41</v>
      </c>
      <c r="O2592" s="28">
        <v>8.4918181818181809E-2</v>
      </c>
      <c r="P2592" s="28">
        <v>88.450176991150443</v>
      </c>
    </row>
    <row r="2593" spans="1:16" x14ac:dyDescent="0.3">
      <c r="A2593" t="s">
        <v>5472</v>
      </c>
      <c r="B2593" s="24">
        <v>101186</v>
      </c>
      <c r="C2593" s="24" t="s">
        <v>1273</v>
      </c>
      <c r="D2593" s="24" t="s">
        <v>1102</v>
      </c>
      <c r="E2593" s="24" t="s">
        <v>51</v>
      </c>
      <c r="F2593" s="24" t="s">
        <v>1142</v>
      </c>
      <c r="G2593" s="24" t="s">
        <v>1203</v>
      </c>
      <c r="H2593" s="24" t="s">
        <v>279</v>
      </c>
      <c r="I2593" s="24" t="s">
        <v>1989</v>
      </c>
      <c r="J2593" s="24" t="s">
        <v>761</v>
      </c>
      <c r="K2593" s="24" t="s">
        <v>1146</v>
      </c>
      <c r="L2593" s="25">
        <v>1070</v>
      </c>
      <c r="M2593" s="26">
        <v>93.41</v>
      </c>
      <c r="N2593" s="27">
        <v>93.41</v>
      </c>
      <c r="O2593" s="28">
        <v>8.4918181818181809E-2</v>
      </c>
      <c r="P2593" s="28">
        <v>88.450176991150443</v>
      </c>
    </row>
    <row r="2594" spans="1:16" x14ac:dyDescent="0.3">
      <c r="A2594" t="s">
        <v>5473</v>
      </c>
      <c r="B2594" s="24">
        <v>101424</v>
      </c>
      <c r="C2594" s="24" t="s">
        <v>1278</v>
      </c>
      <c r="D2594" s="24" t="s">
        <v>1102</v>
      </c>
      <c r="E2594" s="24" t="s">
        <v>51</v>
      </c>
      <c r="F2594" s="24" t="s">
        <v>1142</v>
      </c>
      <c r="G2594" s="24" t="s">
        <v>1203</v>
      </c>
      <c r="H2594" s="24" t="s">
        <v>279</v>
      </c>
      <c r="I2594" s="24" t="s">
        <v>1989</v>
      </c>
      <c r="J2594" s="24" t="s">
        <v>761</v>
      </c>
      <c r="K2594" s="24" t="s">
        <v>1146</v>
      </c>
      <c r="L2594" s="25">
        <v>1070</v>
      </c>
      <c r="M2594" s="26">
        <v>96.3</v>
      </c>
      <c r="N2594" s="27">
        <v>96.3</v>
      </c>
      <c r="O2594" s="28">
        <v>8.7545454545454537E-2</v>
      </c>
      <c r="P2594" s="28">
        <v>91.186725663716814</v>
      </c>
    </row>
    <row r="2595" spans="1:16" x14ac:dyDescent="0.3">
      <c r="A2595" t="s">
        <v>5474</v>
      </c>
      <c r="B2595" s="24">
        <v>111550</v>
      </c>
      <c r="C2595" s="24" t="s">
        <v>1582</v>
      </c>
      <c r="D2595" s="24" t="s">
        <v>1102</v>
      </c>
      <c r="E2595" s="24" t="s">
        <v>51</v>
      </c>
      <c r="F2595" s="24" t="s">
        <v>1142</v>
      </c>
      <c r="G2595" s="24" t="s">
        <v>1402</v>
      </c>
      <c r="H2595" s="24" t="s">
        <v>279</v>
      </c>
      <c r="I2595" s="24" t="s">
        <v>1989</v>
      </c>
      <c r="J2595" s="24" t="s">
        <v>761</v>
      </c>
      <c r="K2595" s="24" t="s">
        <v>1146</v>
      </c>
      <c r="L2595" s="25">
        <v>1070</v>
      </c>
      <c r="M2595" s="26">
        <v>93.41</v>
      </c>
      <c r="N2595" s="27">
        <v>93.41</v>
      </c>
      <c r="O2595" s="28">
        <v>8.4918181818181809E-2</v>
      </c>
      <c r="P2595" s="28">
        <v>88.450176991150443</v>
      </c>
    </row>
    <row r="2596" spans="1:16" x14ac:dyDescent="0.3">
      <c r="A2596" t="s">
        <v>5475</v>
      </c>
      <c r="B2596" s="24">
        <v>300015</v>
      </c>
      <c r="C2596" s="24" t="s">
        <v>1236</v>
      </c>
      <c r="D2596" s="24" t="s">
        <v>1102</v>
      </c>
      <c r="E2596" s="24" t="s">
        <v>51</v>
      </c>
      <c r="F2596" s="24" t="s">
        <v>1237</v>
      </c>
      <c r="G2596" s="24" t="s">
        <v>1238</v>
      </c>
      <c r="H2596" s="24" t="s">
        <v>65</v>
      </c>
      <c r="I2596" s="24" t="s">
        <v>1990</v>
      </c>
      <c r="J2596" s="24" t="s">
        <v>761</v>
      </c>
      <c r="K2596" s="24" t="s">
        <v>1146</v>
      </c>
      <c r="L2596" s="25">
        <v>1070</v>
      </c>
      <c r="M2596" s="26">
        <v>49.53</v>
      </c>
      <c r="N2596" s="27">
        <v>49.53</v>
      </c>
      <c r="O2596" s="28">
        <v>4.5027272727272728E-2</v>
      </c>
      <c r="P2596" s="28">
        <v>46.900088495575218</v>
      </c>
    </row>
    <row r="2597" spans="1:16" x14ac:dyDescent="0.3">
      <c r="A2597" t="s">
        <v>5476</v>
      </c>
      <c r="B2597" s="24">
        <v>100603</v>
      </c>
      <c r="C2597" s="24" t="s">
        <v>1277</v>
      </c>
      <c r="D2597" s="24" t="s">
        <v>1102</v>
      </c>
      <c r="E2597" s="24" t="s">
        <v>51</v>
      </c>
      <c r="F2597" s="24" t="s">
        <v>1142</v>
      </c>
      <c r="G2597" s="24" t="s">
        <v>1082</v>
      </c>
      <c r="H2597" s="24" t="s">
        <v>226</v>
      </c>
      <c r="I2597" s="24" t="s">
        <v>1991</v>
      </c>
      <c r="J2597" s="24" t="s">
        <v>761</v>
      </c>
      <c r="K2597" s="24" t="s">
        <v>1146</v>
      </c>
      <c r="L2597" s="25">
        <v>1070</v>
      </c>
      <c r="M2597" s="26">
        <v>11.5</v>
      </c>
      <c r="N2597" s="27">
        <v>11.5</v>
      </c>
      <c r="O2597" s="28">
        <v>1.0454545454545454E-2</v>
      </c>
      <c r="P2597" s="28">
        <v>10.889380530973451</v>
      </c>
    </row>
    <row r="2598" spans="1:16" x14ac:dyDescent="0.3">
      <c r="A2598" t="s">
        <v>5477</v>
      </c>
      <c r="B2598" s="24">
        <v>101186</v>
      </c>
      <c r="C2598" s="24" t="s">
        <v>1273</v>
      </c>
      <c r="D2598" s="24" t="s">
        <v>1102</v>
      </c>
      <c r="E2598" s="24" t="s">
        <v>51</v>
      </c>
      <c r="F2598" s="24" t="s">
        <v>1142</v>
      </c>
      <c r="G2598" s="24" t="s">
        <v>1203</v>
      </c>
      <c r="H2598" s="24" t="s">
        <v>226</v>
      </c>
      <c r="I2598" s="24" t="s">
        <v>1991</v>
      </c>
      <c r="J2598" s="24" t="s">
        <v>761</v>
      </c>
      <c r="K2598" s="24" t="s">
        <v>1146</v>
      </c>
      <c r="L2598" s="25">
        <v>1070</v>
      </c>
      <c r="M2598" s="26">
        <v>11.5</v>
      </c>
      <c r="N2598" s="27">
        <v>11.5</v>
      </c>
      <c r="O2598" s="28">
        <v>1.0454545454545454E-2</v>
      </c>
      <c r="P2598" s="28">
        <v>10.889380530973451</v>
      </c>
    </row>
    <row r="2599" spans="1:16" x14ac:dyDescent="0.3">
      <c r="A2599" t="s">
        <v>5478</v>
      </c>
      <c r="B2599" s="24">
        <v>101206</v>
      </c>
      <c r="C2599" s="24" t="s">
        <v>1199</v>
      </c>
      <c r="D2599" s="24" t="s">
        <v>1102</v>
      </c>
      <c r="E2599" s="24" t="s">
        <v>51</v>
      </c>
      <c r="F2599" s="24" t="s">
        <v>1142</v>
      </c>
      <c r="G2599" s="24" t="s">
        <v>1200</v>
      </c>
      <c r="H2599" s="24" t="s">
        <v>226</v>
      </c>
      <c r="I2599" s="24" t="s">
        <v>1991</v>
      </c>
      <c r="J2599" s="24" t="s">
        <v>761</v>
      </c>
      <c r="K2599" s="24" t="s">
        <v>1146</v>
      </c>
      <c r="L2599" s="25">
        <v>1070</v>
      </c>
      <c r="M2599" s="26">
        <v>11.5</v>
      </c>
      <c r="N2599" s="27">
        <v>11.5</v>
      </c>
      <c r="O2599" s="28">
        <v>1.0454545454545454E-2</v>
      </c>
      <c r="P2599" s="28">
        <v>10.889380530973451</v>
      </c>
    </row>
    <row r="2600" spans="1:16" x14ac:dyDescent="0.3">
      <c r="A2600" t="s">
        <v>5479</v>
      </c>
      <c r="B2600" s="24">
        <v>106916</v>
      </c>
      <c r="C2600" s="24" t="s">
        <v>1216</v>
      </c>
      <c r="D2600" s="24" t="s">
        <v>1102</v>
      </c>
      <c r="E2600" s="24" t="s">
        <v>51</v>
      </c>
      <c r="F2600" s="24" t="s">
        <v>1142</v>
      </c>
      <c r="G2600" s="24" t="s">
        <v>1203</v>
      </c>
      <c r="H2600" s="24" t="s">
        <v>226</v>
      </c>
      <c r="I2600" s="24" t="s">
        <v>1991</v>
      </c>
      <c r="J2600" s="24" t="s">
        <v>761</v>
      </c>
      <c r="K2600" s="24" t="s">
        <v>1146</v>
      </c>
      <c r="L2600" s="25">
        <v>1070</v>
      </c>
      <c r="M2600" s="26">
        <v>11.5</v>
      </c>
      <c r="N2600" s="27">
        <v>11.5</v>
      </c>
      <c r="O2600" s="28">
        <v>1.0454545454545454E-2</v>
      </c>
      <c r="P2600" s="28">
        <v>10.889380530973451</v>
      </c>
    </row>
    <row r="2601" spans="1:16" x14ac:dyDescent="0.3">
      <c r="A2601" t="s">
        <v>5480</v>
      </c>
      <c r="B2601" s="24">
        <v>111550</v>
      </c>
      <c r="C2601" s="24" t="s">
        <v>1582</v>
      </c>
      <c r="D2601" s="24" t="s">
        <v>1102</v>
      </c>
      <c r="E2601" s="24" t="s">
        <v>51</v>
      </c>
      <c r="F2601" s="24" t="s">
        <v>1142</v>
      </c>
      <c r="G2601" s="24" t="s">
        <v>1402</v>
      </c>
      <c r="H2601" s="24" t="s">
        <v>226</v>
      </c>
      <c r="I2601" s="24" t="s">
        <v>1991</v>
      </c>
      <c r="J2601" s="24" t="s">
        <v>761</v>
      </c>
      <c r="K2601" s="24" t="s">
        <v>1146</v>
      </c>
      <c r="L2601" s="25">
        <v>1070</v>
      </c>
      <c r="M2601" s="26">
        <v>11.5</v>
      </c>
      <c r="N2601" s="27">
        <v>11.5</v>
      </c>
      <c r="O2601" s="28">
        <v>1.0454545454545454E-2</v>
      </c>
      <c r="P2601" s="28">
        <v>10.889380530973451</v>
      </c>
    </row>
    <row r="2602" spans="1:16" x14ac:dyDescent="0.3">
      <c r="A2602" t="s">
        <v>5481</v>
      </c>
      <c r="B2602" s="24">
        <v>101186</v>
      </c>
      <c r="C2602" s="24" t="s">
        <v>1273</v>
      </c>
      <c r="D2602" s="24" t="s">
        <v>1102</v>
      </c>
      <c r="E2602" s="24" t="s">
        <v>51</v>
      </c>
      <c r="F2602" s="24" t="s">
        <v>1142</v>
      </c>
      <c r="G2602" s="24" t="s">
        <v>1203</v>
      </c>
      <c r="H2602" s="24" t="s">
        <v>98</v>
      </c>
      <c r="I2602" s="24" t="s">
        <v>1992</v>
      </c>
      <c r="J2602" s="24" t="s">
        <v>761</v>
      </c>
      <c r="K2602" s="24" t="s">
        <v>1146</v>
      </c>
      <c r="L2602" s="25">
        <v>1070</v>
      </c>
      <c r="M2602" s="26">
        <v>13.5</v>
      </c>
      <c r="N2602" s="27">
        <v>13.5</v>
      </c>
      <c r="O2602" s="28">
        <v>1.2272727272727272E-2</v>
      </c>
      <c r="P2602" s="28">
        <v>12.783185840707965</v>
      </c>
    </row>
    <row r="2603" spans="1:16" x14ac:dyDescent="0.3">
      <c r="A2603" t="s">
        <v>5482</v>
      </c>
      <c r="B2603" s="24">
        <v>106916</v>
      </c>
      <c r="C2603" s="24" t="s">
        <v>1216</v>
      </c>
      <c r="D2603" s="24" t="s">
        <v>1102</v>
      </c>
      <c r="E2603" s="24" t="s">
        <v>51</v>
      </c>
      <c r="F2603" s="24" t="s">
        <v>1142</v>
      </c>
      <c r="G2603" s="24" t="s">
        <v>1203</v>
      </c>
      <c r="H2603" s="24" t="s">
        <v>99</v>
      </c>
      <c r="I2603" s="24" t="s">
        <v>1993</v>
      </c>
      <c r="J2603" s="24" t="s">
        <v>761</v>
      </c>
      <c r="K2603" s="24" t="s">
        <v>1146</v>
      </c>
      <c r="L2603" s="25">
        <v>1070</v>
      </c>
      <c r="M2603" s="26">
        <v>12.95</v>
      </c>
      <c r="N2603" s="27">
        <v>12.95</v>
      </c>
      <c r="O2603" s="28">
        <v>1.1772727272727272E-2</v>
      </c>
      <c r="P2603" s="28">
        <v>12.262389380530973</v>
      </c>
    </row>
    <row r="2604" spans="1:16" x14ac:dyDescent="0.3">
      <c r="A2604" t="s">
        <v>5483</v>
      </c>
      <c r="B2604" s="24">
        <v>111550</v>
      </c>
      <c r="C2604" s="24" t="s">
        <v>1582</v>
      </c>
      <c r="D2604" s="24" t="s">
        <v>1102</v>
      </c>
      <c r="E2604" s="24" t="s">
        <v>51</v>
      </c>
      <c r="F2604" s="24" t="s">
        <v>1142</v>
      </c>
      <c r="G2604" s="24" t="s">
        <v>1402</v>
      </c>
      <c r="H2604" s="24" t="s">
        <v>99</v>
      </c>
      <c r="I2604" s="24" t="s">
        <v>1993</v>
      </c>
      <c r="J2604" s="24" t="s">
        <v>761</v>
      </c>
      <c r="K2604" s="24" t="s">
        <v>1146</v>
      </c>
      <c r="L2604" s="25">
        <v>1070</v>
      </c>
      <c r="M2604" s="26">
        <v>12.95</v>
      </c>
      <c r="N2604" s="27">
        <v>12.95</v>
      </c>
      <c r="O2604" s="28">
        <v>1.1772727272727272E-2</v>
      </c>
      <c r="P2604" s="28">
        <v>12.262389380530973</v>
      </c>
    </row>
    <row r="2605" spans="1:16" x14ac:dyDescent="0.3">
      <c r="A2605" t="s">
        <v>5484</v>
      </c>
      <c r="B2605" s="24">
        <v>100581</v>
      </c>
      <c r="C2605" s="24" t="s">
        <v>1232</v>
      </c>
      <c r="D2605" s="24" t="s">
        <v>1102</v>
      </c>
      <c r="E2605" s="24" t="s">
        <v>51</v>
      </c>
      <c r="F2605" s="24" t="s">
        <v>1142</v>
      </c>
      <c r="G2605" s="24" t="s">
        <v>1233</v>
      </c>
      <c r="H2605" s="24" t="s">
        <v>1065</v>
      </c>
      <c r="I2605" s="24" t="s">
        <v>1994</v>
      </c>
      <c r="J2605" s="24" t="s">
        <v>761</v>
      </c>
      <c r="K2605" s="24" t="s">
        <v>1146</v>
      </c>
      <c r="L2605" s="25">
        <v>1070</v>
      </c>
      <c r="M2605" s="26">
        <v>8.3000000000000007</v>
      </c>
      <c r="N2605" s="27">
        <v>8.3000000000000007</v>
      </c>
      <c r="O2605" s="28">
        <v>7.5454545454545462E-3</v>
      </c>
      <c r="P2605" s="28">
        <v>7.8592920353982301</v>
      </c>
    </row>
    <row r="2606" spans="1:16" x14ac:dyDescent="0.3">
      <c r="A2606" t="s">
        <v>5485</v>
      </c>
      <c r="B2606" s="24">
        <v>100603</v>
      </c>
      <c r="C2606" s="24" t="s">
        <v>1277</v>
      </c>
      <c r="D2606" s="24" t="s">
        <v>1102</v>
      </c>
      <c r="E2606" s="24" t="s">
        <v>51</v>
      </c>
      <c r="F2606" s="24" t="s">
        <v>1142</v>
      </c>
      <c r="G2606" s="24" t="s">
        <v>1082</v>
      </c>
      <c r="H2606" s="24" t="s">
        <v>1065</v>
      </c>
      <c r="I2606" s="24" t="s">
        <v>1994</v>
      </c>
      <c r="J2606" s="24" t="s">
        <v>761</v>
      </c>
      <c r="K2606" s="24" t="s">
        <v>1146</v>
      </c>
      <c r="L2606" s="25">
        <v>1070</v>
      </c>
      <c r="M2606" s="26">
        <v>8.3000000000000007</v>
      </c>
      <c r="N2606" s="27">
        <v>8.3000000000000007</v>
      </c>
      <c r="O2606" s="28">
        <v>7.5454545454545462E-3</v>
      </c>
      <c r="P2606" s="28">
        <v>7.8592920353982301</v>
      </c>
    </row>
    <row r="2607" spans="1:16" x14ac:dyDescent="0.3">
      <c r="A2607" t="s">
        <v>5486</v>
      </c>
      <c r="B2607" s="24">
        <v>101186</v>
      </c>
      <c r="C2607" s="24" t="s">
        <v>1273</v>
      </c>
      <c r="D2607" s="24" t="s">
        <v>1102</v>
      </c>
      <c r="E2607" s="24" t="s">
        <v>51</v>
      </c>
      <c r="F2607" s="24" t="s">
        <v>1142</v>
      </c>
      <c r="G2607" s="24" t="s">
        <v>1203</v>
      </c>
      <c r="H2607" s="24" t="s">
        <v>1065</v>
      </c>
      <c r="I2607" s="24" t="s">
        <v>1994</v>
      </c>
      <c r="J2607" s="24" t="s">
        <v>761</v>
      </c>
      <c r="K2607" s="24" t="s">
        <v>1146</v>
      </c>
      <c r="L2607" s="25">
        <v>1070</v>
      </c>
      <c r="M2607" s="26">
        <v>8.3000000000000007</v>
      </c>
      <c r="N2607" s="27">
        <v>8.3000000000000007</v>
      </c>
      <c r="O2607" s="28">
        <v>7.5454545454545462E-3</v>
      </c>
      <c r="P2607" s="28">
        <v>7.8592920353982301</v>
      </c>
    </row>
    <row r="2608" spans="1:16" x14ac:dyDescent="0.3">
      <c r="A2608" t="s">
        <v>5487</v>
      </c>
      <c r="B2608" s="24">
        <v>101206</v>
      </c>
      <c r="C2608" s="24" t="s">
        <v>1199</v>
      </c>
      <c r="D2608" s="24" t="s">
        <v>1102</v>
      </c>
      <c r="E2608" s="24" t="s">
        <v>51</v>
      </c>
      <c r="F2608" s="24" t="s">
        <v>1142</v>
      </c>
      <c r="G2608" s="24" t="s">
        <v>1200</v>
      </c>
      <c r="H2608" s="24" t="s">
        <v>1065</v>
      </c>
      <c r="I2608" s="24" t="s">
        <v>1994</v>
      </c>
      <c r="J2608" s="24" t="s">
        <v>761</v>
      </c>
      <c r="K2608" s="24" t="s">
        <v>1146</v>
      </c>
      <c r="L2608" s="25">
        <v>1070</v>
      </c>
      <c r="M2608" s="26">
        <v>8.3000000000000007</v>
      </c>
      <c r="N2608" s="27">
        <v>8.3000000000000007</v>
      </c>
      <c r="O2608" s="28">
        <v>7.5454545454545462E-3</v>
      </c>
      <c r="P2608" s="28">
        <v>7.8592920353982301</v>
      </c>
    </row>
    <row r="2609" spans="1:16" x14ac:dyDescent="0.3">
      <c r="A2609" t="s">
        <v>5488</v>
      </c>
      <c r="B2609" s="24">
        <v>101184</v>
      </c>
      <c r="C2609" s="24" t="s">
        <v>1401</v>
      </c>
      <c r="D2609" s="24" t="s">
        <v>1102</v>
      </c>
      <c r="E2609" s="24" t="s">
        <v>51</v>
      </c>
      <c r="F2609" s="24" t="s">
        <v>1142</v>
      </c>
      <c r="G2609" s="24" t="s">
        <v>1402</v>
      </c>
      <c r="H2609" s="24" t="s">
        <v>1081</v>
      </c>
      <c r="I2609" s="24" t="s">
        <v>1995</v>
      </c>
      <c r="J2609" s="24" t="s">
        <v>761</v>
      </c>
      <c r="K2609" s="24" t="s">
        <v>1146</v>
      </c>
      <c r="L2609" s="25">
        <v>1070</v>
      </c>
      <c r="M2609" s="26">
        <v>8.6999999999999993</v>
      </c>
      <c r="N2609" s="27">
        <v>8.6999999999999993</v>
      </c>
      <c r="O2609" s="28">
        <v>7.909090909090909E-3</v>
      </c>
      <c r="P2609" s="28">
        <v>8.2380530973451336</v>
      </c>
    </row>
    <row r="2610" spans="1:16" x14ac:dyDescent="0.3">
      <c r="A2610" t="s">
        <v>5489</v>
      </c>
      <c r="B2610" s="24">
        <v>101184</v>
      </c>
      <c r="C2610" s="24" t="s">
        <v>1401</v>
      </c>
      <c r="D2610" s="24" t="s">
        <v>1102</v>
      </c>
      <c r="E2610" s="24" t="s">
        <v>51</v>
      </c>
      <c r="F2610" s="24" t="s">
        <v>1142</v>
      </c>
      <c r="G2610" s="24" t="s">
        <v>1402</v>
      </c>
      <c r="H2610" s="24" t="s">
        <v>227</v>
      </c>
      <c r="I2610" s="24" t="s">
        <v>1996</v>
      </c>
      <c r="J2610" s="24" t="s">
        <v>761</v>
      </c>
      <c r="K2610" s="24" t="s">
        <v>1146</v>
      </c>
      <c r="L2610" s="25">
        <v>1070</v>
      </c>
      <c r="M2610" s="26">
        <v>8.4600000000000009</v>
      </c>
      <c r="N2610" s="27">
        <v>8.4600000000000009</v>
      </c>
      <c r="O2610" s="28">
        <v>7.690909090909092E-3</v>
      </c>
      <c r="P2610" s="28">
        <v>8.0107964601769925</v>
      </c>
    </row>
    <row r="2611" spans="1:16" x14ac:dyDescent="0.3">
      <c r="A2611" t="s">
        <v>5490</v>
      </c>
      <c r="B2611" s="24">
        <v>101186</v>
      </c>
      <c r="C2611" s="24" t="s">
        <v>1273</v>
      </c>
      <c r="D2611" s="24" t="s">
        <v>1102</v>
      </c>
      <c r="E2611" s="24" t="s">
        <v>51</v>
      </c>
      <c r="F2611" s="24" t="s">
        <v>1142</v>
      </c>
      <c r="G2611" s="24" t="s">
        <v>1203</v>
      </c>
      <c r="H2611" s="24" t="s">
        <v>227</v>
      </c>
      <c r="I2611" s="24" t="s">
        <v>1996</v>
      </c>
      <c r="J2611" s="24" t="s">
        <v>761</v>
      </c>
      <c r="K2611" s="24" t="s">
        <v>1146</v>
      </c>
      <c r="L2611" s="25">
        <v>1070</v>
      </c>
      <c r="M2611" s="26">
        <v>8.4600000000000009</v>
      </c>
      <c r="N2611" s="27">
        <v>8.4600000000000009</v>
      </c>
      <c r="O2611" s="28">
        <v>7.690909090909092E-3</v>
      </c>
      <c r="P2611" s="28">
        <v>8.0107964601769925</v>
      </c>
    </row>
    <row r="2612" spans="1:16" x14ac:dyDescent="0.3">
      <c r="A2612" t="s">
        <v>5491</v>
      </c>
      <c r="B2612" s="24">
        <v>101206</v>
      </c>
      <c r="C2612" s="24" t="s">
        <v>1199</v>
      </c>
      <c r="D2612" s="24" t="s">
        <v>1102</v>
      </c>
      <c r="E2612" s="24" t="s">
        <v>51</v>
      </c>
      <c r="F2612" s="24" t="s">
        <v>1142</v>
      </c>
      <c r="G2612" s="24" t="s">
        <v>1200</v>
      </c>
      <c r="H2612" s="24" t="s">
        <v>227</v>
      </c>
      <c r="I2612" s="24" t="s">
        <v>1996</v>
      </c>
      <c r="J2612" s="24" t="s">
        <v>761</v>
      </c>
      <c r="K2612" s="24" t="s">
        <v>1146</v>
      </c>
      <c r="L2612" s="25">
        <v>1070</v>
      </c>
      <c r="M2612" s="26">
        <v>8.4600000000000009</v>
      </c>
      <c r="N2612" s="27">
        <v>8.4600000000000009</v>
      </c>
      <c r="O2612" s="28">
        <v>7.690909090909092E-3</v>
      </c>
      <c r="P2612" s="28">
        <v>8.0107964601769925</v>
      </c>
    </row>
    <row r="2613" spans="1:16" x14ac:dyDescent="0.3">
      <c r="A2613" t="s">
        <v>5492</v>
      </c>
      <c r="B2613" s="24">
        <v>101424</v>
      </c>
      <c r="C2613" s="24" t="s">
        <v>1278</v>
      </c>
      <c r="D2613" s="24" t="s">
        <v>1102</v>
      </c>
      <c r="E2613" s="24" t="s">
        <v>51</v>
      </c>
      <c r="F2613" s="24" t="s">
        <v>1142</v>
      </c>
      <c r="G2613" s="24" t="s">
        <v>1203</v>
      </c>
      <c r="H2613" s="24" t="s">
        <v>227</v>
      </c>
      <c r="I2613" s="24" t="s">
        <v>1996</v>
      </c>
      <c r="J2613" s="24" t="s">
        <v>761</v>
      </c>
      <c r="K2613" s="24" t="s">
        <v>1146</v>
      </c>
      <c r="L2613" s="25">
        <v>1070</v>
      </c>
      <c r="M2613" s="26">
        <v>8.6300000000000008</v>
      </c>
      <c r="N2613" s="27">
        <v>8.6300000000000008</v>
      </c>
      <c r="O2613" s="28">
        <v>7.8454545454545461E-3</v>
      </c>
      <c r="P2613" s="28">
        <v>8.1717699115044251</v>
      </c>
    </row>
    <row r="2614" spans="1:16" x14ac:dyDescent="0.3">
      <c r="A2614" t="s">
        <v>5493</v>
      </c>
      <c r="B2614" s="24">
        <v>114501</v>
      </c>
      <c r="C2614" s="24" t="s">
        <v>1409</v>
      </c>
      <c r="D2614" s="24" t="s">
        <v>1102</v>
      </c>
      <c r="E2614" s="24" t="s">
        <v>51</v>
      </c>
      <c r="F2614" s="24" t="s">
        <v>1142</v>
      </c>
      <c r="G2614" s="24" t="s">
        <v>1402</v>
      </c>
      <c r="H2614" s="24" t="s">
        <v>227</v>
      </c>
      <c r="I2614" s="24" t="s">
        <v>1996</v>
      </c>
      <c r="J2614" s="24" t="s">
        <v>761</v>
      </c>
      <c r="K2614" s="24" t="s">
        <v>1146</v>
      </c>
      <c r="L2614" s="25">
        <v>1070</v>
      </c>
      <c r="M2614" s="26">
        <v>8.4600000000000009</v>
      </c>
      <c r="N2614" s="27">
        <v>8.4600000000000009</v>
      </c>
      <c r="O2614" s="28">
        <v>7.690909090909092E-3</v>
      </c>
      <c r="P2614" s="28">
        <v>8.0107964601769925</v>
      </c>
    </row>
    <row r="2615" spans="1:16" x14ac:dyDescent="0.3">
      <c r="A2615" t="s">
        <v>5494</v>
      </c>
      <c r="B2615" s="24">
        <v>101186</v>
      </c>
      <c r="C2615" s="24" t="s">
        <v>1273</v>
      </c>
      <c r="D2615" s="24" t="s">
        <v>1102</v>
      </c>
      <c r="E2615" s="24" t="s">
        <v>51</v>
      </c>
      <c r="F2615" s="24" t="s">
        <v>1142</v>
      </c>
      <c r="G2615" s="24" t="s">
        <v>1203</v>
      </c>
      <c r="H2615" s="24" t="s">
        <v>228</v>
      </c>
      <c r="I2615" s="24" t="s">
        <v>1997</v>
      </c>
      <c r="J2615" s="24" t="s">
        <v>761</v>
      </c>
      <c r="K2615" s="24" t="s">
        <v>1146</v>
      </c>
      <c r="L2615" s="25">
        <v>1070</v>
      </c>
      <c r="M2615" s="26">
        <v>8.93</v>
      </c>
      <c r="N2615" s="27">
        <v>8.93</v>
      </c>
      <c r="O2615" s="28">
        <v>8.1181818181818178E-3</v>
      </c>
      <c r="P2615" s="28">
        <v>8.4558407079646027</v>
      </c>
    </row>
    <row r="2616" spans="1:16" x14ac:dyDescent="0.3">
      <c r="A2616" t="s">
        <v>5495</v>
      </c>
      <c r="B2616" s="24">
        <v>106916</v>
      </c>
      <c r="C2616" s="24" t="s">
        <v>1216</v>
      </c>
      <c r="D2616" s="24" t="s">
        <v>1102</v>
      </c>
      <c r="E2616" s="24" t="s">
        <v>51</v>
      </c>
      <c r="F2616" s="24" t="s">
        <v>1142</v>
      </c>
      <c r="G2616" s="24" t="s">
        <v>1203</v>
      </c>
      <c r="H2616" s="24" t="s">
        <v>228</v>
      </c>
      <c r="I2616" s="24" t="s">
        <v>1997</v>
      </c>
      <c r="J2616" s="24" t="s">
        <v>761</v>
      </c>
      <c r="K2616" s="24" t="s">
        <v>1146</v>
      </c>
      <c r="L2616" s="25">
        <v>1070</v>
      </c>
      <c r="M2616" s="26">
        <v>8.93</v>
      </c>
      <c r="N2616" s="27">
        <v>8.93</v>
      </c>
      <c r="O2616" s="28">
        <v>8.1181818181818178E-3</v>
      </c>
      <c r="P2616" s="28">
        <v>8.4558407079646027</v>
      </c>
    </row>
    <row r="2617" spans="1:16" x14ac:dyDescent="0.3">
      <c r="A2617" t="s">
        <v>5496</v>
      </c>
      <c r="B2617" s="24">
        <v>101424</v>
      </c>
      <c r="C2617" s="24" t="s">
        <v>1278</v>
      </c>
      <c r="D2617" s="24" t="s">
        <v>1102</v>
      </c>
      <c r="E2617" s="24" t="s">
        <v>51</v>
      </c>
      <c r="F2617" s="24" t="s">
        <v>1142</v>
      </c>
      <c r="G2617" s="24" t="s">
        <v>1203</v>
      </c>
      <c r="H2617" s="24" t="s">
        <v>229</v>
      </c>
      <c r="I2617" s="24" t="s">
        <v>1998</v>
      </c>
      <c r="J2617" s="24" t="s">
        <v>761</v>
      </c>
      <c r="K2617" s="24" t="s">
        <v>1146</v>
      </c>
      <c r="L2617" s="25">
        <v>1070</v>
      </c>
      <c r="M2617" s="26">
        <v>8.99</v>
      </c>
      <c r="N2617" s="27">
        <v>8.99</v>
      </c>
      <c r="O2617" s="28">
        <v>8.1727272727272725E-3</v>
      </c>
      <c r="P2617" s="28">
        <v>8.5126548672566376</v>
      </c>
    </row>
    <row r="2618" spans="1:16" x14ac:dyDescent="0.3">
      <c r="A2618" t="s">
        <v>5497</v>
      </c>
      <c r="B2618" s="24">
        <v>101424</v>
      </c>
      <c r="C2618" s="24" t="s">
        <v>1278</v>
      </c>
      <c r="D2618" s="24" t="s">
        <v>1102</v>
      </c>
      <c r="E2618" s="24" t="s">
        <v>51</v>
      </c>
      <c r="F2618" s="24" t="s">
        <v>1142</v>
      </c>
      <c r="G2618" s="24" t="s">
        <v>1203</v>
      </c>
      <c r="H2618" s="24" t="s">
        <v>230</v>
      </c>
      <c r="I2618" s="24" t="s">
        <v>1999</v>
      </c>
      <c r="J2618" s="24" t="s">
        <v>761</v>
      </c>
      <c r="K2618" s="24" t="s">
        <v>1146</v>
      </c>
      <c r="L2618" s="25">
        <v>1070</v>
      </c>
      <c r="M2618" s="26">
        <v>9.75</v>
      </c>
      <c r="N2618" s="27">
        <v>9.75</v>
      </c>
      <c r="O2618" s="28">
        <v>8.8636363636363635E-3</v>
      </c>
      <c r="P2618" s="28">
        <v>9.2323008849557517</v>
      </c>
    </row>
    <row r="2619" spans="1:16" x14ac:dyDescent="0.3">
      <c r="A2619" t="s">
        <v>5498</v>
      </c>
      <c r="B2619" s="24">
        <v>101184</v>
      </c>
      <c r="C2619" s="24" t="s">
        <v>1401</v>
      </c>
      <c r="D2619" s="24" t="s">
        <v>1102</v>
      </c>
      <c r="E2619" s="24" t="s">
        <v>51</v>
      </c>
      <c r="F2619" s="24" t="s">
        <v>1142</v>
      </c>
      <c r="G2619" s="24" t="s">
        <v>1402</v>
      </c>
      <c r="H2619" s="24" t="s">
        <v>231</v>
      </c>
      <c r="I2619" s="24" t="s">
        <v>2000</v>
      </c>
      <c r="J2619" s="24" t="s">
        <v>761</v>
      </c>
      <c r="K2619" s="24" t="s">
        <v>1146</v>
      </c>
      <c r="L2619" s="25">
        <v>1070</v>
      </c>
      <c r="M2619" s="26">
        <v>8.5</v>
      </c>
      <c r="N2619" s="27">
        <v>8.5</v>
      </c>
      <c r="O2619" s="28">
        <v>7.7272727272727276E-3</v>
      </c>
      <c r="P2619" s="28">
        <v>8.0486725663716818</v>
      </c>
    </row>
    <row r="2620" spans="1:16" x14ac:dyDescent="0.3">
      <c r="A2620" t="s">
        <v>5499</v>
      </c>
      <c r="B2620" s="24">
        <v>101186</v>
      </c>
      <c r="C2620" s="24" t="s">
        <v>1273</v>
      </c>
      <c r="D2620" s="24" t="s">
        <v>1102</v>
      </c>
      <c r="E2620" s="24" t="s">
        <v>51</v>
      </c>
      <c r="F2620" s="24" t="s">
        <v>1142</v>
      </c>
      <c r="G2620" s="24" t="s">
        <v>1203</v>
      </c>
      <c r="H2620" s="24" t="s">
        <v>231</v>
      </c>
      <c r="I2620" s="24" t="s">
        <v>2000</v>
      </c>
      <c r="J2620" s="24" t="s">
        <v>761</v>
      </c>
      <c r="K2620" s="24" t="s">
        <v>1146</v>
      </c>
      <c r="L2620" s="25">
        <v>1070</v>
      </c>
      <c r="M2620" s="26">
        <v>8.5</v>
      </c>
      <c r="N2620" s="27">
        <v>8.5</v>
      </c>
      <c r="O2620" s="28">
        <v>7.7272727272727276E-3</v>
      </c>
      <c r="P2620" s="28">
        <v>8.0486725663716818</v>
      </c>
    </row>
    <row r="2621" spans="1:16" x14ac:dyDescent="0.3">
      <c r="A2621" t="s">
        <v>5500</v>
      </c>
      <c r="B2621" s="24">
        <v>101206</v>
      </c>
      <c r="C2621" s="24" t="s">
        <v>1199</v>
      </c>
      <c r="D2621" s="24" t="s">
        <v>1102</v>
      </c>
      <c r="E2621" s="24" t="s">
        <v>51</v>
      </c>
      <c r="F2621" s="24" t="s">
        <v>1142</v>
      </c>
      <c r="G2621" s="24" t="s">
        <v>1200</v>
      </c>
      <c r="H2621" s="24" t="s">
        <v>231</v>
      </c>
      <c r="I2621" s="24" t="s">
        <v>2000</v>
      </c>
      <c r="J2621" s="24" t="s">
        <v>761</v>
      </c>
      <c r="K2621" s="24" t="s">
        <v>1146</v>
      </c>
      <c r="L2621" s="25">
        <v>1070</v>
      </c>
      <c r="M2621" s="26">
        <v>8.5</v>
      </c>
      <c r="N2621" s="27">
        <v>8.5</v>
      </c>
      <c r="O2621" s="28">
        <v>7.7272727272727276E-3</v>
      </c>
      <c r="P2621" s="28">
        <v>8.0486725663716818</v>
      </c>
    </row>
    <row r="2622" spans="1:16" x14ac:dyDescent="0.3">
      <c r="A2622" t="s">
        <v>5501</v>
      </c>
      <c r="B2622" s="24">
        <v>106916</v>
      </c>
      <c r="C2622" s="24" t="s">
        <v>1216</v>
      </c>
      <c r="D2622" s="24" t="s">
        <v>1102</v>
      </c>
      <c r="E2622" s="24" t="s">
        <v>51</v>
      </c>
      <c r="F2622" s="24" t="s">
        <v>1142</v>
      </c>
      <c r="G2622" s="24" t="s">
        <v>1203</v>
      </c>
      <c r="H2622" s="24" t="s">
        <v>231</v>
      </c>
      <c r="I2622" s="24" t="s">
        <v>2000</v>
      </c>
      <c r="J2622" s="24" t="s">
        <v>761</v>
      </c>
      <c r="K2622" s="24" t="s">
        <v>1146</v>
      </c>
      <c r="L2622" s="25">
        <v>1070</v>
      </c>
      <c r="M2622" s="26">
        <v>8.5</v>
      </c>
      <c r="N2622" s="27">
        <v>8.5</v>
      </c>
      <c r="O2622" s="28">
        <v>7.7272727272727276E-3</v>
      </c>
      <c r="P2622" s="28">
        <v>8.0486725663716818</v>
      </c>
    </row>
    <row r="2623" spans="1:16" x14ac:dyDescent="0.3">
      <c r="A2623" t="s">
        <v>5502</v>
      </c>
      <c r="B2623" s="24">
        <v>114501</v>
      </c>
      <c r="C2623" s="24" t="s">
        <v>1409</v>
      </c>
      <c r="D2623" s="24" t="s">
        <v>1102</v>
      </c>
      <c r="E2623" s="24" t="s">
        <v>51</v>
      </c>
      <c r="F2623" s="24" t="s">
        <v>1142</v>
      </c>
      <c r="G2623" s="24" t="s">
        <v>1402</v>
      </c>
      <c r="H2623" s="24" t="s">
        <v>231</v>
      </c>
      <c r="I2623" s="24" t="s">
        <v>2000</v>
      </c>
      <c r="J2623" s="24" t="s">
        <v>761</v>
      </c>
      <c r="K2623" s="24" t="s">
        <v>1146</v>
      </c>
      <c r="L2623" s="25">
        <v>1070</v>
      </c>
      <c r="M2623" s="26">
        <v>8.5</v>
      </c>
      <c r="N2623" s="27">
        <v>8.5</v>
      </c>
      <c r="O2623" s="28">
        <v>7.7272727272727276E-3</v>
      </c>
      <c r="P2623" s="28">
        <v>8.0486725663716818</v>
      </c>
    </row>
    <row r="2624" spans="1:16" x14ac:dyDescent="0.3">
      <c r="A2624" t="s">
        <v>5503</v>
      </c>
      <c r="B2624" s="24">
        <v>101186</v>
      </c>
      <c r="C2624" s="24" t="s">
        <v>1273</v>
      </c>
      <c r="D2624" s="24" t="s">
        <v>1102</v>
      </c>
      <c r="E2624" s="24" t="s">
        <v>51</v>
      </c>
      <c r="F2624" s="24" t="s">
        <v>1142</v>
      </c>
      <c r="G2624" s="24" t="s">
        <v>1203</v>
      </c>
      <c r="H2624" s="24" t="s">
        <v>232</v>
      </c>
      <c r="I2624" s="24" t="s">
        <v>2001</v>
      </c>
      <c r="J2624" s="24" t="s">
        <v>761</v>
      </c>
      <c r="K2624" s="24" t="s">
        <v>1146</v>
      </c>
      <c r="L2624" s="25">
        <v>1070</v>
      </c>
      <c r="M2624" s="26">
        <v>9.31</v>
      </c>
      <c r="N2624" s="27">
        <v>9.31</v>
      </c>
      <c r="O2624" s="28">
        <v>8.4636363636363642E-3</v>
      </c>
      <c r="P2624" s="28">
        <v>8.8156637168141607</v>
      </c>
    </row>
    <row r="2625" spans="1:16" x14ac:dyDescent="0.3">
      <c r="A2625" t="s">
        <v>5504</v>
      </c>
      <c r="B2625" s="24">
        <v>106916</v>
      </c>
      <c r="C2625" s="24" t="s">
        <v>1216</v>
      </c>
      <c r="D2625" s="24" t="s">
        <v>1102</v>
      </c>
      <c r="E2625" s="24" t="s">
        <v>51</v>
      </c>
      <c r="F2625" s="24" t="s">
        <v>1142</v>
      </c>
      <c r="G2625" s="24" t="s">
        <v>1203</v>
      </c>
      <c r="H2625" s="24" t="s">
        <v>232</v>
      </c>
      <c r="I2625" s="24" t="s">
        <v>2001</v>
      </c>
      <c r="J2625" s="24" t="s">
        <v>761</v>
      </c>
      <c r="K2625" s="24" t="s">
        <v>1146</v>
      </c>
      <c r="L2625" s="25">
        <v>1070</v>
      </c>
      <c r="M2625" s="26">
        <v>9.31</v>
      </c>
      <c r="N2625" s="27">
        <v>9.31</v>
      </c>
      <c r="O2625" s="28">
        <v>8.4636363636363642E-3</v>
      </c>
      <c r="P2625" s="28">
        <v>8.8156637168141607</v>
      </c>
    </row>
    <row r="2626" spans="1:16" x14ac:dyDescent="0.3">
      <c r="A2626" t="s">
        <v>5505</v>
      </c>
      <c r="B2626" s="24">
        <v>101424</v>
      </c>
      <c r="C2626" s="24" t="s">
        <v>1278</v>
      </c>
      <c r="D2626" s="24" t="s">
        <v>1102</v>
      </c>
      <c r="E2626" s="24" t="s">
        <v>51</v>
      </c>
      <c r="F2626" s="24" t="s">
        <v>1142</v>
      </c>
      <c r="G2626" s="24" t="s">
        <v>1203</v>
      </c>
      <c r="H2626" s="24" t="s">
        <v>233</v>
      </c>
      <c r="I2626" s="24" t="s">
        <v>2002</v>
      </c>
      <c r="J2626" s="24" t="s">
        <v>761</v>
      </c>
      <c r="K2626" s="24" t="s">
        <v>1146</v>
      </c>
      <c r="L2626" s="25">
        <v>1070</v>
      </c>
      <c r="M2626" s="26">
        <v>10.130000000000001</v>
      </c>
      <c r="N2626" s="27">
        <v>10.130000000000001</v>
      </c>
      <c r="O2626" s="28">
        <v>9.2090909090909098E-3</v>
      </c>
      <c r="P2626" s="28">
        <v>9.5921238938053097</v>
      </c>
    </row>
    <row r="2627" spans="1:16" x14ac:dyDescent="0.3">
      <c r="A2627" t="s">
        <v>5506</v>
      </c>
      <c r="B2627" s="24">
        <v>101186</v>
      </c>
      <c r="C2627" s="24" t="s">
        <v>1273</v>
      </c>
      <c r="D2627" s="24" t="s">
        <v>1102</v>
      </c>
      <c r="E2627" s="24" t="s">
        <v>51</v>
      </c>
      <c r="F2627" s="24" t="s">
        <v>1142</v>
      </c>
      <c r="G2627" s="24" t="s">
        <v>1203</v>
      </c>
      <c r="H2627" s="24" t="s">
        <v>234</v>
      </c>
      <c r="I2627" s="24" t="s">
        <v>2003</v>
      </c>
      <c r="J2627" s="24" t="s">
        <v>761</v>
      </c>
      <c r="K2627" s="24" t="s">
        <v>1146</v>
      </c>
      <c r="L2627" s="25">
        <v>1070</v>
      </c>
      <c r="M2627" s="26">
        <v>10.050000000000001</v>
      </c>
      <c r="N2627" s="27">
        <v>10.050000000000001</v>
      </c>
      <c r="O2627" s="28">
        <v>9.1363636363636369E-3</v>
      </c>
      <c r="P2627" s="28">
        <v>9.5163716814159294</v>
      </c>
    </row>
    <row r="2628" spans="1:16" x14ac:dyDescent="0.3">
      <c r="A2628" t="s">
        <v>5507</v>
      </c>
      <c r="B2628" s="24">
        <v>101424</v>
      </c>
      <c r="C2628" s="24" t="s">
        <v>1278</v>
      </c>
      <c r="D2628" s="24" t="s">
        <v>1102</v>
      </c>
      <c r="E2628" s="24" t="s">
        <v>51</v>
      </c>
      <c r="F2628" s="24" t="s">
        <v>1142</v>
      </c>
      <c r="G2628" s="24" t="s">
        <v>1203</v>
      </c>
      <c r="H2628" s="24" t="s">
        <v>234</v>
      </c>
      <c r="I2628" s="24" t="s">
        <v>2003</v>
      </c>
      <c r="J2628" s="24" t="s">
        <v>761</v>
      </c>
      <c r="K2628" s="24" t="s">
        <v>1146</v>
      </c>
      <c r="L2628" s="25">
        <v>1070</v>
      </c>
      <c r="M2628" s="26">
        <v>10.25</v>
      </c>
      <c r="N2628" s="27">
        <v>10.25</v>
      </c>
      <c r="O2628" s="28">
        <v>9.3181818181818175E-3</v>
      </c>
      <c r="P2628" s="28">
        <v>9.7057522123893811</v>
      </c>
    </row>
    <row r="2629" spans="1:16" x14ac:dyDescent="0.3">
      <c r="A2629" t="s">
        <v>5508</v>
      </c>
      <c r="B2629" s="24">
        <v>106916</v>
      </c>
      <c r="C2629" s="24" t="s">
        <v>1216</v>
      </c>
      <c r="D2629" s="24" t="s">
        <v>1102</v>
      </c>
      <c r="E2629" s="24" t="s">
        <v>51</v>
      </c>
      <c r="F2629" s="24" t="s">
        <v>1142</v>
      </c>
      <c r="G2629" s="24" t="s">
        <v>1203</v>
      </c>
      <c r="H2629" s="24" t="s">
        <v>234</v>
      </c>
      <c r="I2629" s="24" t="s">
        <v>2003</v>
      </c>
      <c r="J2629" s="24" t="s">
        <v>761</v>
      </c>
      <c r="K2629" s="24" t="s">
        <v>1146</v>
      </c>
      <c r="L2629" s="25">
        <v>1070</v>
      </c>
      <c r="M2629" s="26">
        <v>10.050000000000001</v>
      </c>
      <c r="N2629" s="27">
        <v>10.050000000000001</v>
      </c>
      <c r="O2629" s="28">
        <v>9.1363636363636369E-3</v>
      </c>
      <c r="P2629" s="28">
        <v>9.5163716814159294</v>
      </c>
    </row>
    <row r="2630" spans="1:16" x14ac:dyDescent="0.3">
      <c r="A2630" t="s">
        <v>5509</v>
      </c>
      <c r="B2630" s="24">
        <v>101206</v>
      </c>
      <c r="C2630" s="24" t="s">
        <v>1199</v>
      </c>
      <c r="D2630" s="24" t="s">
        <v>1102</v>
      </c>
      <c r="E2630" s="24" t="s">
        <v>51</v>
      </c>
      <c r="F2630" s="24" t="s">
        <v>1142</v>
      </c>
      <c r="G2630" s="24" t="s">
        <v>1200</v>
      </c>
      <c r="H2630" s="24" t="s">
        <v>2906</v>
      </c>
      <c r="I2630" s="24" t="s">
        <v>2907</v>
      </c>
      <c r="J2630" s="24" t="s">
        <v>761</v>
      </c>
      <c r="K2630" s="24" t="s">
        <v>1146</v>
      </c>
      <c r="L2630" s="25">
        <v>1070</v>
      </c>
      <c r="M2630" s="26">
        <v>17.2</v>
      </c>
      <c r="N2630" s="27">
        <v>17.2</v>
      </c>
      <c r="O2630" s="28">
        <v>1.5636363636363636E-2</v>
      </c>
      <c r="P2630" s="28">
        <v>16.286725663716815</v>
      </c>
    </row>
    <row r="2631" spans="1:16" x14ac:dyDescent="0.3">
      <c r="A2631" t="s">
        <v>5510</v>
      </c>
      <c r="B2631" s="24">
        <v>101424</v>
      </c>
      <c r="C2631" s="24" t="s">
        <v>1278</v>
      </c>
      <c r="D2631" s="24" t="s">
        <v>1102</v>
      </c>
      <c r="E2631" s="24" t="s">
        <v>51</v>
      </c>
      <c r="F2631" s="24" t="s">
        <v>1142</v>
      </c>
      <c r="G2631" s="24" t="s">
        <v>1203</v>
      </c>
      <c r="H2631" s="24" t="s">
        <v>235</v>
      </c>
      <c r="I2631" s="24" t="s">
        <v>2004</v>
      </c>
      <c r="J2631" s="24" t="s">
        <v>761</v>
      </c>
      <c r="K2631" s="24" t="s">
        <v>1146</v>
      </c>
      <c r="L2631" s="25">
        <v>1070</v>
      </c>
      <c r="M2631" s="26">
        <v>9.35</v>
      </c>
      <c r="N2631" s="27">
        <v>9.35</v>
      </c>
      <c r="O2631" s="28">
        <v>8.4999999999999989E-3</v>
      </c>
      <c r="P2631" s="28">
        <v>8.85353982300885</v>
      </c>
    </row>
    <row r="2632" spans="1:16" x14ac:dyDescent="0.3">
      <c r="A2632" t="s">
        <v>5511</v>
      </c>
      <c r="B2632" s="24">
        <v>114501</v>
      </c>
      <c r="C2632" s="24" t="s">
        <v>1409</v>
      </c>
      <c r="D2632" s="24" t="s">
        <v>1102</v>
      </c>
      <c r="E2632" s="24" t="s">
        <v>51</v>
      </c>
      <c r="F2632" s="24" t="s">
        <v>1142</v>
      </c>
      <c r="G2632" s="24" t="s">
        <v>1402</v>
      </c>
      <c r="H2632" s="24" t="s">
        <v>235</v>
      </c>
      <c r="I2632" s="24" t="s">
        <v>2004</v>
      </c>
      <c r="J2632" s="24" t="s">
        <v>761</v>
      </c>
      <c r="K2632" s="24" t="s">
        <v>1146</v>
      </c>
      <c r="L2632" s="25">
        <v>1070</v>
      </c>
      <c r="M2632" s="26">
        <v>9.35</v>
      </c>
      <c r="N2632" s="27">
        <v>9.35</v>
      </c>
      <c r="O2632" s="28">
        <v>8.4999999999999989E-3</v>
      </c>
      <c r="P2632" s="28">
        <v>8.85353982300885</v>
      </c>
    </row>
    <row r="2633" spans="1:16" x14ac:dyDescent="0.3">
      <c r="A2633" t="s">
        <v>5512</v>
      </c>
      <c r="B2633" s="24">
        <v>100581</v>
      </c>
      <c r="C2633" s="24" t="s">
        <v>1232</v>
      </c>
      <c r="D2633" s="24" t="s">
        <v>1102</v>
      </c>
      <c r="E2633" s="24" t="s">
        <v>51</v>
      </c>
      <c r="F2633" s="24" t="s">
        <v>1142</v>
      </c>
      <c r="G2633" s="24" t="s">
        <v>1233</v>
      </c>
      <c r="H2633" s="24" t="s">
        <v>161</v>
      </c>
      <c r="I2633" s="24" t="s">
        <v>2005</v>
      </c>
      <c r="J2633" s="24" t="s">
        <v>761</v>
      </c>
      <c r="K2633" s="24" t="s">
        <v>1146</v>
      </c>
      <c r="L2633" s="25">
        <v>1070</v>
      </c>
      <c r="M2633" s="26">
        <v>9.61</v>
      </c>
      <c r="N2633" s="27">
        <v>9.61</v>
      </c>
      <c r="O2633" s="28">
        <v>8.7363636363636359E-3</v>
      </c>
      <c r="P2633" s="28">
        <v>9.0997345132743348</v>
      </c>
    </row>
    <row r="2634" spans="1:16" x14ac:dyDescent="0.3">
      <c r="A2634" t="s">
        <v>5513</v>
      </c>
      <c r="B2634" s="24">
        <v>101184</v>
      </c>
      <c r="C2634" s="24" t="s">
        <v>1401</v>
      </c>
      <c r="D2634" s="24" t="s">
        <v>1102</v>
      </c>
      <c r="E2634" s="24" t="s">
        <v>51</v>
      </c>
      <c r="F2634" s="24" t="s">
        <v>1142</v>
      </c>
      <c r="G2634" s="24" t="s">
        <v>1402</v>
      </c>
      <c r="H2634" s="24" t="s">
        <v>161</v>
      </c>
      <c r="I2634" s="24" t="s">
        <v>2005</v>
      </c>
      <c r="J2634" s="24" t="s">
        <v>761</v>
      </c>
      <c r="K2634" s="24" t="s">
        <v>1146</v>
      </c>
      <c r="L2634" s="25">
        <v>1070</v>
      </c>
      <c r="M2634" s="26">
        <v>9.61</v>
      </c>
      <c r="N2634" s="27">
        <v>9.61</v>
      </c>
      <c r="O2634" s="28">
        <v>8.7363636363636359E-3</v>
      </c>
      <c r="P2634" s="28">
        <v>9.0997345132743348</v>
      </c>
    </row>
    <row r="2635" spans="1:16" x14ac:dyDescent="0.3">
      <c r="A2635" t="s">
        <v>5514</v>
      </c>
      <c r="B2635" s="24">
        <v>101186</v>
      </c>
      <c r="C2635" s="24" t="s">
        <v>1273</v>
      </c>
      <c r="D2635" s="24" t="s">
        <v>1102</v>
      </c>
      <c r="E2635" s="24" t="s">
        <v>51</v>
      </c>
      <c r="F2635" s="24" t="s">
        <v>1142</v>
      </c>
      <c r="G2635" s="24" t="s">
        <v>1203</v>
      </c>
      <c r="H2635" s="24" t="s">
        <v>161</v>
      </c>
      <c r="I2635" s="24" t="s">
        <v>2005</v>
      </c>
      <c r="J2635" s="24" t="s">
        <v>761</v>
      </c>
      <c r="K2635" s="24" t="s">
        <v>1146</v>
      </c>
      <c r="L2635" s="25">
        <v>1070</v>
      </c>
      <c r="M2635" s="26">
        <v>9.61</v>
      </c>
      <c r="N2635" s="27">
        <v>9.61</v>
      </c>
      <c r="O2635" s="28">
        <v>8.7363636363636359E-3</v>
      </c>
      <c r="P2635" s="28">
        <v>9.0997345132743348</v>
      </c>
    </row>
    <row r="2636" spans="1:16" x14ac:dyDescent="0.3">
      <c r="A2636" t="s">
        <v>5515</v>
      </c>
      <c r="B2636" s="24">
        <v>101184</v>
      </c>
      <c r="C2636" s="24" t="s">
        <v>1401</v>
      </c>
      <c r="D2636" s="24" t="s">
        <v>1102</v>
      </c>
      <c r="E2636" s="24" t="s">
        <v>51</v>
      </c>
      <c r="F2636" s="24" t="s">
        <v>1142</v>
      </c>
      <c r="G2636" s="24" t="s">
        <v>1402</v>
      </c>
      <c r="H2636" s="24" t="s">
        <v>236</v>
      </c>
      <c r="I2636" s="24" t="s">
        <v>2006</v>
      </c>
      <c r="J2636" s="24" t="s">
        <v>761</v>
      </c>
      <c r="K2636" s="24" t="s">
        <v>1146</v>
      </c>
      <c r="L2636" s="25">
        <v>1070</v>
      </c>
      <c r="M2636" s="26">
        <v>7.89</v>
      </c>
      <c r="N2636" s="27">
        <v>7.89</v>
      </c>
      <c r="O2636" s="28">
        <v>7.1727272727272725E-3</v>
      </c>
      <c r="P2636" s="28">
        <v>7.4710619469026538</v>
      </c>
    </row>
    <row r="2637" spans="1:16" x14ac:dyDescent="0.3">
      <c r="A2637" t="s">
        <v>5516</v>
      </c>
      <c r="B2637" s="24">
        <v>101186</v>
      </c>
      <c r="C2637" s="24" t="s">
        <v>1273</v>
      </c>
      <c r="D2637" s="24" t="s">
        <v>1102</v>
      </c>
      <c r="E2637" s="24" t="s">
        <v>51</v>
      </c>
      <c r="F2637" s="24" t="s">
        <v>1142</v>
      </c>
      <c r="G2637" s="24" t="s">
        <v>1203</v>
      </c>
      <c r="H2637" s="24" t="s">
        <v>1067</v>
      </c>
      <c r="I2637" s="24" t="s">
        <v>2006</v>
      </c>
      <c r="J2637" s="24" t="s">
        <v>761</v>
      </c>
      <c r="K2637" s="24" t="s">
        <v>1146</v>
      </c>
      <c r="L2637" s="25">
        <v>1070</v>
      </c>
      <c r="M2637" s="26">
        <v>7.93</v>
      </c>
      <c r="N2637" s="27">
        <v>7.93</v>
      </c>
      <c r="O2637" s="28">
        <v>7.2090909090909089E-3</v>
      </c>
      <c r="P2637" s="28">
        <v>7.5089380530973457</v>
      </c>
    </row>
    <row r="2638" spans="1:16" x14ac:dyDescent="0.3">
      <c r="A2638" t="s">
        <v>5517</v>
      </c>
      <c r="B2638" s="24">
        <v>142051</v>
      </c>
      <c r="C2638" s="24" t="s">
        <v>1491</v>
      </c>
      <c r="D2638" s="24" t="s">
        <v>1102</v>
      </c>
      <c r="E2638" s="24" t="s">
        <v>51</v>
      </c>
      <c r="F2638" s="24" t="s">
        <v>1237</v>
      </c>
      <c r="G2638" s="24" t="s">
        <v>1238</v>
      </c>
      <c r="H2638" s="24" t="s">
        <v>2007</v>
      </c>
      <c r="I2638" s="24" t="s">
        <v>2008</v>
      </c>
      <c r="J2638" s="24" t="s">
        <v>761</v>
      </c>
      <c r="K2638" s="24" t="s">
        <v>1146</v>
      </c>
      <c r="L2638" s="25">
        <v>1070</v>
      </c>
      <c r="M2638" s="26">
        <v>1</v>
      </c>
      <c r="N2638" s="27">
        <v>1</v>
      </c>
      <c r="O2638" s="28">
        <v>9.0909090909090909E-4</v>
      </c>
      <c r="P2638" s="28">
        <v>0.94690265486725667</v>
      </c>
    </row>
    <row r="2639" spans="1:16" x14ac:dyDescent="0.3">
      <c r="A2639" t="s">
        <v>5518</v>
      </c>
      <c r="B2639" s="24">
        <v>142051</v>
      </c>
      <c r="C2639" s="24" t="s">
        <v>1491</v>
      </c>
      <c r="D2639" s="24" t="s">
        <v>1102</v>
      </c>
      <c r="E2639" s="24" t="s">
        <v>51</v>
      </c>
      <c r="F2639" s="24" t="s">
        <v>1237</v>
      </c>
      <c r="G2639" s="24" t="s">
        <v>1238</v>
      </c>
      <c r="H2639" s="24" t="s">
        <v>240</v>
      </c>
      <c r="I2639" s="24" t="s">
        <v>2009</v>
      </c>
      <c r="J2639" s="24" t="s">
        <v>761</v>
      </c>
      <c r="K2639" s="24" t="s">
        <v>1146</v>
      </c>
      <c r="L2639" s="25">
        <v>1070</v>
      </c>
      <c r="M2639" s="26">
        <v>8</v>
      </c>
      <c r="N2639" s="27">
        <v>8</v>
      </c>
      <c r="O2639" s="28">
        <v>7.2727272727272727E-3</v>
      </c>
      <c r="P2639" s="28">
        <v>7.5752212389380533</v>
      </c>
    </row>
    <row r="2640" spans="1:16" x14ac:dyDescent="0.3">
      <c r="A2640" t="s">
        <v>5519</v>
      </c>
      <c r="B2640" s="24">
        <v>142051</v>
      </c>
      <c r="C2640" s="24" t="s">
        <v>1491</v>
      </c>
      <c r="D2640" s="24" t="s">
        <v>1102</v>
      </c>
      <c r="E2640" s="24" t="s">
        <v>51</v>
      </c>
      <c r="F2640" s="24" t="s">
        <v>1237</v>
      </c>
      <c r="G2640" s="24" t="s">
        <v>1238</v>
      </c>
      <c r="H2640" s="24" t="s">
        <v>54</v>
      </c>
      <c r="I2640" s="24" t="s">
        <v>2010</v>
      </c>
      <c r="J2640" s="24" t="s">
        <v>761</v>
      </c>
      <c r="K2640" s="24" t="s">
        <v>1146</v>
      </c>
      <c r="L2640" s="25">
        <v>1070</v>
      </c>
      <c r="M2640" s="26">
        <v>10.9</v>
      </c>
      <c r="N2640" s="27">
        <v>10.9</v>
      </c>
      <c r="O2640" s="28">
        <v>9.9090909090909091E-3</v>
      </c>
      <c r="P2640" s="28">
        <v>10.321238938053098</v>
      </c>
    </row>
    <row r="2641" spans="1:16" x14ac:dyDescent="0.3">
      <c r="A2641" t="s">
        <v>5520</v>
      </c>
      <c r="B2641" s="24">
        <v>142051</v>
      </c>
      <c r="C2641" s="24" t="s">
        <v>1491</v>
      </c>
      <c r="D2641" s="24" t="s">
        <v>1102</v>
      </c>
      <c r="E2641" s="24" t="s">
        <v>51</v>
      </c>
      <c r="F2641" s="24" t="s">
        <v>1237</v>
      </c>
      <c r="G2641" s="24" t="s">
        <v>1238</v>
      </c>
      <c r="H2641" s="24" t="s">
        <v>55</v>
      </c>
      <c r="I2641" s="24" t="s">
        <v>2011</v>
      </c>
      <c r="J2641" s="24" t="s">
        <v>761</v>
      </c>
      <c r="K2641" s="24" t="s">
        <v>1146</v>
      </c>
      <c r="L2641" s="25">
        <v>1070</v>
      </c>
      <c r="M2641" s="26">
        <v>10.9</v>
      </c>
      <c r="N2641" s="27">
        <v>10.9</v>
      </c>
      <c r="O2641" s="28">
        <v>9.9090909090909091E-3</v>
      </c>
      <c r="P2641" s="28">
        <v>10.321238938053098</v>
      </c>
    </row>
    <row r="2642" spans="1:16" x14ac:dyDescent="0.3">
      <c r="A2642" t="s">
        <v>5521</v>
      </c>
      <c r="B2642" s="24">
        <v>142648</v>
      </c>
      <c r="C2642" s="24" t="s">
        <v>2012</v>
      </c>
      <c r="D2642" s="24" t="s">
        <v>1102</v>
      </c>
      <c r="E2642" s="24" t="s">
        <v>51</v>
      </c>
      <c r="F2642" s="24" t="s">
        <v>1237</v>
      </c>
      <c r="G2642" s="24" t="s">
        <v>1238</v>
      </c>
      <c r="H2642" s="24" t="s">
        <v>56</v>
      </c>
      <c r="I2642" s="24" t="s">
        <v>2013</v>
      </c>
      <c r="J2642" s="24" t="s">
        <v>761</v>
      </c>
      <c r="K2642" s="24" t="s">
        <v>1146</v>
      </c>
      <c r="L2642" s="25">
        <v>1070</v>
      </c>
      <c r="M2642" s="26">
        <v>9.6</v>
      </c>
      <c r="N2642" s="27">
        <v>9.6</v>
      </c>
      <c r="O2642" s="28">
        <v>8.7272727272727276E-3</v>
      </c>
      <c r="P2642" s="28">
        <v>9.0902654867256629</v>
      </c>
    </row>
    <row r="2643" spans="1:16" x14ac:dyDescent="0.3">
      <c r="A2643" t="s">
        <v>5522</v>
      </c>
      <c r="B2643" s="24">
        <v>142650</v>
      </c>
      <c r="C2643" s="24" t="s">
        <v>2014</v>
      </c>
      <c r="D2643" s="24" t="s">
        <v>1102</v>
      </c>
      <c r="E2643" s="24" t="s">
        <v>51</v>
      </c>
      <c r="F2643" s="24" t="s">
        <v>1237</v>
      </c>
      <c r="G2643" s="24" t="s">
        <v>1238</v>
      </c>
      <c r="H2643" s="24" t="s">
        <v>71</v>
      </c>
      <c r="I2643" s="24" t="s">
        <v>2015</v>
      </c>
      <c r="J2643" s="24" t="s">
        <v>761</v>
      </c>
      <c r="K2643" s="24" t="s">
        <v>1146</v>
      </c>
      <c r="L2643" s="25">
        <v>1070</v>
      </c>
      <c r="M2643" s="26">
        <v>8.65</v>
      </c>
      <c r="N2643" s="27">
        <v>8.65</v>
      </c>
      <c r="O2643" s="28">
        <v>7.8636363636363643E-3</v>
      </c>
      <c r="P2643" s="28">
        <v>8.1907079646017706</v>
      </c>
    </row>
    <row r="2644" spans="1:16" x14ac:dyDescent="0.3">
      <c r="A2644" t="s">
        <v>5523</v>
      </c>
      <c r="B2644" s="24">
        <v>142051</v>
      </c>
      <c r="C2644" s="24" t="s">
        <v>1491</v>
      </c>
      <c r="D2644" s="24" t="s">
        <v>1102</v>
      </c>
      <c r="E2644" s="24" t="s">
        <v>51</v>
      </c>
      <c r="F2644" s="24" t="s">
        <v>1237</v>
      </c>
      <c r="G2644" s="24" t="s">
        <v>1238</v>
      </c>
      <c r="H2644" s="24" t="s">
        <v>2016</v>
      </c>
      <c r="I2644" s="24" t="s">
        <v>2017</v>
      </c>
      <c r="J2644" s="24" t="s">
        <v>761</v>
      </c>
      <c r="K2644" s="24" t="s">
        <v>1146</v>
      </c>
      <c r="L2644" s="25">
        <v>1070</v>
      </c>
      <c r="M2644" s="26">
        <v>9.8000000000000007</v>
      </c>
      <c r="N2644" s="27">
        <v>9.8000000000000007</v>
      </c>
      <c r="O2644" s="28">
        <v>8.9090909090909099E-3</v>
      </c>
      <c r="P2644" s="28">
        <v>9.2796460176991147</v>
      </c>
    </row>
    <row r="2645" spans="1:16" x14ac:dyDescent="0.3">
      <c r="A2645" t="s">
        <v>5524</v>
      </c>
      <c r="B2645" s="24">
        <v>142051</v>
      </c>
      <c r="C2645" s="24" t="s">
        <v>1491</v>
      </c>
      <c r="D2645" s="24" t="s">
        <v>1102</v>
      </c>
      <c r="E2645" s="24" t="s">
        <v>51</v>
      </c>
      <c r="F2645" s="24" t="s">
        <v>1237</v>
      </c>
      <c r="G2645" s="24" t="s">
        <v>1238</v>
      </c>
      <c r="H2645" s="24" t="s">
        <v>53</v>
      </c>
      <c r="I2645" s="24" t="s">
        <v>2018</v>
      </c>
      <c r="J2645" s="24" t="s">
        <v>761</v>
      </c>
      <c r="K2645" s="24" t="s">
        <v>1146</v>
      </c>
      <c r="L2645" s="25">
        <v>1070</v>
      </c>
      <c r="M2645" s="26">
        <v>11.8</v>
      </c>
      <c r="N2645" s="27">
        <v>11.8</v>
      </c>
      <c r="O2645" s="28">
        <v>1.0727272727272728E-2</v>
      </c>
      <c r="P2645" s="28">
        <v>11.173451327433629</v>
      </c>
    </row>
    <row r="2646" spans="1:16" x14ac:dyDescent="0.3">
      <c r="A2646" t="s">
        <v>5525</v>
      </c>
      <c r="B2646" s="24">
        <v>142648</v>
      </c>
      <c r="C2646" s="24" t="s">
        <v>2012</v>
      </c>
      <c r="D2646" s="24" t="s">
        <v>1102</v>
      </c>
      <c r="E2646" s="24" t="s">
        <v>51</v>
      </c>
      <c r="F2646" s="24" t="s">
        <v>1237</v>
      </c>
      <c r="G2646" s="24" t="s">
        <v>1238</v>
      </c>
      <c r="H2646" s="24" t="s">
        <v>239</v>
      </c>
      <c r="I2646" s="24" t="s">
        <v>2019</v>
      </c>
      <c r="J2646" s="24" t="s">
        <v>761</v>
      </c>
      <c r="K2646" s="24" t="s">
        <v>1146</v>
      </c>
      <c r="L2646" s="25">
        <v>1070</v>
      </c>
      <c r="M2646" s="26">
        <v>14.22</v>
      </c>
      <c r="N2646" s="27">
        <v>14.22</v>
      </c>
      <c r="O2646" s="28">
        <v>1.2927272727272728E-2</v>
      </c>
      <c r="P2646" s="28">
        <v>13.46495575221239</v>
      </c>
    </row>
    <row r="2647" spans="1:16" x14ac:dyDescent="0.3">
      <c r="A2647" t="s">
        <v>5526</v>
      </c>
      <c r="B2647" s="24">
        <v>142650</v>
      </c>
      <c r="C2647" s="24" t="s">
        <v>2014</v>
      </c>
      <c r="D2647" s="24" t="s">
        <v>1102</v>
      </c>
      <c r="E2647" s="24" t="s">
        <v>51</v>
      </c>
      <c r="F2647" s="24" t="s">
        <v>1237</v>
      </c>
      <c r="G2647" s="24" t="s">
        <v>1238</v>
      </c>
      <c r="H2647" s="24" t="s">
        <v>72</v>
      </c>
      <c r="I2647" s="24" t="s">
        <v>2020</v>
      </c>
      <c r="J2647" s="24" t="s">
        <v>761</v>
      </c>
      <c r="K2647" s="24" t="s">
        <v>1146</v>
      </c>
      <c r="L2647" s="25">
        <v>1070</v>
      </c>
      <c r="M2647" s="26">
        <v>8.9499999999999993</v>
      </c>
      <c r="N2647" s="27">
        <v>8.9499999999999993</v>
      </c>
      <c r="O2647" s="28">
        <v>8.136363636363636E-3</v>
      </c>
      <c r="P2647" s="28">
        <v>8.4747787610619465</v>
      </c>
    </row>
    <row r="2648" spans="1:16" x14ac:dyDescent="0.3">
      <c r="A2648" t="s">
        <v>5527</v>
      </c>
      <c r="B2648" s="24">
        <v>142051</v>
      </c>
      <c r="C2648" s="24" t="s">
        <v>1491</v>
      </c>
      <c r="D2648" s="24" t="s">
        <v>1102</v>
      </c>
      <c r="E2648" s="24" t="s">
        <v>51</v>
      </c>
      <c r="F2648" s="24" t="s">
        <v>1237</v>
      </c>
      <c r="G2648" s="24" t="s">
        <v>1238</v>
      </c>
      <c r="H2648" s="24" t="s">
        <v>75</v>
      </c>
      <c r="I2648" s="24" t="s">
        <v>2021</v>
      </c>
      <c r="J2648" s="24" t="s">
        <v>761</v>
      </c>
      <c r="K2648" s="24" t="s">
        <v>1146</v>
      </c>
      <c r="L2648" s="25">
        <v>1070</v>
      </c>
      <c r="M2648" s="26">
        <v>16.7</v>
      </c>
      <c r="N2648" s="27">
        <v>16.7</v>
      </c>
      <c r="O2648" s="28">
        <v>1.5181818181818182E-2</v>
      </c>
      <c r="P2648" s="28">
        <v>15.813274336283186</v>
      </c>
    </row>
    <row r="2649" spans="1:16" x14ac:dyDescent="0.3">
      <c r="A2649" t="s">
        <v>5528</v>
      </c>
      <c r="B2649" s="24">
        <v>142548</v>
      </c>
      <c r="C2649" s="24" t="s">
        <v>1809</v>
      </c>
      <c r="D2649" s="24" t="s">
        <v>1102</v>
      </c>
      <c r="E2649" s="24" t="s">
        <v>51</v>
      </c>
      <c r="F2649" s="24" t="s">
        <v>1237</v>
      </c>
      <c r="G2649" s="24" t="s">
        <v>1238</v>
      </c>
      <c r="H2649" s="24" t="s">
        <v>57</v>
      </c>
      <c r="I2649" s="24" t="s">
        <v>2022</v>
      </c>
      <c r="J2649" s="24" t="s">
        <v>761</v>
      </c>
      <c r="K2649" s="24" t="s">
        <v>1146</v>
      </c>
      <c r="L2649" s="25">
        <v>1070</v>
      </c>
      <c r="M2649" s="26">
        <v>12.75</v>
      </c>
      <c r="N2649" s="27">
        <v>12.75</v>
      </c>
      <c r="O2649" s="28">
        <v>1.1590909090909091E-2</v>
      </c>
      <c r="P2649" s="28">
        <v>12.073008849557523</v>
      </c>
    </row>
    <row r="2650" spans="1:16" x14ac:dyDescent="0.3">
      <c r="A2650" t="s">
        <v>5529</v>
      </c>
      <c r="B2650" s="24">
        <v>142650</v>
      </c>
      <c r="C2650" s="24" t="s">
        <v>2014</v>
      </c>
      <c r="D2650" s="24" t="s">
        <v>1102</v>
      </c>
      <c r="E2650" s="24" t="s">
        <v>51</v>
      </c>
      <c r="F2650" s="24" t="s">
        <v>1237</v>
      </c>
      <c r="G2650" s="24" t="s">
        <v>1238</v>
      </c>
      <c r="H2650" s="24" t="s">
        <v>57</v>
      </c>
      <c r="I2650" s="24" t="s">
        <v>2022</v>
      </c>
      <c r="J2650" s="24" t="s">
        <v>761</v>
      </c>
      <c r="K2650" s="24" t="s">
        <v>1146</v>
      </c>
      <c r="L2650" s="25">
        <v>1070</v>
      </c>
      <c r="M2650" s="26">
        <v>12.75</v>
      </c>
      <c r="N2650" s="27">
        <v>12.75</v>
      </c>
      <c r="O2650" s="28">
        <v>1.1590909090909091E-2</v>
      </c>
      <c r="P2650" s="28">
        <v>12.073008849557523</v>
      </c>
    </row>
    <row r="2651" spans="1:16" x14ac:dyDescent="0.3">
      <c r="A2651" t="s">
        <v>5530</v>
      </c>
      <c r="B2651" s="24">
        <v>142648</v>
      </c>
      <c r="C2651" s="24" t="s">
        <v>2012</v>
      </c>
      <c r="D2651" s="24" t="s">
        <v>1102</v>
      </c>
      <c r="E2651" s="24" t="s">
        <v>51</v>
      </c>
      <c r="F2651" s="24" t="s">
        <v>1237</v>
      </c>
      <c r="G2651" s="24" t="s">
        <v>1238</v>
      </c>
      <c r="H2651" s="24" t="s">
        <v>238</v>
      </c>
      <c r="I2651" s="24" t="s">
        <v>2023</v>
      </c>
      <c r="J2651" s="24" t="s">
        <v>761</v>
      </c>
      <c r="K2651" s="24" t="s">
        <v>1146</v>
      </c>
      <c r="L2651" s="25">
        <v>1070</v>
      </c>
      <c r="M2651" s="26">
        <v>11.9</v>
      </c>
      <c r="N2651" s="27">
        <v>11.9</v>
      </c>
      <c r="O2651" s="28">
        <v>1.0818181818181819E-2</v>
      </c>
      <c r="P2651" s="28">
        <v>11.268141592920355</v>
      </c>
    </row>
    <row r="2652" spans="1:16" x14ac:dyDescent="0.3">
      <c r="A2652" t="s">
        <v>5531</v>
      </c>
      <c r="B2652" s="24">
        <v>142051</v>
      </c>
      <c r="C2652" s="24" t="s">
        <v>1491</v>
      </c>
      <c r="D2652" s="24" t="s">
        <v>1102</v>
      </c>
      <c r="E2652" s="24" t="s">
        <v>51</v>
      </c>
      <c r="F2652" s="24" t="s">
        <v>1237</v>
      </c>
      <c r="G2652" s="24" t="s">
        <v>1238</v>
      </c>
      <c r="H2652" s="24" t="s">
        <v>2024</v>
      </c>
      <c r="I2652" s="24" t="s">
        <v>2025</v>
      </c>
      <c r="J2652" s="24" t="s">
        <v>761</v>
      </c>
      <c r="K2652" s="24" t="s">
        <v>1146</v>
      </c>
      <c r="L2652" s="25">
        <v>1070</v>
      </c>
      <c r="M2652" s="26">
        <v>1</v>
      </c>
      <c r="N2652" s="27">
        <v>1</v>
      </c>
      <c r="O2652" s="28">
        <v>9.0909090909090909E-4</v>
      </c>
      <c r="P2652" s="28">
        <v>0.94690265486725667</v>
      </c>
    </row>
    <row r="2653" spans="1:16" x14ac:dyDescent="0.3">
      <c r="A2653" t="s">
        <v>5532</v>
      </c>
      <c r="B2653" s="24">
        <v>101564</v>
      </c>
      <c r="C2653" s="24" t="s">
        <v>1807</v>
      </c>
      <c r="D2653" s="24" t="s">
        <v>1102</v>
      </c>
      <c r="E2653" s="24" t="s">
        <v>51</v>
      </c>
      <c r="F2653" s="24" t="s">
        <v>1237</v>
      </c>
      <c r="G2653" s="24" t="s">
        <v>1238</v>
      </c>
      <c r="H2653" s="24" t="s">
        <v>58</v>
      </c>
      <c r="I2653" s="24" t="s">
        <v>2026</v>
      </c>
      <c r="J2653" s="24" t="s">
        <v>761</v>
      </c>
      <c r="K2653" s="24" t="s">
        <v>1146</v>
      </c>
      <c r="L2653" s="25">
        <v>1070</v>
      </c>
      <c r="M2653" s="26">
        <v>14</v>
      </c>
      <c r="N2653" s="27">
        <v>14</v>
      </c>
      <c r="O2653" s="28">
        <v>1.2727272727272728E-2</v>
      </c>
      <c r="P2653" s="28">
        <v>13.256637168141593</v>
      </c>
    </row>
    <row r="2654" spans="1:16" x14ac:dyDescent="0.3">
      <c r="A2654" t="s">
        <v>5533</v>
      </c>
      <c r="B2654" s="24">
        <v>142548</v>
      </c>
      <c r="C2654" s="24" t="s">
        <v>1809</v>
      </c>
      <c r="D2654" s="24" t="s">
        <v>1102</v>
      </c>
      <c r="E2654" s="24" t="s">
        <v>51</v>
      </c>
      <c r="F2654" s="24" t="s">
        <v>1237</v>
      </c>
      <c r="G2654" s="24" t="s">
        <v>1238</v>
      </c>
      <c r="H2654" s="24" t="s">
        <v>58</v>
      </c>
      <c r="I2654" s="24" t="s">
        <v>2026</v>
      </c>
      <c r="J2654" s="24" t="s">
        <v>761</v>
      </c>
      <c r="K2654" s="24" t="s">
        <v>1146</v>
      </c>
      <c r="L2654" s="25">
        <v>1070</v>
      </c>
      <c r="M2654" s="26">
        <v>14.353999999999999</v>
      </c>
      <c r="N2654" s="27">
        <v>14.353999999999999</v>
      </c>
      <c r="O2654" s="28">
        <v>1.3049090909090908E-2</v>
      </c>
      <c r="P2654" s="28">
        <v>13.5918407079646</v>
      </c>
    </row>
    <row r="2655" spans="1:16" x14ac:dyDescent="0.3">
      <c r="A2655" t="s">
        <v>5534</v>
      </c>
      <c r="B2655" s="24">
        <v>142650</v>
      </c>
      <c r="C2655" s="24" t="s">
        <v>2014</v>
      </c>
      <c r="D2655" s="24" t="s">
        <v>1102</v>
      </c>
      <c r="E2655" s="24" t="s">
        <v>51</v>
      </c>
      <c r="F2655" s="24" t="s">
        <v>1237</v>
      </c>
      <c r="G2655" s="24" t="s">
        <v>1238</v>
      </c>
      <c r="H2655" s="24" t="s">
        <v>58</v>
      </c>
      <c r="I2655" s="24" t="s">
        <v>2026</v>
      </c>
      <c r="J2655" s="24" t="s">
        <v>761</v>
      </c>
      <c r="K2655" s="24" t="s">
        <v>1146</v>
      </c>
      <c r="L2655" s="25">
        <v>1070</v>
      </c>
      <c r="M2655" s="26">
        <v>14.362</v>
      </c>
      <c r="N2655" s="27">
        <v>14.362</v>
      </c>
      <c r="O2655" s="28">
        <v>1.3056363636363637E-2</v>
      </c>
      <c r="P2655" s="28">
        <v>13.599415929203539</v>
      </c>
    </row>
    <row r="2656" spans="1:16" x14ac:dyDescent="0.3">
      <c r="A2656" t="s">
        <v>5535</v>
      </c>
      <c r="B2656" s="24">
        <v>142051</v>
      </c>
      <c r="C2656" s="24" t="s">
        <v>1491</v>
      </c>
      <c r="D2656" s="24" t="s">
        <v>1102</v>
      </c>
      <c r="E2656" s="24" t="s">
        <v>51</v>
      </c>
      <c r="F2656" s="24" t="s">
        <v>1237</v>
      </c>
      <c r="G2656" s="24" t="s">
        <v>1238</v>
      </c>
      <c r="H2656" s="24" t="s">
        <v>60</v>
      </c>
      <c r="I2656" s="24" t="s">
        <v>2027</v>
      </c>
      <c r="J2656" s="24" t="s">
        <v>761</v>
      </c>
      <c r="K2656" s="24" t="s">
        <v>1146</v>
      </c>
      <c r="L2656" s="25">
        <v>1070</v>
      </c>
      <c r="M2656" s="26">
        <v>16</v>
      </c>
      <c r="N2656" s="27">
        <v>16</v>
      </c>
      <c r="O2656" s="28">
        <v>1.4545454545454545E-2</v>
      </c>
      <c r="P2656" s="28">
        <v>15.150442477876107</v>
      </c>
    </row>
    <row r="2657" spans="1:16" x14ac:dyDescent="0.3">
      <c r="A2657" t="s">
        <v>5536</v>
      </c>
      <c r="B2657" s="24">
        <v>142650</v>
      </c>
      <c r="C2657" s="24" t="s">
        <v>2014</v>
      </c>
      <c r="D2657" s="24" t="s">
        <v>1102</v>
      </c>
      <c r="E2657" s="24" t="s">
        <v>51</v>
      </c>
      <c r="F2657" s="24" t="s">
        <v>1237</v>
      </c>
      <c r="G2657" s="24" t="s">
        <v>1238</v>
      </c>
      <c r="H2657" s="24" t="s">
        <v>73</v>
      </c>
      <c r="I2657" s="24" t="s">
        <v>2028</v>
      </c>
      <c r="J2657" s="24" t="s">
        <v>761</v>
      </c>
      <c r="K2657" s="24" t="s">
        <v>1146</v>
      </c>
      <c r="L2657" s="25">
        <v>1070</v>
      </c>
      <c r="M2657" s="26">
        <v>12.8</v>
      </c>
      <c r="N2657" s="27">
        <v>12.8</v>
      </c>
      <c r="O2657" s="28">
        <v>1.1636363636363637E-2</v>
      </c>
      <c r="P2657" s="28">
        <v>12.120353982300886</v>
      </c>
    </row>
    <row r="2658" spans="1:16" x14ac:dyDescent="0.3">
      <c r="A2658" t="s">
        <v>5537</v>
      </c>
      <c r="B2658" s="24">
        <v>142051</v>
      </c>
      <c r="C2658" s="24" t="s">
        <v>1491</v>
      </c>
      <c r="D2658" s="24" t="s">
        <v>1102</v>
      </c>
      <c r="E2658" s="24" t="s">
        <v>51</v>
      </c>
      <c r="F2658" s="24" t="s">
        <v>1237</v>
      </c>
      <c r="G2658" s="24" t="s">
        <v>1238</v>
      </c>
      <c r="H2658" s="24" t="s">
        <v>59</v>
      </c>
      <c r="I2658" s="24" t="s">
        <v>2029</v>
      </c>
      <c r="J2658" s="24" t="s">
        <v>761</v>
      </c>
      <c r="K2658" s="24" t="s">
        <v>1146</v>
      </c>
      <c r="L2658" s="25">
        <v>1070</v>
      </c>
      <c r="M2658" s="26">
        <v>20.95</v>
      </c>
      <c r="N2658" s="27">
        <v>20.95</v>
      </c>
      <c r="O2658" s="28">
        <v>1.9045454545454546E-2</v>
      </c>
      <c r="P2658" s="28">
        <v>19.837610619469025</v>
      </c>
    </row>
    <row r="2659" spans="1:16" x14ac:dyDescent="0.3">
      <c r="A2659" t="s">
        <v>5538</v>
      </c>
      <c r="B2659" s="24">
        <v>142051</v>
      </c>
      <c r="C2659" s="24" t="s">
        <v>1491</v>
      </c>
      <c r="D2659" s="24" t="s">
        <v>1102</v>
      </c>
      <c r="E2659" s="24" t="s">
        <v>51</v>
      </c>
      <c r="F2659" s="24" t="s">
        <v>1237</v>
      </c>
      <c r="G2659" s="24" t="s">
        <v>1238</v>
      </c>
      <c r="H2659" s="24" t="s">
        <v>61</v>
      </c>
      <c r="I2659" s="24" t="s">
        <v>2030</v>
      </c>
      <c r="J2659" s="24" t="s">
        <v>761</v>
      </c>
      <c r="K2659" s="24" t="s">
        <v>1146</v>
      </c>
      <c r="L2659" s="25">
        <v>1070</v>
      </c>
      <c r="M2659" s="26">
        <v>20.95</v>
      </c>
      <c r="N2659" s="27">
        <v>20.95</v>
      </c>
      <c r="O2659" s="28">
        <v>1.9045454545454546E-2</v>
      </c>
      <c r="P2659" s="28">
        <v>19.837610619469025</v>
      </c>
    </row>
    <row r="2660" spans="1:16" x14ac:dyDescent="0.3">
      <c r="A2660" t="s">
        <v>5539</v>
      </c>
      <c r="B2660" s="24">
        <v>142051</v>
      </c>
      <c r="C2660" s="24" t="s">
        <v>1491</v>
      </c>
      <c r="D2660" s="24" t="s">
        <v>1102</v>
      </c>
      <c r="E2660" s="24" t="s">
        <v>51</v>
      </c>
      <c r="F2660" s="24" t="s">
        <v>1237</v>
      </c>
      <c r="G2660" s="24" t="s">
        <v>1238</v>
      </c>
      <c r="H2660" s="24" t="s">
        <v>2031</v>
      </c>
      <c r="I2660" s="24" t="s">
        <v>2032</v>
      </c>
      <c r="J2660" s="24" t="s">
        <v>761</v>
      </c>
      <c r="K2660" s="24" t="s">
        <v>1146</v>
      </c>
      <c r="L2660" s="25">
        <v>1070</v>
      </c>
      <c r="M2660" s="26">
        <v>17.899999999999999</v>
      </c>
      <c r="N2660" s="27">
        <v>17.899999999999999</v>
      </c>
      <c r="O2660" s="28">
        <v>1.6272727272727272E-2</v>
      </c>
      <c r="P2660" s="28">
        <v>16.949557522123893</v>
      </c>
    </row>
    <row r="2661" spans="1:16" x14ac:dyDescent="0.3">
      <c r="A2661" t="s">
        <v>5540</v>
      </c>
      <c r="B2661" s="24">
        <v>142051</v>
      </c>
      <c r="C2661" s="24" t="s">
        <v>1491</v>
      </c>
      <c r="D2661" s="24" t="s">
        <v>1102</v>
      </c>
      <c r="E2661" s="24" t="s">
        <v>51</v>
      </c>
      <c r="F2661" s="24" t="s">
        <v>1237</v>
      </c>
      <c r="G2661" s="24" t="s">
        <v>1238</v>
      </c>
      <c r="H2661" s="24" t="s">
        <v>241</v>
      </c>
      <c r="I2661" s="24" t="s">
        <v>2033</v>
      </c>
      <c r="J2661" s="24" t="s">
        <v>761</v>
      </c>
      <c r="K2661" s="24" t="s">
        <v>1146</v>
      </c>
      <c r="L2661" s="25">
        <v>1070</v>
      </c>
      <c r="M2661" s="26">
        <v>16.899999999999999</v>
      </c>
      <c r="N2661" s="27">
        <v>16.899999999999999</v>
      </c>
      <c r="O2661" s="28">
        <v>1.5363636363636362E-2</v>
      </c>
      <c r="P2661" s="28">
        <v>16.002654867256638</v>
      </c>
    </row>
    <row r="2662" spans="1:16" x14ac:dyDescent="0.3">
      <c r="A2662" t="s">
        <v>5541</v>
      </c>
      <c r="B2662" s="24">
        <v>142051</v>
      </c>
      <c r="C2662" s="24" t="s">
        <v>1491</v>
      </c>
      <c r="D2662" s="24" t="s">
        <v>1102</v>
      </c>
      <c r="E2662" s="24" t="s">
        <v>51</v>
      </c>
      <c r="F2662" s="24" t="s">
        <v>1237</v>
      </c>
      <c r="G2662" s="24" t="s">
        <v>1238</v>
      </c>
      <c r="H2662" s="24" t="s">
        <v>62</v>
      </c>
      <c r="I2662" s="24" t="s">
        <v>2034</v>
      </c>
      <c r="J2662" s="24" t="s">
        <v>761</v>
      </c>
      <c r="K2662" s="24" t="s">
        <v>1146</v>
      </c>
      <c r="L2662" s="25">
        <v>1070</v>
      </c>
      <c r="M2662" s="26">
        <v>15.9</v>
      </c>
      <c r="N2662" s="27">
        <v>15.9</v>
      </c>
      <c r="O2662" s="28">
        <v>1.4454545454545454E-2</v>
      </c>
      <c r="P2662" s="28">
        <v>15.055752212389381</v>
      </c>
    </row>
    <row r="2663" spans="1:16" x14ac:dyDescent="0.3">
      <c r="A2663" t="s">
        <v>5542</v>
      </c>
      <c r="B2663" s="24">
        <v>142648</v>
      </c>
      <c r="C2663" s="24" t="s">
        <v>2012</v>
      </c>
      <c r="D2663" s="24" t="s">
        <v>1102</v>
      </c>
      <c r="E2663" s="24" t="s">
        <v>51</v>
      </c>
      <c r="F2663" s="24" t="s">
        <v>1386</v>
      </c>
      <c r="G2663" s="24" t="s">
        <v>2035</v>
      </c>
      <c r="H2663" s="24" t="s">
        <v>163</v>
      </c>
      <c r="I2663" s="24" t="s">
        <v>2036</v>
      </c>
      <c r="J2663" s="24" t="s">
        <v>761</v>
      </c>
      <c r="K2663" s="24" t="s">
        <v>1146</v>
      </c>
      <c r="L2663" s="25">
        <v>1070</v>
      </c>
      <c r="M2663" s="26">
        <v>7.99</v>
      </c>
      <c r="N2663" s="27">
        <v>7.99</v>
      </c>
      <c r="O2663" s="28">
        <v>7.2636363636363636E-3</v>
      </c>
      <c r="P2663" s="28">
        <v>7.5657522123893814</v>
      </c>
    </row>
    <row r="2664" spans="1:16" x14ac:dyDescent="0.3">
      <c r="A2664" t="s">
        <v>5543</v>
      </c>
      <c r="B2664" s="24">
        <v>142051</v>
      </c>
      <c r="C2664" s="24" t="s">
        <v>1491</v>
      </c>
      <c r="D2664" s="24" t="s">
        <v>1102</v>
      </c>
      <c r="E2664" s="24" t="s">
        <v>51</v>
      </c>
      <c r="F2664" s="24" t="s">
        <v>1237</v>
      </c>
      <c r="G2664" s="24" t="s">
        <v>1238</v>
      </c>
      <c r="H2664" s="24" t="s">
        <v>2037</v>
      </c>
      <c r="I2664" s="24" t="s">
        <v>2038</v>
      </c>
      <c r="J2664" s="24" t="s">
        <v>761</v>
      </c>
      <c r="K2664" s="24" t="s">
        <v>1146</v>
      </c>
      <c r="L2664" s="25">
        <v>1070</v>
      </c>
      <c r="M2664" s="26">
        <v>8.9</v>
      </c>
      <c r="N2664" s="27">
        <v>8.9</v>
      </c>
      <c r="O2664" s="28">
        <v>8.0909090909090913E-3</v>
      </c>
      <c r="P2664" s="28">
        <v>8.4274336283185836</v>
      </c>
    </row>
    <row r="2665" spans="1:16" x14ac:dyDescent="0.3">
      <c r="A2665" t="s">
        <v>5544</v>
      </c>
      <c r="B2665" s="24">
        <v>100702</v>
      </c>
      <c r="C2665" s="24" t="s">
        <v>1357</v>
      </c>
      <c r="D2665" s="24" t="s">
        <v>1102</v>
      </c>
      <c r="E2665" s="24" t="s">
        <v>632</v>
      </c>
      <c r="F2665" s="24" t="s">
        <v>1142</v>
      </c>
      <c r="G2665" s="24" t="s">
        <v>1200</v>
      </c>
      <c r="H2665" s="24" t="s">
        <v>658</v>
      </c>
      <c r="I2665" s="24" t="s">
        <v>2039</v>
      </c>
      <c r="J2665" s="24" t="s">
        <v>761</v>
      </c>
      <c r="K2665" s="24" t="s">
        <v>1352</v>
      </c>
      <c r="L2665" s="25">
        <v>1</v>
      </c>
      <c r="M2665" s="26">
        <v>5950</v>
      </c>
      <c r="N2665" s="27">
        <v>5.4090909090909092</v>
      </c>
      <c r="O2665" s="28">
        <v>5.4090909090909092</v>
      </c>
      <c r="P2665" s="28">
        <v>5.2654867256637168</v>
      </c>
    </row>
    <row r="2666" spans="1:16" x14ac:dyDescent="0.3">
      <c r="A2666" t="s">
        <v>5545</v>
      </c>
      <c r="B2666" s="24">
        <v>300009</v>
      </c>
      <c r="C2666" s="24" t="s">
        <v>1519</v>
      </c>
      <c r="D2666" s="24" t="s">
        <v>1102</v>
      </c>
      <c r="E2666" s="24" t="s">
        <v>632</v>
      </c>
      <c r="F2666" s="24" t="s">
        <v>1142</v>
      </c>
      <c r="G2666" s="24" t="s">
        <v>1200</v>
      </c>
      <c r="H2666" s="24" t="s">
        <v>658</v>
      </c>
      <c r="I2666" s="24" t="s">
        <v>2039</v>
      </c>
      <c r="J2666" s="24" t="s">
        <v>761</v>
      </c>
      <c r="K2666" s="24" t="s">
        <v>1352</v>
      </c>
      <c r="L2666" s="25">
        <v>1</v>
      </c>
      <c r="M2666" s="26">
        <v>5950</v>
      </c>
      <c r="N2666" s="27">
        <v>5.4090909090909092</v>
      </c>
      <c r="O2666" s="28">
        <v>5.4090909090909092</v>
      </c>
      <c r="P2666" s="28">
        <v>5.2654867256637168</v>
      </c>
    </row>
    <row r="2667" spans="1:16" x14ac:dyDescent="0.3">
      <c r="A2667" t="s">
        <v>5546</v>
      </c>
      <c r="B2667" s="24">
        <v>100702</v>
      </c>
      <c r="C2667" s="24" t="s">
        <v>1357</v>
      </c>
      <c r="D2667" s="24" t="s">
        <v>1102</v>
      </c>
      <c r="E2667" s="24" t="s">
        <v>632</v>
      </c>
      <c r="F2667" s="24" t="s">
        <v>1142</v>
      </c>
      <c r="G2667" s="24" t="s">
        <v>1200</v>
      </c>
      <c r="H2667" s="24" t="s">
        <v>653</v>
      </c>
      <c r="I2667" s="24" t="s">
        <v>2040</v>
      </c>
      <c r="J2667" s="24" t="s">
        <v>761</v>
      </c>
      <c r="K2667" s="24" t="s">
        <v>1352</v>
      </c>
      <c r="L2667" s="25">
        <v>1</v>
      </c>
      <c r="M2667" s="26">
        <v>5950</v>
      </c>
      <c r="N2667" s="27">
        <v>5.4090909090909092</v>
      </c>
      <c r="O2667" s="28">
        <v>5.4090909090909092</v>
      </c>
      <c r="P2667" s="28">
        <v>5.2654867256637168</v>
      </c>
    </row>
    <row r="2668" spans="1:16" x14ac:dyDescent="0.3">
      <c r="A2668" t="s">
        <v>5547</v>
      </c>
      <c r="B2668" s="24">
        <v>100702</v>
      </c>
      <c r="C2668" s="24" t="s">
        <v>1357</v>
      </c>
      <c r="D2668" s="24" t="s">
        <v>1102</v>
      </c>
      <c r="E2668" s="24" t="s">
        <v>632</v>
      </c>
      <c r="F2668" s="24" t="s">
        <v>1142</v>
      </c>
      <c r="G2668" s="24" t="s">
        <v>1200</v>
      </c>
      <c r="H2668" s="24" t="s">
        <v>654</v>
      </c>
      <c r="I2668" s="24" t="s">
        <v>2041</v>
      </c>
      <c r="J2668" s="24" t="s">
        <v>761</v>
      </c>
      <c r="K2668" s="24" t="s">
        <v>1352</v>
      </c>
      <c r="L2668" s="25">
        <v>1</v>
      </c>
      <c r="M2668" s="26">
        <v>6100</v>
      </c>
      <c r="N2668" s="27">
        <v>5.5454545454545459</v>
      </c>
      <c r="O2668" s="28">
        <v>5.5454545454545459</v>
      </c>
      <c r="P2668" s="28">
        <v>5.3982300884955752</v>
      </c>
    </row>
    <row r="2669" spans="1:16" x14ac:dyDescent="0.3">
      <c r="A2669" t="s">
        <v>5548</v>
      </c>
      <c r="B2669" s="24">
        <v>100702</v>
      </c>
      <c r="C2669" s="24" t="s">
        <v>1357</v>
      </c>
      <c r="D2669" s="24" t="s">
        <v>1102</v>
      </c>
      <c r="E2669" s="24" t="s">
        <v>632</v>
      </c>
      <c r="F2669" s="24" t="s">
        <v>1142</v>
      </c>
      <c r="G2669" s="24" t="s">
        <v>1200</v>
      </c>
      <c r="H2669" s="24" t="s">
        <v>655</v>
      </c>
      <c r="I2669" s="24" t="s">
        <v>2042</v>
      </c>
      <c r="J2669" s="24" t="s">
        <v>761</v>
      </c>
      <c r="K2669" s="24" t="s">
        <v>1352</v>
      </c>
      <c r="L2669" s="25">
        <v>1</v>
      </c>
      <c r="M2669" s="26">
        <v>5950</v>
      </c>
      <c r="N2669" s="27">
        <v>5.4090909090909092</v>
      </c>
      <c r="O2669" s="28">
        <v>5.4090909090909092</v>
      </c>
      <c r="P2669" s="28">
        <v>5.2654867256637168</v>
      </c>
    </row>
    <row r="2670" spans="1:16" x14ac:dyDescent="0.3">
      <c r="A2670" t="s">
        <v>5549</v>
      </c>
      <c r="B2670" s="24">
        <v>300013</v>
      </c>
      <c r="C2670" s="24" t="s">
        <v>1521</v>
      </c>
      <c r="D2670" s="24" t="s">
        <v>1102</v>
      </c>
      <c r="E2670" s="24" t="s">
        <v>632</v>
      </c>
      <c r="F2670" s="24" t="s">
        <v>1142</v>
      </c>
      <c r="G2670" s="24" t="s">
        <v>1200</v>
      </c>
      <c r="H2670" s="24" t="s">
        <v>655</v>
      </c>
      <c r="I2670" s="24" t="s">
        <v>2042</v>
      </c>
      <c r="J2670" s="24" t="s">
        <v>761</v>
      </c>
      <c r="K2670" s="24" t="s">
        <v>1352</v>
      </c>
      <c r="L2670" s="25">
        <v>1</v>
      </c>
      <c r="M2670" s="26">
        <v>5950</v>
      </c>
      <c r="N2670" s="27">
        <v>5.4090909090909092</v>
      </c>
      <c r="O2670" s="28">
        <v>5.4090909090909092</v>
      </c>
      <c r="P2670" s="28">
        <v>5.2654867256637168</v>
      </c>
    </row>
    <row r="2671" spans="1:16" x14ac:dyDescent="0.3">
      <c r="A2671" t="s">
        <v>5550</v>
      </c>
      <c r="B2671" s="24">
        <v>300060</v>
      </c>
      <c r="C2671" s="24" t="s">
        <v>1527</v>
      </c>
      <c r="D2671" s="24" t="s">
        <v>1102</v>
      </c>
      <c r="E2671" s="24" t="s">
        <v>632</v>
      </c>
      <c r="F2671" s="24" t="s">
        <v>1142</v>
      </c>
      <c r="G2671" s="24" t="s">
        <v>1200</v>
      </c>
      <c r="H2671" s="24" t="s">
        <v>655</v>
      </c>
      <c r="I2671" s="24" t="s">
        <v>2042</v>
      </c>
      <c r="J2671" s="24" t="s">
        <v>761</v>
      </c>
      <c r="K2671" s="24" t="s">
        <v>1352</v>
      </c>
      <c r="L2671" s="25">
        <v>1</v>
      </c>
      <c r="M2671" s="26">
        <v>5950</v>
      </c>
      <c r="N2671" s="27">
        <v>5.4090909090909092</v>
      </c>
      <c r="O2671" s="28">
        <v>5.4090909090909092</v>
      </c>
      <c r="P2671" s="28">
        <v>5.2654867256637168</v>
      </c>
    </row>
    <row r="2672" spans="1:16" x14ac:dyDescent="0.3">
      <c r="A2672" t="s">
        <v>5551</v>
      </c>
      <c r="B2672" s="24">
        <v>100702</v>
      </c>
      <c r="C2672" s="24" t="s">
        <v>1357</v>
      </c>
      <c r="D2672" s="24" t="s">
        <v>1102</v>
      </c>
      <c r="E2672" s="24" t="s">
        <v>632</v>
      </c>
      <c r="F2672" s="24" t="s">
        <v>1142</v>
      </c>
      <c r="G2672" s="24" t="s">
        <v>1200</v>
      </c>
      <c r="H2672" s="24" t="s">
        <v>2043</v>
      </c>
      <c r="I2672" s="24" t="s">
        <v>2044</v>
      </c>
      <c r="J2672" s="24" t="s">
        <v>761</v>
      </c>
      <c r="K2672" s="24" t="s">
        <v>1352</v>
      </c>
      <c r="L2672" s="25">
        <v>1</v>
      </c>
      <c r="M2672" s="26">
        <v>6100</v>
      </c>
      <c r="N2672" s="27">
        <v>5.5454545454545459</v>
      </c>
      <c r="O2672" s="28">
        <v>5.5454545454545459</v>
      </c>
      <c r="P2672" s="28">
        <v>5.3982300884955752</v>
      </c>
    </row>
    <row r="2673" spans="1:16" x14ac:dyDescent="0.3">
      <c r="A2673" t="s">
        <v>5552</v>
      </c>
      <c r="B2673" s="24">
        <v>100702</v>
      </c>
      <c r="C2673" s="24" t="s">
        <v>1357</v>
      </c>
      <c r="D2673" s="24" t="s">
        <v>1102</v>
      </c>
      <c r="E2673" s="24" t="s">
        <v>632</v>
      </c>
      <c r="F2673" s="24" t="s">
        <v>1142</v>
      </c>
      <c r="G2673" s="24" t="s">
        <v>1200</v>
      </c>
      <c r="H2673" s="24" t="s">
        <v>656</v>
      </c>
      <c r="I2673" s="24" t="s">
        <v>2044</v>
      </c>
      <c r="J2673" s="24" t="s">
        <v>761</v>
      </c>
      <c r="K2673" s="24" t="s">
        <v>1352</v>
      </c>
      <c r="L2673" s="25">
        <v>1</v>
      </c>
      <c r="M2673" s="26">
        <v>6100</v>
      </c>
      <c r="N2673" s="27">
        <v>5.5454545454545459</v>
      </c>
      <c r="O2673" s="28">
        <v>5.5454545454545459</v>
      </c>
      <c r="P2673" s="28">
        <v>5.3982300884955752</v>
      </c>
    </row>
    <row r="2674" spans="1:16" x14ac:dyDescent="0.3">
      <c r="A2674" t="s">
        <v>5553</v>
      </c>
      <c r="B2674" s="24">
        <v>100702</v>
      </c>
      <c r="C2674" s="24" t="s">
        <v>1357</v>
      </c>
      <c r="D2674" s="24" t="s">
        <v>1102</v>
      </c>
      <c r="E2674" s="24" t="s">
        <v>632</v>
      </c>
      <c r="F2674" s="24" t="s">
        <v>1142</v>
      </c>
      <c r="G2674" s="24" t="s">
        <v>1200</v>
      </c>
      <c r="H2674" s="24" t="s">
        <v>659</v>
      </c>
      <c r="I2674" s="24" t="s">
        <v>2045</v>
      </c>
      <c r="J2674" s="24" t="s">
        <v>761</v>
      </c>
      <c r="K2674" s="24" t="s">
        <v>1352</v>
      </c>
      <c r="L2674" s="25">
        <v>1</v>
      </c>
      <c r="M2674" s="26">
        <v>6600</v>
      </c>
      <c r="N2674" s="27">
        <v>6</v>
      </c>
      <c r="O2674" s="28">
        <v>6</v>
      </c>
      <c r="P2674" s="28">
        <v>5.8407079646017701</v>
      </c>
    </row>
    <row r="2675" spans="1:16" x14ac:dyDescent="0.3">
      <c r="A2675" t="s">
        <v>5554</v>
      </c>
      <c r="B2675" s="24">
        <v>300009</v>
      </c>
      <c r="C2675" s="24" t="s">
        <v>1519</v>
      </c>
      <c r="D2675" s="24" t="s">
        <v>1102</v>
      </c>
      <c r="E2675" s="24" t="s">
        <v>632</v>
      </c>
      <c r="F2675" s="24" t="s">
        <v>1142</v>
      </c>
      <c r="G2675" s="24" t="s">
        <v>1200</v>
      </c>
      <c r="H2675" s="24" t="s">
        <v>659</v>
      </c>
      <c r="I2675" s="24" t="s">
        <v>2045</v>
      </c>
      <c r="J2675" s="24" t="s">
        <v>761</v>
      </c>
      <c r="K2675" s="24" t="s">
        <v>1352</v>
      </c>
      <c r="L2675" s="25">
        <v>1</v>
      </c>
      <c r="M2675" s="26">
        <v>6600</v>
      </c>
      <c r="N2675" s="27">
        <v>6</v>
      </c>
      <c r="O2675" s="28">
        <v>6</v>
      </c>
      <c r="P2675" s="28">
        <v>5.8407079646017701</v>
      </c>
    </row>
    <row r="2676" spans="1:16" x14ac:dyDescent="0.3">
      <c r="A2676" t="s">
        <v>5555</v>
      </c>
      <c r="B2676" s="24">
        <v>300013</v>
      </c>
      <c r="C2676" s="24" t="s">
        <v>1521</v>
      </c>
      <c r="D2676" s="24" t="s">
        <v>1102</v>
      </c>
      <c r="E2676" s="24" t="s">
        <v>632</v>
      </c>
      <c r="F2676" s="24" t="s">
        <v>1142</v>
      </c>
      <c r="G2676" s="24" t="s">
        <v>1200</v>
      </c>
      <c r="H2676" s="24" t="s">
        <v>659</v>
      </c>
      <c r="I2676" s="24" t="s">
        <v>2045</v>
      </c>
      <c r="J2676" s="24" t="s">
        <v>761</v>
      </c>
      <c r="K2676" s="24" t="s">
        <v>1352</v>
      </c>
      <c r="L2676" s="25">
        <v>1</v>
      </c>
      <c r="M2676" s="26">
        <v>6600</v>
      </c>
      <c r="N2676" s="27">
        <v>6</v>
      </c>
      <c r="O2676" s="28">
        <v>6</v>
      </c>
      <c r="P2676" s="28">
        <v>5.8407079646017701</v>
      </c>
    </row>
    <row r="2677" spans="1:16" x14ac:dyDescent="0.3">
      <c r="A2677" t="s">
        <v>5556</v>
      </c>
      <c r="B2677" s="24">
        <v>300013</v>
      </c>
      <c r="C2677" s="24" t="s">
        <v>1521</v>
      </c>
      <c r="D2677" s="24" t="s">
        <v>1102</v>
      </c>
      <c r="E2677" s="24" t="s">
        <v>632</v>
      </c>
      <c r="F2677" s="24" t="s">
        <v>1142</v>
      </c>
      <c r="G2677" s="24" t="s">
        <v>1200</v>
      </c>
      <c r="H2677" s="24" t="s">
        <v>2046</v>
      </c>
      <c r="I2677" s="24" t="s">
        <v>2045</v>
      </c>
      <c r="J2677" s="24" t="s">
        <v>761</v>
      </c>
      <c r="K2677" s="24" t="s">
        <v>1352</v>
      </c>
      <c r="L2677" s="25">
        <v>1</v>
      </c>
      <c r="M2677" s="26">
        <v>6750</v>
      </c>
      <c r="N2677" s="27">
        <v>6.1363636363636367</v>
      </c>
      <c r="O2677" s="28">
        <v>6.1363636363636367</v>
      </c>
      <c r="P2677" s="28">
        <v>5.9734513274336285</v>
      </c>
    </row>
    <row r="2678" spans="1:16" x14ac:dyDescent="0.3">
      <c r="A2678" t="s">
        <v>5557</v>
      </c>
      <c r="B2678" s="24">
        <v>100702</v>
      </c>
      <c r="C2678" s="24" t="s">
        <v>1357</v>
      </c>
      <c r="D2678" s="24" t="s">
        <v>1102</v>
      </c>
      <c r="E2678" s="24" t="s">
        <v>632</v>
      </c>
      <c r="F2678" s="24" t="s">
        <v>1142</v>
      </c>
      <c r="G2678" s="24" t="s">
        <v>1200</v>
      </c>
      <c r="H2678" s="24" t="s">
        <v>657</v>
      </c>
      <c r="I2678" s="24" t="s">
        <v>2047</v>
      </c>
      <c r="J2678" s="24" t="s">
        <v>761</v>
      </c>
      <c r="K2678" s="24" t="s">
        <v>1352</v>
      </c>
      <c r="L2678" s="25">
        <v>1</v>
      </c>
      <c r="M2678" s="26">
        <v>6600</v>
      </c>
      <c r="N2678" s="27">
        <v>6</v>
      </c>
      <c r="O2678" s="28">
        <v>6</v>
      </c>
      <c r="P2678" s="28">
        <v>5.8407079646017701</v>
      </c>
    </row>
    <row r="2679" spans="1:16" x14ac:dyDescent="0.3">
      <c r="A2679" t="s">
        <v>5558</v>
      </c>
      <c r="B2679" s="24">
        <v>300009</v>
      </c>
      <c r="C2679" s="24" t="s">
        <v>1519</v>
      </c>
      <c r="D2679" s="24" t="s">
        <v>1102</v>
      </c>
      <c r="E2679" s="24" t="s">
        <v>632</v>
      </c>
      <c r="F2679" s="24" t="s">
        <v>1142</v>
      </c>
      <c r="G2679" s="24" t="s">
        <v>1200</v>
      </c>
      <c r="H2679" s="24" t="s">
        <v>657</v>
      </c>
      <c r="I2679" s="24" t="s">
        <v>2047</v>
      </c>
      <c r="J2679" s="24" t="s">
        <v>761</v>
      </c>
      <c r="K2679" s="24" t="s">
        <v>1352</v>
      </c>
      <c r="L2679" s="25">
        <v>1</v>
      </c>
      <c r="M2679" s="26">
        <v>6600</v>
      </c>
      <c r="N2679" s="27">
        <v>6</v>
      </c>
      <c r="O2679" s="28">
        <v>6</v>
      </c>
      <c r="P2679" s="28">
        <v>5.8407079646017701</v>
      </c>
    </row>
    <row r="2680" spans="1:16" x14ac:dyDescent="0.3">
      <c r="A2680" t="s">
        <v>5559</v>
      </c>
      <c r="B2680" s="24">
        <v>100702</v>
      </c>
      <c r="C2680" s="24" t="s">
        <v>1357</v>
      </c>
      <c r="D2680" s="24" t="s">
        <v>1102</v>
      </c>
      <c r="E2680" s="24" t="s">
        <v>632</v>
      </c>
      <c r="F2680" s="24" t="s">
        <v>1142</v>
      </c>
      <c r="G2680" s="24" t="s">
        <v>1200</v>
      </c>
      <c r="H2680" s="24" t="s">
        <v>660</v>
      </c>
      <c r="I2680" s="24" t="s">
        <v>2048</v>
      </c>
      <c r="J2680" s="24" t="s">
        <v>761</v>
      </c>
      <c r="K2680" s="24" t="s">
        <v>1352</v>
      </c>
      <c r="L2680" s="25">
        <v>1</v>
      </c>
      <c r="M2680" s="26">
        <v>6350</v>
      </c>
      <c r="N2680" s="27">
        <v>5.7727272727272725</v>
      </c>
      <c r="O2680" s="28">
        <v>5.7727272727272725</v>
      </c>
      <c r="P2680" s="28">
        <v>5.6194690265486722</v>
      </c>
    </row>
    <row r="2681" spans="1:16" x14ac:dyDescent="0.3">
      <c r="A2681" t="s">
        <v>5560</v>
      </c>
      <c r="B2681" s="24">
        <v>300013</v>
      </c>
      <c r="C2681" s="24" t="s">
        <v>1521</v>
      </c>
      <c r="D2681" s="24" t="s">
        <v>1102</v>
      </c>
      <c r="E2681" s="24" t="s">
        <v>632</v>
      </c>
      <c r="F2681" s="24" t="s">
        <v>1142</v>
      </c>
      <c r="G2681" s="24" t="s">
        <v>1200</v>
      </c>
      <c r="H2681" s="24" t="s">
        <v>660</v>
      </c>
      <c r="I2681" s="24" t="s">
        <v>2048</v>
      </c>
      <c r="J2681" s="24" t="s">
        <v>761</v>
      </c>
      <c r="K2681" s="24" t="s">
        <v>1352</v>
      </c>
      <c r="L2681" s="25">
        <v>1</v>
      </c>
      <c r="M2681" s="26">
        <v>6350</v>
      </c>
      <c r="N2681" s="27">
        <v>5.7727272727272725</v>
      </c>
      <c r="O2681" s="28">
        <v>5.7727272727272725</v>
      </c>
      <c r="P2681" s="28">
        <v>5.6194690265486722</v>
      </c>
    </row>
    <row r="2682" spans="1:16" x14ac:dyDescent="0.3">
      <c r="A2682" t="s">
        <v>5561</v>
      </c>
      <c r="B2682" s="24">
        <v>300054</v>
      </c>
      <c r="C2682" s="24" t="s">
        <v>1538</v>
      </c>
      <c r="D2682" s="24" t="s">
        <v>1102</v>
      </c>
      <c r="E2682" s="24" t="s">
        <v>632</v>
      </c>
      <c r="F2682" s="24" t="s">
        <v>1142</v>
      </c>
      <c r="G2682" s="24" t="s">
        <v>1200</v>
      </c>
      <c r="H2682" s="24" t="s">
        <v>660</v>
      </c>
      <c r="I2682" s="24" t="s">
        <v>2048</v>
      </c>
      <c r="J2682" s="24" t="s">
        <v>761</v>
      </c>
      <c r="K2682" s="24" t="s">
        <v>1352</v>
      </c>
      <c r="L2682" s="25">
        <v>1</v>
      </c>
      <c r="M2682" s="26">
        <v>6350</v>
      </c>
      <c r="N2682" s="27">
        <v>5.7727272727272725</v>
      </c>
      <c r="O2682" s="28">
        <v>5.7727272727272725</v>
      </c>
      <c r="P2682" s="28">
        <v>5.6194690265486722</v>
      </c>
    </row>
    <row r="2683" spans="1:16" x14ac:dyDescent="0.3">
      <c r="A2683" t="s">
        <v>5562</v>
      </c>
      <c r="B2683" s="24">
        <v>300013</v>
      </c>
      <c r="C2683" s="24" t="s">
        <v>1521</v>
      </c>
      <c r="D2683" s="24" t="s">
        <v>1102</v>
      </c>
      <c r="E2683" s="24" t="s">
        <v>632</v>
      </c>
      <c r="F2683" s="24" t="s">
        <v>1142</v>
      </c>
      <c r="G2683" s="24" t="s">
        <v>1200</v>
      </c>
      <c r="H2683" s="24" t="s">
        <v>661</v>
      </c>
      <c r="I2683" s="24" t="s">
        <v>2049</v>
      </c>
      <c r="J2683" s="24" t="s">
        <v>761</v>
      </c>
      <c r="K2683" s="24" t="s">
        <v>1352</v>
      </c>
      <c r="L2683" s="25">
        <v>1</v>
      </c>
      <c r="M2683" s="26">
        <v>6350</v>
      </c>
      <c r="N2683" s="27">
        <v>5.7727272727272725</v>
      </c>
      <c r="O2683" s="28">
        <v>5.7727272727272725</v>
      </c>
      <c r="P2683" s="28">
        <v>5.6194690265486722</v>
      </c>
    </row>
    <row r="2684" spans="1:16" x14ac:dyDescent="0.3">
      <c r="A2684" t="s">
        <v>5563</v>
      </c>
      <c r="B2684" s="24">
        <v>300054</v>
      </c>
      <c r="C2684" s="24" t="s">
        <v>1538</v>
      </c>
      <c r="D2684" s="24" t="s">
        <v>1102</v>
      </c>
      <c r="E2684" s="24" t="s">
        <v>632</v>
      </c>
      <c r="F2684" s="24" t="s">
        <v>1142</v>
      </c>
      <c r="G2684" s="24" t="s">
        <v>1200</v>
      </c>
      <c r="H2684" s="24" t="s">
        <v>661</v>
      </c>
      <c r="I2684" s="24" t="s">
        <v>2049</v>
      </c>
      <c r="J2684" s="24" t="s">
        <v>761</v>
      </c>
      <c r="K2684" s="24" t="s">
        <v>1352</v>
      </c>
      <c r="L2684" s="25">
        <v>1</v>
      </c>
      <c r="M2684" s="26">
        <v>6350</v>
      </c>
      <c r="N2684" s="27">
        <v>5.7727272727272725</v>
      </c>
      <c r="O2684" s="28">
        <v>5.7727272727272725</v>
      </c>
      <c r="P2684" s="28">
        <v>5.6194690265486722</v>
      </c>
    </row>
    <row r="2685" spans="1:16" x14ac:dyDescent="0.3">
      <c r="A2685" t="s">
        <v>5564</v>
      </c>
      <c r="B2685" s="24">
        <v>100702</v>
      </c>
      <c r="C2685" s="24" t="s">
        <v>1357</v>
      </c>
      <c r="D2685" s="24" t="s">
        <v>1102</v>
      </c>
      <c r="E2685" s="24" t="s">
        <v>632</v>
      </c>
      <c r="F2685" s="24" t="s">
        <v>1142</v>
      </c>
      <c r="G2685" s="24" t="s">
        <v>1200</v>
      </c>
      <c r="H2685" s="24" t="s">
        <v>662</v>
      </c>
      <c r="I2685" s="24" t="s">
        <v>2050</v>
      </c>
      <c r="J2685" s="24" t="s">
        <v>761</v>
      </c>
      <c r="K2685" s="24" t="s">
        <v>1352</v>
      </c>
      <c r="L2685" s="25">
        <v>1</v>
      </c>
      <c r="M2685" s="26">
        <v>6600</v>
      </c>
      <c r="N2685" s="27">
        <v>6</v>
      </c>
      <c r="O2685" s="28">
        <v>6</v>
      </c>
      <c r="P2685" s="28">
        <v>5.8407079646017701</v>
      </c>
    </row>
    <row r="2686" spans="1:16" x14ac:dyDescent="0.3">
      <c r="A2686" t="s">
        <v>5565</v>
      </c>
      <c r="B2686" s="24">
        <v>100702</v>
      </c>
      <c r="C2686" s="24" t="s">
        <v>1357</v>
      </c>
      <c r="D2686" s="24" t="s">
        <v>1102</v>
      </c>
      <c r="E2686" s="24" t="s">
        <v>632</v>
      </c>
      <c r="F2686" s="24" t="s">
        <v>1142</v>
      </c>
      <c r="G2686" s="24" t="s">
        <v>1200</v>
      </c>
      <c r="H2686" s="24" t="s">
        <v>663</v>
      </c>
      <c r="I2686" s="24" t="s">
        <v>2050</v>
      </c>
      <c r="J2686" s="24" t="s">
        <v>761</v>
      </c>
      <c r="K2686" s="24" t="s">
        <v>1352</v>
      </c>
      <c r="L2686" s="25">
        <v>1</v>
      </c>
      <c r="M2686" s="26">
        <v>6750</v>
      </c>
      <c r="N2686" s="27">
        <v>6.1363636363636367</v>
      </c>
      <c r="O2686" s="28">
        <v>6.1363636363636367</v>
      </c>
      <c r="P2686" s="28">
        <v>5.9734513274336285</v>
      </c>
    </row>
    <row r="2687" spans="1:16" x14ac:dyDescent="0.3">
      <c r="A2687" t="s">
        <v>5566</v>
      </c>
      <c r="B2687" s="24">
        <v>100702</v>
      </c>
      <c r="C2687" s="24" t="s">
        <v>1357</v>
      </c>
      <c r="D2687" s="24" t="s">
        <v>1102</v>
      </c>
      <c r="E2687" s="24" t="s">
        <v>632</v>
      </c>
      <c r="F2687" s="24" t="s">
        <v>1142</v>
      </c>
      <c r="G2687" s="24" t="s">
        <v>1200</v>
      </c>
      <c r="H2687" s="24" t="s">
        <v>2051</v>
      </c>
      <c r="I2687" s="24" t="s">
        <v>2052</v>
      </c>
      <c r="J2687" s="24" t="s">
        <v>761</v>
      </c>
      <c r="K2687" s="24" t="s">
        <v>1352</v>
      </c>
      <c r="L2687" s="25">
        <v>1</v>
      </c>
      <c r="M2687" s="26">
        <v>6750</v>
      </c>
      <c r="N2687" s="27">
        <v>6.1363636363636367</v>
      </c>
      <c r="O2687" s="28">
        <v>6.1363636363636367</v>
      </c>
      <c r="P2687" s="28">
        <v>5.9734513274336285</v>
      </c>
    </row>
    <row r="2688" spans="1:16" x14ac:dyDescent="0.3">
      <c r="A2688" t="s">
        <v>5567</v>
      </c>
      <c r="B2688" s="24">
        <v>300013</v>
      </c>
      <c r="C2688" s="24" t="s">
        <v>1521</v>
      </c>
      <c r="D2688" s="24" t="s">
        <v>1102</v>
      </c>
      <c r="E2688" s="24" t="s">
        <v>632</v>
      </c>
      <c r="F2688" s="24" t="s">
        <v>1142</v>
      </c>
      <c r="G2688" s="24" t="s">
        <v>1200</v>
      </c>
      <c r="H2688" s="24" t="s">
        <v>664</v>
      </c>
      <c r="I2688" s="24" t="s">
        <v>2053</v>
      </c>
      <c r="J2688" s="24" t="s">
        <v>761</v>
      </c>
      <c r="K2688" s="24" t="s">
        <v>1352</v>
      </c>
      <c r="L2688" s="25">
        <v>1</v>
      </c>
      <c r="M2688" s="26">
        <v>6600</v>
      </c>
      <c r="N2688" s="27">
        <v>6</v>
      </c>
      <c r="O2688" s="28">
        <v>6</v>
      </c>
      <c r="P2688" s="28">
        <v>5.8407079646017701</v>
      </c>
    </row>
    <row r="2689" spans="1:16" x14ac:dyDescent="0.3">
      <c r="A2689" t="s">
        <v>5568</v>
      </c>
      <c r="B2689" s="24">
        <v>100702</v>
      </c>
      <c r="C2689" s="24" t="s">
        <v>1357</v>
      </c>
      <c r="D2689" s="24" t="s">
        <v>1102</v>
      </c>
      <c r="E2689" s="24" t="s">
        <v>632</v>
      </c>
      <c r="F2689" s="24" t="s">
        <v>1142</v>
      </c>
      <c r="G2689" s="24" t="s">
        <v>1200</v>
      </c>
      <c r="H2689" s="24" t="s">
        <v>665</v>
      </c>
      <c r="I2689" s="24" t="s">
        <v>2053</v>
      </c>
      <c r="J2689" s="24" t="s">
        <v>761</v>
      </c>
      <c r="K2689" s="24" t="s">
        <v>1352</v>
      </c>
      <c r="L2689" s="25">
        <v>1</v>
      </c>
      <c r="M2689" s="26">
        <v>6750</v>
      </c>
      <c r="N2689" s="27">
        <v>6.1363636363636367</v>
      </c>
      <c r="O2689" s="28">
        <v>6.1363636363636367</v>
      </c>
      <c r="P2689" s="28">
        <v>5.9734513274336285</v>
      </c>
    </row>
    <row r="2690" spans="1:16" x14ac:dyDescent="0.3">
      <c r="A2690" t="s">
        <v>5569</v>
      </c>
      <c r="B2690" s="24">
        <v>300013</v>
      </c>
      <c r="C2690" s="24" t="s">
        <v>1521</v>
      </c>
      <c r="D2690" s="24" t="s">
        <v>1102</v>
      </c>
      <c r="E2690" s="24" t="s">
        <v>632</v>
      </c>
      <c r="F2690" s="24" t="s">
        <v>1142</v>
      </c>
      <c r="G2690" s="24" t="s">
        <v>1200</v>
      </c>
      <c r="H2690" s="24" t="s">
        <v>665</v>
      </c>
      <c r="I2690" s="24" t="s">
        <v>2053</v>
      </c>
      <c r="J2690" s="24" t="s">
        <v>761</v>
      </c>
      <c r="K2690" s="24" t="s">
        <v>1352</v>
      </c>
      <c r="L2690" s="25">
        <v>1</v>
      </c>
      <c r="M2690" s="26">
        <v>6750</v>
      </c>
      <c r="N2690" s="27">
        <v>6.1363636363636367</v>
      </c>
      <c r="O2690" s="28">
        <v>6.1363636363636367</v>
      </c>
      <c r="P2690" s="28">
        <v>5.9734513274336285</v>
      </c>
    </row>
    <row r="2691" spans="1:16" x14ac:dyDescent="0.3">
      <c r="A2691" t="s">
        <v>5570</v>
      </c>
      <c r="B2691" s="24">
        <v>300009</v>
      </c>
      <c r="C2691" s="24" t="s">
        <v>1519</v>
      </c>
      <c r="D2691" s="24" t="s">
        <v>1102</v>
      </c>
      <c r="E2691" s="24" t="s">
        <v>632</v>
      </c>
      <c r="F2691" s="24" t="s">
        <v>1142</v>
      </c>
      <c r="G2691" s="24" t="s">
        <v>1200</v>
      </c>
      <c r="H2691" s="24" t="s">
        <v>675</v>
      </c>
      <c r="I2691" s="24" t="s">
        <v>2054</v>
      </c>
      <c r="J2691" s="24" t="s">
        <v>761</v>
      </c>
      <c r="K2691" s="24" t="s">
        <v>1352</v>
      </c>
      <c r="L2691" s="25">
        <v>1</v>
      </c>
      <c r="M2691" s="26">
        <v>5500</v>
      </c>
      <c r="N2691" s="27">
        <v>5</v>
      </c>
      <c r="O2691" s="28">
        <v>5</v>
      </c>
      <c r="P2691" s="28">
        <v>4.8672566371681416</v>
      </c>
    </row>
    <row r="2692" spans="1:16" x14ac:dyDescent="0.3">
      <c r="A2692" t="s">
        <v>5571</v>
      </c>
      <c r="B2692" s="24">
        <v>100702</v>
      </c>
      <c r="C2692" s="24" t="s">
        <v>1357</v>
      </c>
      <c r="D2692" s="24" t="s">
        <v>1102</v>
      </c>
      <c r="E2692" s="24" t="s">
        <v>632</v>
      </c>
      <c r="F2692" s="24" t="s">
        <v>1142</v>
      </c>
      <c r="G2692" s="24" t="s">
        <v>1200</v>
      </c>
      <c r="H2692" s="24" t="s">
        <v>668</v>
      </c>
      <c r="I2692" s="24" t="s">
        <v>2055</v>
      </c>
      <c r="J2692" s="24" t="s">
        <v>761</v>
      </c>
      <c r="K2692" s="24" t="s">
        <v>1352</v>
      </c>
      <c r="L2692" s="25">
        <v>1</v>
      </c>
      <c r="M2692" s="26">
        <v>4750</v>
      </c>
      <c r="N2692" s="27">
        <v>4.3181818181818183</v>
      </c>
      <c r="O2692" s="28">
        <v>4.3181818181818183</v>
      </c>
      <c r="P2692" s="28">
        <v>4.2035398230088497</v>
      </c>
    </row>
    <row r="2693" spans="1:16" x14ac:dyDescent="0.3">
      <c r="A2693" t="s">
        <v>5572</v>
      </c>
      <c r="B2693" s="24">
        <v>100702</v>
      </c>
      <c r="C2693" s="24" t="s">
        <v>1357</v>
      </c>
      <c r="D2693" s="24" t="s">
        <v>1102</v>
      </c>
      <c r="E2693" s="24" t="s">
        <v>632</v>
      </c>
      <c r="F2693" s="24" t="s">
        <v>1142</v>
      </c>
      <c r="G2693" s="24" t="s">
        <v>1200</v>
      </c>
      <c r="H2693" s="24" t="s">
        <v>667</v>
      </c>
      <c r="I2693" s="24" t="s">
        <v>2055</v>
      </c>
      <c r="J2693" s="24" t="s">
        <v>761</v>
      </c>
      <c r="K2693" s="24" t="s">
        <v>1352</v>
      </c>
      <c r="L2693" s="25">
        <v>1</v>
      </c>
      <c r="M2693" s="26">
        <v>4750</v>
      </c>
      <c r="N2693" s="27">
        <v>4.3181818181818183</v>
      </c>
      <c r="O2693" s="28">
        <v>4.3181818181818183</v>
      </c>
      <c r="P2693" s="28">
        <v>4.2035398230088497</v>
      </c>
    </row>
    <row r="2694" spans="1:16" x14ac:dyDescent="0.3">
      <c r="A2694" t="s">
        <v>5573</v>
      </c>
      <c r="B2694" s="24">
        <v>100702</v>
      </c>
      <c r="C2694" s="24" t="s">
        <v>1357</v>
      </c>
      <c r="D2694" s="24" t="s">
        <v>1102</v>
      </c>
      <c r="E2694" s="24" t="s">
        <v>632</v>
      </c>
      <c r="F2694" s="24" t="s">
        <v>1142</v>
      </c>
      <c r="G2694" s="24" t="s">
        <v>1200</v>
      </c>
      <c r="H2694" s="24" t="s">
        <v>666</v>
      </c>
      <c r="I2694" s="24" t="s">
        <v>2056</v>
      </c>
      <c r="J2694" s="24" t="s">
        <v>761</v>
      </c>
      <c r="K2694" s="24" t="s">
        <v>1352</v>
      </c>
      <c r="L2694" s="25">
        <v>1</v>
      </c>
      <c r="M2694" s="26">
        <v>5650</v>
      </c>
      <c r="N2694" s="27">
        <v>5.1363636363636367</v>
      </c>
      <c r="O2694" s="28">
        <v>5.1363636363636367</v>
      </c>
      <c r="P2694" s="28">
        <v>5</v>
      </c>
    </row>
    <row r="2695" spans="1:16" x14ac:dyDescent="0.3">
      <c r="A2695" t="s">
        <v>5574</v>
      </c>
      <c r="B2695" s="24">
        <v>300013</v>
      </c>
      <c r="C2695" s="24" t="s">
        <v>1521</v>
      </c>
      <c r="D2695" s="24" t="s">
        <v>1102</v>
      </c>
      <c r="E2695" s="24" t="s">
        <v>632</v>
      </c>
      <c r="F2695" s="24" t="s">
        <v>1142</v>
      </c>
      <c r="G2695" s="24" t="s">
        <v>1200</v>
      </c>
      <c r="H2695" s="24" t="s">
        <v>666</v>
      </c>
      <c r="I2695" s="24" t="s">
        <v>2056</v>
      </c>
      <c r="J2695" s="24" t="s">
        <v>761</v>
      </c>
      <c r="K2695" s="24" t="s">
        <v>1352</v>
      </c>
      <c r="L2695" s="25">
        <v>1</v>
      </c>
      <c r="M2695" s="26">
        <v>5650</v>
      </c>
      <c r="N2695" s="27">
        <v>5.1363636363636367</v>
      </c>
      <c r="O2695" s="28">
        <v>5.1363636363636367</v>
      </c>
      <c r="P2695" s="28">
        <v>5</v>
      </c>
    </row>
    <row r="2696" spans="1:16" x14ac:dyDescent="0.3">
      <c r="A2696" t="s">
        <v>5575</v>
      </c>
      <c r="B2696" s="24">
        <v>300054</v>
      </c>
      <c r="C2696" s="24" t="s">
        <v>1538</v>
      </c>
      <c r="D2696" s="24" t="s">
        <v>1102</v>
      </c>
      <c r="E2696" s="24" t="s">
        <v>632</v>
      </c>
      <c r="F2696" s="24" t="s">
        <v>1142</v>
      </c>
      <c r="G2696" s="24" t="s">
        <v>1200</v>
      </c>
      <c r="H2696" s="24" t="s">
        <v>666</v>
      </c>
      <c r="I2696" s="24" t="s">
        <v>2056</v>
      </c>
      <c r="J2696" s="24" t="s">
        <v>761</v>
      </c>
      <c r="K2696" s="24" t="s">
        <v>1352</v>
      </c>
      <c r="L2696" s="25">
        <v>1</v>
      </c>
      <c r="M2696" s="26">
        <v>5500</v>
      </c>
      <c r="N2696" s="27">
        <v>5</v>
      </c>
      <c r="O2696" s="28">
        <v>5</v>
      </c>
      <c r="P2696" s="28">
        <v>4.8672566371681416</v>
      </c>
    </row>
    <row r="2697" spans="1:16" x14ac:dyDescent="0.3">
      <c r="A2697" t="s">
        <v>5576</v>
      </c>
      <c r="B2697" s="24">
        <v>100702</v>
      </c>
      <c r="C2697" s="24" t="s">
        <v>1357</v>
      </c>
      <c r="D2697" s="24" t="s">
        <v>1102</v>
      </c>
      <c r="E2697" s="24" t="s">
        <v>632</v>
      </c>
      <c r="F2697" s="24" t="s">
        <v>1142</v>
      </c>
      <c r="G2697" s="24" t="s">
        <v>1200</v>
      </c>
      <c r="H2697" s="24" t="s">
        <v>670</v>
      </c>
      <c r="I2697" s="24" t="s">
        <v>2057</v>
      </c>
      <c r="J2697" s="24" t="s">
        <v>761</v>
      </c>
      <c r="K2697" s="24" t="s">
        <v>1352</v>
      </c>
      <c r="L2697" s="25">
        <v>1</v>
      </c>
      <c r="M2697" s="26">
        <v>5650</v>
      </c>
      <c r="N2697" s="27">
        <v>5.1363636363636367</v>
      </c>
      <c r="O2697" s="28">
        <v>5.1363636363636367</v>
      </c>
      <c r="P2697" s="28">
        <v>5</v>
      </c>
    </row>
    <row r="2698" spans="1:16" x14ac:dyDescent="0.3">
      <c r="A2698" t="s">
        <v>5577</v>
      </c>
      <c r="B2698" s="24">
        <v>300013</v>
      </c>
      <c r="C2698" s="24" t="s">
        <v>1521</v>
      </c>
      <c r="D2698" s="24" t="s">
        <v>1102</v>
      </c>
      <c r="E2698" s="24" t="s">
        <v>632</v>
      </c>
      <c r="F2698" s="24" t="s">
        <v>1142</v>
      </c>
      <c r="G2698" s="24" t="s">
        <v>1200</v>
      </c>
      <c r="H2698" s="24" t="s">
        <v>670</v>
      </c>
      <c r="I2698" s="24" t="s">
        <v>2057</v>
      </c>
      <c r="J2698" s="24" t="s">
        <v>761</v>
      </c>
      <c r="K2698" s="24" t="s">
        <v>1352</v>
      </c>
      <c r="L2698" s="25">
        <v>1</v>
      </c>
      <c r="M2698" s="26">
        <v>5500</v>
      </c>
      <c r="N2698" s="27">
        <v>5</v>
      </c>
      <c r="O2698" s="28">
        <v>5</v>
      </c>
      <c r="P2698" s="28">
        <v>4.8672566371681416</v>
      </c>
    </row>
    <row r="2699" spans="1:16" x14ac:dyDescent="0.3">
      <c r="A2699" t="s">
        <v>5578</v>
      </c>
      <c r="B2699" s="24">
        <v>300054</v>
      </c>
      <c r="C2699" s="24" t="s">
        <v>1538</v>
      </c>
      <c r="D2699" s="24" t="s">
        <v>1102</v>
      </c>
      <c r="E2699" s="24" t="s">
        <v>632</v>
      </c>
      <c r="F2699" s="24" t="s">
        <v>1142</v>
      </c>
      <c r="G2699" s="24" t="s">
        <v>1200</v>
      </c>
      <c r="H2699" s="24" t="s">
        <v>670</v>
      </c>
      <c r="I2699" s="24" t="s">
        <v>2057</v>
      </c>
      <c r="J2699" s="24" t="s">
        <v>761</v>
      </c>
      <c r="K2699" s="24" t="s">
        <v>1352</v>
      </c>
      <c r="L2699" s="25">
        <v>1</v>
      </c>
      <c r="M2699" s="26">
        <v>5760</v>
      </c>
      <c r="N2699" s="27">
        <v>5.2363636363636363</v>
      </c>
      <c r="O2699" s="28">
        <v>5.2363636363636363</v>
      </c>
      <c r="P2699" s="28">
        <v>5.0973451327433628</v>
      </c>
    </row>
    <row r="2700" spans="1:16" x14ac:dyDescent="0.3">
      <c r="A2700" t="s">
        <v>5579</v>
      </c>
      <c r="B2700" s="24">
        <v>100702</v>
      </c>
      <c r="C2700" s="24" t="s">
        <v>1357</v>
      </c>
      <c r="D2700" s="24" t="s">
        <v>1102</v>
      </c>
      <c r="E2700" s="24" t="s">
        <v>632</v>
      </c>
      <c r="F2700" s="24" t="s">
        <v>1142</v>
      </c>
      <c r="G2700" s="24" t="s">
        <v>1200</v>
      </c>
      <c r="H2700" s="24" t="s">
        <v>676</v>
      </c>
      <c r="I2700" s="24" t="s">
        <v>2058</v>
      </c>
      <c r="J2700" s="24" t="s">
        <v>761</v>
      </c>
      <c r="K2700" s="24" t="s">
        <v>1352</v>
      </c>
      <c r="L2700" s="25">
        <v>1</v>
      </c>
      <c r="M2700" s="26">
        <v>5500</v>
      </c>
      <c r="N2700" s="27">
        <v>5</v>
      </c>
      <c r="O2700" s="28">
        <v>5</v>
      </c>
      <c r="P2700" s="28">
        <v>4.8672566371681416</v>
      </c>
    </row>
    <row r="2701" spans="1:16" x14ac:dyDescent="0.3">
      <c r="A2701" t="s">
        <v>5580</v>
      </c>
      <c r="B2701" s="24">
        <v>300009</v>
      </c>
      <c r="C2701" s="24" t="s">
        <v>1519</v>
      </c>
      <c r="D2701" s="24" t="s">
        <v>1102</v>
      </c>
      <c r="E2701" s="24" t="s">
        <v>632</v>
      </c>
      <c r="F2701" s="24" t="s">
        <v>1142</v>
      </c>
      <c r="G2701" s="24" t="s">
        <v>1200</v>
      </c>
      <c r="H2701" s="24" t="s">
        <v>676</v>
      </c>
      <c r="I2701" s="24" t="s">
        <v>2058</v>
      </c>
      <c r="J2701" s="24" t="s">
        <v>761</v>
      </c>
      <c r="K2701" s="24" t="s">
        <v>1352</v>
      </c>
      <c r="L2701" s="25">
        <v>1</v>
      </c>
      <c r="M2701" s="26">
        <v>5500</v>
      </c>
      <c r="N2701" s="27">
        <v>5</v>
      </c>
      <c r="O2701" s="28">
        <v>5</v>
      </c>
      <c r="P2701" s="28">
        <v>4.8672566371681416</v>
      </c>
    </row>
    <row r="2702" spans="1:16" x14ac:dyDescent="0.3">
      <c r="A2702" t="s">
        <v>5581</v>
      </c>
      <c r="B2702" s="24">
        <v>300013</v>
      </c>
      <c r="C2702" s="24" t="s">
        <v>1521</v>
      </c>
      <c r="D2702" s="24" t="s">
        <v>1102</v>
      </c>
      <c r="E2702" s="24" t="s">
        <v>632</v>
      </c>
      <c r="F2702" s="24" t="s">
        <v>1142</v>
      </c>
      <c r="G2702" s="24" t="s">
        <v>1200</v>
      </c>
      <c r="H2702" s="24" t="s">
        <v>676</v>
      </c>
      <c r="I2702" s="24" t="s">
        <v>2058</v>
      </c>
      <c r="J2702" s="24" t="s">
        <v>761</v>
      </c>
      <c r="K2702" s="24" t="s">
        <v>1352</v>
      </c>
      <c r="L2702" s="25">
        <v>1</v>
      </c>
      <c r="M2702" s="26">
        <v>5650</v>
      </c>
      <c r="N2702" s="27">
        <v>5.1363636363636367</v>
      </c>
      <c r="O2702" s="28">
        <v>5.1363636363636367</v>
      </c>
      <c r="P2702" s="28">
        <v>5</v>
      </c>
    </row>
    <row r="2703" spans="1:16" x14ac:dyDescent="0.3">
      <c r="A2703" t="s">
        <v>5582</v>
      </c>
      <c r="B2703" s="24">
        <v>100702</v>
      </c>
      <c r="C2703" s="24" t="s">
        <v>1357</v>
      </c>
      <c r="D2703" s="24" t="s">
        <v>1102</v>
      </c>
      <c r="E2703" s="24" t="s">
        <v>632</v>
      </c>
      <c r="F2703" s="24" t="s">
        <v>1142</v>
      </c>
      <c r="G2703" s="24" t="s">
        <v>1200</v>
      </c>
      <c r="H2703" s="24" t="s">
        <v>671</v>
      </c>
      <c r="I2703" s="24" t="s">
        <v>2059</v>
      </c>
      <c r="J2703" s="24" t="s">
        <v>761</v>
      </c>
      <c r="K2703" s="24" t="s">
        <v>1352</v>
      </c>
      <c r="L2703" s="25">
        <v>1</v>
      </c>
      <c r="M2703" s="26">
        <v>5300</v>
      </c>
      <c r="N2703" s="27">
        <v>4.8181818181818183</v>
      </c>
      <c r="O2703" s="28">
        <v>4.8181818181818183</v>
      </c>
      <c r="P2703" s="28">
        <v>4.6902654867256635</v>
      </c>
    </row>
    <row r="2704" spans="1:16" x14ac:dyDescent="0.3">
      <c r="A2704" t="s">
        <v>5583</v>
      </c>
      <c r="B2704" s="24">
        <v>300141</v>
      </c>
      <c r="C2704" s="24" t="s">
        <v>2060</v>
      </c>
      <c r="D2704" s="24" t="s">
        <v>1102</v>
      </c>
      <c r="E2704" s="24" t="s">
        <v>632</v>
      </c>
      <c r="F2704" s="24" t="s">
        <v>1142</v>
      </c>
      <c r="G2704" s="24" t="s">
        <v>1200</v>
      </c>
      <c r="H2704" s="24" t="s">
        <v>671</v>
      </c>
      <c r="I2704" s="24" t="s">
        <v>2059</v>
      </c>
      <c r="J2704" s="24" t="s">
        <v>761</v>
      </c>
      <c r="K2704" s="24" t="s">
        <v>1352</v>
      </c>
      <c r="L2704" s="25">
        <v>1</v>
      </c>
      <c r="M2704" s="26">
        <v>5700</v>
      </c>
      <c r="N2704" s="27">
        <v>5.1818181818181817</v>
      </c>
      <c r="O2704" s="28">
        <v>5.1818181818181817</v>
      </c>
      <c r="P2704" s="28">
        <v>5.0442477876106198</v>
      </c>
    </row>
    <row r="2705" spans="1:16" x14ac:dyDescent="0.3">
      <c r="A2705" t="s">
        <v>5584</v>
      </c>
      <c r="B2705" s="24">
        <v>100702</v>
      </c>
      <c r="C2705" s="24" t="s">
        <v>1357</v>
      </c>
      <c r="D2705" s="24" t="s">
        <v>1102</v>
      </c>
      <c r="E2705" s="24" t="s">
        <v>632</v>
      </c>
      <c r="F2705" s="24" t="s">
        <v>1142</v>
      </c>
      <c r="G2705" s="24" t="s">
        <v>1200</v>
      </c>
      <c r="H2705" s="24" t="s">
        <v>672</v>
      </c>
      <c r="I2705" s="24" t="s">
        <v>2059</v>
      </c>
      <c r="J2705" s="24" t="s">
        <v>761</v>
      </c>
      <c r="K2705" s="24" t="s">
        <v>1352</v>
      </c>
      <c r="L2705" s="25">
        <v>1</v>
      </c>
      <c r="M2705" s="26">
        <v>5450</v>
      </c>
      <c r="N2705" s="27">
        <v>4.9545454545454541</v>
      </c>
      <c r="O2705" s="28">
        <v>4.9545454545454541</v>
      </c>
      <c r="P2705" s="28">
        <v>4.8230088495575218</v>
      </c>
    </row>
    <row r="2706" spans="1:16" x14ac:dyDescent="0.3">
      <c r="A2706" t="s">
        <v>5585</v>
      </c>
      <c r="B2706" s="24">
        <v>300013</v>
      </c>
      <c r="C2706" s="24" t="s">
        <v>1521</v>
      </c>
      <c r="D2706" s="24" t="s">
        <v>1102</v>
      </c>
      <c r="E2706" s="24" t="s">
        <v>632</v>
      </c>
      <c r="F2706" s="24" t="s">
        <v>1142</v>
      </c>
      <c r="G2706" s="24" t="s">
        <v>1200</v>
      </c>
      <c r="H2706" s="24" t="s">
        <v>672</v>
      </c>
      <c r="I2706" s="24" t="s">
        <v>2059</v>
      </c>
      <c r="J2706" s="24" t="s">
        <v>761</v>
      </c>
      <c r="K2706" s="24" t="s">
        <v>1352</v>
      </c>
      <c r="L2706" s="25">
        <v>1</v>
      </c>
      <c r="M2706" s="26">
        <v>5850</v>
      </c>
      <c r="N2706" s="27">
        <v>5.3181818181818183</v>
      </c>
      <c r="O2706" s="28">
        <v>5.3181818181818183</v>
      </c>
      <c r="P2706" s="28">
        <v>5.1769911504424782</v>
      </c>
    </row>
    <row r="2707" spans="1:16" x14ac:dyDescent="0.3">
      <c r="A2707" t="s">
        <v>5586</v>
      </c>
      <c r="B2707" s="24">
        <v>100702</v>
      </c>
      <c r="C2707" s="24" t="s">
        <v>1357</v>
      </c>
      <c r="D2707" s="24" t="s">
        <v>1102</v>
      </c>
      <c r="E2707" s="24" t="s">
        <v>632</v>
      </c>
      <c r="F2707" s="24" t="s">
        <v>1142</v>
      </c>
      <c r="G2707" s="24" t="s">
        <v>1200</v>
      </c>
      <c r="H2707" s="24" t="s">
        <v>1098</v>
      </c>
      <c r="I2707" s="24" t="s">
        <v>2061</v>
      </c>
      <c r="J2707" s="24" t="s">
        <v>761</v>
      </c>
      <c r="K2707" s="24" t="s">
        <v>1352</v>
      </c>
      <c r="L2707" s="25">
        <v>1</v>
      </c>
      <c r="M2707" s="26">
        <v>5200</v>
      </c>
      <c r="N2707" s="27">
        <v>4.7272727272727275</v>
      </c>
      <c r="O2707" s="28">
        <v>4.7272727272727275</v>
      </c>
      <c r="P2707" s="28">
        <v>4.6017699115044248</v>
      </c>
    </row>
    <row r="2708" spans="1:16" x14ac:dyDescent="0.3">
      <c r="A2708" t="s">
        <v>5587</v>
      </c>
      <c r="B2708" s="24">
        <v>100702</v>
      </c>
      <c r="C2708" s="24" t="s">
        <v>1357</v>
      </c>
      <c r="D2708" s="24" t="s">
        <v>1102</v>
      </c>
      <c r="E2708" s="24" t="s">
        <v>632</v>
      </c>
      <c r="F2708" s="24" t="s">
        <v>1142</v>
      </c>
      <c r="G2708" s="24" t="s">
        <v>1200</v>
      </c>
      <c r="H2708" s="24" t="s">
        <v>673</v>
      </c>
      <c r="I2708" s="24" t="s">
        <v>2062</v>
      </c>
      <c r="J2708" s="24" t="s">
        <v>761</v>
      </c>
      <c r="K2708" s="24" t="s">
        <v>1352</v>
      </c>
      <c r="L2708" s="25">
        <v>1</v>
      </c>
      <c r="M2708" s="26">
        <v>4750</v>
      </c>
      <c r="N2708" s="27">
        <v>4.3181818181818183</v>
      </c>
      <c r="O2708" s="28">
        <v>4.3181818181818183</v>
      </c>
      <c r="P2708" s="28">
        <v>4.2035398230088497</v>
      </c>
    </row>
    <row r="2709" spans="1:16" x14ac:dyDescent="0.3">
      <c r="A2709" t="s">
        <v>5588</v>
      </c>
      <c r="B2709" s="24">
        <v>300013</v>
      </c>
      <c r="C2709" s="24" t="s">
        <v>1521</v>
      </c>
      <c r="D2709" s="24" t="s">
        <v>1102</v>
      </c>
      <c r="E2709" s="24" t="s">
        <v>632</v>
      </c>
      <c r="F2709" s="24" t="s">
        <v>1142</v>
      </c>
      <c r="G2709" s="24" t="s">
        <v>1200</v>
      </c>
      <c r="H2709" s="24" t="s">
        <v>673</v>
      </c>
      <c r="I2709" s="24" t="s">
        <v>2062</v>
      </c>
      <c r="J2709" s="24" t="s">
        <v>761</v>
      </c>
      <c r="K2709" s="24" t="s">
        <v>1352</v>
      </c>
      <c r="L2709" s="25">
        <v>1</v>
      </c>
      <c r="M2709" s="26">
        <v>4990</v>
      </c>
      <c r="N2709" s="27">
        <v>4.5363636363636362</v>
      </c>
      <c r="O2709" s="28">
        <v>4.5363636363636362</v>
      </c>
      <c r="P2709" s="28">
        <v>4.4159292035398234</v>
      </c>
    </row>
    <row r="2710" spans="1:16" x14ac:dyDescent="0.3">
      <c r="A2710" t="s">
        <v>5589</v>
      </c>
      <c r="B2710" s="24">
        <v>100702</v>
      </c>
      <c r="C2710" s="24" t="s">
        <v>1357</v>
      </c>
      <c r="D2710" s="24" t="s">
        <v>1102</v>
      </c>
      <c r="E2710" s="24" t="s">
        <v>632</v>
      </c>
      <c r="F2710" s="24" t="s">
        <v>1142</v>
      </c>
      <c r="G2710" s="24" t="s">
        <v>1200</v>
      </c>
      <c r="H2710" s="24" t="s">
        <v>674</v>
      </c>
      <c r="I2710" s="24" t="s">
        <v>2063</v>
      </c>
      <c r="J2710" s="24" t="s">
        <v>761</v>
      </c>
      <c r="K2710" s="24" t="s">
        <v>1352</v>
      </c>
      <c r="L2710" s="25">
        <v>1</v>
      </c>
      <c r="M2710" s="26">
        <v>4750</v>
      </c>
      <c r="N2710" s="27">
        <v>4.3181818181818183</v>
      </c>
      <c r="O2710" s="28">
        <v>4.3181818181818183</v>
      </c>
      <c r="P2710" s="28">
        <v>4.2035398230088497</v>
      </c>
    </row>
    <row r="2711" spans="1:16" x14ac:dyDescent="0.3">
      <c r="A2711" t="s">
        <v>5590</v>
      </c>
      <c r="B2711" s="24">
        <v>100702</v>
      </c>
      <c r="C2711" s="24" t="s">
        <v>1357</v>
      </c>
      <c r="D2711" s="24" t="s">
        <v>1102</v>
      </c>
      <c r="E2711" s="24" t="s">
        <v>632</v>
      </c>
      <c r="F2711" s="24" t="s">
        <v>1142</v>
      </c>
      <c r="G2711" s="24" t="s">
        <v>1200</v>
      </c>
      <c r="H2711" s="24" t="s">
        <v>669</v>
      </c>
      <c r="I2711" s="24" t="s">
        <v>2063</v>
      </c>
      <c r="J2711" s="24" t="s">
        <v>761</v>
      </c>
      <c r="K2711" s="24" t="s">
        <v>1352</v>
      </c>
      <c r="L2711" s="25">
        <v>1</v>
      </c>
      <c r="M2711" s="26">
        <v>4750</v>
      </c>
      <c r="N2711" s="27">
        <v>4.3181818181818183</v>
      </c>
      <c r="O2711" s="28">
        <v>4.3181818181818183</v>
      </c>
      <c r="P2711" s="28">
        <v>4.2035398230088497</v>
      </c>
    </row>
    <row r="2712" spans="1:16" x14ac:dyDescent="0.3">
      <c r="A2712" t="s">
        <v>5591</v>
      </c>
      <c r="B2712" s="24">
        <v>100702</v>
      </c>
      <c r="C2712" s="24" t="s">
        <v>1357</v>
      </c>
      <c r="D2712" s="24" t="s">
        <v>1102</v>
      </c>
      <c r="E2712" s="24" t="s">
        <v>632</v>
      </c>
      <c r="F2712" s="24" t="s">
        <v>1142</v>
      </c>
      <c r="G2712" s="24" t="s">
        <v>1200</v>
      </c>
      <c r="H2712" s="24" t="s">
        <v>682</v>
      </c>
      <c r="I2712" s="24" t="s">
        <v>2064</v>
      </c>
      <c r="J2712" s="24" t="s">
        <v>761</v>
      </c>
      <c r="K2712" s="24" t="s">
        <v>1352</v>
      </c>
      <c r="L2712" s="25">
        <v>1</v>
      </c>
      <c r="M2712" s="26">
        <v>19400</v>
      </c>
      <c r="N2712" s="27">
        <v>17.636363636363637</v>
      </c>
      <c r="O2712" s="28">
        <v>17.636363636363637</v>
      </c>
      <c r="P2712" s="28">
        <v>17.168141592920353</v>
      </c>
    </row>
    <row r="2713" spans="1:16" x14ac:dyDescent="0.3">
      <c r="A2713" t="s">
        <v>5592</v>
      </c>
      <c r="B2713" s="24">
        <v>102455</v>
      </c>
      <c r="C2713" s="24" t="s">
        <v>2065</v>
      </c>
      <c r="D2713" s="24" t="s">
        <v>1102</v>
      </c>
      <c r="E2713" s="24" t="s">
        <v>632</v>
      </c>
      <c r="F2713" s="24" t="s">
        <v>1142</v>
      </c>
      <c r="G2713" s="24" t="s">
        <v>1200</v>
      </c>
      <c r="H2713" s="24" t="s">
        <v>682</v>
      </c>
      <c r="I2713" s="24" t="s">
        <v>2064</v>
      </c>
      <c r="J2713" s="24" t="s">
        <v>761</v>
      </c>
      <c r="K2713" s="24" t="s">
        <v>1352</v>
      </c>
      <c r="L2713" s="25">
        <v>1</v>
      </c>
      <c r="M2713" s="26">
        <v>19400</v>
      </c>
      <c r="N2713" s="27">
        <v>17.636363636363637</v>
      </c>
      <c r="O2713" s="28">
        <v>17.636363636363637</v>
      </c>
      <c r="P2713" s="28">
        <v>17.168141592920353</v>
      </c>
    </row>
    <row r="2714" spans="1:16" x14ac:dyDescent="0.3">
      <c r="A2714" t="s">
        <v>5593</v>
      </c>
      <c r="B2714" s="24">
        <v>142336</v>
      </c>
      <c r="C2714" s="24" t="s">
        <v>1570</v>
      </c>
      <c r="D2714" s="24" t="s">
        <v>1102</v>
      </c>
      <c r="E2714" s="24" t="s">
        <v>632</v>
      </c>
      <c r="F2714" s="24" t="s">
        <v>1142</v>
      </c>
      <c r="G2714" s="24" t="s">
        <v>1200</v>
      </c>
      <c r="H2714" s="24" t="s">
        <v>682</v>
      </c>
      <c r="I2714" s="24" t="s">
        <v>2064</v>
      </c>
      <c r="J2714" s="24" t="s">
        <v>761</v>
      </c>
      <c r="K2714" s="24" t="s">
        <v>1352</v>
      </c>
      <c r="L2714" s="25">
        <v>1</v>
      </c>
      <c r="M2714" s="26">
        <v>19400</v>
      </c>
      <c r="N2714" s="27">
        <v>17.636363636363637</v>
      </c>
      <c r="O2714" s="28">
        <v>17.636363636363637</v>
      </c>
      <c r="P2714" s="28">
        <v>17.168141592920353</v>
      </c>
    </row>
    <row r="2715" spans="1:16" x14ac:dyDescent="0.3">
      <c r="A2715" t="s">
        <v>5594</v>
      </c>
      <c r="B2715" s="24">
        <v>300009</v>
      </c>
      <c r="C2715" s="24" t="s">
        <v>1519</v>
      </c>
      <c r="D2715" s="24" t="s">
        <v>1102</v>
      </c>
      <c r="E2715" s="24" t="s">
        <v>632</v>
      </c>
      <c r="F2715" s="24" t="s">
        <v>1142</v>
      </c>
      <c r="G2715" s="24" t="s">
        <v>1200</v>
      </c>
      <c r="H2715" s="24" t="s">
        <v>682</v>
      </c>
      <c r="I2715" s="24" t="s">
        <v>2064</v>
      </c>
      <c r="J2715" s="24" t="s">
        <v>761</v>
      </c>
      <c r="K2715" s="24" t="s">
        <v>1352</v>
      </c>
      <c r="L2715" s="25">
        <v>1</v>
      </c>
      <c r="M2715" s="26">
        <v>18000</v>
      </c>
      <c r="N2715" s="27">
        <v>16.363636363636363</v>
      </c>
      <c r="O2715" s="28">
        <v>16.363636363636363</v>
      </c>
      <c r="P2715" s="28">
        <v>15.929203539823009</v>
      </c>
    </row>
    <row r="2716" spans="1:16" x14ac:dyDescent="0.3">
      <c r="A2716" t="s">
        <v>5595</v>
      </c>
      <c r="B2716" s="24">
        <v>300013</v>
      </c>
      <c r="C2716" s="24" t="s">
        <v>1521</v>
      </c>
      <c r="D2716" s="24" t="s">
        <v>1102</v>
      </c>
      <c r="E2716" s="24" t="s">
        <v>632</v>
      </c>
      <c r="F2716" s="24" t="s">
        <v>1142</v>
      </c>
      <c r="G2716" s="24" t="s">
        <v>1200</v>
      </c>
      <c r="H2716" s="24" t="s">
        <v>682</v>
      </c>
      <c r="I2716" s="24" t="s">
        <v>2064</v>
      </c>
      <c r="J2716" s="24" t="s">
        <v>761</v>
      </c>
      <c r="K2716" s="24" t="s">
        <v>1352</v>
      </c>
      <c r="L2716" s="25">
        <v>1</v>
      </c>
      <c r="M2716" s="26">
        <v>18000</v>
      </c>
      <c r="N2716" s="27">
        <v>16.363636363636363</v>
      </c>
      <c r="O2716" s="28">
        <v>16.363636363636363</v>
      </c>
      <c r="P2716" s="28">
        <v>15.929203539823009</v>
      </c>
    </row>
    <row r="2717" spans="1:16" x14ac:dyDescent="0.3">
      <c r="A2717" t="s">
        <v>5596</v>
      </c>
      <c r="B2717" s="24">
        <v>300054</v>
      </c>
      <c r="C2717" s="24" t="s">
        <v>1538</v>
      </c>
      <c r="D2717" s="24" t="s">
        <v>1102</v>
      </c>
      <c r="E2717" s="24" t="s">
        <v>632</v>
      </c>
      <c r="F2717" s="24" t="s">
        <v>1142</v>
      </c>
      <c r="G2717" s="24" t="s">
        <v>1200</v>
      </c>
      <c r="H2717" s="24" t="s">
        <v>682</v>
      </c>
      <c r="I2717" s="24" t="s">
        <v>2064</v>
      </c>
      <c r="J2717" s="24" t="s">
        <v>761</v>
      </c>
      <c r="K2717" s="24" t="s">
        <v>1352</v>
      </c>
      <c r="L2717" s="25">
        <v>1</v>
      </c>
      <c r="M2717" s="26">
        <v>18000</v>
      </c>
      <c r="N2717" s="27">
        <v>16.363636363636363</v>
      </c>
      <c r="O2717" s="28">
        <v>16.363636363636363</v>
      </c>
      <c r="P2717" s="28">
        <v>15.929203539823009</v>
      </c>
    </row>
    <row r="2718" spans="1:16" x14ac:dyDescent="0.3">
      <c r="A2718" t="s">
        <v>5597</v>
      </c>
      <c r="B2718" s="24">
        <v>102455</v>
      </c>
      <c r="C2718" s="24" t="s">
        <v>2065</v>
      </c>
      <c r="D2718" s="24" t="s">
        <v>1102</v>
      </c>
      <c r="E2718" s="24" t="s">
        <v>632</v>
      </c>
      <c r="F2718" s="24" t="s">
        <v>1142</v>
      </c>
      <c r="G2718" s="24" t="s">
        <v>1200</v>
      </c>
      <c r="H2718" s="24" t="s">
        <v>683</v>
      </c>
      <c r="I2718" s="24" t="s">
        <v>2064</v>
      </c>
      <c r="J2718" s="24" t="s">
        <v>761</v>
      </c>
      <c r="K2718" s="24" t="s">
        <v>1352</v>
      </c>
      <c r="L2718" s="25">
        <v>1</v>
      </c>
      <c r="M2718" s="26">
        <v>20400</v>
      </c>
      <c r="N2718" s="27">
        <v>18.545454545454547</v>
      </c>
      <c r="O2718" s="28">
        <v>18.545454545454547</v>
      </c>
      <c r="P2718" s="28">
        <v>18.053097345132745</v>
      </c>
    </row>
    <row r="2719" spans="1:16" x14ac:dyDescent="0.3">
      <c r="A2719" t="s">
        <v>5598</v>
      </c>
      <c r="B2719" s="24">
        <v>300013</v>
      </c>
      <c r="C2719" s="24" t="s">
        <v>1521</v>
      </c>
      <c r="D2719" s="24" t="s">
        <v>1102</v>
      </c>
      <c r="E2719" s="24" t="s">
        <v>632</v>
      </c>
      <c r="F2719" s="24" t="s">
        <v>1142</v>
      </c>
      <c r="G2719" s="24" t="s">
        <v>1200</v>
      </c>
      <c r="H2719" s="24" t="s">
        <v>683</v>
      </c>
      <c r="I2719" s="24" t="s">
        <v>2064</v>
      </c>
      <c r="J2719" s="24" t="s">
        <v>761</v>
      </c>
      <c r="K2719" s="24" t="s">
        <v>1352</v>
      </c>
      <c r="L2719" s="25">
        <v>1</v>
      </c>
      <c r="M2719" s="26">
        <v>19000</v>
      </c>
      <c r="N2719" s="27">
        <v>17.272727272727273</v>
      </c>
      <c r="O2719" s="28">
        <v>17.272727272727273</v>
      </c>
      <c r="P2719" s="28">
        <v>16.814159292035399</v>
      </c>
    </row>
    <row r="2720" spans="1:16" x14ac:dyDescent="0.3">
      <c r="A2720" t="s">
        <v>5599</v>
      </c>
      <c r="B2720" s="24">
        <v>100702</v>
      </c>
      <c r="C2720" s="24" t="s">
        <v>1357</v>
      </c>
      <c r="D2720" s="24" t="s">
        <v>1102</v>
      </c>
      <c r="E2720" s="24" t="s">
        <v>632</v>
      </c>
      <c r="F2720" s="24" t="s">
        <v>1142</v>
      </c>
      <c r="G2720" s="24" t="s">
        <v>1200</v>
      </c>
      <c r="H2720" s="24" t="s">
        <v>684</v>
      </c>
      <c r="I2720" s="24" t="s">
        <v>2066</v>
      </c>
      <c r="J2720" s="24" t="s">
        <v>761</v>
      </c>
      <c r="K2720" s="24" t="s">
        <v>1352</v>
      </c>
      <c r="L2720" s="25">
        <v>1</v>
      </c>
      <c r="M2720" s="26">
        <v>12000</v>
      </c>
      <c r="N2720" s="27">
        <v>10.909090909090908</v>
      </c>
      <c r="O2720" s="28">
        <v>10.909090909090908</v>
      </c>
      <c r="P2720" s="28">
        <v>10.619469026548673</v>
      </c>
    </row>
    <row r="2721" spans="1:16" x14ac:dyDescent="0.3">
      <c r="A2721" t="s">
        <v>5600</v>
      </c>
      <c r="B2721" s="24">
        <v>300009</v>
      </c>
      <c r="C2721" s="24" t="s">
        <v>1519</v>
      </c>
      <c r="D2721" s="24" t="s">
        <v>1102</v>
      </c>
      <c r="E2721" s="24" t="s">
        <v>632</v>
      </c>
      <c r="F2721" s="24" t="s">
        <v>1142</v>
      </c>
      <c r="G2721" s="24" t="s">
        <v>1200</v>
      </c>
      <c r="H2721" s="24" t="s">
        <v>684</v>
      </c>
      <c r="I2721" s="24" t="s">
        <v>2066</v>
      </c>
      <c r="J2721" s="24" t="s">
        <v>761</v>
      </c>
      <c r="K2721" s="24" t="s">
        <v>1352</v>
      </c>
      <c r="L2721" s="25">
        <v>1</v>
      </c>
      <c r="M2721" s="26">
        <v>12000</v>
      </c>
      <c r="N2721" s="27">
        <v>10.909090909090908</v>
      </c>
      <c r="O2721" s="28">
        <v>10.909090909090908</v>
      </c>
      <c r="P2721" s="28">
        <v>10.619469026548673</v>
      </c>
    </row>
    <row r="2722" spans="1:16" x14ac:dyDescent="0.3">
      <c r="A2722" t="s">
        <v>5601</v>
      </c>
      <c r="B2722" s="24">
        <v>142336</v>
      </c>
      <c r="C2722" s="24" t="s">
        <v>1570</v>
      </c>
      <c r="D2722" s="24" t="s">
        <v>1102</v>
      </c>
      <c r="E2722" s="24" t="s">
        <v>632</v>
      </c>
      <c r="F2722" s="24" t="s">
        <v>1142</v>
      </c>
      <c r="G2722" s="24" t="s">
        <v>1200</v>
      </c>
      <c r="H2722" s="24" t="s">
        <v>685</v>
      </c>
      <c r="I2722" s="24" t="s">
        <v>2067</v>
      </c>
      <c r="J2722" s="24" t="s">
        <v>761</v>
      </c>
      <c r="K2722" s="24" t="s">
        <v>1352</v>
      </c>
      <c r="L2722" s="25">
        <v>1</v>
      </c>
      <c r="M2722" s="26">
        <v>12000</v>
      </c>
      <c r="N2722" s="27">
        <v>10.909090909090908</v>
      </c>
      <c r="O2722" s="28">
        <v>10.909090909090908</v>
      </c>
      <c r="P2722" s="28">
        <v>10.619469026548673</v>
      </c>
    </row>
    <row r="2723" spans="1:16" x14ac:dyDescent="0.3">
      <c r="A2723" t="s">
        <v>5602</v>
      </c>
      <c r="B2723" s="24">
        <v>300009</v>
      </c>
      <c r="C2723" s="24" t="s">
        <v>1519</v>
      </c>
      <c r="D2723" s="24" t="s">
        <v>1102</v>
      </c>
      <c r="E2723" s="24" t="s">
        <v>632</v>
      </c>
      <c r="F2723" s="24" t="s">
        <v>1142</v>
      </c>
      <c r="G2723" s="24" t="s">
        <v>1200</v>
      </c>
      <c r="H2723" s="24" t="s">
        <v>685</v>
      </c>
      <c r="I2723" s="24" t="s">
        <v>2067</v>
      </c>
      <c r="J2723" s="24" t="s">
        <v>761</v>
      </c>
      <c r="K2723" s="24" t="s">
        <v>1352</v>
      </c>
      <c r="L2723" s="25">
        <v>1</v>
      </c>
      <c r="M2723" s="26">
        <v>12000</v>
      </c>
      <c r="N2723" s="27">
        <v>10.909090909090908</v>
      </c>
      <c r="O2723" s="28">
        <v>10.909090909090908</v>
      </c>
      <c r="P2723" s="28">
        <v>10.619469026548673</v>
      </c>
    </row>
    <row r="2724" spans="1:16" x14ac:dyDescent="0.3">
      <c r="A2724" t="s">
        <v>5603</v>
      </c>
      <c r="B2724" s="24">
        <v>300013</v>
      </c>
      <c r="C2724" s="24" t="s">
        <v>1521</v>
      </c>
      <c r="D2724" s="24" t="s">
        <v>1102</v>
      </c>
      <c r="E2724" s="24" t="s">
        <v>632</v>
      </c>
      <c r="F2724" s="24" t="s">
        <v>1142</v>
      </c>
      <c r="G2724" s="24" t="s">
        <v>1200</v>
      </c>
      <c r="H2724" s="24" t="s">
        <v>685</v>
      </c>
      <c r="I2724" s="24" t="s">
        <v>2067</v>
      </c>
      <c r="J2724" s="24" t="s">
        <v>761</v>
      </c>
      <c r="K2724" s="24" t="s">
        <v>1352</v>
      </c>
      <c r="L2724" s="25">
        <v>1</v>
      </c>
      <c r="M2724" s="26">
        <v>12000</v>
      </c>
      <c r="N2724" s="27">
        <v>10.909090909090908</v>
      </c>
      <c r="O2724" s="28">
        <v>10.909090909090908</v>
      </c>
      <c r="P2724" s="28">
        <v>10.619469026548673</v>
      </c>
    </row>
    <row r="2725" spans="1:16" x14ac:dyDescent="0.3">
      <c r="A2725" t="s">
        <v>5604</v>
      </c>
      <c r="B2725" s="24">
        <v>100702</v>
      </c>
      <c r="C2725" s="24" t="s">
        <v>1357</v>
      </c>
      <c r="D2725" s="24" t="s">
        <v>1102</v>
      </c>
      <c r="E2725" s="24" t="s">
        <v>632</v>
      </c>
      <c r="F2725" s="24" t="s">
        <v>1142</v>
      </c>
      <c r="G2725" s="24" t="s">
        <v>1200</v>
      </c>
      <c r="H2725" s="24" t="s">
        <v>686</v>
      </c>
      <c r="I2725" s="24" t="s">
        <v>2068</v>
      </c>
      <c r="J2725" s="24" t="s">
        <v>761</v>
      </c>
      <c r="K2725" s="24" t="s">
        <v>1352</v>
      </c>
      <c r="L2725" s="25">
        <v>1</v>
      </c>
      <c r="M2725" s="26">
        <v>12000</v>
      </c>
      <c r="N2725" s="27">
        <v>10.909090909090908</v>
      </c>
      <c r="O2725" s="28">
        <v>10.909090909090908</v>
      </c>
      <c r="P2725" s="28">
        <v>10.619469026548673</v>
      </c>
    </row>
    <row r="2726" spans="1:16" x14ac:dyDescent="0.3">
      <c r="A2726" t="s">
        <v>5605</v>
      </c>
      <c r="B2726" s="24">
        <v>102455</v>
      </c>
      <c r="C2726" s="24" t="s">
        <v>2065</v>
      </c>
      <c r="D2726" s="24" t="s">
        <v>1102</v>
      </c>
      <c r="E2726" s="24" t="s">
        <v>632</v>
      </c>
      <c r="F2726" s="24" t="s">
        <v>1142</v>
      </c>
      <c r="G2726" s="24" t="s">
        <v>1200</v>
      </c>
      <c r="H2726" s="24" t="s">
        <v>686</v>
      </c>
      <c r="I2726" s="24" t="s">
        <v>2068</v>
      </c>
      <c r="J2726" s="24" t="s">
        <v>761</v>
      </c>
      <c r="K2726" s="24" t="s">
        <v>1352</v>
      </c>
      <c r="L2726" s="25">
        <v>1</v>
      </c>
      <c r="M2726" s="26">
        <v>12000</v>
      </c>
      <c r="N2726" s="27">
        <v>10.909090909090908</v>
      </c>
      <c r="O2726" s="28">
        <v>10.909090909090908</v>
      </c>
      <c r="P2726" s="28">
        <v>10.619469026548673</v>
      </c>
    </row>
    <row r="2727" spans="1:16" x14ac:dyDescent="0.3">
      <c r="A2727" t="s">
        <v>5606</v>
      </c>
      <c r="B2727" s="24">
        <v>300009</v>
      </c>
      <c r="C2727" s="24" t="s">
        <v>1519</v>
      </c>
      <c r="D2727" s="24" t="s">
        <v>1102</v>
      </c>
      <c r="E2727" s="24" t="s">
        <v>632</v>
      </c>
      <c r="F2727" s="24" t="s">
        <v>1142</v>
      </c>
      <c r="G2727" s="24" t="s">
        <v>1200</v>
      </c>
      <c r="H2727" s="24" t="s">
        <v>686</v>
      </c>
      <c r="I2727" s="24" t="s">
        <v>2068</v>
      </c>
      <c r="J2727" s="24" t="s">
        <v>761</v>
      </c>
      <c r="K2727" s="24" t="s">
        <v>1352</v>
      </c>
      <c r="L2727" s="25">
        <v>1</v>
      </c>
      <c r="M2727" s="26">
        <v>12000</v>
      </c>
      <c r="N2727" s="27">
        <v>10.909090909090908</v>
      </c>
      <c r="O2727" s="28">
        <v>10.909090909090908</v>
      </c>
      <c r="P2727" s="28">
        <v>10.619469026548673</v>
      </c>
    </row>
    <row r="2728" spans="1:16" x14ac:dyDescent="0.3">
      <c r="A2728" t="s">
        <v>5607</v>
      </c>
      <c r="B2728" s="24">
        <v>300013</v>
      </c>
      <c r="C2728" s="24" t="s">
        <v>1521</v>
      </c>
      <c r="D2728" s="24" t="s">
        <v>1102</v>
      </c>
      <c r="E2728" s="24" t="s">
        <v>632</v>
      </c>
      <c r="F2728" s="24" t="s">
        <v>1142</v>
      </c>
      <c r="G2728" s="24" t="s">
        <v>1200</v>
      </c>
      <c r="H2728" s="24" t="s">
        <v>686</v>
      </c>
      <c r="I2728" s="24" t="s">
        <v>2068</v>
      </c>
      <c r="J2728" s="24" t="s">
        <v>761</v>
      </c>
      <c r="K2728" s="24" t="s">
        <v>1352</v>
      </c>
      <c r="L2728" s="25">
        <v>1</v>
      </c>
      <c r="M2728" s="26">
        <v>12000</v>
      </c>
      <c r="N2728" s="27">
        <v>10.909090909090908</v>
      </c>
      <c r="O2728" s="28">
        <v>10.909090909090908</v>
      </c>
      <c r="P2728" s="28">
        <v>10.619469026548673</v>
      </c>
    </row>
    <row r="2729" spans="1:16" x14ac:dyDescent="0.3">
      <c r="A2729" t="s">
        <v>5608</v>
      </c>
      <c r="B2729" s="24">
        <v>100702</v>
      </c>
      <c r="C2729" s="24" t="s">
        <v>1357</v>
      </c>
      <c r="D2729" s="24" t="s">
        <v>1102</v>
      </c>
      <c r="E2729" s="24" t="s">
        <v>632</v>
      </c>
      <c r="F2729" s="24" t="s">
        <v>1142</v>
      </c>
      <c r="G2729" s="24" t="s">
        <v>1200</v>
      </c>
      <c r="H2729" s="24" t="s">
        <v>687</v>
      </c>
      <c r="I2729" s="24" t="s">
        <v>2069</v>
      </c>
      <c r="J2729" s="24" t="s">
        <v>761</v>
      </c>
      <c r="K2729" s="24" t="s">
        <v>1352</v>
      </c>
      <c r="L2729" s="25">
        <v>1</v>
      </c>
      <c r="M2729" s="26">
        <v>13000</v>
      </c>
      <c r="N2729" s="27">
        <v>11.818181818181818</v>
      </c>
      <c r="O2729" s="28">
        <v>11.818181818181818</v>
      </c>
      <c r="P2729" s="28">
        <v>11.504424778761061</v>
      </c>
    </row>
    <row r="2730" spans="1:16" x14ac:dyDescent="0.3">
      <c r="A2730" t="s">
        <v>5609</v>
      </c>
      <c r="B2730" s="24">
        <v>102455</v>
      </c>
      <c r="C2730" s="24" t="s">
        <v>2065</v>
      </c>
      <c r="D2730" s="24" t="s">
        <v>1102</v>
      </c>
      <c r="E2730" s="24" t="s">
        <v>632</v>
      </c>
      <c r="F2730" s="24" t="s">
        <v>1142</v>
      </c>
      <c r="G2730" s="24" t="s">
        <v>1200</v>
      </c>
      <c r="H2730" s="24" t="s">
        <v>687</v>
      </c>
      <c r="I2730" s="24" t="s">
        <v>2069</v>
      </c>
      <c r="J2730" s="24" t="s">
        <v>761</v>
      </c>
      <c r="K2730" s="24" t="s">
        <v>1352</v>
      </c>
      <c r="L2730" s="25">
        <v>1</v>
      </c>
      <c r="M2730" s="26">
        <v>13000</v>
      </c>
      <c r="N2730" s="27">
        <v>11.818181818181818</v>
      </c>
      <c r="O2730" s="28">
        <v>11.818181818181818</v>
      </c>
      <c r="P2730" s="28">
        <v>11.504424778761061</v>
      </c>
    </row>
    <row r="2731" spans="1:16" x14ac:dyDescent="0.3">
      <c r="A2731" t="s">
        <v>5610</v>
      </c>
      <c r="B2731" s="24">
        <v>300009</v>
      </c>
      <c r="C2731" s="24" t="s">
        <v>1519</v>
      </c>
      <c r="D2731" s="24" t="s">
        <v>1102</v>
      </c>
      <c r="E2731" s="24" t="s">
        <v>632</v>
      </c>
      <c r="F2731" s="24" t="s">
        <v>1142</v>
      </c>
      <c r="G2731" s="24" t="s">
        <v>1200</v>
      </c>
      <c r="H2731" s="24" t="s">
        <v>687</v>
      </c>
      <c r="I2731" s="24" t="s">
        <v>2069</v>
      </c>
      <c r="J2731" s="24" t="s">
        <v>761</v>
      </c>
      <c r="K2731" s="24" t="s">
        <v>1352</v>
      </c>
      <c r="L2731" s="25">
        <v>1</v>
      </c>
      <c r="M2731" s="26">
        <v>13000</v>
      </c>
      <c r="N2731" s="27">
        <v>11.818181818181818</v>
      </c>
      <c r="O2731" s="28">
        <v>11.818181818181818</v>
      </c>
      <c r="P2731" s="28">
        <v>11.504424778761061</v>
      </c>
    </row>
    <row r="2732" spans="1:16" x14ac:dyDescent="0.3">
      <c r="A2732" t="s">
        <v>5611</v>
      </c>
      <c r="B2732" s="24">
        <v>300141</v>
      </c>
      <c r="C2732" s="24" t="s">
        <v>2060</v>
      </c>
      <c r="D2732" s="24" t="s">
        <v>1102</v>
      </c>
      <c r="E2732" s="24" t="s">
        <v>632</v>
      </c>
      <c r="F2732" s="24" t="s">
        <v>1142</v>
      </c>
      <c r="G2732" s="24" t="s">
        <v>1200</v>
      </c>
      <c r="H2732" s="24" t="s">
        <v>687</v>
      </c>
      <c r="I2732" s="24" t="s">
        <v>2069</v>
      </c>
      <c r="J2732" s="24" t="s">
        <v>761</v>
      </c>
      <c r="K2732" s="24" t="s">
        <v>1352</v>
      </c>
      <c r="L2732" s="25">
        <v>1</v>
      </c>
      <c r="M2732" s="26">
        <v>13000</v>
      </c>
      <c r="N2732" s="27">
        <v>11.818181818181818</v>
      </c>
      <c r="O2732" s="28">
        <v>11.818181818181818</v>
      </c>
      <c r="P2732" s="28">
        <v>11.504424778761061</v>
      </c>
    </row>
    <row r="2733" spans="1:16" x14ac:dyDescent="0.3">
      <c r="A2733" t="s">
        <v>5612</v>
      </c>
      <c r="B2733" s="24">
        <v>100702</v>
      </c>
      <c r="C2733" s="24" t="s">
        <v>1357</v>
      </c>
      <c r="D2733" s="24" t="s">
        <v>1102</v>
      </c>
      <c r="E2733" s="24" t="s">
        <v>632</v>
      </c>
      <c r="F2733" s="24" t="s">
        <v>1142</v>
      </c>
      <c r="G2733" s="24" t="s">
        <v>1200</v>
      </c>
      <c r="H2733" s="24" t="s">
        <v>691</v>
      </c>
      <c r="I2733" s="24" t="s">
        <v>2070</v>
      </c>
      <c r="J2733" s="24" t="s">
        <v>761</v>
      </c>
      <c r="K2733" s="24" t="s">
        <v>1352</v>
      </c>
      <c r="L2733" s="25">
        <v>1</v>
      </c>
      <c r="M2733" s="26">
        <v>23000</v>
      </c>
      <c r="N2733" s="27">
        <v>20.90909090909091</v>
      </c>
      <c r="O2733" s="28">
        <v>20.90909090909091</v>
      </c>
      <c r="P2733" s="28">
        <v>20.353982300884955</v>
      </c>
    </row>
    <row r="2734" spans="1:16" x14ac:dyDescent="0.3">
      <c r="A2734" t="s">
        <v>5613</v>
      </c>
      <c r="B2734" s="24">
        <v>100702</v>
      </c>
      <c r="C2734" s="24" t="s">
        <v>1357</v>
      </c>
      <c r="D2734" s="24" t="s">
        <v>1102</v>
      </c>
      <c r="E2734" s="24" t="s">
        <v>632</v>
      </c>
      <c r="F2734" s="24" t="s">
        <v>1142</v>
      </c>
      <c r="G2734" s="24" t="s">
        <v>1200</v>
      </c>
      <c r="H2734" s="24" t="s">
        <v>692</v>
      </c>
      <c r="I2734" s="24" t="s">
        <v>2071</v>
      </c>
      <c r="J2734" s="24" t="s">
        <v>761</v>
      </c>
      <c r="K2734" s="24" t="s">
        <v>1352</v>
      </c>
      <c r="L2734" s="25">
        <v>1</v>
      </c>
      <c r="M2734" s="26">
        <v>23000</v>
      </c>
      <c r="N2734" s="27">
        <v>20.90909090909091</v>
      </c>
      <c r="O2734" s="28">
        <v>20.90909090909091</v>
      </c>
      <c r="P2734" s="28">
        <v>20.353982300884955</v>
      </c>
    </row>
    <row r="2735" spans="1:16" x14ac:dyDescent="0.3">
      <c r="A2735" t="s">
        <v>5614</v>
      </c>
      <c r="B2735" s="24">
        <v>100702</v>
      </c>
      <c r="C2735" s="24" t="s">
        <v>1357</v>
      </c>
      <c r="D2735" s="24" t="s">
        <v>1102</v>
      </c>
      <c r="E2735" s="24" t="s">
        <v>632</v>
      </c>
      <c r="F2735" s="24" t="s">
        <v>1142</v>
      </c>
      <c r="G2735" s="24" t="s">
        <v>1200</v>
      </c>
      <c r="H2735" s="24" t="s">
        <v>1121</v>
      </c>
      <c r="I2735" s="24" t="s">
        <v>2072</v>
      </c>
      <c r="J2735" s="24" t="s">
        <v>761</v>
      </c>
      <c r="K2735" s="24" t="s">
        <v>1352</v>
      </c>
      <c r="L2735" s="25">
        <v>1</v>
      </c>
      <c r="M2735" s="26">
        <v>25500</v>
      </c>
      <c r="N2735" s="27">
        <v>23.181818181818183</v>
      </c>
      <c r="O2735" s="28">
        <v>23.181818181818183</v>
      </c>
      <c r="P2735" s="28">
        <v>22.56637168141593</v>
      </c>
    </row>
    <row r="2736" spans="1:16" x14ac:dyDescent="0.3">
      <c r="A2736" t="s">
        <v>5615</v>
      </c>
      <c r="B2736" s="24">
        <v>100702</v>
      </c>
      <c r="C2736" s="24" t="s">
        <v>1357</v>
      </c>
      <c r="D2736" s="24" t="s">
        <v>1102</v>
      </c>
      <c r="E2736" s="24" t="s">
        <v>632</v>
      </c>
      <c r="F2736" s="24" t="s">
        <v>1142</v>
      </c>
      <c r="G2736" s="24" t="s">
        <v>1200</v>
      </c>
      <c r="H2736" s="24" t="s">
        <v>693</v>
      </c>
      <c r="I2736" s="24" t="s">
        <v>2073</v>
      </c>
      <c r="J2736" s="24" t="s">
        <v>761</v>
      </c>
      <c r="K2736" s="24" t="s">
        <v>1352</v>
      </c>
      <c r="L2736" s="25">
        <v>1</v>
      </c>
      <c r="M2736" s="26">
        <v>23000</v>
      </c>
      <c r="N2736" s="27">
        <v>20.90909090909091</v>
      </c>
      <c r="O2736" s="28">
        <v>20.90909090909091</v>
      </c>
      <c r="P2736" s="28">
        <v>20.353982300884955</v>
      </c>
    </row>
    <row r="2737" spans="1:16" x14ac:dyDescent="0.3">
      <c r="A2737" t="s">
        <v>5616</v>
      </c>
      <c r="B2737" s="24">
        <v>102455</v>
      </c>
      <c r="C2737" s="24" t="s">
        <v>2065</v>
      </c>
      <c r="D2737" s="24" t="s">
        <v>1102</v>
      </c>
      <c r="E2737" s="24" t="s">
        <v>632</v>
      </c>
      <c r="F2737" s="24" t="s">
        <v>1142</v>
      </c>
      <c r="G2737" s="24" t="s">
        <v>1200</v>
      </c>
      <c r="H2737" s="24" t="s">
        <v>690</v>
      </c>
      <c r="I2737" s="24" t="s">
        <v>2074</v>
      </c>
      <c r="J2737" s="24" t="s">
        <v>761</v>
      </c>
      <c r="K2737" s="24" t="s">
        <v>1352</v>
      </c>
      <c r="L2737" s="25">
        <v>1</v>
      </c>
      <c r="M2737" s="26">
        <v>25000</v>
      </c>
      <c r="N2737" s="27">
        <v>22.727272727272727</v>
      </c>
      <c r="O2737" s="28">
        <v>22.727272727272727</v>
      </c>
      <c r="P2737" s="28">
        <v>22.123893805309734</v>
      </c>
    </row>
    <row r="2738" spans="1:16" x14ac:dyDescent="0.3">
      <c r="A2738" t="s">
        <v>5617</v>
      </c>
      <c r="B2738" s="24">
        <v>300013</v>
      </c>
      <c r="C2738" s="24" t="s">
        <v>1521</v>
      </c>
      <c r="D2738" s="24" t="s">
        <v>1102</v>
      </c>
      <c r="E2738" s="24" t="s">
        <v>632</v>
      </c>
      <c r="F2738" s="24" t="s">
        <v>1142</v>
      </c>
      <c r="G2738" s="24" t="s">
        <v>1200</v>
      </c>
      <c r="H2738" s="24" t="s">
        <v>690</v>
      </c>
      <c r="I2738" s="24" t="s">
        <v>2074</v>
      </c>
      <c r="J2738" s="24" t="s">
        <v>761</v>
      </c>
      <c r="K2738" s="24" t="s">
        <v>1352</v>
      </c>
      <c r="L2738" s="25">
        <v>1</v>
      </c>
      <c r="M2738" s="26">
        <v>23000</v>
      </c>
      <c r="N2738" s="27">
        <v>20.90909090909091</v>
      </c>
      <c r="O2738" s="28">
        <v>20.90909090909091</v>
      </c>
      <c r="P2738" s="28">
        <v>20.353982300884955</v>
      </c>
    </row>
    <row r="2739" spans="1:16" x14ac:dyDescent="0.3">
      <c r="A2739" t="s">
        <v>5618</v>
      </c>
      <c r="B2739" s="24">
        <v>300054</v>
      </c>
      <c r="C2739" s="24" t="s">
        <v>1538</v>
      </c>
      <c r="D2739" s="24" t="s">
        <v>1102</v>
      </c>
      <c r="E2739" s="24" t="s">
        <v>632</v>
      </c>
      <c r="F2739" s="24" t="s">
        <v>1142</v>
      </c>
      <c r="G2739" s="24" t="s">
        <v>1200</v>
      </c>
      <c r="H2739" s="24" t="s">
        <v>690</v>
      </c>
      <c r="I2739" s="24" t="s">
        <v>2074</v>
      </c>
      <c r="J2739" s="24" t="s">
        <v>761</v>
      </c>
      <c r="K2739" s="24" t="s">
        <v>1352</v>
      </c>
      <c r="L2739" s="25">
        <v>1</v>
      </c>
      <c r="M2739" s="26">
        <v>25000</v>
      </c>
      <c r="N2739" s="27">
        <v>22.727272727272727</v>
      </c>
      <c r="O2739" s="28">
        <v>22.727272727272727</v>
      </c>
      <c r="P2739" s="28">
        <v>22.123893805309734</v>
      </c>
    </row>
    <row r="2740" spans="1:16" x14ac:dyDescent="0.3">
      <c r="A2740" t="s">
        <v>5619</v>
      </c>
      <c r="B2740" s="24">
        <v>300013</v>
      </c>
      <c r="C2740" s="24" t="s">
        <v>1521</v>
      </c>
      <c r="D2740" s="24" t="s">
        <v>1102</v>
      </c>
      <c r="E2740" s="24" t="s">
        <v>632</v>
      </c>
      <c r="F2740" s="24" t="s">
        <v>1142</v>
      </c>
      <c r="G2740" s="24" t="s">
        <v>1200</v>
      </c>
      <c r="H2740" s="24" t="s">
        <v>694</v>
      </c>
      <c r="I2740" s="24" t="s">
        <v>2075</v>
      </c>
      <c r="J2740" s="24" t="s">
        <v>761</v>
      </c>
      <c r="K2740" s="24" t="s">
        <v>1352</v>
      </c>
      <c r="L2740" s="25">
        <v>1</v>
      </c>
      <c r="M2740" s="26">
        <v>24000</v>
      </c>
      <c r="N2740" s="27">
        <v>21.818181818181817</v>
      </c>
      <c r="O2740" s="28">
        <v>21.818181818181817</v>
      </c>
      <c r="P2740" s="28">
        <v>21.238938053097346</v>
      </c>
    </row>
    <row r="2741" spans="1:16" x14ac:dyDescent="0.3">
      <c r="A2741" t="s">
        <v>5620</v>
      </c>
      <c r="B2741" s="24">
        <v>102455</v>
      </c>
      <c r="C2741" s="24" t="s">
        <v>2065</v>
      </c>
      <c r="D2741" s="24" t="s">
        <v>1102</v>
      </c>
      <c r="E2741" s="24" t="s">
        <v>632</v>
      </c>
      <c r="F2741" s="24" t="s">
        <v>1142</v>
      </c>
      <c r="G2741" s="24" t="s">
        <v>1200</v>
      </c>
      <c r="H2741" s="24" t="s">
        <v>695</v>
      </c>
      <c r="I2741" s="24" t="s">
        <v>2074</v>
      </c>
      <c r="J2741" s="24" t="s">
        <v>761</v>
      </c>
      <c r="K2741" s="24" t="s">
        <v>1352</v>
      </c>
      <c r="L2741" s="25">
        <v>1</v>
      </c>
      <c r="M2741" s="26">
        <v>24000</v>
      </c>
      <c r="N2741" s="27">
        <v>21.818181818181817</v>
      </c>
      <c r="O2741" s="28">
        <v>21.818181818181817</v>
      </c>
      <c r="P2741" s="28">
        <v>21.238938053097346</v>
      </c>
    </row>
    <row r="2742" spans="1:16" x14ac:dyDescent="0.3">
      <c r="A2742" t="s">
        <v>5621</v>
      </c>
      <c r="B2742" s="24">
        <v>300141</v>
      </c>
      <c r="C2742" s="24" t="s">
        <v>2060</v>
      </c>
      <c r="D2742" s="24" t="s">
        <v>1102</v>
      </c>
      <c r="E2742" s="24" t="s">
        <v>632</v>
      </c>
      <c r="F2742" s="24" t="s">
        <v>1142</v>
      </c>
      <c r="G2742" s="24" t="s">
        <v>1200</v>
      </c>
      <c r="H2742" s="24" t="s">
        <v>695</v>
      </c>
      <c r="I2742" s="24" t="s">
        <v>2074</v>
      </c>
      <c r="J2742" s="24" t="s">
        <v>761</v>
      </c>
      <c r="K2742" s="24" t="s">
        <v>1352</v>
      </c>
      <c r="L2742" s="25">
        <v>1</v>
      </c>
      <c r="M2742" s="26">
        <v>24000</v>
      </c>
      <c r="N2742" s="27">
        <v>21.818181818181817</v>
      </c>
      <c r="O2742" s="28">
        <v>21.818181818181817</v>
      </c>
      <c r="P2742" s="28">
        <v>21.238938053097346</v>
      </c>
    </row>
    <row r="2743" spans="1:16" x14ac:dyDescent="0.3">
      <c r="A2743" t="s">
        <v>5622</v>
      </c>
      <c r="B2743" s="24">
        <v>102455</v>
      </c>
      <c r="C2743" s="24" t="s">
        <v>2065</v>
      </c>
      <c r="D2743" s="24" t="s">
        <v>1102</v>
      </c>
      <c r="E2743" s="24" t="s">
        <v>632</v>
      </c>
      <c r="F2743" s="24" t="s">
        <v>1142</v>
      </c>
      <c r="G2743" s="24" t="s">
        <v>1200</v>
      </c>
      <c r="H2743" s="24" t="s">
        <v>696</v>
      </c>
      <c r="I2743" s="24" t="s">
        <v>2076</v>
      </c>
      <c r="J2743" s="24" t="s">
        <v>761</v>
      </c>
      <c r="K2743" s="24" t="s">
        <v>1352</v>
      </c>
      <c r="L2743" s="25">
        <v>1</v>
      </c>
      <c r="M2743" s="26">
        <v>23000</v>
      </c>
      <c r="N2743" s="27">
        <v>20.90909090909091</v>
      </c>
      <c r="O2743" s="28">
        <v>20.90909090909091</v>
      </c>
      <c r="P2743" s="28">
        <v>20.353982300884955</v>
      </c>
    </row>
    <row r="2744" spans="1:16" x14ac:dyDescent="0.3">
      <c r="A2744" t="s">
        <v>5623</v>
      </c>
      <c r="B2744" s="24">
        <v>300013</v>
      </c>
      <c r="C2744" s="24" t="s">
        <v>1521</v>
      </c>
      <c r="D2744" s="24" t="s">
        <v>1102</v>
      </c>
      <c r="E2744" s="24" t="s">
        <v>632</v>
      </c>
      <c r="F2744" s="24" t="s">
        <v>1142</v>
      </c>
      <c r="G2744" s="24" t="s">
        <v>1200</v>
      </c>
      <c r="H2744" s="24" t="s">
        <v>696</v>
      </c>
      <c r="I2744" s="24" t="s">
        <v>2076</v>
      </c>
      <c r="J2744" s="24" t="s">
        <v>761</v>
      </c>
      <c r="K2744" s="24" t="s">
        <v>1352</v>
      </c>
      <c r="L2744" s="25">
        <v>1</v>
      </c>
      <c r="M2744" s="26">
        <v>21600</v>
      </c>
      <c r="N2744" s="27">
        <v>19.636363636363637</v>
      </c>
      <c r="O2744" s="28">
        <v>19.636363636363637</v>
      </c>
      <c r="P2744" s="28">
        <v>19.115044247787612</v>
      </c>
    </row>
    <row r="2745" spans="1:16" x14ac:dyDescent="0.3">
      <c r="A2745" t="s">
        <v>5624</v>
      </c>
      <c r="B2745" s="24">
        <v>300141</v>
      </c>
      <c r="C2745" s="24" t="s">
        <v>2060</v>
      </c>
      <c r="D2745" s="24" t="s">
        <v>1102</v>
      </c>
      <c r="E2745" s="24" t="s">
        <v>632</v>
      </c>
      <c r="F2745" s="24" t="s">
        <v>1142</v>
      </c>
      <c r="G2745" s="24" t="s">
        <v>1200</v>
      </c>
      <c r="H2745" s="24" t="s">
        <v>696</v>
      </c>
      <c r="I2745" s="24" t="s">
        <v>2076</v>
      </c>
      <c r="J2745" s="24" t="s">
        <v>761</v>
      </c>
      <c r="K2745" s="24" t="s">
        <v>1352</v>
      </c>
      <c r="L2745" s="25">
        <v>1</v>
      </c>
      <c r="M2745" s="26">
        <v>23000</v>
      </c>
      <c r="N2745" s="27">
        <v>20.90909090909091</v>
      </c>
      <c r="O2745" s="28">
        <v>20.90909090909091</v>
      </c>
      <c r="P2745" s="28">
        <v>20.353982300884955</v>
      </c>
    </row>
    <row r="2746" spans="1:16" x14ac:dyDescent="0.3">
      <c r="A2746" t="s">
        <v>5625</v>
      </c>
      <c r="B2746" s="24">
        <v>100702</v>
      </c>
      <c r="C2746" s="24" t="s">
        <v>1357</v>
      </c>
      <c r="D2746" s="24" t="s">
        <v>1102</v>
      </c>
      <c r="E2746" s="24" t="s">
        <v>632</v>
      </c>
      <c r="F2746" s="24" t="s">
        <v>1142</v>
      </c>
      <c r="G2746" s="24" t="s">
        <v>1200</v>
      </c>
      <c r="H2746" s="24" t="s">
        <v>1122</v>
      </c>
      <c r="I2746" s="24" t="s">
        <v>2077</v>
      </c>
      <c r="J2746" s="24" t="s">
        <v>761</v>
      </c>
      <c r="K2746" s="24" t="s">
        <v>1352</v>
      </c>
      <c r="L2746" s="25">
        <v>1</v>
      </c>
      <c r="M2746" s="26">
        <v>28500</v>
      </c>
      <c r="N2746" s="27">
        <v>25.90909090909091</v>
      </c>
      <c r="O2746" s="28">
        <v>25.90909090909091</v>
      </c>
      <c r="P2746" s="28">
        <v>25.221238938053098</v>
      </c>
    </row>
    <row r="2747" spans="1:16" x14ac:dyDescent="0.3">
      <c r="A2747" t="s">
        <v>5626</v>
      </c>
      <c r="B2747" s="24">
        <v>400144</v>
      </c>
      <c r="C2747" s="24" t="s">
        <v>1250</v>
      </c>
      <c r="D2747" s="24" t="s">
        <v>1102</v>
      </c>
      <c r="E2747" s="24" t="s">
        <v>632</v>
      </c>
      <c r="F2747" s="24" t="s">
        <v>1237</v>
      </c>
      <c r="G2747" s="24" t="s">
        <v>1486</v>
      </c>
      <c r="H2747" s="24" t="s">
        <v>697</v>
      </c>
      <c r="I2747" s="24" t="s">
        <v>2078</v>
      </c>
      <c r="J2747" s="24" t="s">
        <v>761</v>
      </c>
      <c r="K2747" s="24" t="s">
        <v>1146</v>
      </c>
      <c r="L2747" s="25">
        <v>1070</v>
      </c>
      <c r="M2747" s="26">
        <v>18</v>
      </c>
      <c r="N2747" s="27">
        <v>18</v>
      </c>
      <c r="O2747" s="28">
        <v>1.6363636363636365E-2</v>
      </c>
      <c r="P2747" s="28">
        <v>17.044247787610619</v>
      </c>
    </row>
    <row r="2748" spans="1:16" x14ac:dyDescent="0.3">
      <c r="A2748" t="s">
        <v>5627</v>
      </c>
      <c r="B2748" s="24">
        <v>100702</v>
      </c>
      <c r="C2748" s="24" t="s">
        <v>1357</v>
      </c>
      <c r="D2748" s="24" t="s">
        <v>1102</v>
      </c>
      <c r="E2748" s="24" t="s">
        <v>632</v>
      </c>
      <c r="F2748" s="24" t="s">
        <v>1142</v>
      </c>
      <c r="G2748" s="24" t="s">
        <v>1200</v>
      </c>
      <c r="H2748" s="24" t="s">
        <v>1123</v>
      </c>
      <c r="I2748" s="24" t="s">
        <v>2079</v>
      </c>
      <c r="J2748" s="24" t="s">
        <v>761</v>
      </c>
      <c r="K2748" s="24" t="s">
        <v>1352</v>
      </c>
      <c r="L2748" s="25">
        <v>1</v>
      </c>
      <c r="M2748" s="26">
        <v>29500</v>
      </c>
      <c r="N2748" s="27">
        <v>26.818181818181817</v>
      </c>
      <c r="O2748" s="28">
        <v>26.818181818181817</v>
      </c>
      <c r="P2748" s="28">
        <v>26.106194690265486</v>
      </c>
    </row>
    <row r="2749" spans="1:16" x14ac:dyDescent="0.3">
      <c r="A2749" t="s">
        <v>5628</v>
      </c>
      <c r="B2749" s="24">
        <v>100702</v>
      </c>
      <c r="C2749" s="24" t="s">
        <v>1357</v>
      </c>
      <c r="D2749" s="24" t="s">
        <v>1102</v>
      </c>
      <c r="E2749" s="24" t="s">
        <v>632</v>
      </c>
      <c r="F2749" s="24" t="s">
        <v>1142</v>
      </c>
      <c r="G2749" s="24" t="s">
        <v>1200</v>
      </c>
      <c r="H2749" s="24" t="s">
        <v>698</v>
      </c>
      <c r="I2749" s="24" t="s">
        <v>2080</v>
      </c>
      <c r="J2749" s="24" t="s">
        <v>761</v>
      </c>
      <c r="K2749" s="24" t="s">
        <v>1352</v>
      </c>
      <c r="L2749" s="25">
        <v>1</v>
      </c>
      <c r="M2749" s="26">
        <v>27000</v>
      </c>
      <c r="N2749" s="27">
        <v>24.545454545454547</v>
      </c>
      <c r="O2749" s="28">
        <v>24.545454545454547</v>
      </c>
      <c r="P2749" s="28">
        <v>23.893805309734514</v>
      </c>
    </row>
    <row r="2750" spans="1:16" x14ac:dyDescent="0.3">
      <c r="A2750" t="s">
        <v>5629</v>
      </c>
      <c r="B2750" s="24">
        <v>300013</v>
      </c>
      <c r="C2750" s="24" t="s">
        <v>1521</v>
      </c>
      <c r="D2750" s="24" t="s">
        <v>1102</v>
      </c>
      <c r="E2750" s="24" t="s">
        <v>632</v>
      </c>
      <c r="F2750" s="24" t="s">
        <v>1142</v>
      </c>
      <c r="G2750" s="24" t="s">
        <v>1200</v>
      </c>
      <c r="H2750" s="24" t="s">
        <v>698</v>
      </c>
      <c r="I2750" s="24" t="s">
        <v>2080</v>
      </c>
      <c r="J2750" s="24" t="s">
        <v>761</v>
      </c>
      <c r="K2750" s="24" t="s">
        <v>1352</v>
      </c>
      <c r="L2750" s="25">
        <v>1</v>
      </c>
      <c r="M2750" s="26">
        <v>27000</v>
      </c>
      <c r="N2750" s="27">
        <v>24.545454545454547</v>
      </c>
      <c r="O2750" s="28">
        <v>24.545454545454547</v>
      </c>
      <c r="P2750" s="28">
        <v>23.893805309734514</v>
      </c>
    </row>
    <row r="2751" spans="1:16" x14ac:dyDescent="0.3">
      <c r="A2751" t="s">
        <v>5630</v>
      </c>
      <c r="B2751" s="24">
        <v>300019</v>
      </c>
      <c r="C2751" s="24" t="s">
        <v>1556</v>
      </c>
      <c r="D2751" s="24" t="s">
        <v>1102</v>
      </c>
      <c r="E2751" s="24" t="s">
        <v>632</v>
      </c>
      <c r="F2751" s="24" t="s">
        <v>1142</v>
      </c>
      <c r="G2751" s="24" t="s">
        <v>1200</v>
      </c>
      <c r="H2751" s="24" t="s">
        <v>698</v>
      </c>
      <c r="I2751" s="24" t="s">
        <v>2080</v>
      </c>
      <c r="J2751" s="24" t="s">
        <v>761</v>
      </c>
      <c r="K2751" s="24" t="s">
        <v>1352</v>
      </c>
      <c r="L2751" s="25">
        <v>1</v>
      </c>
      <c r="M2751" s="26">
        <v>27000</v>
      </c>
      <c r="N2751" s="27">
        <v>24.545454545454547</v>
      </c>
      <c r="O2751" s="28">
        <v>24.545454545454547</v>
      </c>
      <c r="P2751" s="28">
        <v>23.893805309734514</v>
      </c>
    </row>
    <row r="2752" spans="1:16" x14ac:dyDescent="0.3">
      <c r="A2752" t="s">
        <v>5631</v>
      </c>
      <c r="B2752" s="24">
        <v>300141</v>
      </c>
      <c r="C2752" s="24" t="s">
        <v>2060</v>
      </c>
      <c r="D2752" s="24" t="s">
        <v>1102</v>
      </c>
      <c r="E2752" s="24" t="s">
        <v>632</v>
      </c>
      <c r="F2752" s="24" t="s">
        <v>1142</v>
      </c>
      <c r="G2752" s="24" t="s">
        <v>1200</v>
      </c>
      <c r="H2752" s="24" t="s">
        <v>698</v>
      </c>
      <c r="I2752" s="24" t="s">
        <v>2080</v>
      </c>
      <c r="J2752" s="24" t="s">
        <v>761</v>
      </c>
      <c r="K2752" s="24" t="s">
        <v>1352</v>
      </c>
      <c r="L2752" s="25">
        <v>1</v>
      </c>
      <c r="M2752" s="26">
        <v>27000</v>
      </c>
      <c r="N2752" s="27">
        <v>24.545454545454547</v>
      </c>
      <c r="O2752" s="28">
        <v>24.545454545454547</v>
      </c>
      <c r="P2752" s="28">
        <v>23.893805309734514</v>
      </c>
    </row>
    <row r="2753" spans="1:16" x14ac:dyDescent="0.3">
      <c r="A2753" t="s">
        <v>5632</v>
      </c>
      <c r="B2753" s="24">
        <v>102455</v>
      </c>
      <c r="C2753" s="24" t="s">
        <v>2065</v>
      </c>
      <c r="D2753" s="24" t="s">
        <v>1102</v>
      </c>
      <c r="E2753" s="24" t="s">
        <v>632</v>
      </c>
      <c r="F2753" s="24" t="s">
        <v>1142</v>
      </c>
      <c r="G2753" s="24" t="s">
        <v>1200</v>
      </c>
      <c r="H2753" s="24" t="s">
        <v>699</v>
      </c>
      <c r="I2753" s="24" t="s">
        <v>2081</v>
      </c>
      <c r="J2753" s="24" t="s">
        <v>761</v>
      </c>
      <c r="K2753" s="24" t="s">
        <v>1352</v>
      </c>
      <c r="L2753" s="25">
        <v>1</v>
      </c>
      <c r="M2753" s="26">
        <v>28000</v>
      </c>
      <c r="N2753" s="27">
        <v>25.454545454545453</v>
      </c>
      <c r="O2753" s="28">
        <v>25.454545454545453</v>
      </c>
      <c r="P2753" s="28">
        <v>24.778761061946902</v>
      </c>
    </row>
    <row r="2754" spans="1:16" x14ac:dyDescent="0.3">
      <c r="A2754" t="s">
        <v>5633</v>
      </c>
      <c r="B2754" s="24">
        <v>142336</v>
      </c>
      <c r="C2754" s="24" t="s">
        <v>1570</v>
      </c>
      <c r="D2754" s="24" t="s">
        <v>1102</v>
      </c>
      <c r="E2754" s="24" t="s">
        <v>632</v>
      </c>
      <c r="F2754" s="24" t="s">
        <v>1142</v>
      </c>
      <c r="G2754" s="24" t="s">
        <v>1200</v>
      </c>
      <c r="H2754" s="24" t="s">
        <v>699</v>
      </c>
      <c r="I2754" s="24" t="s">
        <v>2081</v>
      </c>
      <c r="J2754" s="24" t="s">
        <v>761</v>
      </c>
      <c r="K2754" s="24" t="s">
        <v>1352</v>
      </c>
      <c r="L2754" s="25">
        <v>1</v>
      </c>
      <c r="M2754" s="26">
        <v>29000</v>
      </c>
      <c r="N2754" s="27">
        <v>26.363636363636363</v>
      </c>
      <c r="O2754" s="28">
        <v>26.363636363636363</v>
      </c>
      <c r="P2754" s="28">
        <v>25.663716814159294</v>
      </c>
    </row>
    <row r="2755" spans="1:16" x14ac:dyDescent="0.3">
      <c r="A2755" t="s">
        <v>5634</v>
      </c>
      <c r="B2755" s="24">
        <v>300013</v>
      </c>
      <c r="C2755" s="24" t="s">
        <v>1521</v>
      </c>
      <c r="D2755" s="24" t="s">
        <v>1102</v>
      </c>
      <c r="E2755" s="24" t="s">
        <v>632</v>
      </c>
      <c r="F2755" s="24" t="s">
        <v>1142</v>
      </c>
      <c r="G2755" s="24" t="s">
        <v>1200</v>
      </c>
      <c r="H2755" s="24" t="s">
        <v>699</v>
      </c>
      <c r="I2755" s="24" t="s">
        <v>2081</v>
      </c>
      <c r="J2755" s="24" t="s">
        <v>761</v>
      </c>
      <c r="K2755" s="24" t="s">
        <v>1352</v>
      </c>
      <c r="L2755" s="25">
        <v>1</v>
      </c>
      <c r="M2755" s="26">
        <v>28000</v>
      </c>
      <c r="N2755" s="27">
        <v>25.454545454545453</v>
      </c>
      <c r="O2755" s="28">
        <v>25.454545454545453</v>
      </c>
      <c r="P2755" s="28">
        <v>24.778761061946902</v>
      </c>
    </row>
    <row r="2756" spans="1:16" x14ac:dyDescent="0.3">
      <c r="A2756" t="s">
        <v>5635</v>
      </c>
      <c r="B2756" s="24">
        <v>300141</v>
      </c>
      <c r="C2756" s="24" t="s">
        <v>2060</v>
      </c>
      <c r="D2756" s="24" t="s">
        <v>1102</v>
      </c>
      <c r="E2756" s="24" t="s">
        <v>632</v>
      </c>
      <c r="F2756" s="24" t="s">
        <v>1142</v>
      </c>
      <c r="G2756" s="24" t="s">
        <v>1200</v>
      </c>
      <c r="H2756" s="24" t="s">
        <v>699</v>
      </c>
      <c r="I2756" s="24" t="s">
        <v>2081</v>
      </c>
      <c r="J2756" s="24" t="s">
        <v>761</v>
      </c>
      <c r="K2756" s="24" t="s">
        <v>1352</v>
      </c>
      <c r="L2756" s="25">
        <v>1</v>
      </c>
      <c r="M2756" s="26">
        <v>28000</v>
      </c>
      <c r="N2756" s="27">
        <v>25.454545454545453</v>
      </c>
      <c r="O2756" s="28">
        <v>25.454545454545453</v>
      </c>
      <c r="P2756" s="28">
        <v>24.778761061946902</v>
      </c>
    </row>
    <row r="2757" spans="1:16" x14ac:dyDescent="0.3">
      <c r="A2757" t="s">
        <v>5636</v>
      </c>
      <c r="B2757" s="24">
        <v>400144</v>
      </c>
      <c r="C2757" s="24" t="s">
        <v>1250</v>
      </c>
      <c r="D2757" s="24" t="s">
        <v>1102</v>
      </c>
      <c r="E2757" s="24" t="s">
        <v>632</v>
      </c>
      <c r="F2757" s="24" t="s">
        <v>1237</v>
      </c>
      <c r="G2757" s="24" t="s">
        <v>1486</v>
      </c>
      <c r="H2757" s="24" t="s">
        <v>688</v>
      </c>
      <c r="I2757" s="24" t="s">
        <v>2082</v>
      </c>
      <c r="J2757" s="24" t="s">
        <v>761</v>
      </c>
      <c r="K2757" s="24" t="s">
        <v>1146</v>
      </c>
      <c r="L2757" s="25">
        <v>1070</v>
      </c>
      <c r="M2757" s="26">
        <v>16.95</v>
      </c>
      <c r="N2757" s="27">
        <v>16.95</v>
      </c>
      <c r="O2757" s="28">
        <v>1.5409090909090909E-2</v>
      </c>
      <c r="P2757" s="28">
        <v>16.05</v>
      </c>
    </row>
    <row r="2758" spans="1:16" x14ac:dyDescent="0.3">
      <c r="A2758" t="s">
        <v>5637</v>
      </c>
      <c r="B2758" s="24">
        <v>100702</v>
      </c>
      <c r="C2758" s="24" t="s">
        <v>1357</v>
      </c>
      <c r="D2758" s="24" t="s">
        <v>1102</v>
      </c>
      <c r="E2758" s="24" t="s">
        <v>632</v>
      </c>
      <c r="F2758" s="24" t="s">
        <v>1142</v>
      </c>
      <c r="G2758" s="24" t="s">
        <v>1200</v>
      </c>
      <c r="H2758" s="24" t="s">
        <v>689</v>
      </c>
      <c r="I2758" s="24" t="s">
        <v>2083</v>
      </c>
      <c r="J2758" s="24" t="s">
        <v>761</v>
      </c>
      <c r="K2758" s="24" t="s">
        <v>1352</v>
      </c>
      <c r="L2758" s="25">
        <v>1</v>
      </c>
      <c r="M2758" s="26">
        <v>11700</v>
      </c>
      <c r="N2758" s="27">
        <v>10.636363636363637</v>
      </c>
      <c r="O2758" s="28">
        <v>10.636363636363637</v>
      </c>
      <c r="P2758" s="28">
        <v>10.353982300884956</v>
      </c>
    </row>
    <row r="2759" spans="1:16" x14ac:dyDescent="0.3">
      <c r="A2759" t="s">
        <v>5638</v>
      </c>
      <c r="B2759" s="24">
        <v>300009</v>
      </c>
      <c r="C2759" s="24" t="s">
        <v>1519</v>
      </c>
      <c r="D2759" s="24" t="s">
        <v>1102</v>
      </c>
      <c r="E2759" s="24" t="s">
        <v>632</v>
      </c>
      <c r="F2759" s="24" t="s">
        <v>1142</v>
      </c>
      <c r="G2759" s="24" t="s">
        <v>1200</v>
      </c>
      <c r="H2759" s="24" t="s">
        <v>689</v>
      </c>
      <c r="I2759" s="24" t="s">
        <v>2083</v>
      </c>
      <c r="J2759" s="24" t="s">
        <v>761</v>
      </c>
      <c r="K2759" s="24" t="s">
        <v>1352</v>
      </c>
      <c r="L2759" s="25">
        <v>1</v>
      </c>
      <c r="M2759" s="26">
        <v>11700</v>
      </c>
      <c r="N2759" s="27">
        <v>10.636363636363637</v>
      </c>
      <c r="O2759" s="28">
        <v>10.636363636363637</v>
      </c>
      <c r="P2759" s="28">
        <v>10.353982300884956</v>
      </c>
    </row>
    <row r="2760" spans="1:16" x14ac:dyDescent="0.3">
      <c r="A2760" t="s">
        <v>5639</v>
      </c>
      <c r="B2760" s="24">
        <v>100335</v>
      </c>
      <c r="C2760" s="24" t="s">
        <v>1517</v>
      </c>
      <c r="D2760" s="24" t="s">
        <v>1102</v>
      </c>
      <c r="E2760" s="24" t="s">
        <v>632</v>
      </c>
      <c r="F2760" s="24" t="s">
        <v>1142</v>
      </c>
      <c r="G2760" s="24" t="s">
        <v>1200</v>
      </c>
      <c r="H2760" s="24" t="s">
        <v>700</v>
      </c>
      <c r="I2760" s="24" t="s">
        <v>2084</v>
      </c>
      <c r="J2760" s="24" t="s">
        <v>761</v>
      </c>
      <c r="K2760" s="24" t="s">
        <v>1146</v>
      </c>
      <c r="L2760" s="25">
        <v>1070</v>
      </c>
      <c r="M2760" s="26">
        <v>17.600000000000001</v>
      </c>
      <c r="N2760" s="27">
        <v>17.600000000000001</v>
      </c>
      <c r="O2760" s="28">
        <v>1.6E-2</v>
      </c>
      <c r="P2760" s="28">
        <v>16.665486725663715</v>
      </c>
    </row>
    <row r="2761" spans="1:16" x14ac:dyDescent="0.3">
      <c r="A2761" t="s">
        <v>5640</v>
      </c>
      <c r="B2761" s="24">
        <v>100335</v>
      </c>
      <c r="C2761" s="24" t="s">
        <v>1517</v>
      </c>
      <c r="D2761" s="24" t="s">
        <v>1102</v>
      </c>
      <c r="E2761" s="24" t="s">
        <v>632</v>
      </c>
      <c r="F2761" s="24" t="s">
        <v>1142</v>
      </c>
      <c r="G2761" s="24" t="s">
        <v>1200</v>
      </c>
      <c r="H2761" s="24" t="s">
        <v>701</v>
      </c>
      <c r="I2761" s="24" t="s">
        <v>2085</v>
      </c>
      <c r="J2761" s="24" t="s">
        <v>761</v>
      </c>
      <c r="K2761" s="24" t="s">
        <v>1146</v>
      </c>
      <c r="L2761" s="25">
        <v>1070</v>
      </c>
      <c r="M2761" s="26">
        <v>20.2</v>
      </c>
      <c r="N2761" s="27">
        <v>20.2</v>
      </c>
      <c r="O2761" s="28">
        <v>1.8363636363636363E-2</v>
      </c>
      <c r="P2761" s="28">
        <v>19.127433628318585</v>
      </c>
    </row>
    <row r="2762" spans="1:16" x14ac:dyDescent="0.3">
      <c r="A2762" t="s">
        <v>5641</v>
      </c>
      <c r="B2762" s="24">
        <v>142336</v>
      </c>
      <c r="C2762" s="24" t="s">
        <v>1570</v>
      </c>
      <c r="D2762" s="24" t="s">
        <v>1102</v>
      </c>
      <c r="E2762" s="24" t="s">
        <v>632</v>
      </c>
      <c r="F2762" s="24" t="s">
        <v>1142</v>
      </c>
      <c r="G2762" s="24" t="s">
        <v>1200</v>
      </c>
      <c r="H2762" s="24" t="s">
        <v>702</v>
      </c>
      <c r="I2762" s="24" t="s">
        <v>2086</v>
      </c>
      <c r="J2762" s="24" t="s">
        <v>761</v>
      </c>
      <c r="K2762" s="24" t="s">
        <v>1352</v>
      </c>
      <c r="L2762" s="25">
        <v>1</v>
      </c>
      <c r="M2762" s="26">
        <v>18700</v>
      </c>
      <c r="N2762" s="27">
        <v>17</v>
      </c>
      <c r="O2762" s="28">
        <v>17</v>
      </c>
      <c r="P2762" s="28">
        <v>16.548672566371682</v>
      </c>
    </row>
    <row r="2763" spans="1:16" x14ac:dyDescent="0.3">
      <c r="A2763" t="s">
        <v>5642</v>
      </c>
      <c r="B2763" s="24">
        <v>300009</v>
      </c>
      <c r="C2763" s="24" t="s">
        <v>1519</v>
      </c>
      <c r="D2763" s="24" t="s">
        <v>1102</v>
      </c>
      <c r="E2763" s="24" t="s">
        <v>632</v>
      </c>
      <c r="F2763" s="24" t="s">
        <v>1142</v>
      </c>
      <c r="G2763" s="24" t="s">
        <v>1200</v>
      </c>
      <c r="H2763" s="24" t="s">
        <v>702</v>
      </c>
      <c r="I2763" s="24" t="s">
        <v>2086</v>
      </c>
      <c r="J2763" s="24" t="s">
        <v>761</v>
      </c>
      <c r="K2763" s="24" t="s">
        <v>1352</v>
      </c>
      <c r="L2763" s="25">
        <v>1</v>
      </c>
      <c r="M2763" s="26">
        <v>18700</v>
      </c>
      <c r="N2763" s="27">
        <v>17</v>
      </c>
      <c r="O2763" s="28">
        <v>17</v>
      </c>
      <c r="P2763" s="28">
        <v>16.548672566371682</v>
      </c>
    </row>
    <row r="2764" spans="1:16" x14ac:dyDescent="0.3">
      <c r="A2764" t="s">
        <v>5643</v>
      </c>
      <c r="B2764" s="24">
        <v>100702</v>
      </c>
      <c r="C2764" s="24" t="s">
        <v>1357</v>
      </c>
      <c r="D2764" s="24" t="s">
        <v>1102</v>
      </c>
      <c r="E2764" s="24" t="s">
        <v>632</v>
      </c>
      <c r="F2764" s="24" t="s">
        <v>1142</v>
      </c>
      <c r="G2764" s="24" t="s">
        <v>1200</v>
      </c>
      <c r="H2764" s="24" t="s">
        <v>703</v>
      </c>
      <c r="I2764" s="24" t="s">
        <v>2087</v>
      </c>
      <c r="J2764" s="24" t="s">
        <v>761</v>
      </c>
      <c r="K2764" s="24" t="s">
        <v>1352</v>
      </c>
      <c r="L2764" s="25">
        <v>1</v>
      </c>
      <c r="M2764" s="26">
        <v>20200</v>
      </c>
      <c r="N2764" s="27">
        <v>18.363636363636363</v>
      </c>
      <c r="O2764" s="28">
        <v>18.363636363636363</v>
      </c>
      <c r="P2764" s="28">
        <v>17.876106194690266</v>
      </c>
    </row>
    <row r="2765" spans="1:16" x14ac:dyDescent="0.3">
      <c r="A2765" t="s">
        <v>5644</v>
      </c>
      <c r="B2765" s="24">
        <v>300013</v>
      </c>
      <c r="C2765" s="24" t="s">
        <v>1521</v>
      </c>
      <c r="D2765" s="24" t="s">
        <v>1102</v>
      </c>
      <c r="E2765" s="24" t="s">
        <v>632</v>
      </c>
      <c r="F2765" s="24" t="s">
        <v>1142</v>
      </c>
      <c r="G2765" s="24" t="s">
        <v>1200</v>
      </c>
      <c r="H2765" s="24" t="s">
        <v>703</v>
      </c>
      <c r="I2765" s="24" t="s">
        <v>2087</v>
      </c>
      <c r="J2765" s="24" t="s">
        <v>761</v>
      </c>
      <c r="K2765" s="24" t="s">
        <v>1352</v>
      </c>
      <c r="L2765" s="25">
        <v>1</v>
      </c>
      <c r="M2765" s="26">
        <v>20200</v>
      </c>
      <c r="N2765" s="27">
        <v>18.363636363636363</v>
      </c>
      <c r="O2765" s="28">
        <v>18.363636363636363</v>
      </c>
      <c r="P2765" s="28">
        <v>17.876106194690266</v>
      </c>
    </row>
    <row r="2766" spans="1:16" x14ac:dyDescent="0.3">
      <c r="A2766" t="s">
        <v>5645</v>
      </c>
      <c r="B2766" s="24">
        <v>100702</v>
      </c>
      <c r="C2766" s="24" t="s">
        <v>1357</v>
      </c>
      <c r="D2766" s="24" t="s">
        <v>1102</v>
      </c>
      <c r="E2766" s="24" t="s">
        <v>632</v>
      </c>
      <c r="F2766" s="24" t="s">
        <v>1142</v>
      </c>
      <c r="G2766" s="24" t="s">
        <v>1200</v>
      </c>
      <c r="H2766" s="24" t="s">
        <v>704</v>
      </c>
      <c r="I2766" s="24" t="s">
        <v>2088</v>
      </c>
      <c r="J2766" s="24" t="s">
        <v>761</v>
      </c>
      <c r="K2766" s="24" t="s">
        <v>1352</v>
      </c>
      <c r="L2766" s="25">
        <v>1</v>
      </c>
      <c r="M2766" s="26">
        <v>20200</v>
      </c>
      <c r="N2766" s="27">
        <v>18.363636363636363</v>
      </c>
      <c r="O2766" s="28">
        <v>18.363636363636363</v>
      </c>
      <c r="P2766" s="28">
        <v>17.876106194690266</v>
      </c>
    </row>
    <row r="2767" spans="1:16" x14ac:dyDescent="0.3">
      <c r="A2767" t="s">
        <v>5646</v>
      </c>
      <c r="B2767" s="24">
        <v>100702</v>
      </c>
      <c r="C2767" s="24" t="s">
        <v>1357</v>
      </c>
      <c r="D2767" s="24" t="s">
        <v>1102</v>
      </c>
      <c r="E2767" s="24" t="s">
        <v>632</v>
      </c>
      <c r="F2767" s="24" t="s">
        <v>1142</v>
      </c>
      <c r="G2767" s="24" t="s">
        <v>1200</v>
      </c>
      <c r="H2767" s="24" t="s">
        <v>705</v>
      </c>
      <c r="I2767" s="24" t="s">
        <v>2089</v>
      </c>
      <c r="J2767" s="24" t="s">
        <v>761</v>
      </c>
      <c r="K2767" s="24" t="s">
        <v>1352</v>
      </c>
      <c r="L2767" s="25">
        <v>1</v>
      </c>
      <c r="M2767" s="26">
        <v>21200</v>
      </c>
      <c r="N2767" s="27">
        <v>19.272727272727273</v>
      </c>
      <c r="O2767" s="28">
        <v>19.272727272727273</v>
      </c>
      <c r="P2767" s="28">
        <v>18.761061946902654</v>
      </c>
    </row>
    <row r="2768" spans="1:16" x14ac:dyDescent="0.3">
      <c r="A2768" t="s">
        <v>5647</v>
      </c>
      <c r="B2768" s="24">
        <v>102455</v>
      </c>
      <c r="C2768" s="24" t="s">
        <v>2065</v>
      </c>
      <c r="D2768" s="24" t="s">
        <v>1102</v>
      </c>
      <c r="E2768" s="24" t="s">
        <v>632</v>
      </c>
      <c r="F2768" s="24" t="s">
        <v>1142</v>
      </c>
      <c r="G2768" s="24" t="s">
        <v>1200</v>
      </c>
      <c r="H2768" s="24" t="s">
        <v>705</v>
      </c>
      <c r="I2768" s="24" t="s">
        <v>2089</v>
      </c>
      <c r="J2768" s="24" t="s">
        <v>761</v>
      </c>
      <c r="K2768" s="24" t="s">
        <v>1352</v>
      </c>
      <c r="L2768" s="25">
        <v>1</v>
      </c>
      <c r="M2768" s="26">
        <v>21200</v>
      </c>
      <c r="N2768" s="27">
        <v>19.272727272727273</v>
      </c>
      <c r="O2768" s="28">
        <v>19.272727272727273</v>
      </c>
      <c r="P2768" s="28">
        <v>18.761061946902654</v>
      </c>
    </row>
    <row r="2769" spans="1:16" x14ac:dyDescent="0.3">
      <c r="A2769" t="s">
        <v>5648</v>
      </c>
      <c r="B2769" s="24">
        <v>300013</v>
      </c>
      <c r="C2769" s="24" t="s">
        <v>1521</v>
      </c>
      <c r="D2769" s="24" t="s">
        <v>1102</v>
      </c>
      <c r="E2769" s="24" t="s">
        <v>632</v>
      </c>
      <c r="F2769" s="24" t="s">
        <v>1142</v>
      </c>
      <c r="G2769" s="24" t="s">
        <v>1200</v>
      </c>
      <c r="H2769" s="24" t="s">
        <v>705</v>
      </c>
      <c r="I2769" s="24" t="s">
        <v>2089</v>
      </c>
      <c r="J2769" s="24" t="s">
        <v>761</v>
      </c>
      <c r="K2769" s="24" t="s">
        <v>1352</v>
      </c>
      <c r="L2769" s="25">
        <v>1</v>
      </c>
      <c r="M2769" s="26">
        <v>21200</v>
      </c>
      <c r="N2769" s="27">
        <v>19.272727272727273</v>
      </c>
      <c r="O2769" s="28">
        <v>19.272727272727273</v>
      </c>
      <c r="P2769" s="28">
        <v>18.761061946902654</v>
      </c>
    </row>
    <row r="2770" spans="1:16" x14ac:dyDescent="0.3">
      <c r="A2770" t="s">
        <v>5649</v>
      </c>
      <c r="B2770" s="24">
        <v>400144</v>
      </c>
      <c r="C2770" s="24" t="s">
        <v>1250</v>
      </c>
      <c r="D2770" s="24" t="s">
        <v>1102</v>
      </c>
      <c r="E2770" s="24" t="s">
        <v>632</v>
      </c>
      <c r="F2770" s="24" t="s">
        <v>1237</v>
      </c>
      <c r="G2770" s="24" t="s">
        <v>1486</v>
      </c>
      <c r="H2770" s="24" t="s">
        <v>706</v>
      </c>
      <c r="I2770" s="24" t="s">
        <v>2090</v>
      </c>
      <c r="J2770" s="24" t="s">
        <v>761</v>
      </c>
      <c r="K2770" s="24" t="s">
        <v>1146</v>
      </c>
      <c r="L2770" s="25">
        <v>1070</v>
      </c>
      <c r="M2770" s="26">
        <v>17.97</v>
      </c>
      <c r="N2770" s="27">
        <v>17.97</v>
      </c>
      <c r="O2770" s="28">
        <v>1.6336363636363635E-2</v>
      </c>
      <c r="P2770" s="28">
        <v>17.0158407079646</v>
      </c>
    </row>
    <row r="2771" spans="1:16" x14ac:dyDescent="0.3">
      <c r="A2771" t="s">
        <v>5650</v>
      </c>
      <c r="B2771" s="24">
        <v>100335</v>
      </c>
      <c r="C2771" s="24" t="s">
        <v>1517</v>
      </c>
      <c r="D2771" s="24" t="s">
        <v>1102</v>
      </c>
      <c r="E2771" s="24" t="s">
        <v>632</v>
      </c>
      <c r="F2771" s="24" t="s">
        <v>1142</v>
      </c>
      <c r="G2771" s="24" t="s">
        <v>1200</v>
      </c>
      <c r="H2771" s="24" t="s">
        <v>707</v>
      </c>
      <c r="I2771" s="24" t="s">
        <v>2091</v>
      </c>
      <c r="J2771" s="24" t="s">
        <v>761</v>
      </c>
      <c r="K2771" s="24" t="s">
        <v>1146</v>
      </c>
      <c r="L2771" s="25">
        <v>1070</v>
      </c>
      <c r="M2771" s="26">
        <v>20.5</v>
      </c>
      <c r="N2771" s="27">
        <v>20.5</v>
      </c>
      <c r="O2771" s="28">
        <v>1.8636363636363635E-2</v>
      </c>
      <c r="P2771" s="28">
        <v>19.411504424778762</v>
      </c>
    </row>
    <row r="2772" spans="1:16" x14ac:dyDescent="0.3">
      <c r="A2772" t="s">
        <v>5651</v>
      </c>
      <c r="B2772" s="24">
        <v>100702</v>
      </c>
      <c r="C2772" s="24" t="s">
        <v>1357</v>
      </c>
      <c r="D2772" s="24" t="s">
        <v>1102</v>
      </c>
      <c r="E2772" s="24" t="s">
        <v>632</v>
      </c>
      <c r="F2772" s="24" t="s">
        <v>1142</v>
      </c>
      <c r="G2772" s="24" t="s">
        <v>1200</v>
      </c>
      <c r="H2772" s="24" t="s">
        <v>708</v>
      </c>
      <c r="I2772" s="24" t="s">
        <v>2092</v>
      </c>
      <c r="J2772" s="24" t="s">
        <v>761</v>
      </c>
      <c r="K2772" s="24" t="s">
        <v>1352</v>
      </c>
      <c r="L2772" s="25">
        <v>1</v>
      </c>
      <c r="M2772" s="26">
        <v>23000</v>
      </c>
      <c r="N2772" s="27">
        <v>20.90909090909091</v>
      </c>
      <c r="O2772" s="28">
        <v>20.90909090909091</v>
      </c>
      <c r="P2772" s="28">
        <v>20.353982300884955</v>
      </c>
    </row>
    <row r="2773" spans="1:16" x14ac:dyDescent="0.3">
      <c r="A2773" t="s">
        <v>5652</v>
      </c>
      <c r="B2773" s="24">
        <v>101186</v>
      </c>
      <c r="C2773" s="24" t="s">
        <v>1273</v>
      </c>
      <c r="D2773" s="24" t="s">
        <v>1102</v>
      </c>
      <c r="E2773" s="24" t="s">
        <v>51</v>
      </c>
      <c r="F2773" s="24" t="s">
        <v>1142</v>
      </c>
      <c r="G2773" s="24" t="s">
        <v>1203</v>
      </c>
      <c r="H2773" s="24" t="s">
        <v>347</v>
      </c>
      <c r="I2773" s="24" t="s">
        <v>2093</v>
      </c>
      <c r="J2773" s="24" t="s">
        <v>761</v>
      </c>
      <c r="K2773" s="24" t="s">
        <v>1146</v>
      </c>
      <c r="L2773" s="25">
        <v>1070</v>
      </c>
      <c r="M2773" s="26">
        <v>20.25</v>
      </c>
      <c r="N2773" s="27">
        <v>20.25</v>
      </c>
      <c r="O2773" s="28">
        <v>1.840909090909091E-2</v>
      </c>
      <c r="P2773" s="28">
        <v>19.174778761061948</v>
      </c>
    </row>
    <row r="2774" spans="1:16" x14ac:dyDescent="0.3">
      <c r="A2774" t="s">
        <v>5653</v>
      </c>
      <c r="B2774" s="24">
        <v>101424</v>
      </c>
      <c r="C2774" s="24" t="s">
        <v>1278</v>
      </c>
      <c r="D2774" s="24" t="s">
        <v>1102</v>
      </c>
      <c r="E2774" s="24" t="s">
        <v>51</v>
      </c>
      <c r="F2774" s="24" t="s">
        <v>1142</v>
      </c>
      <c r="G2774" s="24" t="s">
        <v>1203</v>
      </c>
      <c r="H2774" s="24" t="s">
        <v>347</v>
      </c>
      <c r="I2774" s="24" t="s">
        <v>2093</v>
      </c>
      <c r="J2774" s="24" t="s">
        <v>761</v>
      </c>
      <c r="K2774" s="24" t="s">
        <v>1146</v>
      </c>
      <c r="L2774" s="25">
        <v>1070</v>
      </c>
      <c r="M2774" s="26">
        <v>20.25</v>
      </c>
      <c r="N2774" s="27">
        <v>20.25</v>
      </c>
      <c r="O2774" s="28">
        <v>1.840909090909091E-2</v>
      </c>
      <c r="P2774" s="28">
        <v>19.174778761061948</v>
      </c>
    </row>
    <row r="2775" spans="1:16" x14ac:dyDescent="0.3">
      <c r="A2775" t="s">
        <v>5654</v>
      </c>
      <c r="B2775" s="24">
        <v>106916</v>
      </c>
      <c r="C2775" s="24" t="s">
        <v>1216</v>
      </c>
      <c r="D2775" s="24" t="s">
        <v>1102</v>
      </c>
      <c r="E2775" s="24" t="s">
        <v>51</v>
      </c>
      <c r="F2775" s="24" t="s">
        <v>1142</v>
      </c>
      <c r="G2775" s="24" t="s">
        <v>1203</v>
      </c>
      <c r="H2775" s="24" t="s">
        <v>2094</v>
      </c>
      <c r="I2775" s="24" t="s">
        <v>2095</v>
      </c>
      <c r="J2775" s="24" t="s">
        <v>761</v>
      </c>
      <c r="K2775" s="24" t="s">
        <v>1146</v>
      </c>
      <c r="L2775" s="25">
        <v>1070</v>
      </c>
      <c r="M2775" s="26">
        <v>16.989999999999998</v>
      </c>
      <c r="N2775" s="27">
        <v>16.989999999999998</v>
      </c>
      <c r="O2775" s="28">
        <v>1.5445454545454543E-2</v>
      </c>
      <c r="P2775" s="28">
        <v>16.087876106194688</v>
      </c>
    </row>
    <row r="2776" spans="1:16" x14ac:dyDescent="0.3">
      <c r="A2776" t="s">
        <v>5655</v>
      </c>
      <c r="B2776" s="24">
        <v>100581</v>
      </c>
      <c r="C2776" s="24" t="s">
        <v>1232</v>
      </c>
      <c r="D2776" s="24" t="s">
        <v>1102</v>
      </c>
      <c r="E2776" s="24" t="s">
        <v>51</v>
      </c>
      <c r="F2776" s="24" t="s">
        <v>1142</v>
      </c>
      <c r="G2776" s="24" t="s">
        <v>1233</v>
      </c>
      <c r="H2776" s="24" t="s">
        <v>348</v>
      </c>
      <c r="I2776" s="24" t="s">
        <v>2096</v>
      </c>
      <c r="J2776" s="24" t="s">
        <v>761</v>
      </c>
      <c r="K2776" s="24" t="s">
        <v>1146</v>
      </c>
      <c r="L2776" s="25">
        <v>1070</v>
      </c>
      <c r="M2776" s="26">
        <v>22.52</v>
      </c>
      <c r="N2776" s="27">
        <v>22.52</v>
      </c>
      <c r="O2776" s="28">
        <v>2.0472727272727271E-2</v>
      </c>
      <c r="P2776" s="28">
        <v>21.324247787610616</v>
      </c>
    </row>
    <row r="2777" spans="1:16" x14ac:dyDescent="0.3">
      <c r="A2777" t="s">
        <v>5656</v>
      </c>
      <c r="B2777" s="24">
        <v>101184</v>
      </c>
      <c r="C2777" s="24" t="s">
        <v>1401</v>
      </c>
      <c r="D2777" s="24" t="s">
        <v>1102</v>
      </c>
      <c r="E2777" s="24" t="s">
        <v>51</v>
      </c>
      <c r="F2777" s="24" t="s">
        <v>1142</v>
      </c>
      <c r="G2777" s="24" t="s">
        <v>1402</v>
      </c>
      <c r="H2777" s="24" t="s">
        <v>348</v>
      </c>
      <c r="I2777" s="24" t="s">
        <v>2096</v>
      </c>
      <c r="J2777" s="24" t="s">
        <v>761</v>
      </c>
      <c r="K2777" s="24" t="s">
        <v>1146</v>
      </c>
      <c r="L2777" s="25">
        <v>1070</v>
      </c>
      <c r="M2777" s="26">
        <v>22.52</v>
      </c>
      <c r="N2777" s="27">
        <v>22.52</v>
      </c>
      <c r="O2777" s="28">
        <v>2.0472727272727271E-2</v>
      </c>
      <c r="P2777" s="28">
        <v>21.324247787610616</v>
      </c>
    </row>
    <row r="2778" spans="1:16" x14ac:dyDescent="0.3">
      <c r="A2778" t="s">
        <v>5657</v>
      </c>
      <c r="B2778" s="24">
        <v>101186</v>
      </c>
      <c r="C2778" s="24" t="s">
        <v>1273</v>
      </c>
      <c r="D2778" s="24" t="s">
        <v>1102</v>
      </c>
      <c r="E2778" s="24" t="s">
        <v>51</v>
      </c>
      <c r="F2778" s="24" t="s">
        <v>1142</v>
      </c>
      <c r="G2778" s="24" t="s">
        <v>1203</v>
      </c>
      <c r="H2778" s="24" t="s">
        <v>348</v>
      </c>
      <c r="I2778" s="24" t="s">
        <v>2096</v>
      </c>
      <c r="J2778" s="24" t="s">
        <v>761</v>
      </c>
      <c r="K2778" s="24" t="s">
        <v>1146</v>
      </c>
      <c r="L2778" s="25">
        <v>1070</v>
      </c>
      <c r="M2778" s="26">
        <v>22.52</v>
      </c>
      <c r="N2778" s="27">
        <v>22.52</v>
      </c>
      <c r="O2778" s="28">
        <v>2.0472727272727271E-2</v>
      </c>
      <c r="P2778" s="28">
        <v>21.324247787610616</v>
      </c>
    </row>
    <row r="2779" spans="1:16" x14ac:dyDescent="0.3">
      <c r="A2779" t="s">
        <v>5658</v>
      </c>
      <c r="B2779" s="24">
        <v>101424</v>
      </c>
      <c r="C2779" s="24" t="s">
        <v>1278</v>
      </c>
      <c r="D2779" s="24" t="s">
        <v>1102</v>
      </c>
      <c r="E2779" s="24" t="s">
        <v>51</v>
      </c>
      <c r="F2779" s="24" t="s">
        <v>1142</v>
      </c>
      <c r="G2779" s="24" t="s">
        <v>1203</v>
      </c>
      <c r="H2779" s="24" t="s">
        <v>348</v>
      </c>
      <c r="I2779" s="24" t="s">
        <v>2096</v>
      </c>
      <c r="J2779" s="24" t="s">
        <v>761</v>
      </c>
      <c r="K2779" s="24" t="s">
        <v>1146</v>
      </c>
      <c r="L2779" s="25">
        <v>1070</v>
      </c>
      <c r="M2779" s="26">
        <v>22.52</v>
      </c>
      <c r="N2779" s="27">
        <v>22.52</v>
      </c>
      <c r="O2779" s="28">
        <v>2.0472727272727271E-2</v>
      </c>
      <c r="P2779" s="28">
        <v>21.324247787610616</v>
      </c>
    </row>
    <row r="2780" spans="1:16" x14ac:dyDescent="0.3">
      <c r="A2780" t="s">
        <v>5659</v>
      </c>
      <c r="B2780" s="24">
        <v>100581</v>
      </c>
      <c r="C2780" s="24" t="s">
        <v>1232</v>
      </c>
      <c r="D2780" s="24" t="s">
        <v>1102</v>
      </c>
      <c r="E2780" s="24" t="s">
        <v>51</v>
      </c>
      <c r="F2780" s="24" t="s">
        <v>1142</v>
      </c>
      <c r="G2780" s="24" t="s">
        <v>1233</v>
      </c>
      <c r="H2780" s="24" t="s">
        <v>349</v>
      </c>
      <c r="I2780" s="24" t="s">
        <v>2097</v>
      </c>
      <c r="J2780" s="24" t="s">
        <v>761</v>
      </c>
      <c r="K2780" s="24" t="s">
        <v>1146</v>
      </c>
      <c r="L2780" s="25">
        <v>1070</v>
      </c>
      <c r="M2780" s="26">
        <v>21.42</v>
      </c>
      <c r="N2780" s="27">
        <v>21.42</v>
      </c>
      <c r="O2780" s="28">
        <v>1.9472727272727273E-2</v>
      </c>
      <c r="P2780" s="28">
        <v>20.282654867256639</v>
      </c>
    </row>
    <row r="2781" spans="1:16" x14ac:dyDescent="0.3">
      <c r="A2781" t="s">
        <v>5660</v>
      </c>
      <c r="B2781" s="24">
        <v>101206</v>
      </c>
      <c r="C2781" s="24" t="s">
        <v>1199</v>
      </c>
      <c r="D2781" s="24" t="s">
        <v>1102</v>
      </c>
      <c r="E2781" s="24" t="s">
        <v>51</v>
      </c>
      <c r="F2781" s="24" t="s">
        <v>1142</v>
      </c>
      <c r="G2781" s="24" t="s">
        <v>1200</v>
      </c>
      <c r="H2781" s="24" t="s">
        <v>349</v>
      </c>
      <c r="I2781" s="24" t="s">
        <v>2097</v>
      </c>
      <c r="J2781" s="24" t="s">
        <v>761</v>
      </c>
      <c r="K2781" s="24" t="s">
        <v>1146</v>
      </c>
      <c r="L2781" s="25">
        <v>1070</v>
      </c>
      <c r="M2781" s="26">
        <v>21.42</v>
      </c>
      <c r="N2781" s="27">
        <v>21.42</v>
      </c>
      <c r="O2781" s="28">
        <v>1.9472727272727273E-2</v>
      </c>
      <c r="P2781" s="28">
        <v>20.282654867256639</v>
      </c>
    </row>
    <row r="2782" spans="1:16" x14ac:dyDescent="0.3">
      <c r="A2782" t="s">
        <v>5661</v>
      </c>
      <c r="B2782" s="24">
        <v>101186</v>
      </c>
      <c r="C2782" s="24" t="s">
        <v>1273</v>
      </c>
      <c r="D2782" s="24" t="s">
        <v>1102</v>
      </c>
      <c r="E2782" s="24" t="s">
        <v>51</v>
      </c>
      <c r="F2782" s="24" t="s">
        <v>1142</v>
      </c>
      <c r="G2782" s="24" t="s">
        <v>1203</v>
      </c>
      <c r="H2782" s="24" t="s">
        <v>1106</v>
      </c>
      <c r="I2782" s="24" t="s">
        <v>2098</v>
      </c>
      <c r="J2782" s="24" t="s">
        <v>761</v>
      </c>
      <c r="K2782" s="24" t="s">
        <v>1146</v>
      </c>
      <c r="L2782" s="25">
        <v>1070</v>
      </c>
      <c r="M2782" s="26">
        <v>23.33</v>
      </c>
      <c r="N2782" s="27">
        <v>23.33</v>
      </c>
      <c r="O2782" s="28">
        <v>2.1209090909090907E-2</v>
      </c>
      <c r="P2782" s="28">
        <v>22.091238938053095</v>
      </c>
    </row>
    <row r="2783" spans="1:16" x14ac:dyDescent="0.3">
      <c r="A2783" t="s">
        <v>5662</v>
      </c>
      <c r="B2783" s="24">
        <v>101186</v>
      </c>
      <c r="C2783" s="24" t="s">
        <v>1273</v>
      </c>
      <c r="D2783" s="24" t="s">
        <v>1102</v>
      </c>
      <c r="E2783" s="24" t="s">
        <v>51</v>
      </c>
      <c r="F2783" s="24" t="s">
        <v>1142</v>
      </c>
      <c r="G2783" s="24" t="s">
        <v>1203</v>
      </c>
      <c r="H2783" s="24" t="s">
        <v>350</v>
      </c>
      <c r="I2783" s="24" t="s">
        <v>2099</v>
      </c>
      <c r="J2783" s="24" t="s">
        <v>761</v>
      </c>
      <c r="K2783" s="24" t="s">
        <v>1146</v>
      </c>
      <c r="L2783" s="25">
        <v>1070</v>
      </c>
      <c r="M2783" s="26">
        <v>17.13</v>
      </c>
      <c r="N2783" s="27">
        <v>17.13</v>
      </c>
      <c r="O2783" s="28">
        <v>1.5572727272727271E-2</v>
      </c>
      <c r="P2783" s="28">
        <v>16.220442477876105</v>
      </c>
    </row>
    <row r="2784" spans="1:16" x14ac:dyDescent="0.3">
      <c r="A2784" t="s">
        <v>5663</v>
      </c>
      <c r="B2784" s="24">
        <v>101186</v>
      </c>
      <c r="C2784" s="24" t="s">
        <v>1273</v>
      </c>
      <c r="D2784" s="24" t="s">
        <v>1102</v>
      </c>
      <c r="E2784" s="24" t="s">
        <v>51</v>
      </c>
      <c r="F2784" s="24" t="s">
        <v>1142</v>
      </c>
      <c r="G2784" s="24" t="s">
        <v>1203</v>
      </c>
      <c r="H2784" s="24" t="s">
        <v>2100</v>
      </c>
      <c r="I2784" s="24" t="s">
        <v>2101</v>
      </c>
      <c r="J2784" s="24" t="s">
        <v>761</v>
      </c>
      <c r="K2784" s="24" t="s">
        <v>1146</v>
      </c>
      <c r="L2784" s="25">
        <v>1070</v>
      </c>
      <c r="M2784" s="26">
        <v>19.59</v>
      </c>
      <c r="N2784" s="27">
        <v>19.59</v>
      </c>
      <c r="O2784" s="28">
        <v>1.780909090909091E-2</v>
      </c>
      <c r="P2784" s="28">
        <v>18.549823008849557</v>
      </c>
    </row>
    <row r="2785" spans="1:16" x14ac:dyDescent="0.3">
      <c r="A2785" t="s">
        <v>5664</v>
      </c>
      <c r="B2785" s="24">
        <v>101186</v>
      </c>
      <c r="C2785" s="24" t="s">
        <v>1273</v>
      </c>
      <c r="D2785" s="24" t="s">
        <v>1102</v>
      </c>
      <c r="E2785" s="24" t="s">
        <v>51</v>
      </c>
      <c r="F2785" s="24" t="s">
        <v>1142</v>
      </c>
      <c r="G2785" s="24" t="s">
        <v>1203</v>
      </c>
      <c r="H2785" s="24" t="s">
        <v>1074</v>
      </c>
      <c r="I2785" s="24" t="s">
        <v>2102</v>
      </c>
      <c r="J2785" s="24" t="s">
        <v>761</v>
      </c>
      <c r="K2785" s="24" t="s">
        <v>1146</v>
      </c>
      <c r="L2785" s="25">
        <v>1070</v>
      </c>
      <c r="M2785" s="26">
        <v>19.399999999999999</v>
      </c>
      <c r="N2785" s="27">
        <v>19.399999999999999</v>
      </c>
      <c r="O2785" s="28">
        <v>1.7636363636363634E-2</v>
      </c>
      <c r="P2785" s="28">
        <v>18.369911504424778</v>
      </c>
    </row>
    <row r="2786" spans="1:16" x14ac:dyDescent="0.3">
      <c r="A2786" t="s">
        <v>5665</v>
      </c>
      <c r="B2786" s="24">
        <v>106916</v>
      </c>
      <c r="C2786" s="24" t="s">
        <v>1216</v>
      </c>
      <c r="D2786" s="24" t="s">
        <v>1102</v>
      </c>
      <c r="E2786" s="24" t="s">
        <v>51</v>
      </c>
      <c r="F2786" s="24" t="s">
        <v>1142</v>
      </c>
      <c r="G2786" s="24" t="s">
        <v>1203</v>
      </c>
      <c r="H2786" s="24" t="s">
        <v>1075</v>
      </c>
      <c r="I2786" s="24" t="s">
        <v>2103</v>
      </c>
      <c r="J2786" s="24" t="s">
        <v>761</v>
      </c>
      <c r="K2786" s="24" t="s">
        <v>1146</v>
      </c>
      <c r="L2786" s="25">
        <v>1070</v>
      </c>
      <c r="M2786" s="26">
        <v>21.4</v>
      </c>
      <c r="N2786" s="27">
        <v>21.4</v>
      </c>
      <c r="O2786" s="28">
        <v>1.9454545454545454E-2</v>
      </c>
      <c r="P2786" s="28">
        <v>20.263716814159292</v>
      </c>
    </row>
    <row r="2787" spans="1:16" x14ac:dyDescent="0.3">
      <c r="A2787" t="s">
        <v>5666</v>
      </c>
      <c r="B2787" s="24">
        <v>101186</v>
      </c>
      <c r="C2787" s="24" t="s">
        <v>1273</v>
      </c>
      <c r="D2787" s="24" t="s">
        <v>1102</v>
      </c>
      <c r="E2787" s="24" t="s">
        <v>51</v>
      </c>
      <c r="F2787" s="24" t="s">
        <v>1142</v>
      </c>
      <c r="G2787" s="24" t="s">
        <v>1203</v>
      </c>
      <c r="H2787" s="24" t="s">
        <v>351</v>
      </c>
      <c r="I2787" s="24" t="s">
        <v>2104</v>
      </c>
      <c r="J2787" s="24" t="s">
        <v>761</v>
      </c>
      <c r="K2787" s="24" t="s">
        <v>1146</v>
      </c>
      <c r="L2787" s="25">
        <v>1070</v>
      </c>
      <c r="M2787" s="26">
        <v>17.899999999999999</v>
      </c>
      <c r="N2787" s="27">
        <v>17.899999999999999</v>
      </c>
      <c r="O2787" s="28">
        <v>1.6272727272727272E-2</v>
      </c>
      <c r="P2787" s="28">
        <v>16.949557522123893</v>
      </c>
    </row>
    <row r="2788" spans="1:16" x14ac:dyDescent="0.3">
      <c r="A2788" t="s">
        <v>5667</v>
      </c>
      <c r="B2788" s="24">
        <v>100581</v>
      </c>
      <c r="C2788" s="24" t="s">
        <v>1232</v>
      </c>
      <c r="D2788" s="24" t="s">
        <v>1102</v>
      </c>
      <c r="E2788" s="24" t="s">
        <v>51</v>
      </c>
      <c r="F2788" s="24" t="s">
        <v>1142</v>
      </c>
      <c r="G2788" s="24" t="s">
        <v>1233</v>
      </c>
      <c r="H2788" s="24" t="s">
        <v>353</v>
      </c>
      <c r="I2788" s="24" t="s">
        <v>2105</v>
      </c>
      <c r="J2788" s="24" t="s">
        <v>761</v>
      </c>
      <c r="K2788" s="24" t="s">
        <v>1146</v>
      </c>
      <c r="L2788" s="25">
        <v>1070</v>
      </c>
      <c r="M2788" s="26">
        <v>20.5</v>
      </c>
      <c r="N2788" s="27">
        <v>20.5</v>
      </c>
      <c r="O2788" s="28">
        <v>1.8636363636363635E-2</v>
      </c>
      <c r="P2788" s="28">
        <v>19.411504424778762</v>
      </c>
    </row>
    <row r="2789" spans="1:16" x14ac:dyDescent="0.3">
      <c r="A2789" t="s">
        <v>5668</v>
      </c>
      <c r="B2789" s="24">
        <v>101424</v>
      </c>
      <c r="C2789" s="24" t="s">
        <v>1278</v>
      </c>
      <c r="D2789" s="24" t="s">
        <v>1102</v>
      </c>
      <c r="E2789" s="24" t="s">
        <v>51</v>
      </c>
      <c r="F2789" s="24" t="s">
        <v>1142</v>
      </c>
      <c r="G2789" s="24" t="s">
        <v>1203</v>
      </c>
      <c r="H2789" s="24" t="s">
        <v>353</v>
      </c>
      <c r="I2789" s="24" t="s">
        <v>2105</v>
      </c>
      <c r="J2789" s="24" t="s">
        <v>761</v>
      </c>
      <c r="K2789" s="24" t="s">
        <v>1146</v>
      </c>
      <c r="L2789" s="25">
        <v>1070</v>
      </c>
      <c r="M2789" s="26">
        <v>20.5</v>
      </c>
      <c r="N2789" s="27">
        <v>20.5</v>
      </c>
      <c r="O2789" s="28">
        <v>1.8636363636363635E-2</v>
      </c>
      <c r="P2789" s="28">
        <v>19.411504424778762</v>
      </c>
    </row>
    <row r="2790" spans="1:16" x14ac:dyDescent="0.3">
      <c r="A2790" t="s">
        <v>5669</v>
      </c>
      <c r="B2790" s="24">
        <v>101186</v>
      </c>
      <c r="C2790" s="24" t="s">
        <v>1273</v>
      </c>
      <c r="D2790" s="24" t="s">
        <v>1102</v>
      </c>
      <c r="E2790" s="24" t="s">
        <v>51</v>
      </c>
      <c r="F2790" s="24" t="s">
        <v>1142</v>
      </c>
      <c r="G2790" s="24" t="s">
        <v>1203</v>
      </c>
      <c r="H2790" s="24" t="s">
        <v>344</v>
      </c>
      <c r="I2790" s="24" t="s">
        <v>2106</v>
      </c>
      <c r="J2790" s="24" t="s">
        <v>761</v>
      </c>
      <c r="K2790" s="24" t="s">
        <v>1146</v>
      </c>
      <c r="L2790" s="25">
        <v>1070</v>
      </c>
      <c r="M2790" s="26">
        <v>22.5</v>
      </c>
      <c r="N2790" s="27">
        <v>22.5</v>
      </c>
      <c r="O2790" s="28">
        <v>2.0454545454545454E-2</v>
      </c>
      <c r="P2790" s="28">
        <v>21.305309734513273</v>
      </c>
    </row>
    <row r="2791" spans="1:16" x14ac:dyDescent="0.3">
      <c r="A2791" t="s">
        <v>5670</v>
      </c>
      <c r="B2791" s="24">
        <v>101186</v>
      </c>
      <c r="C2791" s="24" t="s">
        <v>1273</v>
      </c>
      <c r="D2791" s="24" t="s">
        <v>1102</v>
      </c>
      <c r="E2791" s="24" t="s">
        <v>51</v>
      </c>
      <c r="F2791" s="24" t="s">
        <v>1142</v>
      </c>
      <c r="G2791" s="24" t="s">
        <v>1203</v>
      </c>
      <c r="H2791" s="24" t="s">
        <v>352</v>
      </c>
      <c r="I2791" s="24" t="s">
        <v>2107</v>
      </c>
      <c r="J2791" s="24" t="s">
        <v>761</v>
      </c>
      <c r="K2791" s="24" t="s">
        <v>1146</v>
      </c>
      <c r="L2791" s="25">
        <v>1070</v>
      </c>
      <c r="M2791" s="26">
        <v>18.899999999999999</v>
      </c>
      <c r="N2791" s="27">
        <v>18.899999999999999</v>
      </c>
      <c r="O2791" s="28">
        <v>1.718181818181818E-2</v>
      </c>
      <c r="P2791" s="28">
        <v>17.896460176991152</v>
      </c>
    </row>
    <row r="2792" spans="1:16" x14ac:dyDescent="0.3">
      <c r="A2792" t="s">
        <v>5671</v>
      </c>
      <c r="B2792" s="24">
        <v>101424</v>
      </c>
      <c r="C2792" s="24" t="s">
        <v>1278</v>
      </c>
      <c r="D2792" s="24" t="s">
        <v>1102</v>
      </c>
      <c r="E2792" s="24" t="s">
        <v>51</v>
      </c>
      <c r="F2792" s="24" t="s">
        <v>1142</v>
      </c>
      <c r="G2792" s="24" t="s">
        <v>1203</v>
      </c>
      <c r="H2792" s="24" t="s">
        <v>352</v>
      </c>
      <c r="I2792" s="24" t="s">
        <v>2107</v>
      </c>
      <c r="J2792" s="24" t="s">
        <v>761</v>
      </c>
      <c r="K2792" s="24" t="s">
        <v>1146</v>
      </c>
      <c r="L2792" s="25">
        <v>1070</v>
      </c>
      <c r="M2792" s="26">
        <v>18.899999999999999</v>
      </c>
      <c r="N2792" s="27">
        <v>18.899999999999999</v>
      </c>
      <c r="O2792" s="28">
        <v>1.718181818181818E-2</v>
      </c>
      <c r="P2792" s="28">
        <v>17.896460176991152</v>
      </c>
    </row>
    <row r="2793" spans="1:16" x14ac:dyDescent="0.3">
      <c r="A2793" t="s">
        <v>5672</v>
      </c>
      <c r="B2793" s="24">
        <v>106916</v>
      </c>
      <c r="C2793" s="24" t="s">
        <v>1216</v>
      </c>
      <c r="D2793" s="24" t="s">
        <v>1102</v>
      </c>
      <c r="E2793" s="24" t="s">
        <v>51</v>
      </c>
      <c r="F2793" s="24" t="s">
        <v>1142</v>
      </c>
      <c r="G2793" s="24" t="s">
        <v>1203</v>
      </c>
      <c r="H2793" s="24" t="s">
        <v>2108</v>
      </c>
      <c r="I2793" s="24" t="s">
        <v>2109</v>
      </c>
      <c r="J2793" s="24" t="s">
        <v>761</v>
      </c>
      <c r="K2793" s="24" t="s">
        <v>1146</v>
      </c>
      <c r="L2793" s="25">
        <v>1070</v>
      </c>
      <c r="M2793" s="26">
        <v>27.4</v>
      </c>
      <c r="N2793" s="27">
        <v>27.4</v>
      </c>
      <c r="O2793" s="28">
        <v>2.4909090909090909E-2</v>
      </c>
      <c r="P2793" s="28">
        <v>25.945132743362834</v>
      </c>
    </row>
    <row r="2794" spans="1:16" x14ac:dyDescent="0.3">
      <c r="A2794" t="s">
        <v>5673</v>
      </c>
      <c r="B2794" s="24">
        <v>101424</v>
      </c>
      <c r="C2794" s="24" t="s">
        <v>1278</v>
      </c>
      <c r="D2794" s="24" t="s">
        <v>1102</v>
      </c>
      <c r="E2794" s="24" t="s">
        <v>51</v>
      </c>
      <c r="F2794" s="24" t="s">
        <v>1142</v>
      </c>
      <c r="G2794" s="24" t="s">
        <v>1203</v>
      </c>
      <c r="H2794" s="24" t="s">
        <v>2854</v>
      </c>
      <c r="I2794" s="24" t="s">
        <v>2110</v>
      </c>
      <c r="J2794" s="24" t="s">
        <v>761</v>
      </c>
      <c r="K2794" s="24" t="s">
        <v>1146</v>
      </c>
      <c r="L2794" s="25">
        <v>1070</v>
      </c>
      <c r="M2794" s="26">
        <v>24.5</v>
      </c>
      <c r="N2794" s="27">
        <v>24.5</v>
      </c>
      <c r="O2794" s="28">
        <v>2.2272727272727274E-2</v>
      </c>
      <c r="P2794" s="28">
        <v>23.199115044247787</v>
      </c>
    </row>
    <row r="2795" spans="1:16" x14ac:dyDescent="0.3">
      <c r="A2795" t="s">
        <v>5674</v>
      </c>
      <c r="B2795" s="24">
        <v>100581</v>
      </c>
      <c r="C2795" s="24" t="s">
        <v>1232</v>
      </c>
      <c r="D2795" s="24" t="s">
        <v>1102</v>
      </c>
      <c r="E2795" s="24" t="s">
        <v>51</v>
      </c>
      <c r="F2795" s="24" t="s">
        <v>1142</v>
      </c>
      <c r="G2795" s="24" t="s">
        <v>1233</v>
      </c>
      <c r="H2795" s="24" t="s">
        <v>2111</v>
      </c>
      <c r="I2795" s="24" t="s">
        <v>2112</v>
      </c>
      <c r="J2795" s="24" t="s">
        <v>761</v>
      </c>
      <c r="K2795" s="24" t="s">
        <v>1146</v>
      </c>
      <c r="L2795" s="25">
        <v>1070</v>
      </c>
      <c r="M2795" s="26">
        <v>25.9</v>
      </c>
      <c r="N2795" s="27">
        <v>25.9</v>
      </c>
      <c r="O2795" s="28">
        <v>2.3545454545454543E-2</v>
      </c>
      <c r="P2795" s="28">
        <v>24.524778761061945</v>
      </c>
    </row>
    <row r="2796" spans="1:16" x14ac:dyDescent="0.3">
      <c r="A2796" t="s">
        <v>5675</v>
      </c>
      <c r="B2796" s="24">
        <v>101424</v>
      </c>
      <c r="C2796" s="24" t="s">
        <v>1278</v>
      </c>
      <c r="D2796" s="24" t="s">
        <v>1102</v>
      </c>
      <c r="E2796" s="24" t="s">
        <v>51</v>
      </c>
      <c r="F2796" s="24" t="s">
        <v>1142</v>
      </c>
      <c r="G2796" s="24" t="s">
        <v>1203</v>
      </c>
      <c r="H2796" s="24" t="s">
        <v>2111</v>
      </c>
      <c r="I2796" s="24" t="s">
        <v>2112</v>
      </c>
      <c r="J2796" s="24" t="s">
        <v>761</v>
      </c>
      <c r="K2796" s="24" t="s">
        <v>1146</v>
      </c>
      <c r="L2796" s="25">
        <v>1070</v>
      </c>
      <c r="M2796" s="26">
        <v>25.9</v>
      </c>
      <c r="N2796" s="27">
        <v>25.9</v>
      </c>
      <c r="O2796" s="28">
        <v>2.3545454545454543E-2</v>
      </c>
      <c r="P2796" s="28">
        <v>24.524778761061945</v>
      </c>
    </row>
    <row r="2797" spans="1:16" x14ac:dyDescent="0.3">
      <c r="A2797" t="s">
        <v>5676</v>
      </c>
      <c r="B2797" s="24">
        <v>100581</v>
      </c>
      <c r="C2797" s="24" t="s">
        <v>1232</v>
      </c>
      <c r="D2797" s="24" t="s">
        <v>1102</v>
      </c>
      <c r="E2797" s="24" t="s">
        <v>51</v>
      </c>
      <c r="F2797" s="24" t="s">
        <v>1142</v>
      </c>
      <c r="G2797" s="24" t="s">
        <v>1233</v>
      </c>
      <c r="H2797" s="24" t="s">
        <v>345</v>
      </c>
      <c r="I2797" s="24" t="s">
        <v>2113</v>
      </c>
      <c r="J2797" s="24" t="s">
        <v>761</v>
      </c>
      <c r="K2797" s="24" t="s">
        <v>1146</v>
      </c>
      <c r="L2797" s="25">
        <v>1070</v>
      </c>
      <c r="M2797" s="26">
        <v>32</v>
      </c>
      <c r="N2797" s="27">
        <v>32</v>
      </c>
      <c r="O2797" s="28">
        <v>2.9090909090909091E-2</v>
      </c>
      <c r="P2797" s="28">
        <v>30.300884955752213</v>
      </c>
    </row>
    <row r="2798" spans="1:16" x14ac:dyDescent="0.3">
      <c r="A2798" t="s">
        <v>5677</v>
      </c>
      <c r="B2798" s="24">
        <v>101424</v>
      </c>
      <c r="C2798" s="24" t="s">
        <v>1278</v>
      </c>
      <c r="D2798" s="24" t="s">
        <v>1102</v>
      </c>
      <c r="E2798" s="24" t="s">
        <v>51</v>
      </c>
      <c r="F2798" s="24" t="s">
        <v>1142</v>
      </c>
      <c r="G2798" s="24" t="s">
        <v>1203</v>
      </c>
      <c r="H2798" s="24" t="s">
        <v>2855</v>
      </c>
      <c r="I2798" s="24" t="s">
        <v>2114</v>
      </c>
      <c r="J2798" s="24" t="s">
        <v>761</v>
      </c>
      <c r="K2798" s="24" t="s">
        <v>1146</v>
      </c>
      <c r="L2798" s="25">
        <v>1070</v>
      </c>
      <c r="M2798" s="26">
        <v>0</v>
      </c>
      <c r="N2798" s="27">
        <v>0</v>
      </c>
      <c r="O2798" s="28">
        <v>0</v>
      </c>
      <c r="P2798" s="28">
        <v>0</v>
      </c>
    </row>
    <row r="2799" spans="1:16" x14ac:dyDescent="0.3">
      <c r="A2799" t="s">
        <v>5678</v>
      </c>
      <c r="B2799" s="24">
        <v>100581</v>
      </c>
      <c r="C2799" s="24" t="s">
        <v>1232</v>
      </c>
      <c r="D2799" s="24" t="s">
        <v>1102</v>
      </c>
      <c r="E2799" s="24" t="s">
        <v>51</v>
      </c>
      <c r="F2799" s="24" t="s">
        <v>1142</v>
      </c>
      <c r="G2799" s="24" t="s">
        <v>1233</v>
      </c>
      <c r="H2799" s="24" t="s">
        <v>346</v>
      </c>
      <c r="I2799" s="24" t="s">
        <v>2115</v>
      </c>
      <c r="J2799" s="24" t="s">
        <v>761</v>
      </c>
      <c r="K2799" s="24" t="s">
        <v>1146</v>
      </c>
      <c r="L2799" s="25">
        <v>1070</v>
      </c>
      <c r="M2799" s="26">
        <v>59.9</v>
      </c>
      <c r="N2799" s="27">
        <v>59.9</v>
      </c>
      <c r="O2799" s="28">
        <v>5.445454545454545E-2</v>
      </c>
      <c r="P2799" s="28">
        <v>56.719469026548673</v>
      </c>
    </row>
    <row r="2800" spans="1:16" x14ac:dyDescent="0.3">
      <c r="A2800" t="s">
        <v>5679</v>
      </c>
      <c r="B2800" s="24">
        <v>100603</v>
      </c>
      <c r="C2800" s="24" t="s">
        <v>1277</v>
      </c>
      <c r="D2800" s="24" t="s">
        <v>1102</v>
      </c>
      <c r="E2800" s="24" t="s">
        <v>51</v>
      </c>
      <c r="F2800" s="24" t="s">
        <v>1142</v>
      </c>
      <c r="G2800" s="24" t="s">
        <v>1082</v>
      </c>
      <c r="H2800" s="24" t="s">
        <v>354</v>
      </c>
      <c r="I2800" s="24" t="s">
        <v>2116</v>
      </c>
      <c r="J2800" s="24" t="s">
        <v>761</v>
      </c>
      <c r="K2800" s="24" t="s">
        <v>1146</v>
      </c>
      <c r="L2800" s="25">
        <v>1070</v>
      </c>
      <c r="M2800" s="26">
        <v>50.3</v>
      </c>
      <c r="N2800" s="27">
        <v>50.3</v>
      </c>
      <c r="O2800" s="28">
        <v>4.5727272727272728E-2</v>
      </c>
      <c r="P2800" s="28">
        <v>47.62920353982301</v>
      </c>
    </row>
    <row r="2801" spans="1:16" x14ac:dyDescent="0.3">
      <c r="A2801" t="s">
        <v>5680</v>
      </c>
      <c r="B2801" s="24">
        <v>101186</v>
      </c>
      <c r="C2801" s="24" t="s">
        <v>1273</v>
      </c>
      <c r="D2801" s="24" t="s">
        <v>1102</v>
      </c>
      <c r="E2801" s="24" t="s">
        <v>51</v>
      </c>
      <c r="F2801" s="24" t="s">
        <v>1142</v>
      </c>
      <c r="G2801" s="24" t="s">
        <v>1203</v>
      </c>
      <c r="H2801" s="24" t="s">
        <v>354</v>
      </c>
      <c r="I2801" s="24" t="s">
        <v>2116</v>
      </c>
      <c r="J2801" s="24" t="s">
        <v>761</v>
      </c>
      <c r="K2801" s="24" t="s">
        <v>1146</v>
      </c>
      <c r="L2801" s="25">
        <v>1070</v>
      </c>
      <c r="M2801" s="26">
        <v>50.3</v>
      </c>
      <c r="N2801" s="27">
        <v>50.3</v>
      </c>
      <c r="O2801" s="28">
        <v>4.5727272727272728E-2</v>
      </c>
      <c r="P2801" s="28">
        <v>47.62920353982301</v>
      </c>
    </row>
    <row r="2802" spans="1:16" x14ac:dyDescent="0.3">
      <c r="A2802" t="s">
        <v>5681</v>
      </c>
      <c r="B2802" s="24">
        <v>100581</v>
      </c>
      <c r="C2802" s="24" t="s">
        <v>1232</v>
      </c>
      <c r="D2802" s="24" t="s">
        <v>1102</v>
      </c>
      <c r="E2802" s="24" t="s">
        <v>51</v>
      </c>
      <c r="F2802" s="24" t="s">
        <v>1142</v>
      </c>
      <c r="G2802" s="24" t="s">
        <v>1233</v>
      </c>
      <c r="H2802" s="24" t="s">
        <v>355</v>
      </c>
      <c r="I2802" s="24" t="s">
        <v>2117</v>
      </c>
      <c r="J2802" s="24" t="s">
        <v>761</v>
      </c>
      <c r="K2802" s="24" t="s">
        <v>1146</v>
      </c>
      <c r="L2802" s="25">
        <v>1070</v>
      </c>
      <c r="M2802" s="26">
        <v>57</v>
      </c>
      <c r="N2802" s="27">
        <v>57</v>
      </c>
      <c r="O2802" s="28">
        <v>5.1818181818181819E-2</v>
      </c>
      <c r="P2802" s="28">
        <v>53.973451327433629</v>
      </c>
    </row>
    <row r="2803" spans="1:16" x14ac:dyDescent="0.3">
      <c r="A2803" t="s">
        <v>5682</v>
      </c>
      <c r="B2803" s="24">
        <v>100603</v>
      </c>
      <c r="C2803" s="24" t="s">
        <v>1277</v>
      </c>
      <c r="D2803" s="24" t="s">
        <v>1102</v>
      </c>
      <c r="E2803" s="24" t="s">
        <v>51</v>
      </c>
      <c r="F2803" s="24" t="s">
        <v>1142</v>
      </c>
      <c r="G2803" s="24" t="s">
        <v>1082</v>
      </c>
      <c r="H2803" s="24" t="s">
        <v>355</v>
      </c>
      <c r="I2803" s="24" t="s">
        <v>2117</v>
      </c>
      <c r="J2803" s="24" t="s">
        <v>761</v>
      </c>
      <c r="K2803" s="24" t="s">
        <v>1146</v>
      </c>
      <c r="L2803" s="25">
        <v>1070</v>
      </c>
      <c r="M2803" s="26">
        <v>57</v>
      </c>
      <c r="N2803" s="27">
        <v>57</v>
      </c>
      <c r="O2803" s="28">
        <v>5.1818181818181819E-2</v>
      </c>
      <c r="P2803" s="28">
        <v>53.973451327433629</v>
      </c>
    </row>
    <row r="2804" spans="1:16" x14ac:dyDescent="0.3">
      <c r="A2804" t="s">
        <v>5683</v>
      </c>
      <c r="B2804" s="24">
        <v>101184</v>
      </c>
      <c r="C2804" s="24" t="s">
        <v>1401</v>
      </c>
      <c r="D2804" s="24" t="s">
        <v>1102</v>
      </c>
      <c r="E2804" s="24" t="s">
        <v>51</v>
      </c>
      <c r="F2804" s="24" t="s">
        <v>1142</v>
      </c>
      <c r="G2804" s="24" t="s">
        <v>1402</v>
      </c>
      <c r="H2804" s="24" t="s">
        <v>355</v>
      </c>
      <c r="I2804" s="24" t="s">
        <v>2117</v>
      </c>
      <c r="J2804" s="24" t="s">
        <v>761</v>
      </c>
      <c r="K2804" s="24" t="s">
        <v>1146</v>
      </c>
      <c r="L2804" s="25">
        <v>1070</v>
      </c>
      <c r="M2804" s="26">
        <v>57</v>
      </c>
      <c r="N2804" s="27">
        <v>57</v>
      </c>
      <c r="O2804" s="28">
        <v>5.1818181818181819E-2</v>
      </c>
      <c r="P2804" s="28">
        <v>53.973451327433629</v>
      </c>
    </row>
    <row r="2805" spans="1:16" x14ac:dyDescent="0.3">
      <c r="A2805" t="s">
        <v>5684</v>
      </c>
      <c r="B2805" s="24">
        <v>101186</v>
      </c>
      <c r="C2805" s="24" t="s">
        <v>1273</v>
      </c>
      <c r="D2805" s="24" t="s">
        <v>1102</v>
      </c>
      <c r="E2805" s="24" t="s">
        <v>51</v>
      </c>
      <c r="F2805" s="24" t="s">
        <v>1142</v>
      </c>
      <c r="G2805" s="24" t="s">
        <v>1203</v>
      </c>
      <c r="H2805" s="24" t="s">
        <v>355</v>
      </c>
      <c r="I2805" s="24" t="s">
        <v>2117</v>
      </c>
      <c r="J2805" s="24" t="s">
        <v>761</v>
      </c>
      <c r="K2805" s="24" t="s">
        <v>1146</v>
      </c>
      <c r="L2805" s="25">
        <v>1070</v>
      </c>
      <c r="M2805" s="26">
        <v>57</v>
      </c>
      <c r="N2805" s="27">
        <v>57</v>
      </c>
      <c r="O2805" s="28">
        <v>5.1818181818181819E-2</v>
      </c>
      <c r="P2805" s="28">
        <v>53.973451327433629</v>
      </c>
    </row>
    <row r="2806" spans="1:16" x14ac:dyDescent="0.3">
      <c r="A2806" t="s">
        <v>5685</v>
      </c>
      <c r="B2806" s="24">
        <v>101184</v>
      </c>
      <c r="C2806" s="24" t="s">
        <v>1401</v>
      </c>
      <c r="D2806" s="24" t="s">
        <v>1102</v>
      </c>
      <c r="E2806" s="24" t="s">
        <v>51</v>
      </c>
      <c r="F2806" s="24" t="s">
        <v>1142</v>
      </c>
      <c r="G2806" s="24" t="s">
        <v>1402</v>
      </c>
      <c r="H2806" s="24" t="s">
        <v>2118</v>
      </c>
      <c r="I2806" s="24" t="s">
        <v>2119</v>
      </c>
      <c r="J2806" s="24" t="s">
        <v>761</v>
      </c>
      <c r="K2806" s="24" t="s">
        <v>1146</v>
      </c>
      <c r="L2806" s="25">
        <v>1070</v>
      </c>
      <c r="M2806" s="26">
        <v>57</v>
      </c>
      <c r="N2806" s="27">
        <v>57</v>
      </c>
      <c r="O2806" s="28">
        <v>5.1818181818181819E-2</v>
      </c>
      <c r="P2806" s="28">
        <v>53.973451327433629</v>
      </c>
    </row>
    <row r="2807" spans="1:16" x14ac:dyDescent="0.3">
      <c r="A2807" t="s">
        <v>5686</v>
      </c>
      <c r="B2807" s="24">
        <v>100702</v>
      </c>
      <c r="C2807" s="24" t="s">
        <v>1357</v>
      </c>
      <c r="D2807" s="24" t="s">
        <v>1102</v>
      </c>
      <c r="E2807" s="24" t="s">
        <v>632</v>
      </c>
      <c r="F2807" s="24" t="s">
        <v>1142</v>
      </c>
      <c r="G2807" s="24" t="s">
        <v>1200</v>
      </c>
      <c r="H2807" s="24" t="s">
        <v>2120</v>
      </c>
      <c r="I2807" s="24" t="s">
        <v>2121</v>
      </c>
      <c r="J2807" s="24" t="s">
        <v>761</v>
      </c>
      <c r="K2807" s="24" t="s">
        <v>1352</v>
      </c>
      <c r="L2807" s="25">
        <v>1</v>
      </c>
      <c r="M2807" s="26">
        <v>6450</v>
      </c>
      <c r="N2807" s="27">
        <v>5.8636363636363633</v>
      </c>
      <c r="O2807" s="28">
        <v>5.8636363636363633</v>
      </c>
      <c r="P2807" s="28">
        <v>5.7079646017699117</v>
      </c>
    </row>
    <row r="2808" spans="1:16" x14ac:dyDescent="0.3">
      <c r="A2808" t="s">
        <v>5687</v>
      </c>
      <c r="B2808" s="24">
        <v>100702</v>
      </c>
      <c r="C2808" s="24" t="s">
        <v>1357</v>
      </c>
      <c r="D2808" s="24" t="s">
        <v>1102</v>
      </c>
      <c r="E2808" s="24" t="s">
        <v>632</v>
      </c>
      <c r="F2808" s="24" t="s">
        <v>1142</v>
      </c>
      <c r="G2808" s="24" t="s">
        <v>1200</v>
      </c>
      <c r="H2808" s="24" t="s">
        <v>729</v>
      </c>
      <c r="I2808" s="24" t="s">
        <v>2122</v>
      </c>
      <c r="J2808" s="24" t="s">
        <v>761</v>
      </c>
      <c r="K2808" s="24" t="s">
        <v>1352</v>
      </c>
      <c r="L2808" s="25">
        <v>1</v>
      </c>
      <c r="M2808" s="26">
        <v>6500</v>
      </c>
      <c r="N2808" s="27">
        <v>5.9090909090909092</v>
      </c>
      <c r="O2808" s="28">
        <v>5.9090909090909092</v>
      </c>
      <c r="P2808" s="28">
        <v>5.7522123893805306</v>
      </c>
    </row>
    <row r="2809" spans="1:16" x14ac:dyDescent="0.3">
      <c r="A2809" t="s">
        <v>5688</v>
      </c>
      <c r="B2809" s="24">
        <v>100702</v>
      </c>
      <c r="C2809" s="24" t="s">
        <v>1357</v>
      </c>
      <c r="D2809" s="24" t="s">
        <v>1102</v>
      </c>
      <c r="E2809" s="24" t="s">
        <v>632</v>
      </c>
      <c r="F2809" s="24" t="s">
        <v>1142</v>
      </c>
      <c r="G2809" s="24" t="s">
        <v>1200</v>
      </c>
      <c r="H2809" s="24" t="s">
        <v>2123</v>
      </c>
      <c r="I2809" s="24" t="s">
        <v>2124</v>
      </c>
      <c r="J2809" s="24" t="s">
        <v>761</v>
      </c>
      <c r="K2809" s="24" t="s">
        <v>1352</v>
      </c>
      <c r="L2809" s="25">
        <v>1</v>
      </c>
      <c r="M2809" s="26">
        <v>6600</v>
      </c>
      <c r="N2809" s="27">
        <v>6</v>
      </c>
      <c r="O2809" s="28">
        <v>6</v>
      </c>
      <c r="P2809" s="28">
        <v>5.8407079646017701</v>
      </c>
    </row>
    <row r="2810" spans="1:16" x14ac:dyDescent="0.3">
      <c r="A2810" t="s">
        <v>5689</v>
      </c>
      <c r="B2810" s="24">
        <v>100702</v>
      </c>
      <c r="C2810" s="24" t="s">
        <v>1357</v>
      </c>
      <c r="D2810" s="24" t="s">
        <v>1102</v>
      </c>
      <c r="E2810" s="24" t="s">
        <v>632</v>
      </c>
      <c r="F2810" s="24" t="s">
        <v>1142</v>
      </c>
      <c r="G2810" s="24" t="s">
        <v>1200</v>
      </c>
      <c r="H2810" s="24" t="s">
        <v>2856</v>
      </c>
      <c r="I2810" s="24" t="s">
        <v>2908</v>
      </c>
      <c r="J2810" s="24" t="s">
        <v>761</v>
      </c>
      <c r="K2810" s="24" t="s">
        <v>1352</v>
      </c>
      <c r="L2810" s="25">
        <v>1</v>
      </c>
      <c r="M2810" s="26">
        <v>6600</v>
      </c>
      <c r="N2810" s="27">
        <v>6</v>
      </c>
      <c r="O2810" s="28">
        <v>6</v>
      </c>
      <c r="P2810" s="28">
        <v>5.8407079646017701</v>
      </c>
    </row>
    <row r="2811" spans="1:16" x14ac:dyDescent="0.3">
      <c r="A2811" t="s">
        <v>5690</v>
      </c>
      <c r="B2811" s="24">
        <v>100702</v>
      </c>
      <c r="C2811" s="24" t="s">
        <v>1357</v>
      </c>
      <c r="D2811" s="24" t="s">
        <v>1102</v>
      </c>
      <c r="E2811" s="24" t="s">
        <v>632</v>
      </c>
      <c r="F2811" s="24" t="s">
        <v>1142</v>
      </c>
      <c r="G2811" s="24" t="s">
        <v>1200</v>
      </c>
      <c r="H2811" s="24" t="s">
        <v>1124</v>
      </c>
      <c r="I2811" s="24" t="s">
        <v>2125</v>
      </c>
      <c r="J2811" s="24" t="s">
        <v>761</v>
      </c>
      <c r="K2811" s="24" t="s">
        <v>1352</v>
      </c>
      <c r="L2811" s="25">
        <v>1</v>
      </c>
      <c r="M2811" s="26">
        <v>6900</v>
      </c>
      <c r="N2811" s="27">
        <v>6.2727272727272725</v>
      </c>
      <c r="O2811" s="28">
        <v>6.2727272727272725</v>
      </c>
      <c r="P2811" s="28">
        <v>6.1061946902654869</v>
      </c>
    </row>
    <row r="2812" spans="1:16" x14ac:dyDescent="0.3">
      <c r="A2812" t="s">
        <v>5691</v>
      </c>
      <c r="B2812" s="24">
        <v>100702</v>
      </c>
      <c r="C2812" s="24" t="s">
        <v>1357</v>
      </c>
      <c r="D2812" s="24" t="s">
        <v>1102</v>
      </c>
      <c r="E2812" s="24" t="s">
        <v>632</v>
      </c>
      <c r="F2812" s="24" t="s">
        <v>1142</v>
      </c>
      <c r="G2812" s="24" t="s">
        <v>1200</v>
      </c>
      <c r="H2812" s="24" t="s">
        <v>2857</v>
      </c>
      <c r="I2812" s="24" t="s">
        <v>2909</v>
      </c>
      <c r="J2812" s="24" t="s">
        <v>761</v>
      </c>
      <c r="K2812" s="24" t="s">
        <v>1352</v>
      </c>
      <c r="L2812" s="25">
        <v>1</v>
      </c>
      <c r="M2812" s="26">
        <v>6900</v>
      </c>
      <c r="N2812" s="27">
        <v>6.2727272727272725</v>
      </c>
      <c r="O2812" s="28">
        <v>6.2727272727272725</v>
      </c>
      <c r="P2812" s="28">
        <v>6.1061946902654869</v>
      </c>
    </row>
    <row r="2813" spans="1:16" x14ac:dyDescent="0.3">
      <c r="A2813" t="s">
        <v>5692</v>
      </c>
      <c r="B2813" s="24">
        <v>100702</v>
      </c>
      <c r="C2813" s="24" t="s">
        <v>1357</v>
      </c>
      <c r="D2813" s="24" t="s">
        <v>1102</v>
      </c>
      <c r="E2813" s="24" t="s">
        <v>632</v>
      </c>
      <c r="F2813" s="24" t="s">
        <v>1142</v>
      </c>
      <c r="G2813" s="24" t="s">
        <v>1200</v>
      </c>
      <c r="H2813" s="24" t="s">
        <v>2126</v>
      </c>
      <c r="I2813" s="24" t="s">
        <v>2127</v>
      </c>
      <c r="J2813" s="24" t="s">
        <v>761</v>
      </c>
      <c r="K2813" s="24" t="s">
        <v>1352</v>
      </c>
      <c r="L2813" s="25">
        <v>1</v>
      </c>
      <c r="M2813" s="26">
        <v>6900</v>
      </c>
      <c r="N2813" s="27">
        <v>6.2727272727272725</v>
      </c>
      <c r="O2813" s="28">
        <v>6.2727272727272725</v>
      </c>
      <c r="P2813" s="28">
        <v>6.1061946902654869</v>
      </c>
    </row>
    <row r="2814" spans="1:16" x14ac:dyDescent="0.3">
      <c r="A2814" t="s">
        <v>5693</v>
      </c>
      <c r="B2814" s="24">
        <v>100702</v>
      </c>
      <c r="C2814" s="24" t="s">
        <v>1357</v>
      </c>
      <c r="D2814" s="24" t="s">
        <v>1102</v>
      </c>
      <c r="E2814" s="24" t="s">
        <v>632</v>
      </c>
      <c r="F2814" s="24" t="s">
        <v>1142</v>
      </c>
      <c r="G2814" s="24" t="s">
        <v>1200</v>
      </c>
      <c r="H2814" s="24" t="s">
        <v>2128</v>
      </c>
      <c r="I2814" s="24" t="s">
        <v>2129</v>
      </c>
      <c r="J2814" s="24" t="s">
        <v>761</v>
      </c>
      <c r="K2814" s="24" t="s">
        <v>1352</v>
      </c>
      <c r="L2814" s="25">
        <v>1</v>
      </c>
      <c r="M2814" s="26">
        <v>6900</v>
      </c>
      <c r="N2814" s="27">
        <v>6.2727272727272725</v>
      </c>
      <c r="O2814" s="28">
        <v>6.2727272727272725</v>
      </c>
      <c r="P2814" s="28">
        <v>6.1061946902654869</v>
      </c>
    </row>
    <row r="2815" spans="1:16" x14ac:dyDescent="0.3">
      <c r="A2815" t="s">
        <v>5694</v>
      </c>
      <c r="B2815" s="24">
        <v>100702</v>
      </c>
      <c r="C2815" s="24" t="s">
        <v>1357</v>
      </c>
      <c r="D2815" s="24" t="s">
        <v>1102</v>
      </c>
      <c r="E2815" s="24" t="s">
        <v>632</v>
      </c>
      <c r="F2815" s="24" t="s">
        <v>1142</v>
      </c>
      <c r="G2815" s="24" t="s">
        <v>1200</v>
      </c>
      <c r="H2815" s="24" t="s">
        <v>2130</v>
      </c>
      <c r="I2815" s="24" t="s">
        <v>2131</v>
      </c>
      <c r="J2815" s="24" t="s">
        <v>761</v>
      </c>
      <c r="K2815" s="24" t="s">
        <v>1352</v>
      </c>
      <c r="L2815" s="25">
        <v>1</v>
      </c>
      <c r="M2815" s="26">
        <v>6300</v>
      </c>
      <c r="N2815" s="27">
        <v>5.7272727272727275</v>
      </c>
      <c r="O2815" s="28">
        <v>5.7272727272727275</v>
      </c>
      <c r="P2815" s="28">
        <v>5.5752212389380533</v>
      </c>
    </row>
    <row r="2816" spans="1:16" x14ac:dyDescent="0.3">
      <c r="A2816" t="s">
        <v>5695</v>
      </c>
      <c r="B2816" s="24">
        <v>100702</v>
      </c>
      <c r="C2816" s="24" t="s">
        <v>1357</v>
      </c>
      <c r="D2816" s="24" t="s">
        <v>1102</v>
      </c>
      <c r="E2816" s="24" t="s">
        <v>632</v>
      </c>
      <c r="F2816" s="24" t="s">
        <v>1142</v>
      </c>
      <c r="G2816" s="24" t="s">
        <v>1200</v>
      </c>
      <c r="H2816" s="24" t="s">
        <v>2132</v>
      </c>
      <c r="I2816" s="24" t="s">
        <v>2133</v>
      </c>
      <c r="J2816" s="24" t="s">
        <v>761</v>
      </c>
      <c r="K2816" s="24" t="s">
        <v>1352</v>
      </c>
      <c r="L2816" s="25">
        <v>1</v>
      </c>
      <c r="M2816" s="26">
        <v>6450</v>
      </c>
      <c r="N2816" s="27">
        <v>5.8636363636363633</v>
      </c>
      <c r="O2816" s="28">
        <v>5.8636363636363633</v>
      </c>
      <c r="P2816" s="28">
        <v>5.7079646017699117</v>
      </c>
    </row>
    <row r="2817" spans="1:16" x14ac:dyDescent="0.3">
      <c r="A2817" t="s">
        <v>5696</v>
      </c>
      <c r="B2817" s="24">
        <v>100702</v>
      </c>
      <c r="C2817" s="24" t="s">
        <v>1357</v>
      </c>
      <c r="D2817" s="24" t="s">
        <v>1102</v>
      </c>
      <c r="E2817" s="24" t="s">
        <v>632</v>
      </c>
      <c r="F2817" s="24" t="s">
        <v>1142</v>
      </c>
      <c r="G2817" s="24" t="s">
        <v>1200</v>
      </c>
      <c r="H2817" s="24" t="s">
        <v>2859</v>
      </c>
      <c r="I2817" s="24" t="s">
        <v>2910</v>
      </c>
      <c r="J2817" s="24" t="s">
        <v>761</v>
      </c>
      <c r="K2817" s="24" t="s">
        <v>1352</v>
      </c>
      <c r="L2817" s="25">
        <v>1</v>
      </c>
      <c r="M2817" s="26">
        <v>6450</v>
      </c>
      <c r="N2817" s="27">
        <v>5.8636363636363633</v>
      </c>
      <c r="O2817" s="28">
        <v>5.8636363636363633</v>
      </c>
      <c r="P2817" s="28">
        <v>5.7079646017699117</v>
      </c>
    </row>
    <row r="2818" spans="1:16" x14ac:dyDescent="0.3">
      <c r="A2818" t="s">
        <v>5697</v>
      </c>
      <c r="B2818" s="24">
        <v>142567</v>
      </c>
      <c r="C2818" s="24" t="s">
        <v>2134</v>
      </c>
      <c r="D2818" s="24" t="s">
        <v>1102</v>
      </c>
      <c r="E2818" s="24" t="s">
        <v>731</v>
      </c>
      <c r="F2818" s="24" t="s">
        <v>1237</v>
      </c>
      <c r="G2818" s="24" t="s">
        <v>1486</v>
      </c>
      <c r="H2818" s="24" t="s">
        <v>743</v>
      </c>
      <c r="I2818" s="24" t="s">
        <v>2135</v>
      </c>
      <c r="J2818" s="24" t="s">
        <v>761</v>
      </c>
      <c r="K2818" s="24" t="s">
        <v>1146</v>
      </c>
      <c r="L2818" s="25">
        <v>1070</v>
      </c>
      <c r="M2818" s="26">
        <v>124</v>
      </c>
      <c r="N2818" s="27">
        <v>124</v>
      </c>
      <c r="O2818" s="28">
        <v>0.11272727272727273</v>
      </c>
      <c r="P2818" s="28">
        <v>117.41592920353982</v>
      </c>
    </row>
    <row r="2819" spans="1:16" x14ac:dyDescent="0.3">
      <c r="A2819" t="s">
        <v>5698</v>
      </c>
      <c r="B2819" s="24">
        <v>142567</v>
      </c>
      <c r="C2819" s="24" t="s">
        <v>2134</v>
      </c>
      <c r="D2819" s="24" t="s">
        <v>1102</v>
      </c>
      <c r="E2819" s="24" t="s">
        <v>731</v>
      </c>
      <c r="F2819" s="24" t="s">
        <v>1237</v>
      </c>
      <c r="G2819" s="24" t="s">
        <v>1486</v>
      </c>
      <c r="H2819" s="24" t="s">
        <v>745</v>
      </c>
      <c r="I2819" s="24" t="s">
        <v>2136</v>
      </c>
      <c r="J2819" s="24" t="s">
        <v>761</v>
      </c>
      <c r="K2819" s="24" t="s">
        <v>1146</v>
      </c>
      <c r="L2819" s="25">
        <v>1070</v>
      </c>
      <c r="M2819" s="26">
        <v>124</v>
      </c>
      <c r="N2819" s="27">
        <v>124</v>
      </c>
      <c r="O2819" s="28">
        <v>0.11272727272727273</v>
      </c>
      <c r="P2819" s="28">
        <v>117.41592920353982</v>
      </c>
    </row>
    <row r="2820" spans="1:16" x14ac:dyDescent="0.3">
      <c r="A2820" t="s">
        <v>5699</v>
      </c>
      <c r="B2820" s="24">
        <v>300007</v>
      </c>
      <c r="C2820" s="24" t="s">
        <v>2137</v>
      </c>
      <c r="D2820" s="24" t="s">
        <v>1102</v>
      </c>
      <c r="E2820" s="24" t="s">
        <v>731</v>
      </c>
      <c r="F2820" s="24" t="s">
        <v>1237</v>
      </c>
      <c r="G2820" s="24" t="s">
        <v>1238</v>
      </c>
      <c r="H2820" s="24" t="s">
        <v>1078</v>
      </c>
      <c r="I2820" s="24" t="s">
        <v>2138</v>
      </c>
      <c r="J2820" s="24" t="s">
        <v>761</v>
      </c>
      <c r="K2820" s="24" t="s">
        <v>1146</v>
      </c>
      <c r="L2820" s="25">
        <v>1070</v>
      </c>
      <c r="M2820" s="26">
        <v>0</v>
      </c>
      <c r="N2820" s="27">
        <v>0</v>
      </c>
      <c r="O2820" s="28">
        <v>0</v>
      </c>
      <c r="P2820" s="28">
        <v>0</v>
      </c>
    </row>
    <row r="2821" spans="1:16" x14ac:dyDescent="0.3">
      <c r="A2821" t="s">
        <v>5700</v>
      </c>
      <c r="B2821" s="24">
        <v>141352</v>
      </c>
      <c r="C2821" s="24" t="s">
        <v>2139</v>
      </c>
      <c r="D2821" s="24" t="s">
        <v>1102</v>
      </c>
      <c r="E2821" s="24" t="s">
        <v>731</v>
      </c>
      <c r="F2821" s="24" t="s">
        <v>1237</v>
      </c>
      <c r="G2821" s="24" t="s">
        <v>1486</v>
      </c>
      <c r="H2821" s="24" t="s">
        <v>732</v>
      </c>
      <c r="I2821" s="24" t="s">
        <v>2140</v>
      </c>
      <c r="J2821" s="24" t="s">
        <v>761</v>
      </c>
      <c r="K2821" s="24" t="s">
        <v>1146</v>
      </c>
      <c r="L2821" s="25">
        <v>1070</v>
      </c>
      <c r="M2821" s="26">
        <v>114.7</v>
      </c>
      <c r="N2821" s="27">
        <v>114.7</v>
      </c>
      <c r="O2821" s="28">
        <v>0.10427272727272728</v>
      </c>
      <c r="P2821" s="28">
        <v>108.60973451327433</v>
      </c>
    </row>
    <row r="2822" spans="1:16" x14ac:dyDescent="0.3">
      <c r="A2822" t="s">
        <v>5701</v>
      </c>
      <c r="B2822" s="24">
        <v>142437</v>
      </c>
      <c r="C2822" s="24" t="s">
        <v>2141</v>
      </c>
      <c r="D2822" s="24" t="s">
        <v>1102</v>
      </c>
      <c r="E2822" s="24" t="s">
        <v>731</v>
      </c>
      <c r="F2822" s="24" t="s">
        <v>1237</v>
      </c>
      <c r="G2822" s="24" t="s">
        <v>1486</v>
      </c>
      <c r="H2822" s="24" t="s">
        <v>733</v>
      </c>
      <c r="I2822" s="24" t="s">
        <v>2140</v>
      </c>
      <c r="J2822" s="24" t="s">
        <v>761</v>
      </c>
      <c r="K2822" s="24" t="s">
        <v>1146</v>
      </c>
      <c r="L2822" s="25">
        <v>1070</v>
      </c>
      <c r="M2822" s="26">
        <v>116.7</v>
      </c>
      <c r="N2822" s="27">
        <v>116.7</v>
      </c>
      <c r="O2822" s="28">
        <v>0.1060909090909091</v>
      </c>
      <c r="P2822" s="28">
        <v>110.50353982300885</v>
      </c>
    </row>
    <row r="2823" spans="1:16" x14ac:dyDescent="0.3">
      <c r="A2823" t="s">
        <v>5702</v>
      </c>
      <c r="B2823" s="24">
        <v>110920</v>
      </c>
      <c r="C2823" s="24" t="s">
        <v>2142</v>
      </c>
      <c r="D2823" s="24" t="s">
        <v>1102</v>
      </c>
      <c r="E2823" s="24" t="s">
        <v>731</v>
      </c>
      <c r="F2823" s="24" t="s">
        <v>1237</v>
      </c>
      <c r="G2823" s="24" t="s">
        <v>1486</v>
      </c>
      <c r="H2823" s="24" t="s">
        <v>734</v>
      </c>
      <c r="I2823" s="24" t="s">
        <v>2143</v>
      </c>
      <c r="J2823" s="24" t="s">
        <v>761</v>
      </c>
      <c r="K2823" s="24" t="s">
        <v>1146</v>
      </c>
      <c r="L2823" s="25">
        <v>1070</v>
      </c>
      <c r="M2823" s="26">
        <v>117</v>
      </c>
      <c r="N2823" s="27">
        <v>117</v>
      </c>
      <c r="O2823" s="28">
        <v>0.10636363636363637</v>
      </c>
      <c r="P2823" s="28">
        <v>110.78761061946902</v>
      </c>
    </row>
    <row r="2824" spans="1:16" x14ac:dyDescent="0.3">
      <c r="A2824" t="s">
        <v>5703</v>
      </c>
      <c r="B2824" s="24">
        <v>141352</v>
      </c>
      <c r="C2824" s="24" t="s">
        <v>2139</v>
      </c>
      <c r="D2824" s="24" t="s">
        <v>1102</v>
      </c>
      <c r="E2824" s="24" t="s">
        <v>731</v>
      </c>
      <c r="F2824" s="24" t="s">
        <v>1237</v>
      </c>
      <c r="G2824" s="24" t="s">
        <v>1486</v>
      </c>
      <c r="H2824" s="24" t="s">
        <v>734</v>
      </c>
      <c r="I2824" s="24" t="s">
        <v>2143</v>
      </c>
      <c r="J2824" s="24" t="s">
        <v>761</v>
      </c>
      <c r="K2824" s="24" t="s">
        <v>1146</v>
      </c>
      <c r="L2824" s="25">
        <v>1070</v>
      </c>
      <c r="M2824" s="26">
        <v>115.8</v>
      </c>
      <c r="N2824" s="27">
        <v>115.8</v>
      </c>
      <c r="O2824" s="28">
        <v>0.10527272727272727</v>
      </c>
      <c r="P2824" s="28">
        <v>109.65132743362832</v>
      </c>
    </row>
    <row r="2825" spans="1:16" x14ac:dyDescent="0.3">
      <c r="A2825" t="s">
        <v>5704</v>
      </c>
      <c r="B2825" s="24">
        <v>400144</v>
      </c>
      <c r="C2825" s="24" t="s">
        <v>1250</v>
      </c>
      <c r="D2825" s="24" t="s">
        <v>1102</v>
      </c>
      <c r="E2825" s="24" t="s">
        <v>731</v>
      </c>
      <c r="F2825" s="24" t="s">
        <v>1237</v>
      </c>
      <c r="G2825" s="24" t="s">
        <v>1486</v>
      </c>
      <c r="H2825" s="24" t="s">
        <v>734</v>
      </c>
      <c r="I2825" s="24" t="s">
        <v>2143</v>
      </c>
      <c r="J2825" s="24" t="s">
        <v>761</v>
      </c>
      <c r="K2825" s="24" t="s">
        <v>1146</v>
      </c>
      <c r="L2825" s="25">
        <v>1070</v>
      </c>
      <c r="M2825" s="26">
        <v>117</v>
      </c>
      <c r="N2825" s="27">
        <v>117</v>
      </c>
      <c r="O2825" s="28">
        <v>0.10636363636363637</v>
      </c>
      <c r="P2825" s="28">
        <v>110.78761061946902</v>
      </c>
    </row>
    <row r="2826" spans="1:16" x14ac:dyDescent="0.3">
      <c r="A2826" t="s">
        <v>5705</v>
      </c>
      <c r="B2826" s="24">
        <v>142437</v>
      </c>
      <c r="C2826" s="24" t="s">
        <v>2141</v>
      </c>
      <c r="D2826" s="24" t="s">
        <v>1102</v>
      </c>
      <c r="E2826" s="24" t="s">
        <v>731</v>
      </c>
      <c r="F2826" s="24" t="s">
        <v>1237</v>
      </c>
      <c r="G2826" s="24" t="s">
        <v>1486</v>
      </c>
      <c r="H2826" s="24" t="s">
        <v>735</v>
      </c>
      <c r="I2826" s="24" t="s">
        <v>2143</v>
      </c>
      <c r="J2826" s="24" t="s">
        <v>761</v>
      </c>
      <c r="K2826" s="24" t="s">
        <v>1146</v>
      </c>
      <c r="L2826" s="25">
        <v>1070</v>
      </c>
      <c r="M2826" s="26">
        <v>117.8</v>
      </c>
      <c r="N2826" s="27">
        <v>117.8</v>
      </c>
      <c r="O2826" s="28">
        <v>0.10709090909090908</v>
      </c>
      <c r="P2826" s="28">
        <v>111.54513274336283</v>
      </c>
    </row>
    <row r="2827" spans="1:16" x14ac:dyDescent="0.3">
      <c r="A2827" t="s">
        <v>5706</v>
      </c>
      <c r="B2827" s="24">
        <v>142461</v>
      </c>
      <c r="C2827" s="24" t="s">
        <v>2144</v>
      </c>
      <c r="D2827" s="24" t="s">
        <v>1102</v>
      </c>
      <c r="E2827" s="24" t="s">
        <v>731</v>
      </c>
      <c r="F2827" s="24" t="s">
        <v>1237</v>
      </c>
      <c r="G2827" s="24" t="s">
        <v>1486</v>
      </c>
      <c r="H2827" s="24" t="s">
        <v>753</v>
      </c>
      <c r="I2827" s="24" t="s">
        <v>2145</v>
      </c>
      <c r="J2827" s="24" t="s">
        <v>761</v>
      </c>
      <c r="K2827" s="24" t="s">
        <v>1146</v>
      </c>
      <c r="L2827" s="25">
        <v>1070</v>
      </c>
      <c r="M2827" s="26">
        <v>143.1</v>
      </c>
      <c r="N2827" s="27">
        <v>143.1</v>
      </c>
      <c r="O2827" s="28">
        <v>0.13009090909090909</v>
      </c>
      <c r="P2827" s="28">
        <v>135.50176991150443</v>
      </c>
    </row>
    <row r="2828" spans="1:16" x14ac:dyDescent="0.3">
      <c r="A2828" t="s">
        <v>5707</v>
      </c>
      <c r="B2828" s="24">
        <v>400144</v>
      </c>
      <c r="C2828" s="24" t="s">
        <v>1250</v>
      </c>
      <c r="D2828" s="24" t="s">
        <v>1102</v>
      </c>
      <c r="E2828" s="24" t="s">
        <v>731</v>
      </c>
      <c r="F2828" s="24" t="s">
        <v>1237</v>
      </c>
      <c r="G2828" s="24" t="s">
        <v>1486</v>
      </c>
      <c r="H2828" s="24" t="s">
        <v>753</v>
      </c>
      <c r="I2828" s="24" t="s">
        <v>2145</v>
      </c>
      <c r="J2828" s="24" t="s">
        <v>761</v>
      </c>
      <c r="K2828" s="24" t="s">
        <v>1146</v>
      </c>
      <c r="L2828" s="25">
        <v>1070</v>
      </c>
      <c r="M2828" s="26">
        <v>142.80000000000001</v>
      </c>
      <c r="N2828" s="27">
        <v>142.80000000000001</v>
      </c>
      <c r="O2828" s="28">
        <v>0.12981818181818183</v>
      </c>
      <c r="P2828" s="28">
        <v>135.21769911504424</v>
      </c>
    </row>
    <row r="2829" spans="1:16" x14ac:dyDescent="0.3">
      <c r="A2829" t="s">
        <v>5708</v>
      </c>
      <c r="B2829" s="24">
        <v>141294</v>
      </c>
      <c r="C2829" s="24" t="s">
        <v>2146</v>
      </c>
      <c r="D2829" s="24" t="s">
        <v>1102</v>
      </c>
      <c r="E2829" s="24" t="s">
        <v>731</v>
      </c>
      <c r="F2829" s="24" t="s">
        <v>1237</v>
      </c>
      <c r="G2829" s="24" t="s">
        <v>1486</v>
      </c>
      <c r="H2829" s="24" t="s">
        <v>730</v>
      </c>
      <c r="I2829" s="24" t="s">
        <v>2147</v>
      </c>
      <c r="J2829" s="24" t="s">
        <v>761</v>
      </c>
      <c r="K2829" s="24" t="s">
        <v>1146</v>
      </c>
      <c r="L2829" s="25">
        <v>1070</v>
      </c>
      <c r="M2829" s="26">
        <v>41.7</v>
      </c>
      <c r="N2829" s="27">
        <v>41.7</v>
      </c>
      <c r="O2829" s="28">
        <v>3.7909090909090913E-2</v>
      </c>
      <c r="P2829" s="28">
        <v>39.485840707964599</v>
      </c>
    </row>
    <row r="2830" spans="1:16" x14ac:dyDescent="0.3">
      <c r="A2830" t="s">
        <v>5709</v>
      </c>
      <c r="B2830" s="24">
        <v>141658</v>
      </c>
      <c r="C2830" s="24" t="s">
        <v>2148</v>
      </c>
      <c r="D2830" s="24" t="s">
        <v>1102</v>
      </c>
      <c r="E2830" s="24" t="s">
        <v>731</v>
      </c>
      <c r="F2830" s="24" t="s">
        <v>1237</v>
      </c>
      <c r="G2830" s="24" t="s">
        <v>1486</v>
      </c>
      <c r="H2830" s="24" t="s">
        <v>730</v>
      </c>
      <c r="I2830" s="24" t="s">
        <v>2147</v>
      </c>
      <c r="J2830" s="24" t="s">
        <v>761</v>
      </c>
      <c r="K2830" s="24" t="s">
        <v>1146</v>
      </c>
      <c r="L2830" s="25">
        <v>1070</v>
      </c>
      <c r="M2830" s="26">
        <v>41.7</v>
      </c>
      <c r="N2830" s="27">
        <v>41.7</v>
      </c>
      <c r="O2830" s="28">
        <v>3.7909090909090913E-2</v>
      </c>
      <c r="P2830" s="28">
        <v>39.485840707964599</v>
      </c>
    </row>
    <row r="2831" spans="1:16" x14ac:dyDescent="0.3">
      <c r="A2831" t="s">
        <v>5710</v>
      </c>
      <c r="B2831" s="24">
        <v>400144</v>
      </c>
      <c r="C2831" s="24" t="s">
        <v>1250</v>
      </c>
      <c r="D2831" s="24" t="s">
        <v>1102</v>
      </c>
      <c r="E2831" s="24" t="s">
        <v>731</v>
      </c>
      <c r="F2831" s="24" t="s">
        <v>1237</v>
      </c>
      <c r="G2831" s="24" t="s">
        <v>1486</v>
      </c>
      <c r="H2831" s="24" t="s">
        <v>730</v>
      </c>
      <c r="I2831" s="24" t="s">
        <v>2147</v>
      </c>
      <c r="J2831" s="24" t="s">
        <v>761</v>
      </c>
      <c r="K2831" s="24" t="s">
        <v>1146</v>
      </c>
      <c r="L2831" s="25">
        <v>1070</v>
      </c>
      <c r="M2831" s="26">
        <v>41.7</v>
      </c>
      <c r="N2831" s="27">
        <v>41.7</v>
      </c>
      <c r="O2831" s="28">
        <v>3.7909090909090913E-2</v>
      </c>
      <c r="P2831" s="28">
        <v>39.485840707964599</v>
      </c>
    </row>
    <row r="2832" spans="1:16" x14ac:dyDescent="0.3">
      <c r="A2832" t="s">
        <v>5711</v>
      </c>
      <c r="B2832" s="24">
        <v>141352</v>
      </c>
      <c r="C2832" s="24" t="s">
        <v>2139</v>
      </c>
      <c r="D2832" s="24" t="s">
        <v>1102</v>
      </c>
      <c r="E2832" s="24" t="s">
        <v>731</v>
      </c>
      <c r="F2832" s="24" t="s">
        <v>1237</v>
      </c>
      <c r="G2832" s="24" t="s">
        <v>1486</v>
      </c>
      <c r="H2832" s="24" t="s">
        <v>736</v>
      </c>
      <c r="I2832" s="24" t="s">
        <v>2149</v>
      </c>
      <c r="J2832" s="24" t="s">
        <v>761</v>
      </c>
      <c r="K2832" s="24" t="s">
        <v>1146</v>
      </c>
      <c r="L2832" s="25">
        <v>1070</v>
      </c>
      <c r="M2832" s="26">
        <v>159.80000000000001</v>
      </c>
      <c r="N2832" s="27">
        <v>159.80000000000001</v>
      </c>
      <c r="O2832" s="28">
        <v>0.14527272727272728</v>
      </c>
      <c r="P2832" s="28">
        <v>151.3150442477876</v>
      </c>
    </row>
    <row r="2833" spans="1:16" x14ac:dyDescent="0.3">
      <c r="A2833" t="s">
        <v>5712</v>
      </c>
      <c r="B2833" s="24">
        <v>142437</v>
      </c>
      <c r="C2833" s="24" t="s">
        <v>2141</v>
      </c>
      <c r="D2833" s="24" t="s">
        <v>1102</v>
      </c>
      <c r="E2833" s="24" t="s">
        <v>731</v>
      </c>
      <c r="F2833" s="24" t="s">
        <v>1237</v>
      </c>
      <c r="G2833" s="24" t="s">
        <v>1486</v>
      </c>
      <c r="H2833" s="24" t="s">
        <v>737</v>
      </c>
      <c r="I2833" s="24" t="s">
        <v>2150</v>
      </c>
      <c r="J2833" s="24" t="s">
        <v>761</v>
      </c>
      <c r="K2833" s="24" t="s">
        <v>1146</v>
      </c>
      <c r="L2833" s="25">
        <v>1070</v>
      </c>
      <c r="M2833" s="26">
        <v>161.80000000000001</v>
      </c>
      <c r="N2833" s="27">
        <v>161.80000000000001</v>
      </c>
      <c r="O2833" s="28">
        <v>0.14709090909090911</v>
      </c>
      <c r="P2833" s="28">
        <v>153.20884955752211</v>
      </c>
    </row>
    <row r="2834" spans="1:16" x14ac:dyDescent="0.3">
      <c r="A2834" t="s">
        <v>5713</v>
      </c>
      <c r="B2834" s="24">
        <v>142567</v>
      </c>
      <c r="C2834" s="24" t="s">
        <v>2134</v>
      </c>
      <c r="D2834" s="24" t="s">
        <v>1102</v>
      </c>
      <c r="E2834" s="24" t="s">
        <v>731</v>
      </c>
      <c r="F2834" s="24" t="s">
        <v>1237</v>
      </c>
      <c r="G2834" s="24" t="s">
        <v>1486</v>
      </c>
      <c r="H2834" s="24" t="s">
        <v>738</v>
      </c>
      <c r="I2834" s="24" t="s">
        <v>2151</v>
      </c>
      <c r="J2834" s="24" t="s">
        <v>761</v>
      </c>
      <c r="K2834" s="24" t="s">
        <v>1146</v>
      </c>
      <c r="L2834" s="25">
        <v>1070</v>
      </c>
      <c r="M2834" s="26">
        <v>73</v>
      </c>
      <c r="N2834" s="27">
        <v>73</v>
      </c>
      <c r="O2834" s="28">
        <v>6.6363636363636361E-2</v>
      </c>
      <c r="P2834" s="28">
        <v>69.123893805309734</v>
      </c>
    </row>
    <row r="2835" spans="1:16" x14ac:dyDescent="0.3">
      <c r="A2835" t="s">
        <v>5714</v>
      </c>
      <c r="B2835" s="24">
        <v>142567</v>
      </c>
      <c r="C2835" s="24" t="s">
        <v>2134</v>
      </c>
      <c r="D2835" s="24" t="s">
        <v>1102</v>
      </c>
      <c r="E2835" s="24" t="s">
        <v>731</v>
      </c>
      <c r="F2835" s="24" t="s">
        <v>1237</v>
      </c>
      <c r="G2835" s="24" t="s">
        <v>1486</v>
      </c>
      <c r="H2835" s="24" t="s">
        <v>739</v>
      </c>
      <c r="I2835" s="24" t="s">
        <v>2152</v>
      </c>
      <c r="J2835" s="24" t="s">
        <v>761</v>
      </c>
      <c r="K2835" s="24" t="s">
        <v>1146</v>
      </c>
      <c r="L2835" s="25">
        <v>1070</v>
      </c>
      <c r="M2835" s="26">
        <v>73</v>
      </c>
      <c r="N2835" s="27">
        <v>73</v>
      </c>
      <c r="O2835" s="28">
        <v>6.6363636363636361E-2</v>
      </c>
      <c r="P2835" s="28">
        <v>69.123893805309734</v>
      </c>
    </row>
    <row r="2836" spans="1:16" x14ac:dyDescent="0.3">
      <c r="A2836" t="s">
        <v>5715</v>
      </c>
      <c r="B2836" s="24">
        <v>142567</v>
      </c>
      <c r="C2836" s="24" t="s">
        <v>2134</v>
      </c>
      <c r="D2836" s="24" t="s">
        <v>1102</v>
      </c>
      <c r="E2836" s="24" t="s">
        <v>731</v>
      </c>
      <c r="F2836" s="24" t="s">
        <v>1237</v>
      </c>
      <c r="G2836" s="24" t="s">
        <v>1486</v>
      </c>
      <c r="H2836" s="24" t="s">
        <v>746</v>
      </c>
      <c r="I2836" s="24" t="s">
        <v>2153</v>
      </c>
      <c r="J2836" s="24" t="s">
        <v>761</v>
      </c>
      <c r="K2836" s="24" t="s">
        <v>1146</v>
      </c>
      <c r="L2836" s="25">
        <v>1070</v>
      </c>
      <c r="M2836" s="26">
        <v>98.5</v>
      </c>
      <c r="N2836" s="27">
        <v>98.5</v>
      </c>
      <c r="O2836" s="28">
        <v>8.9545454545454539E-2</v>
      </c>
      <c r="P2836" s="28">
        <v>93.269911504424783</v>
      </c>
    </row>
    <row r="2837" spans="1:16" x14ac:dyDescent="0.3">
      <c r="A2837" t="s">
        <v>5716</v>
      </c>
      <c r="B2837" s="24">
        <v>142567</v>
      </c>
      <c r="C2837" s="24" t="s">
        <v>2134</v>
      </c>
      <c r="D2837" s="24" t="s">
        <v>1102</v>
      </c>
      <c r="E2837" s="24" t="s">
        <v>731</v>
      </c>
      <c r="F2837" s="24" t="s">
        <v>1237</v>
      </c>
      <c r="G2837" s="24" t="s">
        <v>1486</v>
      </c>
      <c r="H2837" s="24" t="s">
        <v>747</v>
      </c>
      <c r="I2837" s="24" t="s">
        <v>2154</v>
      </c>
      <c r="J2837" s="24" t="s">
        <v>761</v>
      </c>
      <c r="K2837" s="24" t="s">
        <v>1146</v>
      </c>
      <c r="L2837" s="25">
        <v>1070</v>
      </c>
      <c r="M2837" s="26">
        <v>98.5</v>
      </c>
      <c r="N2837" s="27">
        <v>98.5</v>
      </c>
      <c r="O2837" s="28">
        <v>8.9545454545454539E-2</v>
      </c>
      <c r="P2837" s="28">
        <v>93.269911504424783</v>
      </c>
    </row>
    <row r="2838" spans="1:16" x14ac:dyDescent="0.3">
      <c r="A2838" t="s">
        <v>5717</v>
      </c>
      <c r="B2838" s="24">
        <v>142390</v>
      </c>
      <c r="C2838" s="24" t="s">
        <v>2155</v>
      </c>
      <c r="D2838" s="24" t="s">
        <v>1102</v>
      </c>
      <c r="E2838" s="24" t="s">
        <v>731</v>
      </c>
      <c r="F2838" s="24" t="s">
        <v>1237</v>
      </c>
      <c r="G2838" s="24" t="s">
        <v>1486</v>
      </c>
      <c r="H2838" s="24" t="s">
        <v>1080</v>
      </c>
      <c r="I2838" s="24" t="s">
        <v>2156</v>
      </c>
      <c r="J2838" s="24" t="s">
        <v>761</v>
      </c>
      <c r="K2838" s="24" t="s">
        <v>1146</v>
      </c>
      <c r="L2838" s="25">
        <v>1070</v>
      </c>
      <c r="M2838" s="26">
        <v>0</v>
      </c>
      <c r="N2838" s="27">
        <v>0</v>
      </c>
      <c r="O2838" s="28">
        <v>0</v>
      </c>
      <c r="P2838" s="28">
        <v>0</v>
      </c>
    </row>
    <row r="2839" spans="1:16" x14ac:dyDescent="0.3">
      <c r="A2839" t="s">
        <v>5718</v>
      </c>
      <c r="B2839" s="24">
        <v>142390</v>
      </c>
      <c r="C2839" s="24" t="s">
        <v>2155</v>
      </c>
      <c r="D2839" s="24" t="s">
        <v>1102</v>
      </c>
      <c r="E2839" s="24" t="s">
        <v>731</v>
      </c>
      <c r="F2839" s="24" t="s">
        <v>1237</v>
      </c>
      <c r="G2839" s="24" t="s">
        <v>1486</v>
      </c>
      <c r="H2839" s="24" t="s">
        <v>748</v>
      </c>
      <c r="I2839" s="24" t="s">
        <v>2157</v>
      </c>
      <c r="J2839" s="24" t="s">
        <v>761</v>
      </c>
      <c r="K2839" s="24" t="s">
        <v>1146</v>
      </c>
      <c r="L2839" s="25">
        <v>1070</v>
      </c>
      <c r="M2839" s="26">
        <v>72.239999999999995</v>
      </c>
      <c r="N2839" s="27">
        <v>72.239999999999995</v>
      </c>
      <c r="O2839" s="28">
        <v>6.5672727272727272E-2</v>
      </c>
      <c r="P2839" s="28">
        <v>68.404247787610615</v>
      </c>
    </row>
    <row r="2840" spans="1:16" x14ac:dyDescent="0.3">
      <c r="A2840" t="s">
        <v>5719</v>
      </c>
      <c r="B2840" s="24">
        <v>300026</v>
      </c>
      <c r="C2840" s="24" t="s">
        <v>2158</v>
      </c>
      <c r="D2840" s="24" t="s">
        <v>1102</v>
      </c>
      <c r="E2840" s="24" t="s">
        <v>731</v>
      </c>
      <c r="F2840" s="24" t="s">
        <v>1237</v>
      </c>
      <c r="G2840" s="24" t="s">
        <v>1486</v>
      </c>
      <c r="H2840" s="24" t="s">
        <v>748</v>
      </c>
      <c r="I2840" s="24" t="s">
        <v>2157</v>
      </c>
      <c r="J2840" s="24" t="s">
        <v>761</v>
      </c>
      <c r="K2840" s="24" t="s">
        <v>1146</v>
      </c>
      <c r="L2840" s="25">
        <v>1070</v>
      </c>
      <c r="M2840" s="26">
        <v>72.239999999999995</v>
      </c>
      <c r="N2840" s="27">
        <v>72.239999999999995</v>
      </c>
      <c r="O2840" s="28">
        <v>6.5672727272727272E-2</v>
      </c>
      <c r="P2840" s="28">
        <v>68.404247787610615</v>
      </c>
    </row>
    <row r="2841" spans="1:16" x14ac:dyDescent="0.3">
      <c r="A2841" t="s">
        <v>5720</v>
      </c>
      <c r="B2841" s="24">
        <v>142390</v>
      </c>
      <c r="C2841" s="24" t="s">
        <v>2155</v>
      </c>
      <c r="D2841" s="24" t="s">
        <v>1102</v>
      </c>
      <c r="E2841" s="24" t="s">
        <v>731</v>
      </c>
      <c r="F2841" s="24" t="s">
        <v>1237</v>
      </c>
      <c r="G2841" s="24" t="s">
        <v>1486</v>
      </c>
      <c r="H2841" s="24" t="s">
        <v>749</v>
      </c>
      <c r="I2841" s="24" t="s">
        <v>2159</v>
      </c>
      <c r="J2841" s="24" t="s">
        <v>761</v>
      </c>
      <c r="K2841" s="24" t="s">
        <v>1146</v>
      </c>
      <c r="L2841" s="25">
        <v>1070</v>
      </c>
      <c r="M2841" s="26">
        <v>73.47</v>
      </c>
      <c r="N2841" s="27">
        <v>73.47</v>
      </c>
      <c r="O2841" s="28">
        <v>6.6790909090909095E-2</v>
      </c>
      <c r="P2841" s="28">
        <v>69.568938053097341</v>
      </c>
    </row>
    <row r="2842" spans="1:16" x14ac:dyDescent="0.3">
      <c r="A2842" t="s">
        <v>5721</v>
      </c>
      <c r="B2842" s="24">
        <v>141185</v>
      </c>
      <c r="C2842" s="24" t="s">
        <v>2160</v>
      </c>
      <c r="D2842" s="24" t="s">
        <v>1102</v>
      </c>
      <c r="E2842" s="24" t="s">
        <v>731</v>
      </c>
      <c r="F2842" s="24" t="s">
        <v>1237</v>
      </c>
      <c r="G2842" s="24" t="s">
        <v>1486</v>
      </c>
      <c r="H2842" s="24" t="s">
        <v>744</v>
      </c>
      <c r="I2842" s="24" t="s">
        <v>2161</v>
      </c>
      <c r="J2842" s="24" t="s">
        <v>761</v>
      </c>
      <c r="K2842" s="24" t="s">
        <v>1146</v>
      </c>
      <c r="L2842" s="25">
        <v>1070</v>
      </c>
      <c r="M2842" s="26">
        <v>108.15</v>
      </c>
      <c r="N2842" s="27">
        <v>108.15</v>
      </c>
      <c r="O2842" s="28">
        <v>9.8318181818181818E-2</v>
      </c>
      <c r="P2842" s="28">
        <v>102.4075221238938</v>
      </c>
    </row>
    <row r="2843" spans="1:16" x14ac:dyDescent="0.3">
      <c r="A2843" t="s">
        <v>5722</v>
      </c>
      <c r="B2843" s="24">
        <v>142390</v>
      </c>
      <c r="C2843" s="24" t="s">
        <v>2155</v>
      </c>
      <c r="D2843" s="24" t="s">
        <v>1102</v>
      </c>
      <c r="E2843" s="24" t="s">
        <v>731</v>
      </c>
      <c r="F2843" s="24" t="s">
        <v>1237</v>
      </c>
      <c r="G2843" s="24" t="s">
        <v>1486</v>
      </c>
      <c r="H2843" s="24" t="s">
        <v>750</v>
      </c>
      <c r="I2843" s="24" t="s">
        <v>2162</v>
      </c>
      <c r="J2843" s="24" t="s">
        <v>761</v>
      </c>
      <c r="K2843" s="24" t="s">
        <v>1146</v>
      </c>
      <c r="L2843" s="25">
        <v>1070</v>
      </c>
      <c r="M2843" s="26">
        <v>91.8</v>
      </c>
      <c r="N2843" s="27">
        <v>91.8</v>
      </c>
      <c r="O2843" s="28">
        <v>8.3454545454545448E-2</v>
      </c>
      <c r="P2843" s="28">
        <v>86.925663716814157</v>
      </c>
    </row>
    <row r="2844" spans="1:16" x14ac:dyDescent="0.3">
      <c r="A2844" t="s">
        <v>5723</v>
      </c>
      <c r="B2844" s="24">
        <v>300026</v>
      </c>
      <c r="C2844" s="24" t="s">
        <v>2158</v>
      </c>
      <c r="D2844" s="24" t="s">
        <v>1102</v>
      </c>
      <c r="E2844" s="24" t="s">
        <v>731</v>
      </c>
      <c r="F2844" s="24" t="s">
        <v>1237</v>
      </c>
      <c r="G2844" s="24" t="s">
        <v>1486</v>
      </c>
      <c r="H2844" s="24" t="s">
        <v>750</v>
      </c>
      <c r="I2844" s="24" t="s">
        <v>2162</v>
      </c>
      <c r="J2844" s="24" t="s">
        <v>761</v>
      </c>
      <c r="K2844" s="24" t="s">
        <v>1146</v>
      </c>
      <c r="L2844" s="25">
        <v>1070</v>
      </c>
      <c r="M2844" s="26">
        <v>91.8</v>
      </c>
      <c r="N2844" s="27">
        <v>91.8</v>
      </c>
      <c r="O2844" s="28">
        <v>8.3454545454545448E-2</v>
      </c>
      <c r="P2844" s="28">
        <v>86.925663716814157</v>
      </c>
    </row>
    <row r="2845" spans="1:16" x14ac:dyDescent="0.3">
      <c r="A2845" t="s">
        <v>5724</v>
      </c>
      <c r="B2845" s="24">
        <v>142107</v>
      </c>
      <c r="C2845" s="24" t="s">
        <v>2163</v>
      </c>
      <c r="D2845" s="24" t="s">
        <v>1102</v>
      </c>
      <c r="E2845" s="24" t="s">
        <v>731</v>
      </c>
      <c r="F2845" s="24" t="s">
        <v>1237</v>
      </c>
      <c r="G2845" s="24" t="s">
        <v>1486</v>
      </c>
      <c r="H2845" s="24" t="s">
        <v>752</v>
      </c>
      <c r="I2845" s="24" t="s">
        <v>2164</v>
      </c>
      <c r="J2845" s="24" t="s">
        <v>761</v>
      </c>
      <c r="K2845" s="24" t="s">
        <v>1146</v>
      </c>
      <c r="L2845" s="25">
        <v>1070</v>
      </c>
      <c r="M2845" s="26">
        <v>182.3</v>
      </c>
      <c r="N2845" s="27">
        <v>182.3</v>
      </c>
      <c r="O2845" s="28">
        <v>0.16572727272727275</v>
      </c>
      <c r="P2845" s="28">
        <v>172.62035398230088</v>
      </c>
    </row>
    <row r="2846" spans="1:16" x14ac:dyDescent="0.3">
      <c r="A2846" t="s">
        <v>5725</v>
      </c>
      <c r="B2846" s="24">
        <v>142107</v>
      </c>
      <c r="C2846" s="24" t="s">
        <v>2163</v>
      </c>
      <c r="D2846" s="24" t="s">
        <v>1102</v>
      </c>
      <c r="E2846" s="24" t="s">
        <v>731</v>
      </c>
      <c r="F2846" s="24" t="s">
        <v>1237</v>
      </c>
      <c r="G2846" s="24" t="s">
        <v>1486</v>
      </c>
      <c r="H2846" s="24" t="s">
        <v>755</v>
      </c>
      <c r="I2846" s="24" t="s">
        <v>2165</v>
      </c>
      <c r="J2846" s="24" t="s">
        <v>761</v>
      </c>
      <c r="K2846" s="24" t="s">
        <v>1146</v>
      </c>
      <c r="L2846" s="25">
        <v>1070</v>
      </c>
      <c r="M2846" s="26">
        <v>209</v>
      </c>
      <c r="N2846" s="27">
        <v>209</v>
      </c>
      <c r="O2846" s="28">
        <v>0.19</v>
      </c>
      <c r="P2846" s="28">
        <v>197.90265486725664</v>
      </c>
    </row>
    <row r="2847" spans="1:16" x14ac:dyDescent="0.3">
      <c r="A2847" t="s">
        <v>5726</v>
      </c>
      <c r="B2847" s="24">
        <v>142107</v>
      </c>
      <c r="C2847" s="24" t="s">
        <v>2163</v>
      </c>
      <c r="D2847" s="24" t="s">
        <v>1102</v>
      </c>
      <c r="E2847" s="24" t="s">
        <v>731</v>
      </c>
      <c r="F2847" s="24" t="s">
        <v>1237</v>
      </c>
      <c r="G2847" s="24" t="s">
        <v>1486</v>
      </c>
      <c r="H2847" s="24" t="s">
        <v>756</v>
      </c>
      <c r="I2847" s="24" t="s">
        <v>2166</v>
      </c>
      <c r="J2847" s="24" t="s">
        <v>761</v>
      </c>
      <c r="K2847" s="24" t="s">
        <v>1146</v>
      </c>
      <c r="L2847" s="25">
        <v>1070</v>
      </c>
      <c r="M2847" s="26">
        <v>210.7</v>
      </c>
      <c r="N2847" s="27">
        <v>210.7</v>
      </c>
      <c r="O2847" s="28">
        <v>0.19154545454545455</v>
      </c>
      <c r="P2847" s="28">
        <v>199.51238938053098</v>
      </c>
    </row>
    <row r="2848" spans="1:16" x14ac:dyDescent="0.3">
      <c r="A2848" t="s">
        <v>5727</v>
      </c>
      <c r="B2848" s="24">
        <v>141294</v>
      </c>
      <c r="C2848" s="24" t="s">
        <v>2146</v>
      </c>
      <c r="D2848" s="24" t="s">
        <v>1102</v>
      </c>
      <c r="E2848" s="24" t="s">
        <v>731</v>
      </c>
      <c r="F2848" s="24" t="s">
        <v>1237</v>
      </c>
      <c r="G2848" s="24" t="s">
        <v>1486</v>
      </c>
      <c r="H2848" s="24" t="s">
        <v>751</v>
      </c>
      <c r="I2848" s="24" t="s">
        <v>2167</v>
      </c>
      <c r="J2848" s="24" t="s">
        <v>761</v>
      </c>
      <c r="K2848" s="24" t="s">
        <v>1146</v>
      </c>
      <c r="L2848" s="25">
        <v>1070</v>
      </c>
      <c r="M2848" s="26">
        <v>151.9</v>
      </c>
      <c r="N2848" s="27">
        <v>151.9</v>
      </c>
      <c r="O2848" s="28">
        <v>0.1380909090909091</v>
      </c>
      <c r="P2848" s="28">
        <v>143.83451327433627</v>
      </c>
    </row>
    <row r="2849" spans="1:16" x14ac:dyDescent="0.3">
      <c r="A2849" t="s">
        <v>5728</v>
      </c>
      <c r="B2849" s="24">
        <v>141658</v>
      </c>
      <c r="C2849" s="24" t="s">
        <v>2148</v>
      </c>
      <c r="D2849" s="24" t="s">
        <v>1102</v>
      </c>
      <c r="E2849" s="24" t="s">
        <v>731</v>
      </c>
      <c r="F2849" s="24" t="s">
        <v>1237</v>
      </c>
      <c r="G2849" s="24" t="s">
        <v>1486</v>
      </c>
      <c r="H2849" s="24" t="s">
        <v>751</v>
      </c>
      <c r="I2849" s="24" t="s">
        <v>2167</v>
      </c>
      <c r="J2849" s="24" t="s">
        <v>761</v>
      </c>
      <c r="K2849" s="24" t="s">
        <v>1146</v>
      </c>
      <c r="L2849" s="25">
        <v>1070</v>
      </c>
      <c r="M2849" s="26">
        <v>151.9</v>
      </c>
      <c r="N2849" s="27">
        <v>151.9</v>
      </c>
      <c r="O2849" s="28">
        <v>0.1380909090909091</v>
      </c>
      <c r="P2849" s="28">
        <v>143.83451327433627</v>
      </c>
    </row>
    <row r="2850" spans="1:16" x14ac:dyDescent="0.3">
      <c r="A2850" t="s">
        <v>5729</v>
      </c>
      <c r="B2850" s="24">
        <v>400144</v>
      </c>
      <c r="C2850" s="24" t="s">
        <v>1250</v>
      </c>
      <c r="D2850" s="24" t="s">
        <v>1102</v>
      </c>
      <c r="E2850" s="24" t="s">
        <v>731</v>
      </c>
      <c r="F2850" s="24" t="s">
        <v>1237</v>
      </c>
      <c r="G2850" s="24" t="s">
        <v>1486</v>
      </c>
      <c r="H2850" s="24" t="s">
        <v>751</v>
      </c>
      <c r="I2850" s="24" t="s">
        <v>2167</v>
      </c>
      <c r="J2850" s="24" t="s">
        <v>761</v>
      </c>
      <c r="K2850" s="24" t="s">
        <v>1146</v>
      </c>
      <c r="L2850" s="25">
        <v>1070</v>
      </c>
      <c r="M2850" s="26">
        <v>151.9</v>
      </c>
      <c r="N2850" s="27">
        <v>151.9</v>
      </c>
      <c r="O2850" s="28">
        <v>0.1380909090909091</v>
      </c>
      <c r="P2850" s="28">
        <v>143.83451327433627</v>
      </c>
    </row>
    <row r="2851" spans="1:16" x14ac:dyDescent="0.3">
      <c r="A2851" t="s">
        <v>5730</v>
      </c>
      <c r="B2851" s="24">
        <v>141724</v>
      </c>
      <c r="C2851" s="24" t="s">
        <v>2168</v>
      </c>
      <c r="D2851" s="24" t="s">
        <v>1102</v>
      </c>
      <c r="E2851" s="24" t="s">
        <v>731</v>
      </c>
      <c r="F2851" s="24" t="s">
        <v>1237</v>
      </c>
      <c r="G2851" s="24" t="s">
        <v>1486</v>
      </c>
      <c r="H2851" s="24" t="s">
        <v>741</v>
      </c>
      <c r="I2851" s="24" t="s">
        <v>2169</v>
      </c>
      <c r="J2851" s="24" t="s">
        <v>761</v>
      </c>
      <c r="K2851" s="24" t="s">
        <v>1146</v>
      </c>
      <c r="L2851" s="25">
        <v>1070</v>
      </c>
      <c r="M2851" s="26">
        <v>167.03</v>
      </c>
      <c r="N2851" s="27">
        <v>167.03</v>
      </c>
      <c r="O2851" s="28">
        <v>0.15184545454545453</v>
      </c>
      <c r="P2851" s="28">
        <v>158.16115044247789</v>
      </c>
    </row>
    <row r="2852" spans="1:16" x14ac:dyDescent="0.3">
      <c r="A2852" t="s">
        <v>5731</v>
      </c>
      <c r="B2852" s="24">
        <v>142790</v>
      </c>
      <c r="C2852" s="24" t="s">
        <v>2170</v>
      </c>
      <c r="D2852" s="24" t="s">
        <v>1102</v>
      </c>
      <c r="E2852" s="24" t="s">
        <v>731</v>
      </c>
      <c r="F2852" s="24" t="s">
        <v>1237</v>
      </c>
      <c r="G2852" s="24" t="s">
        <v>1486</v>
      </c>
      <c r="H2852" s="24" t="s">
        <v>741</v>
      </c>
      <c r="I2852" s="24" t="s">
        <v>2169</v>
      </c>
      <c r="J2852" s="24" t="s">
        <v>761</v>
      </c>
      <c r="K2852" s="24" t="s">
        <v>1146</v>
      </c>
      <c r="L2852" s="25">
        <v>1070</v>
      </c>
      <c r="M2852" s="26">
        <v>172.2</v>
      </c>
      <c r="N2852" s="27">
        <v>172.2</v>
      </c>
      <c r="O2852" s="28">
        <v>0.15654545454545454</v>
      </c>
      <c r="P2852" s="28">
        <v>163.05663716814161</v>
      </c>
    </row>
    <row r="2853" spans="1:16" x14ac:dyDescent="0.3">
      <c r="A2853" t="s">
        <v>5732</v>
      </c>
      <c r="B2853" s="24">
        <v>141724</v>
      </c>
      <c r="C2853" s="24" t="s">
        <v>2168</v>
      </c>
      <c r="D2853" s="24" t="s">
        <v>1102</v>
      </c>
      <c r="E2853" s="24" t="s">
        <v>731</v>
      </c>
      <c r="F2853" s="24" t="s">
        <v>1237</v>
      </c>
      <c r="G2853" s="24" t="s">
        <v>1486</v>
      </c>
      <c r="H2853" s="24" t="s">
        <v>1079</v>
      </c>
      <c r="I2853" s="24" t="s">
        <v>2171</v>
      </c>
      <c r="J2853" s="24" t="s">
        <v>761</v>
      </c>
      <c r="K2853" s="24" t="s">
        <v>1146</v>
      </c>
      <c r="L2853" s="25">
        <v>1070</v>
      </c>
      <c r="M2853" s="26">
        <v>305</v>
      </c>
      <c r="N2853" s="27">
        <v>305</v>
      </c>
      <c r="O2853" s="28">
        <v>0.27727272727272728</v>
      </c>
      <c r="P2853" s="28">
        <v>288.80530973451329</v>
      </c>
    </row>
    <row r="2854" spans="1:16" x14ac:dyDescent="0.3">
      <c r="A2854" t="s">
        <v>5733</v>
      </c>
      <c r="B2854" s="24">
        <v>142390</v>
      </c>
      <c r="C2854" s="24" t="s">
        <v>2155</v>
      </c>
      <c r="D2854" s="24" t="s">
        <v>1102</v>
      </c>
      <c r="E2854" s="24" t="s">
        <v>731</v>
      </c>
      <c r="F2854" s="24" t="s">
        <v>1237</v>
      </c>
      <c r="G2854" s="24" t="s">
        <v>1486</v>
      </c>
      <c r="H2854" s="24" t="s">
        <v>742</v>
      </c>
      <c r="I2854" s="24" t="s">
        <v>2172</v>
      </c>
      <c r="J2854" s="24" t="s">
        <v>761</v>
      </c>
      <c r="K2854" s="24" t="s">
        <v>1146</v>
      </c>
      <c r="L2854" s="25">
        <v>1070</v>
      </c>
      <c r="M2854" s="26">
        <v>176</v>
      </c>
      <c r="N2854" s="27">
        <v>176</v>
      </c>
      <c r="O2854" s="28">
        <v>0.16</v>
      </c>
      <c r="P2854" s="28">
        <v>166.65486725663717</v>
      </c>
    </row>
    <row r="2855" spans="1:16" x14ac:dyDescent="0.3">
      <c r="A2855" t="s">
        <v>5734</v>
      </c>
      <c r="B2855" s="24">
        <v>141185</v>
      </c>
      <c r="C2855" s="24" t="s">
        <v>2160</v>
      </c>
      <c r="D2855" s="24" t="s">
        <v>1102</v>
      </c>
      <c r="E2855" s="24" t="s">
        <v>731</v>
      </c>
      <c r="F2855" s="24" t="s">
        <v>1237</v>
      </c>
      <c r="G2855" s="24" t="s">
        <v>1486</v>
      </c>
      <c r="H2855" s="24" t="s">
        <v>754</v>
      </c>
      <c r="I2855" s="24" t="s">
        <v>2173</v>
      </c>
      <c r="J2855" s="24" t="s">
        <v>761</v>
      </c>
      <c r="K2855" s="24" t="s">
        <v>1146</v>
      </c>
      <c r="L2855" s="25">
        <v>1070</v>
      </c>
      <c r="M2855" s="26">
        <v>80</v>
      </c>
      <c r="N2855" s="27">
        <v>80</v>
      </c>
      <c r="O2855" s="28">
        <v>7.2727272727272724E-2</v>
      </c>
      <c r="P2855" s="28">
        <v>75.752212389380531</v>
      </c>
    </row>
    <row r="2856" spans="1:16" x14ac:dyDescent="0.3">
      <c r="A2856" t="s">
        <v>5735</v>
      </c>
      <c r="B2856" s="24">
        <v>141957</v>
      </c>
      <c r="C2856" s="24" t="s">
        <v>2174</v>
      </c>
      <c r="D2856" s="24" t="s">
        <v>1102</v>
      </c>
      <c r="E2856" s="24" t="s">
        <v>731</v>
      </c>
      <c r="F2856" s="24" t="s">
        <v>1237</v>
      </c>
      <c r="G2856" s="24" t="s">
        <v>1486</v>
      </c>
      <c r="H2856" s="24" t="s">
        <v>754</v>
      </c>
      <c r="I2856" s="24" t="s">
        <v>2173</v>
      </c>
      <c r="J2856" s="24" t="s">
        <v>761</v>
      </c>
      <c r="K2856" s="24" t="s">
        <v>1146</v>
      </c>
      <c r="L2856" s="25">
        <v>1070</v>
      </c>
      <c r="M2856" s="26">
        <v>80</v>
      </c>
      <c r="N2856" s="27">
        <v>80</v>
      </c>
      <c r="O2856" s="28">
        <v>7.2727272727272724E-2</v>
      </c>
      <c r="P2856" s="28">
        <v>75.752212389380531</v>
      </c>
    </row>
    <row r="2857" spans="1:16" x14ac:dyDescent="0.3">
      <c r="A2857" t="s">
        <v>5736</v>
      </c>
      <c r="B2857" s="24">
        <v>142567</v>
      </c>
      <c r="C2857" s="24" t="s">
        <v>2134</v>
      </c>
      <c r="D2857" s="24" t="s">
        <v>1102</v>
      </c>
      <c r="E2857" s="24" t="s">
        <v>731</v>
      </c>
      <c r="F2857" s="24" t="s">
        <v>1237</v>
      </c>
      <c r="G2857" s="24" t="s">
        <v>1486</v>
      </c>
      <c r="H2857" s="24" t="s">
        <v>754</v>
      </c>
      <c r="I2857" s="24" t="s">
        <v>2173</v>
      </c>
      <c r="J2857" s="24" t="s">
        <v>761</v>
      </c>
      <c r="K2857" s="24" t="s">
        <v>1146</v>
      </c>
      <c r="L2857" s="25">
        <v>1070</v>
      </c>
      <c r="M2857" s="26">
        <v>0</v>
      </c>
      <c r="N2857" s="27">
        <v>0</v>
      </c>
      <c r="O2857" s="28">
        <v>0</v>
      </c>
      <c r="P2857" s="28">
        <v>0</v>
      </c>
    </row>
    <row r="2858" spans="1:16" x14ac:dyDescent="0.3">
      <c r="A2858" t="s">
        <v>5737</v>
      </c>
      <c r="B2858" s="24">
        <v>142567</v>
      </c>
      <c r="C2858" s="24" t="s">
        <v>2134</v>
      </c>
      <c r="D2858" s="24" t="s">
        <v>1102</v>
      </c>
      <c r="E2858" s="24" t="s">
        <v>731</v>
      </c>
      <c r="F2858" s="24" t="s">
        <v>1237</v>
      </c>
      <c r="G2858" s="24" t="s">
        <v>1486</v>
      </c>
      <c r="H2858" s="24" t="s">
        <v>740</v>
      </c>
      <c r="I2858" s="24" t="s">
        <v>2175</v>
      </c>
      <c r="J2858" s="24" t="s">
        <v>761</v>
      </c>
      <c r="K2858" s="24" t="s">
        <v>1146</v>
      </c>
      <c r="L2858" s="25">
        <v>1070</v>
      </c>
      <c r="M2858" s="26">
        <v>82.3</v>
      </c>
      <c r="N2858" s="27">
        <v>82.3</v>
      </c>
      <c r="O2858" s="28">
        <v>7.4818181818181811E-2</v>
      </c>
      <c r="P2858" s="28">
        <v>77.93008849557522</v>
      </c>
    </row>
    <row r="2859" spans="1:16" x14ac:dyDescent="0.3">
      <c r="A2859" t="s">
        <v>5738</v>
      </c>
      <c r="B2859" s="24">
        <v>100335</v>
      </c>
      <c r="C2859" s="24" t="s">
        <v>1517</v>
      </c>
      <c r="D2859" s="24" t="s">
        <v>1102</v>
      </c>
      <c r="E2859" s="24" t="s">
        <v>632</v>
      </c>
      <c r="F2859" s="24" t="s">
        <v>1142</v>
      </c>
      <c r="G2859" s="24" t="s">
        <v>1200</v>
      </c>
      <c r="H2859" s="24" t="s">
        <v>709</v>
      </c>
      <c r="I2859" s="24" t="s">
        <v>2176</v>
      </c>
      <c r="J2859" s="24" t="s">
        <v>761</v>
      </c>
      <c r="K2859" s="24" t="s">
        <v>1146</v>
      </c>
      <c r="L2859" s="25">
        <v>1070</v>
      </c>
      <c r="M2859" s="26">
        <v>33</v>
      </c>
      <c r="N2859" s="27">
        <v>33</v>
      </c>
      <c r="O2859" s="28">
        <v>0.03</v>
      </c>
      <c r="P2859" s="28">
        <v>31.247787610619469</v>
      </c>
    </row>
    <row r="2860" spans="1:16" x14ac:dyDescent="0.3">
      <c r="A2860" t="s">
        <v>5739</v>
      </c>
      <c r="B2860" s="24">
        <v>100335</v>
      </c>
      <c r="C2860" s="24" t="s">
        <v>1517</v>
      </c>
      <c r="D2860" s="24" t="s">
        <v>1102</v>
      </c>
      <c r="E2860" s="24" t="s">
        <v>632</v>
      </c>
      <c r="F2860" s="24" t="s">
        <v>1142</v>
      </c>
      <c r="G2860" s="24" t="s">
        <v>1200</v>
      </c>
      <c r="H2860" s="24" t="s">
        <v>710</v>
      </c>
      <c r="I2860" s="24" t="s">
        <v>2177</v>
      </c>
      <c r="J2860" s="24" t="s">
        <v>761</v>
      </c>
      <c r="K2860" s="24" t="s">
        <v>1146</v>
      </c>
      <c r="L2860" s="25">
        <v>1070</v>
      </c>
      <c r="M2860" s="26">
        <v>34</v>
      </c>
      <c r="N2860" s="27">
        <v>34</v>
      </c>
      <c r="O2860" s="28">
        <v>3.090909090909091E-2</v>
      </c>
      <c r="P2860" s="28">
        <v>32.194690265486727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예상 SHORTAGE</vt:lpstr>
      <vt:lpstr>Visibilty_ERP</vt:lpstr>
      <vt:lpstr>RTF</vt:lpstr>
      <vt:lpstr>판가(W20)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장한나</dc:creator>
  <cp:lastModifiedBy>USER</cp:lastModifiedBy>
  <cp:lastPrinted>2019-10-23T06:08:07Z</cp:lastPrinted>
  <dcterms:created xsi:type="dcterms:W3CDTF">2018-03-15T23:49:07Z</dcterms:created>
  <dcterms:modified xsi:type="dcterms:W3CDTF">2026-06-23T05:17:22Z</dcterms:modified>
</cp:coreProperties>
</file>