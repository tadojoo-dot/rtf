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주민규\학소자료\7월\"/>
    </mc:Choice>
  </mc:AlternateContent>
  <bookViews>
    <workbookView xWindow="12735" yWindow="0" windowWidth="24375" windowHeight="11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J7" i="1"/>
  <c r="K6" i="1"/>
  <c r="L6" i="1" s="1"/>
  <c r="M6" i="1" s="1"/>
  <c r="N6" i="1" s="1"/>
  <c r="O6" i="1" s="1"/>
  <c r="J6" i="1"/>
  <c r="O10" i="1" l="1"/>
  <c r="N10" i="1"/>
  <c r="M10" i="1"/>
  <c r="L10" i="1"/>
  <c r="K10" i="1"/>
  <c r="J10" i="1"/>
</calcChain>
</file>

<file path=xl/sharedStrings.xml><?xml version="1.0" encoding="utf-8"?>
<sst xmlns="http://schemas.openxmlformats.org/spreadsheetml/2006/main" count="23" uniqueCount="23">
  <si>
    <t>유형</t>
    <phoneticPr fontId="3" type="noConversion"/>
  </si>
  <si>
    <t>나보타 총 함계</t>
    <phoneticPr fontId="3" type="noConversion"/>
  </si>
  <si>
    <t>2026-01</t>
  </si>
  <si>
    <t>2026-02</t>
  </si>
  <si>
    <t>2026-03</t>
  </si>
  <si>
    <t>2026-04</t>
  </si>
  <si>
    <t>2026-05</t>
  </si>
  <si>
    <t>재고금액</t>
    <phoneticPr fontId="3" type="noConversion"/>
  </si>
  <si>
    <t>입고금액</t>
    <phoneticPr fontId="3" type="noConversion"/>
  </si>
  <si>
    <t>재고일수</t>
    <phoneticPr fontId="3" type="noConversion"/>
  </si>
  <si>
    <t>구분</t>
    <phoneticPr fontId="3" type="noConversion"/>
  </si>
  <si>
    <t>2026-06</t>
  </si>
  <si>
    <t>2026-07</t>
  </si>
  <si>
    <t>2026-08</t>
  </si>
  <si>
    <t>2026-09</t>
  </si>
  <si>
    <t>2026-10</t>
  </si>
  <si>
    <t>2026-11</t>
  </si>
  <si>
    <t>2026-12</t>
  </si>
  <si>
    <t>출고금액(전체)</t>
    <phoneticPr fontId="3" type="noConversion"/>
  </si>
  <si>
    <t xml:space="preserve"> 출고금액(제품만)</t>
    <phoneticPr fontId="3" type="noConversion"/>
  </si>
  <si>
    <t>매출액</t>
    <phoneticPr fontId="3" type="noConversion"/>
  </si>
  <si>
    <t xml:space="preserve"> 재고금액(제품만)</t>
    <phoneticPr fontId="3" type="noConversion"/>
  </si>
  <si>
    <t>입고금액(제품만)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</si>
</sst>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#&quot;억&quot;"/>
    <numFmt numFmtId="177" formatCode="_(* #,##0_);_(* \(#,##0\);_(* &quot;-&quot;_);_(@_)"/>
    <numFmt numFmtId="178" formatCode="0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 ExtraBold"/>
      <family val="3"/>
      <charset val="129"/>
    </font>
    <font>
      <sz val="8"/>
      <name val="맑은 고딕"/>
      <family val="2"/>
      <charset val="129"/>
      <scheme val="minor"/>
    </font>
    <font>
      <b/>
      <sz val="13"/>
      <color theme="1"/>
      <name val="나눔고딕 ExtraBold"/>
      <family val="3"/>
      <charset val="129"/>
    </font>
    <font>
      <sz val="13"/>
      <color theme="1"/>
      <name val="나눔고딕 ExtraBold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6" fontId="5" fillId="0" borderId="1" xfId="0" applyNumberFormat="1" applyFont="1" applyFill="1" applyBorder="1" applyAlignment="1">
      <alignment horizontal="center" vertical="center" shrinkToFit="1"/>
    </xf>
    <xf numFmtId="176" fontId="5" fillId="0" borderId="6" xfId="0" applyNumberFormat="1" applyFont="1" applyFill="1" applyBorder="1" applyAlignment="1">
      <alignment horizontal="center" vertical="center" shrinkToFit="1"/>
    </xf>
    <xf numFmtId="178" fontId="4" fillId="0" borderId="8" xfId="1" applyNumberFormat="1" applyFont="1" applyFill="1" applyBorder="1" applyAlignment="1">
      <alignment horizontal="center" vertical="center" shrinkToFit="1"/>
    </xf>
    <xf numFmtId="178" fontId="4" fillId="0" borderId="9" xfId="1" applyNumberFormat="1" applyFont="1" applyFill="1" applyBorder="1" applyAlignment="1">
      <alignment horizontal="center" vertical="center" shrinkToFit="1"/>
    </xf>
    <xf numFmtId="176" fontId="4" fillId="0" borderId="11" xfId="0" applyNumberFormat="1" applyFont="1" applyFill="1" applyBorder="1" applyAlignment="1">
      <alignment horizontal="center" vertical="center" shrinkToFit="1"/>
    </xf>
    <xf numFmtId="176" fontId="4" fillId="0" borderId="12" xfId="0" applyNumberFormat="1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2" fillId="2" borderId="15" xfId="0" applyNumberFormat="1" applyFont="1" applyFill="1" applyBorder="1" applyAlignment="1">
      <alignment horizontal="center" vertical="center" shrinkToFit="1"/>
    </xf>
    <xf numFmtId="176" fontId="4" fillId="0" borderId="10" xfId="0" applyNumberFormat="1" applyFont="1" applyFill="1" applyBorder="1" applyAlignment="1">
      <alignment horizontal="center" vertical="center" shrinkToFit="1"/>
    </xf>
    <xf numFmtId="176" fontId="5" fillId="0" borderId="3" xfId="0" applyNumberFormat="1" applyFont="1" applyFill="1" applyBorder="1" applyAlignment="1">
      <alignment horizontal="center" vertical="center" shrinkToFit="1"/>
    </xf>
    <xf numFmtId="176" fontId="5" fillId="0" borderId="4" xfId="0" applyNumberFormat="1" applyFont="1" applyFill="1" applyBorder="1" applyAlignment="1">
      <alignment horizontal="center" vertical="center" shrinkToFit="1"/>
    </xf>
    <xf numFmtId="176" fontId="5" fillId="3" borderId="6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176" fontId="5" fillId="3" borderId="5" xfId="0" applyNumberFormat="1" applyFont="1" applyFill="1" applyBorder="1" applyAlignment="1">
      <alignment horizontal="center" vertical="center" shrinkToFit="1"/>
    </xf>
    <xf numFmtId="176" fontId="5" fillId="3" borderId="1" xfId="0" applyNumberFormat="1" applyFont="1" applyFill="1" applyBorder="1" applyAlignment="1">
      <alignment horizontal="center" vertical="center" shrinkToFit="1"/>
    </xf>
    <xf numFmtId="178" fontId="4" fillId="0" borderId="7" xfId="1" applyNumberFormat="1" applyFont="1" applyFill="1" applyBorder="1" applyAlignment="1">
      <alignment horizontal="center" vertical="center" shrinkToFit="1"/>
    </xf>
    <xf numFmtId="176" fontId="5" fillId="0" borderId="2" xfId="0" applyNumberFormat="1" applyFont="1" applyFill="1" applyBorder="1" applyAlignment="1">
      <alignment horizontal="center" vertical="center" shrinkToFit="1"/>
    </xf>
    <xf numFmtId="9" fontId="0" fillId="0" borderId="0" xfId="2" applyFont="1">
      <alignment vertical="center"/>
    </xf>
    <xf numFmtId="176" fontId="4" fillId="0" borderId="17" xfId="0" applyNumberFormat="1" applyFont="1" applyFill="1" applyBorder="1" applyAlignment="1">
      <alignment horizontal="center" vertical="center" shrinkToFit="1"/>
    </xf>
    <xf numFmtId="176" fontId="4" fillId="0" borderId="18" xfId="0" applyNumberFormat="1" applyFont="1" applyFill="1" applyBorder="1" applyAlignment="1">
      <alignment horizontal="center" vertical="center" shrinkToFit="1"/>
    </xf>
    <xf numFmtId="176" fontId="5" fillId="0" borderId="19" xfId="0" applyNumberFormat="1" applyFont="1" applyFill="1" applyBorder="1" applyAlignment="1">
      <alignment horizontal="center" vertical="center" shrinkToFit="1"/>
    </xf>
    <xf numFmtId="176" fontId="5" fillId="0" borderId="20" xfId="0" applyNumberFormat="1" applyFont="1" applyFill="1" applyBorder="1" applyAlignment="1">
      <alignment horizontal="center" vertical="center" shrinkToFit="1"/>
    </xf>
    <xf numFmtId="176" fontId="5" fillId="0" borderId="21" xfId="0" applyNumberFormat="1" applyFont="1" applyFill="1" applyBorder="1" applyAlignment="1">
      <alignment horizontal="center" vertical="center" shrinkToFit="1"/>
    </xf>
    <xf numFmtId="176" fontId="4" fillId="0" borderId="2" xfId="0" applyNumberFormat="1" applyFont="1" applyFill="1" applyBorder="1" applyAlignment="1">
      <alignment horizontal="center" vertical="center" shrinkToFit="1"/>
    </xf>
    <xf numFmtId="176" fontId="4" fillId="0" borderId="5" xfId="0" applyNumberFormat="1" applyFont="1" applyFill="1" applyBorder="1" applyAlignment="1">
      <alignment horizontal="center" vertical="center" shrinkToFit="1"/>
    </xf>
    <xf numFmtId="176" fontId="4" fillId="0" borderId="16" xfId="0" applyNumberFormat="1" applyFont="1" applyFill="1" applyBorder="1" applyAlignment="1">
      <alignment horizontal="center" vertical="center" shrinkToFit="1"/>
    </xf>
    <xf numFmtId="176" fontId="4" fillId="0" borderId="7" xfId="0" applyNumberFormat="1" applyFont="1" applyFill="1" applyBorder="1" applyAlignment="1">
      <alignment horizontal="center" vertical="center" shrinkToFit="1"/>
    </xf>
    <xf numFmtId="176" fontId="0" fillId="0" borderId="0" xfId="0" applyNumberFormat="1">
      <alignment vertical="center"/>
    </xf>
  </cellXfs>
  <cellStyles count="3">
    <cellStyle name="백분율" xfId="2" builtinId="5"/>
    <cellStyle name="쉼표 [0] 2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"/>
  <sheetViews>
    <sheetView showGridLines="0" tabSelected="1" workbookViewId="0">
      <selection activeCell="K8" sqref="K8"/>
    </sheetView>
  </sheetViews>
  <sheetFormatPr defaultRowHeight="16.5" x14ac:dyDescent="0.3"/>
  <cols>
    <col min="1" max="1" width="2" customWidth="1"/>
    <col min="3" max="3" width="19.25" bestFit="1" customWidth="1"/>
  </cols>
  <sheetData>
    <row r="1" spans="2:17" ht="17.25" thickBot="1" x14ac:dyDescent="0.35"/>
    <row r="2" spans="2:17" ht="17.25" thickBot="1" x14ac:dyDescent="0.35">
      <c r="B2" s="8" t="s">
        <v>0</v>
      </c>
      <c r="C2" s="7" t="s">
        <v>10</v>
      </c>
      <c r="D2" s="9" t="s">
        <v>2</v>
      </c>
      <c r="E2" s="9" t="s">
        <v>3</v>
      </c>
      <c r="F2" s="9" t="s">
        <v>4</v>
      </c>
      <c r="G2" s="9" t="s">
        <v>5</v>
      </c>
      <c r="H2" s="10" t="s">
        <v>6</v>
      </c>
      <c r="I2" s="15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10" t="s">
        <v>17</v>
      </c>
    </row>
    <row r="3" spans="2:17" x14ac:dyDescent="0.3">
      <c r="B3" s="26" t="s">
        <v>1</v>
      </c>
      <c r="C3" s="11" t="s">
        <v>7</v>
      </c>
      <c r="D3" s="12">
        <v>343.15419022999998</v>
      </c>
      <c r="E3" s="12">
        <v>357.33106021999998</v>
      </c>
      <c r="F3" s="12">
        <v>347.44000257000005</v>
      </c>
      <c r="G3" s="12">
        <v>342.98361748999997</v>
      </c>
      <c r="H3" s="13">
        <v>334.01682528000003</v>
      </c>
      <c r="I3" s="19">
        <v>323.26313657881053</v>
      </c>
      <c r="J3" s="12">
        <v>320.67410277926405</v>
      </c>
      <c r="K3" s="12">
        <v>308.54032820928614</v>
      </c>
      <c r="L3" s="12">
        <v>301.3788349518108</v>
      </c>
      <c r="M3" s="12">
        <v>316.77715430629144</v>
      </c>
      <c r="N3" s="12">
        <v>329.43962314399789</v>
      </c>
      <c r="O3" s="13">
        <v>323.07888815174596</v>
      </c>
    </row>
    <row r="4" spans="2:17" x14ac:dyDescent="0.3">
      <c r="B4" s="27"/>
      <c r="C4" s="5" t="s">
        <v>8</v>
      </c>
      <c r="D4" s="1">
        <v>112.85368078</v>
      </c>
      <c r="E4" s="1">
        <v>91.348145309999978</v>
      </c>
      <c r="F4" s="1">
        <v>87.82252265000001</v>
      </c>
      <c r="G4" s="1">
        <v>94.431582300000002</v>
      </c>
      <c r="H4" s="2">
        <v>106.62794529999999</v>
      </c>
      <c r="I4" s="16">
        <v>105.11933805776381</v>
      </c>
      <c r="J4" s="17">
        <v>109.86324519214092</v>
      </c>
      <c r="K4" s="17">
        <v>93.544346231924848</v>
      </c>
      <c r="L4" s="17">
        <v>107.79689157274569</v>
      </c>
      <c r="M4" s="17">
        <v>106.56202356546555</v>
      </c>
      <c r="N4" s="17">
        <v>116.779984532775</v>
      </c>
      <c r="O4" s="14">
        <v>107.43217356069319</v>
      </c>
    </row>
    <row r="5" spans="2:17" x14ac:dyDescent="0.3">
      <c r="B5" s="27"/>
      <c r="C5" s="5" t="s">
        <v>18</v>
      </c>
      <c r="D5" s="1">
        <v>125.68255825000001</v>
      </c>
      <c r="E5" s="1">
        <v>77.165837580000002</v>
      </c>
      <c r="F5" s="1">
        <v>97.713580300000004</v>
      </c>
      <c r="G5" s="1">
        <v>98.887967379999992</v>
      </c>
      <c r="H5" s="2">
        <v>115.59867575999999</v>
      </c>
      <c r="I5" s="16">
        <v>115.87302678895331</v>
      </c>
      <c r="J5" s="17">
        <v>112.45227899168734</v>
      </c>
      <c r="K5" s="17">
        <v>105.67812080190278</v>
      </c>
      <c r="L5" s="17">
        <v>114.95838483022106</v>
      </c>
      <c r="M5" s="17">
        <v>91.163704210984889</v>
      </c>
      <c r="N5" s="17">
        <v>104.11751569506858</v>
      </c>
      <c r="O5" s="14">
        <v>113.79290855294509</v>
      </c>
    </row>
    <row r="6" spans="2:17" x14ac:dyDescent="0.3">
      <c r="B6" s="28"/>
      <c r="C6" s="5" t="s">
        <v>21</v>
      </c>
      <c r="D6" s="1">
        <v>128.61807483999999</v>
      </c>
      <c r="E6" s="1">
        <v>135.19160155</v>
      </c>
      <c r="F6" s="1">
        <v>133.99155508000001</v>
      </c>
      <c r="G6" s="1">
        <v>137.06295624000001</v>
      </c>
      <c r="H6" s="2">
        <v>121.59128661</v>
      </c>
      <c r="I6" s="16">
        <v>100.10915599</v>
      </c>
      <c r="J6" s="17">
        <f>J3/I3*I6</f>
        <v>99.307375770810069</v>
      </c>
      <c r="K6" s="17">
        <f t="shared" ref="K6:O6" si="0">K3/J3*J6</f>
        <v>95.549749881174264</v>
      </c>
      <c r="L6" s="17">
        <f t="shared" si="0"/>
        <v>93.331955878364582</v>
      </c>
      <c r="M6" s="17">
        <f t="shared" si="0"/>
        <v>98.10055637688049</v>
      </c>
      <c r="N6" s="17">
        <f t="shared" si="0"/>
        <v>102.02190998839389</v>
      </c>
      <c r="O6" s="14">
        <f t="shared" si="0"/>
        <v>100.05209735126643</v>
      </c>
    </row>
    <row r="7" spans="2:17" x14ac:dyDescent="0.3">
      <c r="B7" s="28"/>
      <c r="C7" s="5" t="s">
        <v>22</v>
      </c>
      <c r="D7" s="1">
        <v>37.260285000000003</v>
      </c>
      <c r="E7" s="1">
        <v>35.173648450000002</v>
      </c>
      <c r="F7" s="1">
        <v>40.805624979999997</v>
      </c>
      <c r="G7" s="1">
        <v>38.396520299999999</v>
      </c>
      <c r="H7" s="2">
        <v>38.769296709999999</v>
      </c>
      <c r="I7" s="16">
        <v>50.672093949999997</v>
      </c>
      <c r="J7" s="17">
        <f>J6+J8-I6</f>
        <v>41.681254976989891</v>
      </c>
      <c r="K7" s="17">
        <f t="shared" ref="K7:O7" si="1">K6+K8-J6</f>
        <v>48.387626704605196</v>
      </c>
      <c r="L7" s="17">
        <f t="shared" si="1"/>
        <v>57.71764213826431</v>
      </c>
      <c r="M7" s="17">
        <f t="shared" si="1"/>
        <v>38.595231121897072</v>
      </c>
      <c r="N7" s="17">
        <f t="shared" si="1"/>
        <v>45.103785538687902</v>
      </c>
      <c r="O7" s="14">
        <f t="shared" si="1"/>
        <v>48.34563661320631</v>
      </c>
      <c r="Q7" s="30"/>
    </row>
    <row r="8" spans="2:17" x14ac:dyDescent="0.3">
      <c r="B8" s="28"/>
      <c r="C8" s="5" t="s">
        <v>19</v>
      </c>
      <c r="D8" s="1">
        <v>43.369109190000003</v>
      </c>
      <c r="E8" s="1">
        <v>28.600121739999999</v>
      </c>
      <c r="F8" s="1">
        <v>42.005671450000001</v>
      </c>
      <c r="G8" s="1">
        <v>35.325119139999998</v>
      </c>
      <c r="H8" s="2">
        <v>54.24096634</v>
      </c>
      <c r="I8" s="16">
        <v>72.154224569999997</v>
      </c>
      <c r="J8" s="17">
        <v>42.483035196179813</v>
      </c>
      <c r="K8" s="17">
        <v>52.145252594241015</v>
      </c>
      <c r="L8" s="17">
        <v>59.935436141074</v>
      </c>
      <c r="M8" s="17">
        <v>33.826630623381178</v>
      </c>
      <c r="N8" s="17">
        <v>41.182431927174498</v>
      </c>
      <c r="O8" s="14">
        <v>50.315449250333778</v>
      </c>
    </row>
    <row r="9" spans="2:17" ht="17.25" thickBot="1" x14ac:dyDescent="0.35">
      <c r="B9" s="29"/>
      <c r="C9" s="6" t="s">
        <v>9</v>
      </c>
      <c r="D9" s="3">
        <v>81.909740303205496</v>
      </c>
      <c r="E9" s="3">
        <v>138.92069525567376</v>
      </c>
      <c r="F9" s="3">
        <v>106.67094630141192</v>
      </c>
      <c r="G9" s="3">
        <v>104.05217942401599</v>
      </c>
      <c r="H9" s="4">
        <v>86.683560105861901</v>
      </c>
      <c r="I9" s="18">
        <v>83.694146654403781</v>
      </c>
      <c r="J9" s="3">
        <v>85.549382988396914</v>
      </c>
      <c r="K9" s="3">
        <v>87.588705931189523</v>
      </c>
      <c r="L9" s="3">
        <v>78.649026444719723</v>
      </c>
      <c r="M9" s="3">
        <v>104.24449852536409</v>
      </c>
      <c r="N9" s="3">
        <v>94.923401008386193</v>
      </c>
      <c r="O9" s="4">
        <v>85.175489121475039</v>
      </c>
    </row>
    <row r="10" spans="2:17" ht="17.25" thickBot="1" x14ac:dyDescent="0.35">
      <c r="B10" s="21"/>
      <c r="C10" s="22" t="s">
        <v>20</v>
      </c>
      <c r="D10" s="23"/>
      <c r="E10" s="23"/>
      <c r="F10" s="23">
        <v>226</v>
      </c>
      <c r="G10" s="23">
        <v>19</v>
      </c>
      <c r="H10" s="24">
        <v>402</v>
      </c>
      <c r="I10" s="25">
        <v>428</v>
      </c>
      <c r="J10" s="23">
        <f>$I$10/$I$8*J8</f>
        <v>251.99826028654888</v>
      </c>
      <c r="K10" s="23">
        <f>$I$10/$I$8*K8</f>
        <v>309.31200831745224</v>
      </c>
      <c r="L10" s="23">
        <f>$I$10/$I$8*L8</f>
        <v>355.52134086748003</v>
      </c>
      <c r="M10" s="23">
        <f>$I$10/$I$8*M8</f>
        <v>200.65073102908332</v>
      </c>
      <c r="N10" s="23">
        <f>$I$10/$I$8*N8</f>
        <v>244.2834216551083</v>
      </c>
      <c r="O10" s="24">
        <f>$I$10/$I$8*O8</f>
        <v>298.45809316751496</v>
      </c>
    </row>
    <row r="11" spans="2:17" x14ac:dyDescent="0.3">
      <c r="H11" s="20"/>
    </row>
    <row r="12" spans="2:17" x14ac:dyDescent="0.3">
      <c r="M12" s="30"/>
    </row>
  </sheetData>
  <mergeCells count="1">
    <mergeCell ref="B3:B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2026-07-03T03:30:26Z</dcterms:created>
  <dcterms:modified xsi:type="dcterms:W3CDTF">2026-07-09T16:08:17Z</dcterms:modified>
</cp:coreProperties>
</file>