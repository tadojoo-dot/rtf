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U:\주민규\"/>
    </mc:Choice>
  </mc:AlternateContent>
  <bookViews>
    <workbookView xWindow="3495" yWindow="0" windowWidth="25305" windowHeight="1152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U19" i="1" l="1"/>
  <c r="CT19" i="1"/>
  <c r="CS19" i="1"/>
  <c r="CR19" i="1"/>
  <c r="CQ19" i="1"/>
  <c r="CP19" i="1"/>
  <c r="CO19" i="1"/>
  <c r="CN19" i="1"/>
  <c r="CM19" i="1"/>
  <c r="CL19" i="1"/>
  <c r="CK19" i="1"/>
  <c r="CJ19" i="1"/>
  <c r="CI19" i="1"/>
  <c r="CH19" i="1"/>
  <c r="CG19" i="1"/>
  <c r="CF19" i="1"/>
  <c r="CE19" i="1"/>
  <c r="CD19" i="1"/>
  <c r="CC19" i="1"/>
  <c r="CB19" i="1"/>
  <c r="CA19" i="1"/>
  <c r="BZ19" i="1"/>
  <c r="BY19" i="1"/>
  <c r="BX19" i="1"/>
  <c r="BW19" i="1"/>
  <c r="BV19" i="1"/>
  <c r="BU19" i="1"/>
  <c r="BT19" i="1"/>
  <c r="BS19" i="1"/>
  <c r="BR19" i="1"/>
  <c r="BQ19" i="1"/>
  <c r="BP19" i="1"/>
  <c r="BO19" i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</calcChain>
</file>

<file path=xl/sharedStrings.xml><?xml version="1.0" encoding="utf-8"?>
<sst xmlns="http://schemas.openxmlformats.org/spreadsheetml/2006/main" count="362" uniqueCount="78">
  <si>
    <t>재고금액</t>
  </si>
  <si>
    <t>입고금액</t>
  </si>
  <si>
    <t>출고금액</t>
  </si>
  <si>
    <t>재고일수</t>
  </si>
  <si>
    <t>유형</t>
    <phoneticPr fontId="3" type="noConversion"/>
  </si>
  <si>
    <t>완제품</t>
    <phoneticPr fontId="3" type="noConversion"/>
  </si>
  <si>
    <t>반제품</t>
    <phoneticPr fontId="3" type="noConversion"/>
  </si>
  <si>
    <t>구매반제품</t>
    <phoneticPr fontId="3" type="noConversion"/>
  </si>
  <si>
    <t>상품</t>
    <phoneticPr fontId="3" type="noConversion"/>
  </si>
  <si>
    <t>원료</t>
    <phoneticPr fontId="3" type="noConversion"/>
  </si>
  <si>
    <t>자재</t>
    <phoneticPr fontId="3" type="noConversion"/>
  </si>
  <si>
    <t>재공품</t>
    <phoneticPr fontId="3" type="noConversion"/>
  </si>
  <si>
    <t>미착품</t>
    <phoneticPr fontId="3" type="noConversion"/>
  </si>
  <si>
    <t>(평가충당금)</t>
    <phoneticPr fontId="3" type="noConversion"/>
  </si>
  <si>
    <t>합계</t>
    <phoneticPr fontId="3" type="noConversion"/>
  </si>
  <si>
    <t>향남+오송  합계</t>
    <phoneticPr fontId="3" type="noConversion"/>
  </si>
  <si>
    <t xml:space="preserve">향남 </t>
    <phoneticPr fontId="3" type="noConversion"/>
  </si>
  <si>
    <t>오송</t>
    <phoneticPr fontId="3" type="noConversion"/>
  </si>
  <si>
    <t>나보타 총 함계</t>
    <phoneticPr fontId="3" type="noConversion"/>
  </si>
  <si>
    <t>횡성 총 합계</t>
    <phoneticPr fontId="3" type="noConversion"/>
  </si>
  <si>
    <t>총 합계</t>
    <phoneticPr fontId="3" type="noConversion"/>
  </si>
  <si>
    <t>(평가충당금)</t>
  </si>
  <si>
    <t>유형</t>
  </si>
  <si>
    <t>2025-01</t>
  </si>
  <si>
    <t>2025-01</t>
    <phoneticPr fontId="3" type="noConversion"/>
  </si>
  <si>
    <t>2025-02</t>
  </si>
  <si>
    <t>2025-02</t>
    <phoneticPr fontId="3" type="noConversion"/>
  </si>
  <si>
    <t>2025-03</t>
  </si>
  <si>
    <t>2025-03</t>
    <phoneticPr fontId="3" type="noConversion"/>
  </si>
  <si>
    <t>2025-04</t>
  </si>
  <si>
    <t>2025-04</t>
    <phoneticPr fontId="3" type="noConversion"/>
  </si>
  <si>
    <t>2025-05</t>
  </si>
  <si>
    <t>2025-05</t>
    <phoneticPr fontId="3" type="noConversion"/>
  </si>
  <si>
    <t>2025-06</t>
  </si>
  <si>
    <t>2025-06</t>
    <phoneticPr fontId="3" type="noConversion"/>
  </si>
  <si>
    <t>2025-07</t>
  </si>
  <si>
    <t>2025-07</t>
    <phoneticPr fontId="3" type="noConversion"/>
  </si>
  <si>
    <t>2025-08</t>
  </si>
  <si>
    <t>2025-08</t>
    <phoneticPr fontId="3" type="noConversion"/>
  </si>
  <si>
    <t>2025-09</t>
  </si>
  <si>
    <t>2025-09</t>
    <phoneticPr fontId="3" type="noConversion"/>
  </si>
  <si>
    <t>2025-10</t>
  </si>
  <si>
    <t>2025-10</t>
    <phoneticPr fontId="3" type="noConversion"/>
  </si>
  <si>
    <t>2025-11</t>
  </si>
  <si>
    <t>2025-11</t>
    <phoneticPr fontId="3" type="noConversion"/>
  </si>
  <si>
    <t>2025-12</t>
  </si>
  <si>
    <t>2025-12</t>
    <phoneticPr fontId="3" type="noConversion"/>
  </si>
  <si>
    <t>2026-01</t>
  </si>
  <si>
    <t>2026-01</t>
    <phoneticPr fontId="3" type="noConversion"/>
  </si>
  <si>
    <t>2026-02</t>
  </si>
  <si>
    <t>2026-02</t>
    <phoneticPr fontId="3" type="noConversion"/>
  </si>
  <si>
    <t>2026-03</t>
  </si>
  <si>
    <t>2026-03</t>
    <phoneticPr fontId="3" type="noConversion"/>
  </si>
  <si>
    <t>2026-04</t>
  </si>
  <si>
    <t>2026-04</t>
    <phoneticPr fontId="3" type="noConversion"/>
  </si>
  <si>
    <t>2026-05</t>
  </si>
  <si>
    <t>2026-05</t>
    <phoneticPr fontId="3" type="noConversion"/>
  </si>
  <si>
    <t>2026-06</t>
  </si>
  <si>
    <t>2026-06</t>
    <phoneticPr fontId="3" type="noConversion"/>
  </si>
  <si>
    <t>2026-07</t>
  </si>
  <si>
    <t>2026-07</t>
    <phoneticPr fontId="3" type="noConversion"/>
  </si>
  <si>
    <t>2026-08</t>
  </si>
  <si>
    <t>2026-08</t>
    <phoneticPr fontId="3" type="noConversion"/>
  </si>
  <si>
    <t>2026-09</t>
  </si>
  <si>
    <t>2026-09</t>
    <phoneticPr fontId="3" type="noConversion"/>
  </si>
  <si>
    <t>2026-10</t>
  </si>
  <si>
    <t>2026-10</t>
    <phoneticPr fontId="3" type="noConversion"/>
  </si>
  <si>
    <t>2026-11</t>
  </si>
  <si>
    <t>2026-11</t>
    <phoneticPr fontId="3" type="noConversion"/>
  </si>
  <si>
    <t>2026-12</t>
  </si>
  <si>
    <t>2026-12</t>
    <phoneticPr fontId="3" type="noConversion"/>
  </si>
  <si>
    <t>플랜트</t>
    <phoneticPr fontId="3" type="noConversion"/>
  </si>
  <si>
    <t xml:space="preserve">향남 </t>
  </si>
  <si>
    <t>오송</t>
  </si>
  <si>
    <t>나보타</t>
  </si>
  <si>
    <t>나보타</t>
    <phoneticPr fontId="3" type="noConversion"/>
  </si>
  <si>
    <t>횡성</t>
  </si>
  <si>
    <t>횡성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</si>
</sst>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76" formatCode="#,###&quot;억&quot;"/>
    <numFmt numFmtId="177" formatCode="_(* #,##0_);_(* \(#,##0\);_(* &quot;-&quot;_);_(@_)"/>
    <numFmt numFmtId="178" formatCode="0&quot;일&quot;"/>
    <numFmt numFmtId="179" formatCode="#,###&quot;일&quot;"/>
  </numFmts>
  <fonts count="2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나눔고딕 ExtraBold"/>
      <family val="3"/>
      <charset val="129"/>
    </font>
    <font>
      <sz val="11"/>
      <color theme="1"/>
      <name val="나눔고딕 ExtraBold"/>
      <family val="3"/>
      <charset val="129"/>
    </font>
    <font>
      <b/>
      <sz val="11"/>
      <color rgb="FFFF0000"/>
      <name val="나눔고딕 ExtraBold"/>
      <family val="3"/>
      <charset val="129"/>
    </font>
    <font>
      <i/>
      <sz val="11"/>
      <color theme="1"/>
      <name val="나눔고딕 ExtraBold"/>
      <family val="3"/>
      <charset val="129"/>
    </font>
    <font>
      <b/>
      <i/>
      <sz val="11"/>
      <color theme="1"/>
      <name val="나눔고딕 ExtraBold"/>
      <family val="3"/>
      <charset val="129"/>
    </font>
    <font>
      <sz val="13"/>
      <color theme="1"/>
      <name val="나눔고딕 ExtraBold"/>
      <family val="3"/>
      <charset val="129"/>
    </font>
    <font>
      <b/>
      <sz val="13"/>
      <color theme="1"/>
      <name val="나눔고딕 ExtraBold"/>
      <family val="3"/>
      <charset val="129"/>
    </font>
    <font>
      <b/>
      <i/>
      <sz val="13"/>
      <color theme="1"/>
      <name val="나눔고딕 ExtraBold"/>
      <family val="3"/>
      <charset val="129"/>
    </font>
    <font>
      <sz val="11"/>
      <name val="조선일보명조"/>
      <family val="1"/>
      <charset val="129"/>
    </font>
    <font>
      <b/>
      <i/>
      <sz val="12"/>
      <color theme="1"/>
      <name val="나눔고딕 ExtraBold"/>
      <family val="3"/>
      <charset val="129"/>
    </font>
    <font>
      <b/>
      <i/>
      <sz val="10"/>
      <color theme="1"/>
      <name val="나눔고딕 ExtraBold"/>
      <family val="3"/>
      <charset val="129"/>
    </font>
    <font>
      <sz val="12"/>
      <color theme="1"/>
      <name val="조선일보명조"/>
      <family val="1"/>
      <charset val="129"/>
    </font>
    <font>
      <b/>
      <sz val="11"/>
      <name val="나눔고딕 ExtraBold"/>
      <family val="3"/>
      <charset val="129"/>
    </font>
    <font>
      <i/>
      <sz val="9"/>
      <color theme="1"/>
      <name val="나눔고딕 ExtraBold"/>
      <family val="3"/>
      <charset val="129"/>
    </font>
    <font>
      <b/>
      <i/>
      <sz val="11"/>
      <color rgb="FF0000FF"/>
      <name val="나눔고딕 ExtraBold"/>
      <family val="3"/>
      <charset val="129"/>
    </font>
    <font>
      <b/>
      <sz val="11"/>
      <color rgb="FF000000"/>
      <name val="나눔고딕 ExtraBold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45">
    <border>
      <left/>
      <right/>
      <top/>
      <bottom/>
      <diagonal/>
    </border>
    <border>
      <left style="double">
        <color indexed="64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ck">
        <color indexed="64"/>
      </left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 style="thick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auto="1"/>
      </top>
      <bottom style="thin">
        <color indexed="64"/>
      </bottom>
      <diagonal/>
    </border>
    <border>
      <left style="thick">
        <color indexed="64"/>
      </left>
      <right/>
      <top style="double">
        <color indexed="64"/>
      </top>
      <bottom style="thick">
        <color indexed="64"/>
      </bottom>
      <diagonal/>
    </border>
    <border>
      <left/>
      <right/>
      <top style="double">
        <color indexed="64"/>
      </top>
      <bottom style="thick">
        <color indexed="64"/>
      </bottom>
      <diagonal/>
    </border>
    <border>
      <left/>
      <right style="thick">
        <color indexed="64"/>
      </right>
      <top style="double">
        <color indexed="64"/>
      </top>
      <bottom style="thick">
        <color indexed="64"/>
      </bottom>
      <diagonal/>
    </border>
    <border>
      <left style="double">
        <color indexed="64"/>
      </left>
      <right/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 style="thick">
        <color indexed="64"/>
      </right>
      <top style="thin">
        <color indexed="64"/>
      </top>
      <bottom style="double">
        <color indexed="64"/>
      </bottom>
      <diagonal/>
    </border>
    <border>
      <left style="thick">
        <color indexed="64"/>
      </left>
      <right/>
      <top style="thin">
        <color auto="1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ck">
        <color indexed="64"/>
      </right>
      <top style="thin">
        <color indexed="64"/>
      </top>
      <bottom style="hair">
        <color indexed="64"/>
      </bottom>
      <diagonal/>
    </border>
    <border>
      <left style="thick">
        <color indexed="64"/>
      </left>
      <right/>
      <top style="thin">
        <color indexed="64"/>
      </top>
      <bottom style="hair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auto="1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thin">
        <color auto="1"/>
      </top>
      <bottom style="double">
        <color auto="1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ck">
        <color indexed="64"/>
      </right>
      <top style="double">
        <color indexed="64"/>
      </top>
      <bottom style="thin">
        <color indexed="64"/>
      </bottom>
      <diagonal/>
    </border>
    <border>
      <left/>
      <right style="thick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thin">
        <color auto="1"/>
      </bottom>
      <diagonal/>
    </border>
  </borders>
  <cellStyleXfs count="2">
    <xf numFmtId="0" fontId="0" fillId="0" borderId="0">
      <alignment vertical="center"/>
    </xf>
    <xf numFmtId="177" fontId="1" fillId="0" borderId="0" applyFont="0" applyFill="0" applyBorder="0" applyAlignment="0" applyProtection="0">
      <alignment vertical="center"/>
    </xf>
  </cellStyleXfs>
  <cellXfs count="151">
    <xf numFmtId="0" fontId="0" fillId="0" borderId="0" xfId="0">
      <alignment vertical="center"/>
    </xf>
    <xf numFmtId="0" fontId="19" fillId="2" borderId="1" xfId="0" quotePrefix="1" applyNumberFormat="1" applyFont="1" applyFill="1" applyBorder="1" applyAlignment="1">
      <alignment horizontal="center" vertical="top" shrinkToFit="1"/>
    </xf>
    <xf numFmtId="0" fontId="0" fillId="0" borderId="0" xfId="0" applyAlignment="1">
      <alignment vertical="center" shrinkToFit="1"/>
    </xf>
    <xf numFmtId="0" fontId="0" fillId="0" borderId="0" xfId="0" applyFill="1" applyAlignment="1">
      <alignment vertical="center" shrinkToFit="1"/>
    </xf>
    <xf numFmtId="177" fontId="0" fillId="0" borderId="0" xfId="1" applyFont="1" applyFill="1" applyAlignment="1">
      <alignment vertical="center" shrinkToFit="1"/>
    </xf>
    <xf numFmtId="0" fontId="5" fillId="0" borderId="0" xfId="0" applyFont="1" applyAlignment="1">
      <alignment vertical="center" shrinkToFit="1"/>
    </xf>
    <xf numFmtId="0" fontId="5" fillId="2" borderId="34" xfId="0" applyFont="1" applyFill="1" applyBorder="1" applyAlignment="1">
      <alignment horizontal="center" vertical="center" shrinkToFit="1"/>
    </xf>
    <xf numFmtId="0" fontId="5" fillId="2" borderId="2" xfId="0" applyFont="1" applyFill="1" applyBorder="1" applyAlignment="1">
      <alignment horizontal="center" vertical="center" shrinkToFit="1"/>
    </xf>
    <xf numFmtId="2" fontId="5" fillId="2" borderId="2" xfId="0" applyNumberFormat="1" applyFont="1" applyFill="1" applyBorder="1" applyAlignment="1">
      <alignment vertical="center" shrinkToFit="1"/>
    </xf>
    <xf numFmtId="2" fontId="5" fillId="2" borderId="34" xfId="0" applyNumberFormat="1" applyFont="1" applyFill="1" applyBorder="1" applyAlignment="1">
      <alignment vertical="center" shrinkToFit="1"/>
    </xf>
    <xf numFmtId="0" fontId="5" fillId="2" borderId="35" xfId="0" applyFont="1" applyFill="1" applyBorder="1" applyAlignment="1">
      <alignment horizontal="center" vertical="center" shrinkToFit="1"/>
    </xf>
    <xf numFmtId="0" fontId="5" fillId="2" borderId="8" xfId="0" applyFont="1" applyFill="1" applyBorder="1" applyAlignment="1">
      <alignment horizontal="center" vertical="center" shrinkToFit="1"/>
    </xf>
    <xf numFmtId="0" fontId="5" fillId="2" borderId="7" xfId="0" applyFont="1" applyFill="1" applyBorder="1" applyAlignment="1">
      <alignment horizontal="center" vertical="center" shrinkToFit="1"/>
    </xf>
    <xf numFmtId="0" fontId="5" fillId="2" borderId="35" xfId="0" applyFont="1" applyFill="1" applyBorder="1" applyAlignment="1">
      <alignment horizontal="center" vertical="center" shrinkToFit="1"/>
    </xf>
    <xf numFmtId="176" fontId="12" fillId="0" borderId="36" xfId="0" applyNumberFormat="1" applyFont="1" applyFill="1" applyBorder="1" applyAlignment="1">
      <alignment horizontal="center" vertical="center" shrinkToFit="1"/>
    </xf>
    <xf numFmtId="176" fontId="12" fillId="0" borderId="0" xfId="0" applyNumberFormat="1" applyFont="1" applyFill="1" applyBorder="1" applyAlignment="1">
      <alignment horizontal="center" vertical="center" shrinkToFit="1"/>
    </xf>
    <xf numFmtId="176" fontId="4" fillId="4" borderId="1" xfId="0" applyNumberFormat="1" applyFont="1" applyFill="1" applyBorder="1" applyAlignment="1">
      <alignment horizontal="center" vertical="center" shrinkToFit="1"/>
    </xf>
    <xf numFmtId="176" fontId="16" fillId="4" borderId="2" xfId="0" applyNumberFormat="1" applyFont="1" applyFill="1" applyBorder="1" applyAlignment="1">
      <alignment horizontal="center" vertical="center" shrinkToFit="1"/>
    </xf>
    <xf numFmtId="178" fontId="16" fillId="4" borderId="36" xfId="1" applyNumberFormat="1" applyFont="1" applyFill="1" applyBorder="1" applyAlignment="1">
      <alignment horizontal="center" vertical="center" shrinkToFit="1"/>
    </xf>
    <xf numFmtId="178" fontId="16" fillId="4" borderId="0" xfId="1" applyNumberFormat="1" applyFont="1" applyFill="1" applyBorder="1" applyAlignment="1">
      <alignment horizontal="center" vertical="center" shrinkToFit="1"/>
    </xf>
    <xf numFmtId="176" fontId="4" fillId="0" borderId="1" xfId="0" applyNumberFormat="1" applyFont="1" applyFill="1" applyBorder="1" applyAlignment="1">
      <alignment horizontal="center" vertical="center" shrinkToFit="1"/>
    </xf>
    <xf numFmtId="176" fontId="4" fillId="0" borderId="2" xfId="0" applyNumberFormat="1" applyFont="1" applyFill="1" applyBorder="1" applyAlignment="1">
      <alignment horizontal="center" vertical="center" shrinkToFit="1"/>
    </xf>
    <xf numFmtId="178" fontId="5" fillId="0" borderId="0" xfId="1" applyNumberFormat="1" applyFont="1" applyFill="1" applyBorder="1" applyAlignment="1">
      <alignment horizontal="center" vertical="center" shrinkToFit="1"/>
    </xf>
    <xf numFmtId="178" fontId="5" fillId="0" borderId="11" xfId="1" applyNumberFormat="1" applyFont="1" applyFill="1" applyBorder="1" applyAlignment="1">
      <alignment horizontal="center" vertical="center" shrinkToFit="1"/>
    </xf>
    <xf numFmtId="176" fontId="4" fillId="3" borderId="12" xfId="0" applyNumberFormat="1" applyFont="1" applyFill="1" applyBorder="1" applyAlignment="1">
      <alignment horizontal="center" vertical="center" shrinkToFit="1"/>
    </xf>
    <xf numFmtId="176" fontId="4" fillId="3" borderId="2" xfId="0" applyNumberFormat="1" applyFont="1" applyFill="1" applyBorder="1" applyAlignment="1">
      <alignment horizontal="center" vertical="center" shrinkToFit="1"/>
    </xf>
    <xf numFmtId="178" fontId="5" fillId="3" borderId="11" xfId="1" applyNumberFormat="1" applyFont="1" applyFill="1" applyBorder="1" applyAlignment="1">
      <alignment horizontal="center" vertical="center" shrinkToFit="1"/>
    </xf>
    <xf numFmtId="176" fontId="4" fillId="4" borderId="13" xfId="0" applyNumberFormat="1" applyFont="1" applyFill="1" applyBorder="1" applyAlignment="1">
      <alignment horizontal="center" vertical="center" shrinkToFit="1"/>
    </xf>
    <xf numFmtId="176" fontId="16" fillId="4" borderId="0" xfId="0" applyNumberFormat="1" applyFont="1" applyFill="1" applyBorder="1" applyAlignment="1">
      <alignment horizontal="center" vertical="center" shrinkToFit="1"/>
    </xf>
    <xf numFmtId="178" fontId="16" fillId="4" borderId="11" xfId="1" applyNumberFormat="1" applyFont="1" applyFill="1" applyBorder="1" applyAlignment="1">
      <alignment horizontal="center" vertical="center" shrinkToFit="1"/>
    </xf>
    <xf numFmtId="176" fontId="4" fillId="0" borderId="13" xfId="0" applyNumberFormat="1" applyFont="1" applyFill="1" applyBorder="1" applyAlignment="1">
      <alignment horizontal="center" vertical="center" shrinkToFit="1"/>
    </xf>
    <xf numFmtId="176" fontId="4" fillId="0" borderId="0" xfId="0" applyNumberFormat="1" applyFont="1" applyFill="1" applyBorder="1" applyAlignment="1">
      <alignment horizontal="center" vertical="center" shrinkToFit="1"/>
    </xf>
    <xf numFmtId="176" fontId="4" fillId="3" borderId="14" xfId="0" applyNumberFormat="1" applyFont="1" applyFill="1" applyBorder="1" applyAlignment="1">
      <alignment horizontal="center" vertical="center" shrinkToFit="1"/>
    </xf>
    <xf numFmtId="176" fontId="4" fillId="3" borderId="0" xfId="0" applyNumberFormat="1" applyFont="1" applyFill="1" applyBorder="1" applyAlignment="1">
      <alignment horizontal="center" vertical="center" shrinkToFit="1"/>
    </xf>
    <xf numFmtId="176" fontId="4" fillId="4" borderId="0" xfId="0" applyNumberFormat="1" applyFont="1" applyFill="1" applyBorder="1" applyAlignment="1">
      <alignment horizontal="center" vertical="center" shrinkToFit="1"/>
    </xf>
    <xf numFmtId="176" fontId="6" fillId="4" borderId="0" xfId="0" applyNumberFormat="1" applyFont="1" applyFill="1" applyBorder="1" applyAlignment="1">
      <alignment horizontal="center" vertical="center" shrinkToFit="1"/>
    </xf>
    <xf numFmtId="176" fontId="6" fillId="0" borderId="0" xfId="0" applyNumberFormat="1" applyFont="1" applyFill="1" applyBorder="1" applyAlignment="1">
      <alignment horizontal="center" vertical="center" shrinkToFit="1"/>
    </xf>
    <xf numFmtId="176" fontId="5" fillId="3" borderId="14" xfId="0" applyNumberFormat="1" applyFont="1" applyFill="1" applyBorder="1" applyAlignment="1">
      <alignment horizontal="center" vertical="center" shrinkToFit="1"/>
    </xf>
    <xf numFmtId="176" fontId="6" fillId="3" borderId="0" xfId="0" applyNumberFormat="1" applyFont="1" applyFill="1" applyBorder="1" applyAlignment="1">
      <alignment horizontal="center" vertical="center" shrinkToFit="1"/>
    </xf>
    <xf numFmtId="176" fontId="12" fillId="0" borderId="37" xfId="0" applyNumberFormat="1" applyFont="1" applyFill="1" applyBorder="1" applyAlignment="1">
      <alignment horizontal="center" vertical="center" shrinkToFit="1"/>
    </xf>
    <xf numFmtId="176" fontId="6" fillId="4" borderId="15" xfId="0" applyNumberFormat="1" applyFont="1" applyFill="1" applyBorder="1" applyAlignment="1">
      <alignment horizontal="center" vertical="center" shrinkToFit="1"/>
    </xf>
    <xf numFmtId="178" fontId="16" fillId="4" borderId="16" xfId="1" applyNumberFormat="1" applyFont="1" applyFill="1" applyBorder="1" applyAlignment="1">
      <alignment horizontal="center" vertical="center" shrinkToFit="1"/>
    </xf>
    <xf numFmtId="178" fontId="16" fillId="4" borderId="15" xfId="1" applyNumberFormat="1" applyFont="1" applyFill="1" applyBorder="1" applyAlignment="1">
      <alignment horizontal="center" vertical="center" shrinkToFit="1"/>
    </xf>
    <xf numFmtId="176" fontId="6" fillId="0" borderId="15" xfId="0" applyNumberFormat="1" applyFont="1" applyFill="1" applyBorder="1" applyAlignment="1">
      <alignment horizontal="center" vertical="center" shrinkToFit="1"/>
    </xf>
    <xf numFmtId="178" fontId="5" fillId="0" borderId="15" xfId="1" applyNumberFormat="1" applyFont="1" applyFill="1" applyBorder="1" applyAlignment="1">
      <alignment horizontal="center" vertical="center" shrinkToFit="1"/>
    </xf>
    <xf numFmtId="178" fontId="5" fillId="0" borderId="16" xfId="1" applyNumberFormat="1" applyFont="1" applyFill="1" applyBorder="1" applyAlignment="1">
      <alignment horizontal="center" vertical="center" shrinkToFit="1"/>
    </xf>
    <xf numFmtId="176" fontId="5" fillId="3" borderId="10" xfId="0" applyNumberFormat="1" applyFont="1" applyFill="1" applyBorder="1" applyAlignment="1">
      <alignment horizontal="center" vertical="center" shrinkToFit="1"/>
    </xf>
    <xf numFmtId="176" fontId="6" fillId="3" borderId="15" xfId="0" applyNumberFormat="1" applyFont="1" applyFill="1" applyBorder="1" applyAlignment="1">
      <alignment horizontal="center" vertical="center" shrinkToFit="1"/>
    </xf>
    <xf numFmtId="178" fontId="5" fillId="3" borderId="16" xfId="1" applyNumberFormat="1" applyFont="1" applyFill="1" applyBorder="1" applyAlignment="1">
      <alignment horizontal="center" vertical="center" shrinkToFit="1"/>
    </xf>
    <xf numFmtId="176" fontId="13" fillId="0" borderId="35" xfId="0" applyNumberFormat="1" applyFont="1" applyFill="1" applyBorder="1" applyAlignment="1">
      <alignment horizontal="center" vertical="center" shrinkToFit="1"/>
    </xf>
    <xf numFmtId="176" fontId="13" fillId="0" borderId="8" xfId="0" applyNumberFormat="1" applyFont="1" applyFill="1" applyBorder="1" applyAlignment="1">
      <alignment horizontal="center" vertical="center" shrinkToFit="1"/>
    </xf>
    <xf numFmtId="176" fontId="7" fillId="2" borderId="17" xfId="0" applyNumberFormat="1" applyFont="1" applyFill="1" applyBorder="1" applyAlignment="1">
      <alignment horizontal="center" vertical="center" shrinkToFit="1"/>
    </xf>
    <xf numFmtId="176" fontId="7" fillId="2" borderId="8" xfId="0" applyNumberFormat="1" applyFont="1" applyFill="1" applyBorder="1" applyAlignment="1">
      <alignment horizontal="center" vertical="center" shrinkToFit="1"/>
    </xf>
    <xf numFmtId="178" fontId="8" fillId="2" borderId="9" xfId="1" applyNumberFormat="1" applyFont="1" applyFill="1" applyBorder="1" applyAlignment="1">
      <alignment horizontal="center" vertical="center" shrinkToFit="1"/>
    </xf>
    <xf numFmtId="178" fontId="8" fillId="2" borderId="8" xfId="1" applyNumberFormat="1" applyFont="1" applyFill="1" applyBorder="1" applyAlignment="1">
      <alignment horizontal="center" vertical="center" shrinkToFit="1"/>
    </xf>
    <xf numFmtId="178" fontId="8" fillId="2" borderId="18" xfId="1" applyNumberFormat="1" applyFont="1" applyFill="1" applyBorder="1" applyAlignment="1">
      <alignment horizontal="center" vertical="center" shrinkToFit="1"/>
    </xf>
    <xf numFmtId="178" fontId="8" fillId="2" borderId="41" xfId="1" applyNumberFormat="1" applyFont="1" applyFill="1" applyBorder="1" applyAlignment="1">
      <alignment horizontal="center" vertical="center" shrinkToFit="1"/>
    </xf>
    <xf numFmtId="176" fontId="7" fillId="2" borderId="19" xfId="0" applyNumberFormat="1" applyFont="1" applyFill="1" applyBorder="1" applyAlignment="1">
      <alignment horizontal="center" vertical="center" shrinkToFit="1"/>
    </xf>
    <xf numFmtId="176" fontId="7" fillId="2" borderId="20" xfId="0" applyNumberFormat="1" applyFont="1" applyFill="1" applyBorder="1" applyAlignment="1">
      <alignment horizontal="center" vertical="center" shrinkToFit="1"/>
    </xf>
    <xf numFmtId="178" fontId="8" fillId="2" borderId="21" xfId="1" applyNumberFormat="1" applyFont="1" applyFill="1" applyBorder="1" applyAlignment="1">
      <alignment horizontal="center" vertical="center" shrinkToFit="1"/>
    </xf>
    <xf numFmtId="176" fontId="8" fillId="0" borderId="0" xfId="0" applyNumberFormat="1" applyFont="1" applyFill="1" applyBorder="1" applyAlignment="1">
      <alignment horizontal="center" vertical="center" shrinkToFit="1"/>
    </xf>
    <xf numFmtId="178" fontId="18" fillId="0" borderId="0" xfId="1" applyNumberFormat="1" applyFont="1" applyFill="1" applyBorder="1" applyAlignment="1">
      <alignment horizontal="center" vertical="center" shrinkToFit="1"/>
    </xf>
    <xf numFmtId="176" fontId="7" fillId="0" borderId="0" xfId="0" applyNumberFormat="1" applyFont="1" applyFill="1" applyBorder="1" applyAlignment="1">
      <alignment horizontal="center" vertical="center" shrinkToFit="1"/>
    </xf>
    <xf numFmtId="176" fontId="14" fillId="0" borderId="0" xfId="0" applyNumberFormat="1" applyFont="1" applyFill="1" applyBorder="1" applyAlignment="1">
      <alignment horizontal="center" vertical="center" shrinkToFit="1"/>
    </xf>
    <xf numFmtId="176" fontId="17" fillId="0" borderId="0" xfId="0" applyNumberFormat="1" applyFont="1" applyFill="1" applyBorder="1" applyAlignment="1">
      <alignment horizontal="center" vertical="center" shrinkToFit="1"/>
    </xf>
    <xf numFmtId="176" fontId="0" fillId="0" borderId="0" xfId="0" applyNumberFormat="1" applyFill="1" applyAlignment="1">
      <alignment vertical="center" shrinkToFit="1"/>
    </xf>
    <xf numFmtId="0" fontId="2" fillId="0" borderId="0" xfId="0" applyFont="1" applyFill="1" applyAlignment="1">
      <alignment vertical="center" shrinkToFit="1"/>
    </xf>
    <xf numFmtId="0" fontId="0" fillId="0" borderId="0" xfId="0" applyFont="1" applyAlignment="1">
      <alignment horizontal="center" vertical="center" shrinkToFit="1"/>
    </xf>
    <xf numFmtId="0" fontId="5" fillId="2" borderId="43" xfId="0" applyFont="1" applyFill="1" applyBorder="1" applyAlignment="1">
      <alignment horizontal="center" vertical="center" shrinkToFit="1"/>
    </xf>
    <xf numFmtId="2" fontId="5" fillId="2" borderId="1" xfId="0" applyNumberFormat="1" applyFont="1" applyFill="1" applyBorder="1" applyAlignment="1">
      <alignment horizontal="center" vertical="center" shrinkToFit="1"/>
    </xf>
    <xf numFmtId="2" fontId="5" fillId="2" borderId="2" xfId="0" applyNumberFormat="1" applyFont="1" applyFill="1" applyBorder="1" applyAlignment="1">
      <alignment horizontal="center" vertical="center" shrinkToFit="1"/>
    </xf>
    <xf numFmtId="2" fontId="5" fillId="2" borderId="3" xfId="0" applyNumberFormat="1" applyFont="1" applyFill="1" applyBorder="1" applyAlignment="1">
      <alignment horizontal="center" vertical="center" shrinkToFit="1"/>
    </xf>
    <xf numFmtId="49" fontId="5" fillId="2" borderId="1" xfId="0" applyNumberFormat="1" applyFont="1" applyFill="1" applyBorder="1" applyAlignment="1">
      <alignment horizontal="center" vertical="center" shrinkToFit="1"/>
    </xf>
    <xf numFmtId="49" fontId="5" fillId="2" borderId="2" xfId="0" applyNumberFormat="1" applyFont="1" applyFill="1" applyBorder="1" applyAlignment="1">
      <alignment horizontal="center" vertical="center" shrinkToFit="1"/>
    </xf>
    <xf numFmtId="0" fontId="5" fillId="2" borderId="1" xfId="0" applyNumberFormat="1" applyFont="1" applyFill="1" applyBorder="1" applyAlignment="1">
      <alignment horizontal="center" vertical="center" shrinkToFit="1"/>
    </xf>
    <xf numFmtId="0" fontId="5" fillId="2" borderId="2" xfId="0" applyNumberFormat="1" applyFont="1" applyFill="1" applyBorder="1" applyAlignment="1">
      <alignment horizontal="center" vertical="center" shrinkToFit="1"/>
    </xf>
    <xf numFmtId="0" fontId="5" fillId="2" borderId="3" xfId="0" applyNumberFormat="1" applyFont="1" applyFill="1" applyBorder="1" applyAlignment="1">
      <alignment horizontal="center" vertical="center" shrinkToFit="1"/>
    </xf>
    <xf numFmtId="49" fontId="5" fillId="2" borderId="3" xfId="0" applyNumberFormat="1" applyFont="1" applyFill="1" applyBorder="1" applyAlignment="1">
      <alignment horizontal="center" vertical="center" shrinkToFit="1"/>
    </xf>
    <xf numFmtId="49" fontId="5" fillId="2" borderId="4" xfId="0" applyNumberFormat="1" applyFont="1" applyFill="1" applyBorder="1" applyAlignment="1">
      <alignment horizontal="center" vertical="center" shrinkToFit="1"/>
    </xf>
    <xf numFmtId="49" fontId="5" fillId="2" borderId="5" xfId="0" applyNumberFormat="1" applyFont="1" applyFill="1" applyBorder="1" applyAlignment="1">
      <alignment horizontal="center" vertical="center" shrinkToFit="1"/>
    </xf>
    <xf numFmtId="49" fontId="5" fillId="2" borderId="6" xfId="0" applyNumberFormat="1" applyFont="1" applyFill="1" applyBorder="1" applyAlignment="1">
      <alignment horizontal="center" vertical="center" shrinkToFit="1"/>
    </xf>
    <xf numFmtId="0" fontId="5" fillId="2" borderId="44" xfId="0" applyFont="1" applyFill="1" applyBorder="1" applyAlignment="1">
      <alignment horizontal="center" vertical="center" shrinkToFit="1"/>
    </xf>
    <xf numFmtId="0" fontId="5" fillId="2" borderId="13" xfId="0" applyFont="1" applyFill="1" applyBorder="1" applyAlignment="1">
      <alignment horizontal="center" vertical="center" shrinkToFit="1"/>
    </xf>
    <xf numFmtId="0" fontId="5" fillId="2" borderId="0" xfId="0" applyFont="1" applyFill="1" applyBorder="1" applyAlignment="1">
      <alignment horizontal="center" vertical="center" shrinkToFit="1"/>
    </xf>
    <xf numFmtId="0" fontId="5" fillId="2" borderId="11" xfId="0" applyFont="1" applyFill="1" applyBorder="1" applyAlignment="1">
      <alignment horizontal="center" vertical="center" shrinkToFit="1"/>
    </xf>
    <xf numFmtId="0" fontId="5" fillId="2" borderId="9" xfId="0" applyFont="1" applyFill="1" applyBorder="1" applyAlignment="1">
      <alignment horizontal="center" vertical="center" shrinkToFit="1"/>
    </xf>
    <xf numFmtId="0" fontId="5" fillId="2" borderId="10" xfId="0" applyFont="1" applyFill="1" applyBorder="1" applyAlignment="1">
      <alignment horizontal="center" vertical="center" shrinkToFit="1"/>
    </xf>
    <xf numFmtId="176" fontId="10" fillId="2" borderId="38" xfId="0" applyNumberFormat="1" applyFont="1" applyFill="1" applyBorder="1" applyAlignment="1">
      <alignment horizontal="center" vertical="center" shrinkToFit="1"/>
    </xf>
    <xf numFmtId="176" fontId="10" fillId="2" borderId="23" xfId="0" applyNumberFormat="1" applyFont="1" applyFill="1" applyBorder="1" applyAlignment="1">
      <alignment horizontal="center" vertical="center" shrinkToFit="1"/>
    </xf>
    <xf numFmtId="176" fontId="9" fillId="2" borderId="22" xfId="0" applyNumberFormat="1" applyFont="1" applyFill="1" applyBorder="1" applyAlignment="1">
      <alignment horizontal="center" vertical="center" shrinkToFit="1"/>
    </xf>
    <xf numFmtId="176" fontId="9" fillId="2" borderId="23" xfId="0" applyNumberFormat="1" applyFont="1" applyFill="1" applyBorder="1" applyAlignment="1">
      <alignment horizontal="center" vertical="center" shrinkToFit="1"/>
    </xf>
    <xf numFmtId="178" fontId="10" fillId="2" borderId="23" xfId="1" applyNumberFormat="1" applyFont="1" applyFill="1" applyBorder="1" applyAlignment="1">
      <alignment horizontal="center" vertical="center" shrinkToFit="1"/>
    </xf>
    <xf numFmtId="178" fontId="10" fillId="2" borderId="24" xfId="1" applyNumberFormat="1" applyFont="1" applyFill="1" applyBorder="1" applyAlignment="1">
      <alignment horizontal="center" vertical="center" shrinkToFit="1"/>
    </xf>
    <xf numFmtId="176" fontId="9" fillId="2" borderId="25" xfId="0" applyNumberFormat="1" applyFont="1" applyFill="1" applyBorder="1" applyAlignment="1">
      <alignment horizontal="center" vertical="center" shrinkToFit="1"/>
    </xf>
    <xf numFmtId="176" fontId="15" fillId="0" borderId="36" xfId="0" applyNumberFormat="1" applyFont="1" applyFill="1" applyBorder="1" applyAlignment="1">
      <alignment horizontal="center" vertical="center" shrinkToFit="1"/>
    </xf>
    <xf numFmtId="176" fontId="15" fillId="0" borderId="0" xfId="0" applyNumberFormat="1" applyFont="1" applyFill="1" applyBorder="1" applyAlignment="1">
      <alignment horizontal="center" vertical="center" shrinkToFit="1"/>
    </xf>
    <xf numFmtId="176" fontId="15" fillId="0" borderId="26" xfId="0" applyNumberFormat="1" applyFont="1" applyFill="1" applyBorder="1" applyAlignment="1">
      <alignment horizontal="center" vertical="center" shrinkToFit="1"/>
    </xf>
    <xf numFmtId="176" fontId="15" fillId="0" borderId="27" xfId="0" applyNumberFormat="1" applyFont="1" applyFill="1" applyBorder="1" applyAlignment="1">
      <alignment horizontal="center" vertical="center" shrinkToFit="1"/>
    </xf>
    <xf numFmtId="178" fontId="15" fillId="0" borderId="42" xfId="1" applyNumberFormat="1" applyFont="1" applyFill="1" applyBorder="1" applyAlignment="1">
      <alignment horizontal="center" vertical="center" shrinkToFit="1"/>
    </xf>
    <xf numFmtId="178" fontId="15" fillId="0" borderId="27" xfId="1" applyNumberFormat="1" applyFont="1" applyFill="1" applyBorder="1" applyAlignment="1">
      <alignment horizontal="center" vertical="center" shrinkToFit="1"/>
    </xf>
    <xf numFmtId="176" fontId="5" fillId="0" borderId="26" xfId="0" applyNumberFormat="1" applyFont="1" applyFill="1" applyBorder="1" applyAlignment="1">
      <alignment horizontal="center" vertical="center" shrinkToFit="1"/>
    </xf>
    <xf numFmtId="176" fontId="5" fillId="0" borderId="27" xfId="0" applyNumberFormat="1" applyFont="1" applyFill="1" applyBorder="1" applyAlignment="1">
      <alignment horizontal="center" vertical="center" shrinkToFit="1"/>
    </xf>
    <xf numFmtId="176" fontId="5" fillId="3" borderId="27" xfId="0" applyNumberFormat="1" applyFont="1" applyFill="1" applyBorder="1" applyAlignment="1">
      <alignment horizontal="center" vertical="center" shrinkToFit="1"/>
    </xf>
    <xf numFmtId="176" fontId="15" fillId="0" borderId="13" xfId="0" applyNumberFormat="1" applyFont="1" applyFill="1" applyBorder="1" applyAlignment="1">
      <alignment horizontal="center" vertical="center" shrinkToFit="1"/>
    </xf>
    <xf numFmtId="178" fontId="15" fillId="0" borderId="11" xfId="1" applyNumberFormat="1" applyFont="1" applyFill="1" applyBorder="1" applyAlignment="1">
      <alignment horizontal="center" vertical="center" shrinkToFit="1"/>
    </xf>
    <xf numFmtId="178" fontId="15" fillId="0" borderId="0" xfId="1" applyNumberFormat="1" applyFont="1" applyFill="1" applyBorder="1" applyAlignment="1">
      <alignment horizontal="center" vertical="center" shrinkToFit="1"/>
    </xf>
    <xf numFmtId="176" fontId="5" fillId="0" borderId="13" xfId="0" applyNumberFormat="1" applyFont="1" applyFill="1" applyBorder="1" applyAlignment="1">
      <alignment horizontal="center" vertical="center" shrinkToFit="1"/>
    </xf>
    <xf numFmtId="176" fontId="5" fillId="0" borderId="0" xfId="0" applyNumberFormat="1" applyFont="1" applyFill="1" applyBorder="1" applyAlignment="1">
      <alignment horizontal="center" vertical="center" shrinkToFit="1"/>
    </xf>
    <xf numFmtId="176" fontId="5" fillId="3" borderId="0" xfId="0" applyNumberFormat="1" applyFont="1" applyFill="1" applyBorder="1" applyAlignment="1">
      <alignment horizontal="center" vertical="center" shrinkToFit="1"/>
    </xf>
    <xf numFmtId="176" fontId="15" fillId="0" borderId="7" xfId="0" applyNumberFormat="1" applyFont="1" applyFill="1" applyBorder="1" applyAlignment="1">
      <alignment horizontal="center" vertical="center" shrinkToFit="1"/>
    </xf>
    <xf numFmtId="176" fontId="15" fillId="0" borderId="8" xfId="0" applyNumberFormat="1" applyFont="1" applyFill="1" applyBorder="1" applyAlignment="1">
      <alignment horizontal="center" vertical="center" shrinkToFit="1"/>
    </xf>
    <xf numFmtId="176" fontId="5" fillId="0" borderId="7" xfId="0" applyNumberFormat="1" applyFont="1" applyFill="1" applyBorder="1" applyAlignment="1">
      <alignment horizontal="center" vertical="center" shrinkToFit="1"/>
    </xf>
    <xf numFmtId="176" fontId="5" fillId="0" borderId="8" xfId="0" applyNumberFormat="1" applyFont="1" applyFill="1" applyBorder="1" applyAlignment="1">
      <alignment horizontal="center" vertical="center" shrinkToFit="1"/>
    </xf>
    <xf numFmtId="176" fontId="5" fillId="3" borderId="8" xfId="0" applyNumberFormat="1" applyFont="1" applyFill="1" applyBorder="1" applyAlignment="1">
      <alignment horizontal="center" vertical="center" shrinkToFit="1"/>
    </xf>
    <xf numFmtId="176" fontId="4" fillId="2" borderId="39" xfId="0" applyNumberFormat="1" applyFont="1" applyFill="1" applyBorder="1" applyAlignment="1">
      <alignment horizontal="center" vertical="center" shrinkToFit="1"/>
    </xf>
    <xf numFmtId="176" fontId="4" fillId="2" borderId="29" xfId="0" applyNumberFormat="1" applyFont="1" applyFill="1" applyBorder="1" applyAlignment="1">
      <alignment horizontal="center" vertical="center" shrinkToFit="1"/>
    </xf>
    <xf numFmtId="176" fontId="5" fillId="2" borderId="28" xfId="0" applyNumberFormat="1" applyFont="1" applyFill="1" applyBorder="1" applyAlignment="1">
      <alignment horizontal="center" vertical="center" shrinkToFit="1"/>
    </xf>
    <xf numFmtId="176" fontId="5" fillId="2" borderId="29" xfId="0" applyNumberFormat="1" applyFont="1" applyFill="1" applyBorder="1" applyAlignment="1">
      <alignment horizontal="center" vertical="center" shrinkToFit="1"/>
    </xf>
    <xf numFmtId="178" fontId="4" fillId="2" borderId="30" xfId="1" applyNumberFormat="1" applyFont="1" applyFill="1" applyBorder="1" applyAlignment="1">
      <alignment horizontal="center" vertical="center" shrinkToFit="1"/>
    </xf>
    <xf numFmtId="178" fontId="4" fillId="2" borderId="29" xfId="1" applyNumberFormat="1" applyFont="1" applyFill="1" applyBorder="1" applyAlignment="1">
      <alignment horizontal="center" vertical="center" shrinkToFit="1"/>
    </xf>
    <xf numFmtId="176" fontId="5" fillId="4" borderId="13" xfId="0" applyNumberFormat="1" applyFont="1" applyFill="1" applyBorder="1" applyAlignment="1">
      <alignment horizontal="center" vertical="center" shrinkToFit="1"/>
    </xf>
    <xf numFmtId="176" fontId="5" fillId="4" borderId="0" xfId="0" applyNumberFormat="1" applyFont="1" applyFill="1" applyBorder="1" applyAlignment="1">
      <alignment horizontal="center" vertical="center" shrinkToFit="1"/>
    </xf>
    <xf numFmtId="178" fontId="5" fillId="4" borderId="11" xfId="1" applyNumberFormat="1" applyFont="1" applyFill="1" applyBorder="1" applyAlignment="1">
      <alignment horizontal="center" vertical="center" shrinkToFit="1"/>
    </xf>
    <xf numFmtId="178" fontId="5" fillId="4" borderId="0" xfId="1" applyNumberFormat="1" applyFont="1" applyFill="1" applyBorder="1" applyAlignment="1">
      <alignment horizontal="center" vertical="center" shrinkToFit="1"/>
    </xf>
    <xf numFmtId="176" fontId="10" fillId="2" borderId="39" xfId="0" applyNumberFormat="1" applyFont="1" applyFill="1" applyBorder="1" applyAlignment="1">
      <alignment horizontal="center" vertical="center" shrinkToFit="1"/>
    </xf>
    <xf numFmtId="176" fontId="10" fillId="2" borderId="29" xfId="0" applyNumberFormat="1" applyFont="1" applyFill="1" applyBorder="1" applyAlignment="1">
      <alignment horizontal="center" vertical="center" shrinkToFit="1"/>
    </xf>
    <xf numFmtId="176" fontId="9" fillId="2" borderId="28" xfId="0" applyNumberFormat="1" applyFont="1" applyFill="1" applyBorder="1" applyAlignment="1">
      <alignment horizontal="center" vertical="center" shrinkToFit="1"/>
    </xf>
    <xf numFmtId="176" fontId="9" fillId="2" borderId="29" xfId="0" applyNumberFormat="1" applyFont="1" applyFill="1" applyBorder="1" applyAlignment="1">
      <alignment horizontal="center" vertical="center" shrinkToFit="1"/>
    </xf>
    <xf numFmtId="178" fontId="10" fillId="2" borderId="30" xfId="1" applyNumberFormat="1" applyFont="1" applyFill="1" applyBorder="1" applyAlignment="1">
      <alignment horizontal="center" vertical="center" shrinkToFit="1"/>
    </xf>
    <xf numFmtId="178" fontId="10" fillId="2" borderId="29" xfId="1" applyNumberFormat="1" applyFont="1" applyFill="1" applyBorder="1" applyAlignment="1">
      <alignment horizontal="center" vertical="center" shrinkToFit="1"/>
    </xf>
    <xf numFmtId="176" fontId="9" fillId="2" borderId="31" xfId="0" applyNumberFormat="1" applyFont="1" applyFill="1" applyBorder="1" applyAlignment="1">
      <alignment horizontal="center" vertical="center" shrinkToFit="1"/>
    </xf>
    <xf numFmtId="176" fontId="9" fillId="2" borderId="32" xfId="0" applyNumberFormat="1" applyFont="1" applyFill="1" applyBorder="1" applyAlignment="1">
      <alignment horizontal="center" vertical="center" shrinkToFit="1"/>
    </xf>
    <xf numFmtId="176" fontId="9" fillId="2" borderId="33" xfId="0" applyNumberFormat="1" applyFont="1" applyFill="1" applyBorder="1" applyAlignment="1">
      <alignment horizontal="center" vertical="center" shrinkToFit="1"/>
    </xf>
    <xf numFmtId="176" fontId="10" fillId="2" borderId="34" xfId="0" applyNumberFormat="1" applyFont="1" applyFill="1" applyBorder="1" applyAlignment="1">
      <alignment horizontal="center" vertical="center" shrinkToFit="1"/>
    </xf>
    <xf numFmtId="176" fontId="10" fillId="2" borderId="2" xfId="0" applyNumberFormat="1" applyFont="1" applyFill="1" applyBorder="1" applyAlignment="1">
      <alignment horizontal="center" vertical="center" shrinkToFit="1"/>
    </xf>
    <xf numFmtId="176" fontId="9" fillId="2" borderId="1" xfId="0" applyNumberFormat="1" applyFont="1" applyFill="1" applyBorder="1" applyAlignment="1">
      <alignment horizontal="center" vertical="center" shrinkToFit="1"/>
    </xf>
    <xf numFmtId="176" fontId="9" fillId="2" borderId="2" xfId="0" applyNumberFormat="1" applyFont="1" applyFill="1" applyBorder="1" applyAlignment="1">
      <alignment horizontal="center" vertical="center" shrinkToFit="1"/>
    </xf>
    <xf numFmtId="178" fontId="10" fillId="2" borderId="3" xfId="1" applyNumberFormat="1" applyFont="1" applyFill="1" applyBorder="1" applyAlignment="1">
      <alignment horizontal="center" vertical="center" shrinkToFit="1"/>
    </xf>
    <xf numFmtId="178" fontId="10" fillId="2" borderId="2" xfId="1" applyNumberFormat="1" applyFont="1" applyFill="1" applyBorder="1" applyAlignment="1">
      <alignment horizontal="center" vertical="center" shrinkToFit="1"/>
    </xf>
    <xf numFmtId="176" fontId="11" fillId="0" borderId="40" xfId="0" applyNumberFormat="1" applyFont="1" applyFill="1" applyBorder="1" applyAlignment="1">
      <alignment horizontal="center" vertical="center" shrinkToFit="1"/>
    </xf>
    <xf numFmtId="176" fontId="11" fillId="0" borderId="18" xfId="0" applyNumberFormat="1" applyFont="1" applyFill="1" applyBorder="1" applyAlignment="1">
      <alignment horizontal="center" vertical="center" shrinkToFit="1"/>
    </xf>
    <xf numFmtId="176" fontId="11" fillId="4" borderId="17" xfId="0" applyNumberFormat="1" applyFont="1" applyFill="1" applyBorder="1" applyAlignment="1">
      <alignment horizontal="center" vertical="center" shrinkToFit="1"/>
    </xf>
    <xf numFmtId="176" fontId="11" fillId="4" borderId="18" xfId="0" applyNumberFormat="1" applyFont="1" applyFill="1" applyBorder="1" applyAlignment="1">
      <alignment horizontal="center" vertical="center" shrinkToFit="1"/>
    </xf>
    <xf numFmtId="178" fontId="11" fillId="4" borderId="41" xfId="1" applyNumberFormat="1" applyFont="1" applyFill="1" applyBorder="1" applyAlignment="1">
      <alignment horizontal="center" vertical="center" shrinkToFit="1"/>
    </xf>
    <xf numFmtId="178" fontId="11" fillId="4" borderId="18" xfId="1" applyNumberFormat="1" applyFont="1" applyFill="1" applyBorder="1" applyAlignment="1">
      <alignment horizontal="center" vertical="center" shrinkToFit="1"/>
    </xf>
    <xf numFmtId="176" fontId="11" fillId="0" borderId="17" xfId="0" applyNumberFormat="1" applyFont="1" applyFill="1" applyBorder="1" applyAlignment="1">
      <alignment horizontal="center" vertical="center" shrinkToFit="1"/>
    </xf>
    <xf numFmtId="179" fontId="11" fillId="0" borderId="18" xfId="0" applyNumberFormat="1" applyFont="1" applyFill="1" applyBorder="1" applyAlignment="1">
      <alignment horizontal="center" vertical="center" shrinkToFit="1"/>
    </xf>
    <xf numFmtId="179" fontId="11" fillId="0" borderId="41" xfId="0" applyNumberFormat="1" applyFont="1" applyFill="1" applyBorder="1" applyAlignment="1">
      <alignment horizontal="center" vertical="center" shrinkToFit="1"/>
    </xf>
    <xf numFmtId="176" fontId="11" fillId="3" borderId="19" xfId="0" applyNumberFormat="1" applyFont="1" applyFill="1" applyBorder="1" applyAlignment="1">
      <alignment horizontal="center" vertical="center" shrinkToFit="1"/>
    </xf>
    <xf numFmtId="176" fontId="11" fillId="3" borderId="20" xfId="0" applyNumberFormat="1" applyFont="1" applyFill="1" applyBorder="1" applyAlignment="1">
      <alignment horizontal="center" vertical="center" shrinkToFit="1"/>
    </xf>
    <xf numFmtId="179" fontId="11" fillId="3" borderId="21" xfId="0" applyNumberFormat="1" applyFont="1" applyFill="1" applyBorder="1" applyAlignment="1">
      <alignment horizontal="center" vertical="center" shrinkToFit="1"/>
    </xf>
  </cellXfs>
  <cellStyles count="2">
    <cellStyle name="쉼표 [0] 2" xfId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U58"/>
  <sheetViews>
    <sheetView showGridLines="0" tabSelected="1" zoomScale="85" zoomScaleNormal="85" workbookViewId="0">
      <selection activeCell="C3" sqref="C3"/>
    </sheetView>
  </sheetViews>
  <sheetFormatPr defaultRowHeight="16.5" x14ac:dyDescent="0.3"/>
  <cols>
    <col min="1" max="1" width="5" style="2" customWidth="1"/>
    <col min="2" max="2" width="17.125" style="2" bestFit="1" customWidth="1"/>
    <col min="3" max="3" width="17.125" style="2" customWidth="1"/>
    <col min="4" max="4" width="13.625" style="2" bestFit="1" customWidth="1"/>
    <col min="5" max="71" width="9" style="2"/>
    <col min="72" max="99" width="9" style="2" customWidth="1"/>
    <col min="100" max="16384" width="9" style="2"/>
  </cols>
  <sheetData>
    <row r="2" spans="2:99" x14ac:dyDescent="0.3">
      <c r="B2" s="3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</row>
    <row r="3" spans="2:99" s="5" customFormat="1" ht="14.25" x14ac:dyDescent="0.3">
      <c r="B3" s="6" t="s">
        <v>22</v>
      </c>
      <c r="C3" s="7"/>
      <c r="D3" s="1" t="s">
        <v>24</v>
      </c>
      <c r="E3" s="8" t="s">
        <v>23</v>
      </c>
      <c r="F3" s="8" t="s">
        <v>23</v>
      </c>
      <c r="G3" s="9" t="s">
        <v>23</v>
      </c>
      <c r="H3" s="1" t="s">
        <v>26</v>
      </c>
      <c r="I3" s="8" t="s">
        <v>25</v>
      </c>
      <c r="J3" s="8" t="s">
        <v>25</v>
      </c>
      <c r="K3" s="9" t="s">
        <v>25</v>
      </c>
      <c r="L3" s="1" t="s">
        <v>28</v>
      </c>
      <c r="M3" s="8" t="s">
        <v>27</v>
      </c>
      <c r="N3" s="8" t="s">
        <v>27</v>
      </c>
      <c r="O3" s="9" t="s">
        <v>27</v>
      </c>
      <c r="P3" s="1" t="s">
        <v>30</v>
      </c>
      <c r="Q3" s="8" t="s">
        <v>29</v>
      </c>
      <c r="R3" s="8" t="s">
        <v>29</v>
      </c>
      <c r="S3" s="9" t="s">
        <v>29</v>
      </c>
      <c r="T3" s="1" t="s">
        <v>32</v>
      </c>
      <c r="U3" s="8" t="s">
        <v>31</v>
      </c>
      <c r="V3" s="8" t="s">
        <v>31</v>
      </c>
      <c r="W3" s="9" t="s">
        <v>31</v>
      </c>
      <c r="X3" s="1" t="s">
        <v>34</v>
      </c>
      <c r="Y3" s="8" t="s">
        <v>33</v>
      </c>
      <c r="Z3" s="8" t="s">
        <v>33</v>
      </c>
      <c r="AA3" s="9" t="s">
        <v>33</v>
      </c>
      <c r="AB3" s="1" t="s">
        <v>36</v>
      </c>
      <c r="AC3" s="8" t="s">
        <v>35</v>
      </c>
      <c r="AD3" s="8" t="s">
        <v>35</v>
      </c>
      <c r="AE3" s="9" t="s">
        <v>35</v>
      </c>
      <c r="AF3" s="1" t="s">
        <v>38</v>
      </c>
      <c r="AG3" s="8" t="s">
        <v>37</v>
      </c>
      <c r="AH3" s="8" t="s">
        <v>37</v>
      </c>
      <c r="AI3" s="9" t="s">
        <v>37</v>
      </c>
      <c r="AJ3" s="1" t="s">
        <v>40</v>
      </c>
      <c r="AK3" s="8" t="s">
        <v>39</v>
      </c>
      <c r="AL3" s="8" t="s">
        <v>39</v>
      </c>
      <c r="AM3" s="9" t="s">
        <v>39</v>
      </c>
      <c r="AN3" s="1" t="s">
        <v>42</v>
      </c>
      <c r="AO3" s="8" t="s">
        <v>41</v>
      </c>
      <c r="AP3" s="8" t="s">
        <v>41</v>
      </c>
      <c r="AQ3" s="9" t="s">
        <v>41</v>
      </c>
      <c r="AR3" s="1" t="s">
        <v>44</v>
      </c>
      <c r="AS3" s="8" t="s">
        <v>43</v>
      </c>
      <c r="AT3" s="8" t="s">
        <v>43</v>
      </c>
      <c r="AU3" s="9" t="s">
        <v>43</v>
      </c>
      <c r="AV3" s="1" t="s">
        <v>46</v>
      </c>
      <c r="AW3" s="8" t="s">
        <v>45</v>
      </c>
      <c r="AX3" s="8" t="s">
        <v>45</v>
      </c>
      <c r="AY3" s="9" t="s">
        <v>45</v>
      </c>
      <c r="AZ3" s="1" t="s">
        <v>48</v>
      </c>
      <c r="BA3" s="8" t="s">
        <v>47</v>
      </c>
      <c r="BB3" s="8" t="s">
        <v>47</v>
      </c>
      <c r="BC3" s="9" t="s">
        <v>47</v>
      </c>
      <c r="BD3" s="1" t="s">
        <v>50</v>
      </c>
      <c r="BE3" s="8" t="s">
        <v>49</v>
      </c>
      <c r="BF3" s="8" t="s">
        <v>49</v>
      </c>
      <c r="BG3" s="9" t="s">
        <v>49</v>
      </c>
      <c r="BH3" s="1" t="s">
        <v>52</v>
      </c>
      <c r="BI3" s="8" t="s">
        <v>51</v>
      </c>
      <c r="BJ3" s="8" t="s">
        <v>51</v>
      </c>
      <c r="BK3" s="9" t="s">
        <v>51</v>
      </c>
      <c r="BL3" s="1" t="s">
        <v>54</v>
      </c>
      <c r="BM3" s="8" t="s">
        <v>53</v>
      </c>
      <c r="BN3" s="8" t="s">
        <v>53</v>
      </c>
      <c r="BO3" s="9" t="s">
        <v>53</v>
      </c>
      <c r="BP3" s="1" t="s">
        <v>56</v>
      </c>
      <c r="BQ3" s="8" t="s">
        <v>55</v>
      </c>
      <c r="BR3" s="8" t="s">
        <v>55</v>
      </c>
      <c r="BS3" s="9" t="s">
        <v>55</v>
      </c>
      <c r="BT3" s="1" t="s">
        <v>58</v>
      </c>
      <c r="BU3" s="8" t="s">
        <v>57</v>
      </c>
      <c r="BV3" s="8" t="s">
        <v>57</v>
      </c>
      <c r="BW3" s="9" t="s">
        <v>57</v>
      </c>
      <c r="BX3" s="1" t="s">
        <v>60</v>
      </c>
      <c r="BY3" s="8" t="s">
        <v>59</v>
      </c>
      <c r="BZ3" s="8" t="s">
        <v>59</v>
      </c>
      <c r="CA3" s="9" t="s">
        <v>59</v>
      </c>
      <c r="CB3" s="1" t="s">
        <v>62</v>
      </c>
      <c r="CC3" s="8" t="s">
        <v>61</v>
      </c>
      <c r="CD3" s="8" t="s">
        <v>61</v>
      </c>
      <c r="CE3" s="9" t="s">
        <v>61</v>
      </c>
      <c r="CF3" s="1" t="s">
        <v>64</v>
      </c>
      <c r="CG3" s="8" t="s">
        <v>63</v>
      </c>
      <c r="CH3" s="8" t="s">
        <v>63</v>
      </c>
      <c r="CI3" s="9" t="s">
        <v>63</v>
      </c>
      <c r="CJ3" s="1" t="s">
        <v>66</v>
      </c>
      <c r="CK3" s="8" t="s">
        <v>65</v>
      </c>
      <c r="CL3" s="8" t="s">
        <v>65</v>
      </c>
      <c r="CM3" s="9" t="s">
        <v>65</v>
      </c>
      <c r="CN3" s="1" t="s">
        <v>68</v>
      </c>
      <c r="CO3" s="8" t="s">
        <v>67</v>
      </c>
      <c r="CP3" s="8" t="s">
        <v>67</v>
      </c>
      <c r="CQ3" s="9" t="s">
        <v>67</v>
      </c>
      <c r="CR3" s="1" t="s">
        <v>70</v>
      </c>
      <c r="CS3" s="8" t="s">
        <v>69</v>
      </c>
      <c r="CT3" s="8" t="s">
        <v>69</v>
      </c>
      <c r="CU3" s="9" t="s">
        <v>69</v>
      </c>
    </row>
    <row r="4" spans="2:99" s="5" customFormat="1" ht="14.25" x14ac:dyDescent="0.3">
      <c r="B4" s="10"/>
      <c r="C4" s="11"/>
      <c r="D4" s="12" t="s">
        <v>0</v>
      </c>
      <c r="E4" s="11" t="s">
        <v>1</v>
      </c>
      <c r="F4" s="11" t="s">
        <v>2</v>
      </c>
      <c r="G4" s="13" t="s">
        <v>3</v>
      </c>
      <c r="H4" s="12" t="s">
        <v>0</v>
      </c>
      <c r="I4" s="11" t="s">
        <v>1</v>
      </c>
      <c r="J4" s="11" t="s">
        <v>2</v>
      </c>
      <c r="K4" s="13" t="s">
        <v>3</v>
      </c>
      <c r="L4" s="12" t="s">
        <v>0</v>
      </c>
      <c r="M4" s="11" t="s">
        <v>1</v>
      </c>
      <c r="N4" s="11" t="s">
        <v>2</v>
      </c>
      <c r="O4" s="13" t="s">
        <v>3</v>
      </c>
      <c r="P4" s="12" t="s">
        <v>0</v>
      </c>
      <c r="Q4" s="11" t="s">
        <v>1</v>
      </c>
      <c r="R4" s="11" t="s">
        <v>2</v>
      </c>
      <c r="S4" s="13" t="s">
        <v>3</v>
      </c>
      <c r="T4" s="12" t="s">
        <v>0</v>
      </c>
      <c r="U4" s="11" t="s">
        <v>1</v>
      </c>
      <c r="V4" s="11" t="s">
        <v>2</v>
      </c>
      <c r="W4" s="13" t="s">
        <v>3</v>
      </c>
      <c r="X4" s="12" t="s">
        <v>0</v>
      </c>
      <c r="Y4" s="11" t="s">
        <v>1</v>
      </c>
      <c r="Z4" s="11" t="s">
        <v>2</v>
      </c>
      <c r="AA4" s="13" t="s">
        <v>3</v>
      </c>
      <c r="AB4" s="12" t="s">
        <v>0</v>
      </c>
      <c r="AC4" s="11" t="s">
        <v>1</v>
      </c>
      <c r="AD4" s="11" t="s">
        <v>2</v>
      </c>
      <c r="AE4" s="13" t="s">
        <v>3</v>
      </c>
      <c r="AF4" s="12" t="s">
        <v>0</v>
      </c>
      <c r="AG4" s="11" t="s">
        <v>1</v>
      </c>
      <c r="AH4" s="11" t="s">
        <v>2</v>
      </c>
      <c r="AI4" s="13" t="s">
        <v>3</v>
      </c>
      <c r="AJ4" s="12" t="s">
        <v>0</v>
      </c>
      <c r="AK4" s="11" t="s">
        <v>1</v>
      </c>
      <c r="AL4" s="11" t="s">
        <v>2</v>
      </c>
      <c r="AM4" s="13" t="s">
        <v>3</v>
      </c>
      <c r="AN4" s="12" t="s">
        <v>0</v>
      </c>
      <c r="AO4" s="11" t="s">
        <v>1</v>
      </c>
      <c r="AP4" s="11" t="s">
        <v>2</v>
      </c>
      <c r="AQ4" s="13" t="s">
        <v>3</v>
      </c>
      <c r="AR4" s="12" t="s">
        <v>0</v>
      </c>
      <c r="AS4" s="11" t="s">
        <v>1</v>
      </c>
      <c r="AT4" s="11" t="s">
        <v>2</v>
      </c>
      <c r="AU4" s="13" t="s">
        <v>3</v>
      </c>
      <c r="AV4" s="12" t="s">
        <v>0</v>
      </c>
      <c r="AW4" s="11" t="s">
        <v>1</v>
      </c>
      <c r="AX4" s="11" t="s">
        <v>2</v>
      </c>
      <c r="AY4" s="13" t="s">
        <v>3</v>
      </c>
      <c r="AZ4" s="12" t="s">
        <v>0</v>
      </c>
      <c r="BA4" s="11" t="s">
        <v>1</v>
      </c>
      <c r="BB4" s="11" t="s">
        <v>2</v>
      </c>
      <c r="BC4" s="13" t="s">
        <v>3</v>
      </c>
      <c r="BD4" s="12" t="s">
        <v>0</v>
      </c>
      <c r="BE4" s="11" t="s">
        <v>1</v>
      </c>
      <c r="BF4" s="11" t="s">
        <v>2</v>
      </c>
      <c r="BG4" s="13" t="s">
        <v>3</v>
      </c>
      <c r="BH4" s="12" t="s">
        <v>0</v>
      </c>
      <c r="BI4" s="11" t="s">
        <v>1</v>
      </c>
      <c r="BJ4" s="11" t="s">
        <v>2</v>
      </c>
      <c r="BK4" s="13" t="s">
        <v>3</v>
      </c>
      <c r="BL4" s="12" t="s">
        <v>0</v>
      </c>
      <c r="BM4" s="11" t="s">
        <v>1</v>
      </c>
      <c r="BN4" s="11" t="s">
        <v>2</v>
      </c>
      <c r="BO4" s="13" t="s">
        <v>3</v>
      </c>
      <c r="BP4" s="12" t="s">
        <v>0</v>
      </c>
      <c r="BQ4" s="11" t="s">
        <v>1</v>
      </c>
      <c r="BR4" s="11" t="s">
        <v>2</v>
      </c>
      <c r="BS4" s="13" t="s">
        <v>3</v>
      </c>
      <c r="BT4" s="12" t="s">
        <v>0</v>
      </c>
      <c r="BU4" s="11" t="s">
        <v>1</v>
      </c>
      <c r="BV4" s="11" t="s">
        <v>2</v>
      </c>
      <c r="BW4" s="13" t="s">
        <v>3</v>
      </c>
      <c r="BX4" s="12" t="s">
        <v>0</v>
      </c>
      <c r="BY4" s="11" t="s">
        <v>1</v>
      </c>
      <c r="BZ4" s="11" t="s">
        <v>2</v>
      </c>
      <c r="CA4" s="13" t="s">
        <v>3</v>
      </c>
      <c r="CB4" s="12" t="s">
        <v>0</v>
      </c>
      <c r="CC4" s="11" t="s">
        <v>1</v>
      </c>
      <c r="CD4" s="11" t="s">
        <v>2</v>
      </c>
      <c r="CE4" s="13" t="s">
        <v>3</v>
      </c>
      <c r="CF4" s="12" t="s">
        <v>0</v>
      </c>
      <c r="CG4" s="11" t="s">
        <v>1</v>
      </c>
      <c r="CH4" s="11" t="s">
        <v>2</v>
      </c>
      <c r="CI4" s="13" t="s">
        <v>3</v>
      </c>
      <c r="CJ4" s="12" t="s">
        <v>0</v>
      </c>
      <c r="CK4" s="11" t="s">
        <v>1</v>
      </c>
      <c r="CL4" s="11" t="s">
        <v>2</v>
      </c>
      <c r="CM4" s="13" t="s">
        <v>3</v>
      </c>
      <c r="CN4" s="12" t="s">
        <v>0</v>
      </c>
      <c r="CO4" s="11" t="s">
        <v>1</v>
      </c>
      <c r="CP4" s="11" t="s">
        <v>2</v>
      </c>
      <c r="CQ4" s="13" t="s">
        <v>3</v>
      </c>
      <c r="CR4" s="12" t="s">
        <v>0</v>
      </c>
      <c r="CS4" s="11" t="s">
        <v>1</v>
      </c>
      <c r="CT4" s="11" t="s">
        <v>2</v>
      </c>
      <c r="CU4" s="13" t="s">
        <v>3</v>
      </c>
    </row>
    <row r="5" spans="2:99" x14ac:dyDescent="0.3">
      <c r="B5" s="14" t="s">
        <v>5</v>
      </c>
      <c r="C5" s="15"/>
      <c r="D5" s="16">
        <v>581.36751406999997</v>
      </c>
      <c r="E5" s="17">
        <v>236.78351319999999</v>
      </c>
      <c r="F5" s="17">
        <v>236.29134192000001</v>
      </c>
      <c r="G5" s="18">
        <v>73.811529785145154</v>
      </c>
      <c r="H5" s="16">
        <v>607.49013706000005</v>
      </c>
      <c r="I5" s="17">
        <v>286.90370992999999</v>
      </c>
      <c r="J5" s="17">
        <v>260.78108694000002</v>
      </c>
      <c r="K5" s="19">
        <v>69.885068452042717</v>
      </c>
      <c r="L5" s="20">
        <v>648.10915418000002</v>
      </c>
      <c r="M5" s="21">
        <v>301.82404084000001</v>
      </c>
      <c r="N5" s="21">
        <v>261.20502371999999</v>
      </c>
      <c r="O5" s="22">
        <v>74.436832601819759</v>
      </c>
      <c r="P5" s="20">
        <v>642.95496208000009</v>
      </c>
      <c r="Q5" s="21">
        <v>282.83739553999999</v>
      </c>
      <c r="R5" s="21">
        <v>287.99158763999998</v>
      </c>
      <c r="S5" s="23">
        <v>66.976431570326</v>
      </c>
      <c r="T5" s="20">
        <v>673.50407889999997</v>
      </c>
      <c r="U5" s="21">
        <v>294.30165223</v>
      </c>
      <c r="V5" s="21">
        <v>263.75253541000001</v>
      </c>
      <c r="W5" s="23">
        <v>76.606362610283114</v>
      </c>
      <c r="X5" s="20">
        <v>684.52455685999996</v>
      </c>
      <c r="Y5" s="21">
        <v>279.08835992000002</v>
      </c>
      <c r="Z5" s="21">
        <v>268.06788195999997</v>
      </c>
      <c r="AA5" s="23">
        <v>76.606479506799928</v>
      </c>
      <c r="AB5" s="20">
        <v>714.59234335999997</v>
      </c>
      <c r="AC5" s="21">
        <v>294.18624634999998</v>
      </c>
      <c r="AD5" s="21">
        <v>264.11845985000002</v>
      </c>
      <c r="AE5" s="23">
        <v>81.167254696907918</v>
      </c>
      <c r="AF5" s="20">
        <v>683.00115213000004</v>
      </c>
      <c r="AG5" s="21">
        <v>211.57504901999999</v>
      </c>
      <c r="AH5" s="21">
        <v>243.16624025000002</v>
      </c>
      <c r="AI5" s="23">
        <v>84.263483873559622</v>
      </c>
      <c r="AJ5" s="20">
        <v>665.76044647000003</v>
      </c>
      <c r="AK5" s="21">
        <v>314.23293474000002</v>
      </c>
      <c r="AL5" s="21">
        <v>331.47364040000002</v>
      </c>
      <c r="AM5" s="23">
        <v>60.254605373743011</v>
      </c>
      <c r="AN5" s="20">
        <v>644.94903333000002</v>
      </c>
      <c r="AO5" s="21">
        <v>247.04954739999999</v>
      </c>
      <c r="AP5" s="21">
        <v>267.84330113999999</v>
      </c>
      <c r="AQ5" s="23">
        <v>72.23802468663078</v>
      </c>
      <c r="AR5" s="20">
        <v>686.41132268000001</v>
      </c>
      <c r="AS5" s="21">
        <v>304.46424100999997</v>
      </c>
      <c r="AT5" s="21">
        <v>263.00195165999997</v>
      </c>
      <c r="AU5" s="23">
        <v>78.297288481802141</v>
      </c>
      <c r="AV5" s="20">
        <v>653.31430351000006</v>
      </c>
      <c r="AW5" s="21">
        <v>249.52464611000002</v>
      </c>
      <c r="AX5" s="21">
        <v>282.62166528</v>
      </c>
      <c r="AY5" s="23">
        <v>69.348643480259653</v>
      </c>
      <c r="AZ5" s="20">
        <v>638.70063340999991</v>
      </c>
      <c r="BA5" s="21">
        <v>258.37120800999998</v>
      </c>
      <c r="BB5" s="21">
        <v>272.97925106000002</v>
      </c>
      <c r="BC5" s="23">
        <v>70.192217642536008</v>
      </c>
      <c r="BD5" s="20">
        <v>636.68427717999998</v>
      </c>
      <c r="BE5" s="21">
        <v>239.92239342000002</v>
      </c>
      <c r="BF5" s="21">
        <v>241.93865886999998</v>
      </c>
      <c r="BG5" s="23">
        <v>78.947814312152644</v>
      </c>
      <c r="BH5" s="20">
        <v>668.83014303000004</v>
      </c>
      <c r="BI5" s="21">
        <v>297.41079487000002</v>
      </c>
      <c r="BJ5" s="21">
        <v>265.26492902000001</v>
      </c>
      <c r="BK5" s="23">
        <v>75.640999226803856</v>
      </c>
      <c r="BL5" s="20">
        <v>670.64382813999987</v>
      </c>
      <c r="BM5" s="21">
        <v>284.96891102000001</v>
      </c>
      <c r="BN5" s="21">
        <v>283.17189638000002</v>
      </c>
      <c r="BO5" s="23">
        <v>71.049829101688317</v>
      </c>
      <c r="BP5" s="24">
        <v>671.39332137999997</v>
      </c>
      <c r="BQ5" s="25">
        <v>274.01480332</v>
      </c>
      <c r="BR5" s="25">
        <v>273.26531008000001</v>
      </c>
      <c r="BS5" s="26">
        <v>73.707854229661905</v>
      </c>
      <c r="BT5" s="20"/>
      <c r="BU5" s="21"/>
      <c r="BV5" s="21"/>
      <c r="BW5" s="23"/>
      <c r="BX5" s="20"/>
      <c r="BY5" s="21"/>
      <c r="BZ5" s="21"/>
      <c r="CA5" s="23"/>
      <c r="CB5" s="20"/>
      <c r="CC5" s="21"/>
      <c r="CD5" s="21"/>
      <c r="CE5" s="23"/>
      <c r="CF5" s="20"/>
      <c r="CG5" s="21"/>
      <c r="CH5" s="21"/>
      <c r="CI5" s="23"/>
      <c r="CJ5" s="20"/>
      <c r="CK5" s="21"/>
      <c r="CL5" s="21"/>
      <c r="CM5" s="23"/>
      <c r="CN5" s="20"/>
      <c r="CO5" s="21"/>
      <c r="CP5" s="21"/>
      <c r="CQ5" s="23"/>
      <c r="CR5" s="20"/>
      <c r="CS5" s="21"/>
      <c r="CT5" s="21"/>
      <c r="CU5" s="23"/>
    </row>
    <row r="6" spans="2:99" x14ac:dyDescent="0.3">
      <c r="B6" s="14" t="s">
        <v>6</v>
      </c>
      <c r="C6" s="15"/>
      <c r="D6" s="27">
        <v>194.72365916000001</v>
      </c>
      <c r="E6" s="28">
        <v>197.12805123999999</v>
      </c>
      <c r="F6" s="28">
        <v>174.19481440000001</v>
      </c>
      <c r="G6" s="29">
        <v>33.535497568749676</v>
      </c>
      <c r="H6" s="27">
        <v>189.63560174</v>
      </c>
      <c r="I6" s="28">
        <v>208.72527163999999</v>
      </c>
      <c r="J6" s="28">
        <v>213.81332906</v>
      </c>
      <c r="K6" s="19">
        <v>26.607639838036203</v>
      </c>
      <c r="L6" s="30">
        <v>208.21947499000001</v>
      </c>
      <c r="M6" s="31">
        <v>243.07273345000002</v>
      </c>
      <c r="N6" s="31">
        <v>224.48886020000003</v>
      </c>
      <c r="O6" s="22">
        <v>27.825809459475352</v>
      </c>
      <c r="P6" s="30">
        <v>206.96246597000001</v>
      </c>
      <c r="Q6" s="31">
        <v>234.15195398</v>
      </c>
      <c r="R6" s="31">
        <v>235.408963</v>
      </c>
      <c r="S6" s="23">
        <v>26.374841042479762</v>
      </c>
      <c r="T6" s="30">
        <v>212.70605226999999</v>
      </c>
      <c r="U6" s="31">
        <v>234.35945767999999</v>
      </c>
      <c r="V6" s="31">
        <v>228.61587138000002</v>
      </c>
      <c r="W6" s="23">
        <v>27.912242179780016</v>
      </c>
      <c r="X6" s="30">
        <v>216.38157537000001</v>
      </c>
      <c r="Y6" s="31">
        <v>223.59336123000003</v>
      </c>
      <c r="Z6" s="31">
        <v>219.91783813000001</v>
      </c>
      <c r="AA6" s="23">
        <v>29.517602193155025</v>
      </c>
      <c r="AB6" s="30">
        <v>217.15518376</v>
      </c>
      <c r="AC6" s="31">
        <v>231.68893320999999</v>
      </c>
      <c r="AD6" s="31">
        <v>230.91532482</v>
      </c>
      <c r="AE6" s="23">
        <v>28.212313400499582</v>
      </c>
      <c r="AF6" s="30">
        <v>239.60360588000003</v>
      </c>
      <c r="AG6" s="31">
        <v>158.005934</v>
      </c>
      <c r="AH6" s="31">
        <v>135.55751187999999</v>
      </c>
      <c r="AI6" s="23">
        <v>53.026262261018431</v>
      </c>
      <c r="AJ6" s="30">
        <v>231.14810434</v>
      </c>
      <c r="AK6" s="31">
        <v>229.57185676000003</v>
      </c>
      <c r="AL6" s="31">
        <v>238.0273583</v>
      </c>
      <c r="AM6" s="23">
        <v>29.13296681409248</v>
      </c>
      <c r="AN6" s="30">
        <v>232.90361343000001</v>
      </c>
      <c r="AO6" s="31">
        <v>197.03977192000002</v>
      </c>
      <c r="AP6" s="31">
        <v>195.28426282999999</v>
      </c>
      <c r="AQ6" s="23">
        <v>35.779167771355233</v>
      </c>
      <c r="AR6" s="30">
        <v>216.87232710000001</v>
      </c>
      <c r="AS6" s="31">
        <v>230.23298516</v>
      </c>
      <c r="AT6" s="31">
        <v>246.26427149</v>
      </c>
      <c r="AU6" s="23">
        <v>26.419463016843654</v>
      </c>
      <c r="AV6" s="30">
        <v>230.64223362000001</v>
      </c>
      <c r="AW6" s="31">
        <v>199.64687428000002</v>
      </c>
      <c r="AX6" s="31">
        <v>185.87696775999999</v>
      </c>
      <c r="AY6" s="23">
        <v>37.224983234792148</v>
      </c>
      <c r="AZ6" s="30">
        <v>254.79176003999999</v>
      </c>
      <c r="BA6" s="31">
        <v>247.53692212999999</v>
      </c>
      <c r="BB6" s="31">
        <v>223.38739570999996</v>
      </c>
      <c r="BC6" s="23">
        <v>34.217475775236075</v>
      </c>
      <c r="BD6" s="30">
        <v>260.60915602</v>
      </c>
      <c r="BE6" s="31">
        <v>182.97599916999999</v>
      </c>
      <c r="BF6" s="31">
        <v>177.14952116000001</v>
      </c>
      <c r="BG6" s="23">
        <v>44.133761296134679</v>
      </c>
      <c r="BH6" s="30">
        <v>267.91352789000001</v>
      </c>
      <c r="BI6" s="31">
        <v>217.58517392000002</v>
      </c>
      <c r="BJ6" s="31">
        <v>210.28080205000001</v>
      </c>
      <c r="BK6" s="23">
        <v>38.222252142584509</v>
      </c>
      <c r="BL6" s="30">
        <v>273.68145833999995</v>
      </c>
      <c r="BM6" s="31">
        <v>231.38896734999997</v>
      </c>
      <c r="BN6" s="31">
        <v>225.62103689999998</v>
      </c>
      <c r="BO6" s="23">
        <v>36.390417591419194</v>
      </c>
      <c r="BP6" s="32">
        <v>269.02234256000003</v>
      </c>
      <c r="BQ6" s="33">
        <v>209.24242441999999</v>
      </c>
      <c r="BR6" s="33">
        <v>213.9015402</v>
      </c>
      <c r="BS6" s="26">
        <v>37.730772154580308</v>
      </c>
      <c r="BT6" s="30"/>
      <c r="BU6" s="31"/>
      <c r="BV6" s="31"/>
      <c r="BW6" s="23"/>
      <c r="BX6" s="30"/>
      <c r="BY6" s="31"/>
      <c r="BZ6" s="31"/>
      <c r="CA6" s="23"/>
      <c r="CB6" s="30"/>
      <c r="CC6" s="31"/>
      <c r="CD6" s="31"/>
      <c r="CE6" s="23"/>
      <c r="CF6" s="30"/>
      <c r="CG6" s="31"/>
      <c r="CH6" s="31"/>
      <c r="CI6" s="23"/>
      <c r="CJ6" s="30"/>
      <c r="CK6" s="31"/>
      <c r="CL6" s="31"/>
      <c r="CM6" s="23"/>
      <c r="CN6" s="30"/>
      <c r="CO6" s="31"/>
      <c r="CP6" s="31"/>
      <c r="CQ6" s="23"/>
      <c r="CR6" s="30"/>
      <c r="CS6" s="31"/>
      <c r="CT6" s="31"/>
      <c r="CU6" s="23"/>
    </row>
    <row r="7" spans="2:99" x14ac:dyDescent="0.3">
      <c r="B7" s="14" t="s">
        <v>7</v>
      </c>
      <c r="C7" s="15"/>
      <c r="D7" s="27">
        <v>5.9958260499999998</v>
      </c>
      <c r="E7" s="28">
        <v>19.53226591</v>
      </c>
      <c r="F7" s="28">
        <v>19.312588860000002</v>
      </c>
      <c r="G7" s="29">
        <v>9.3138616890744483</v>
      </c>
      <c r="H7" s="27">
        <v>15.255845969999999</v>
      </c>
      <c r="I7" s="28">
        <v>22.365723800000001</v>
      </c>
      <c r="J7" s="28">
        <v>13.10570388</v>
      </c>
      <c r="K7" s="19">
        <v>34.921846494520366</v>
      </c>
      <c r="L7" s="30">
        <v>3.98947808</v>
      </c>
      <c r="M7" s="31">
        <v>4.0622906099999998</v>
      </c>
      <c r="N7" s="31">
        <v>15.3286585</v>
      </c>
      <c r="O7" s="22">
        <v>7.8078810614771026</v>
      </c>
      <c r="P7" s="30">
        <v>18.34541114</v>
      </c>
      <c r="Q7" s="31">
        <v>21.616307929999998</v>
      </c>
      <c r="R7" s="31">
        <v>7.2603748699999997</v>
      </c>
      <c r="S7" s="23">
        <v>75.803569933297396</v>
      </c>
      <c r="T7" s="30">
        <v>13.359951690000001</v>
      </c>
      <c r="U7" s="31">
        <v>12.429127829999999</v>
      </c>
      <c r="V7" s="31">
        <v>17.414587279999999</v>
      </c>
      <c r="W7" s="23">
        <v>23.01510476566402</v>
      </c>
      <c r="X7" s="30">
        <v>11.760887409999999</v>
      </c>
      <c r="Y7" s="31">
        <v>13.756376210000001</v>
      </c>
      <c r="Z7" s="31">
        <v>15.355440489999999</v>
      </c>
      <c r="AA7" s="23">
        <v>22.977303876744728</v>
      </c>
      <c r="AB7" s="30">
        <v>8.7716374399999992</v>
      </c>
      <c r="AC7" s="31">
        <v>15.158991959999998</v>
      </c>
      <c r="AD7" s="31">
        <v>18.148241930000001</v>
      </c>
      <c r="AE7" s="23">
        <v>14.499978797670787</v>
      </c>
      <c r="AF7" s="30">
        <v>33.03755786</v>
      </c>
      <c r="AG7" s="31">
        <v>40.085303170000003</v>
      </c>
      <c r="AH7" s="31">
        <v>15.819382749999999</v>
      </c>
      <c r="AI7" s="23">
        <v>62.652680667960958</v>
      </c>
      <c r="AJ7" s="30">
        <v>28.594966919999997</v>
      </c>
      <c r="AK7" s="31">
        <v>7.6967446500000003</v>
      </c>
      <c r="AL7" s="31">
        <v>12.13933559</v>
      </c>
      <c r="AM7" s="23">
        <v>70.666882980537153</v>
      </c>
      <c r="AN7" s="30">
        <v>22.899336810000001</v>
      </c>
      <c r="AO7" s="31">
        <v>5.2079394299999997</v>
      </c>
      <c r="AP7" s="31">
        <v>10.903569539999999</v>
      </c>
      <c r="AQ7" s="23">
        <v>63.005064697372497</v>
      </c>
      <c r="AR7" s="30">
        <v>11.366006950000001</v>
      </c>
      <c r="AS7" s="31">
        <v>6.6631365200000001</v>
      </c>
      <c r="AT7" s="31">
        <v>18.19646638</v>
      </c>
      <c r="AU7" s="23">
        <v>18.738814524713231</v>
      </c>
      <c r="AV7" s="30">
        <v>50.542243839999998</v>
      </c>
      <c r="AW7" s="31">
        <v>53.371656020000003</v>
      </c>
      <c r="AX7" s="31">
        <v>14.195419130000001</v>
      </c>
      <c r="AY7" s="23">
        <v>106.81384616503392</v>
      </c>
      <c r="AZ7" s="30">
        <v>57.0489678</v>
      </c>
      <c r="BA7" s="31">
        <v>11.863519</v>
      </c>
      <c r="BB7" s="31">
        <v>5.3567950399999997</v>
      </c>
      <c r="BC7" s="23">
        <v>319.4949631673793</v>
      </c>
      <c r="BD7" s="30">
        <v>60.001498679999997</v>
      </c>
      <c r="BE7" s="31">
        <v>8.0988975300000003</v>
      </c>
      <c r="BF7" s="31">
        <v>5.14636665</v>
      </c>
      <c r="BG7" s="23">
        <v>349.77005775521258</v>
      </c>
      <c r="BH7" s="30">
        <v>62.143308930000003</v>
      </c>
      <c r="BI7" s="31">
        <v>32.720180630000002</v>
      </c>
      <c r="BJ7" s="31">
        <v>30.578370379999999</v>
      </c>
      <c r="BK7" s="23">
        <v>60.967907862067051</v>
      </c>
      <c r="BL7" s="30">
        <v>51.449270579999997</v>
      </c>
      <c r="BM7" s="31">
        <v>1.85884596</v>
      </c>
      <c r="BN7" s="31">
        <v>12.55288431</v>
      </c>
      <c r="BO7" s="23">
        <v>122.95804528130793</v>
      </c>
      <c r="BP7" s="32">
        <v>58.267956249999997</v>
      </c>
      <c r="BQ7" s="33">
        <v>14.572382390000001</v>
      </c>
      <c r="BR7" s="33">
        <v>7.7536967199999998</v>
      </c>
      <c r="BS7" s="26">
        <v>225.44584223820402</v>
      </c>
      <c r="BT7" s="30"/>
      <c r="BU7" s="31"/>
      <c r="BV7" s="31"/>
      <c r="BW7" s="23"/>
      <c r="BX7" s="30"/>
      <c r="BY7" s="31"/>
      <c r="BZ7" s="31"/>
      <c r="CA7" s="23"/>
      <c r="CB7" s="30"/>
      <c r="CC7" s="31"/>
      <c r="CD7" s="31"/>
      <c r="CE7" s="23"/>
      <c r="CF7" s="30"/>
      <c r="CG7" s="31"/>
      <c r="CH7" s="31"/>
      <c r="CI7" s="23"/>
      <c r="CJ7" s="30"/>
      <c r="CK7" s="31"/>
      <c r="CL7" s="31"/>
      <c r="CM7" s="23"/>
      <c r="CN7" s="30"/>
      <c r="CO7" s="31"/>
      <c r="CP7" s="31"/>
      <c r="CQ7" s="23"/>
      <c r="CR7" s="30"/>
      <c r="CS7" s="31"/>
      <c r="CT7" s="31"/>
      <c r="CU7" s="23"/>
    </row>
    <row r="8" spans="2:99" x14ac:dyDescent="0.3">
      <c r="B8" s="14" t="s">
        <v>8</v>
      </c>
      <c r="C8" s="15"/>
      <c r="D8" s="27">
        <v>781.86032375000002</v>
      </c>
      <c r="E8" s="28">
        <v>310.39429440999999</v>
      </c>
      <c r="F8" s="28">
        <v>287.68622123</v>
      </c>
      <c r="G8" s="29">
        <v>81.532614291414049</v>
      </c>
      <c r="H8" s="27">
        <v>802.50320208999995</v>
      </c>
      <c r="I8" s="28">
        <v>305.83102867999997</v>
      </c>
      <c r="J8" s="28">
        <v>285.18815033999999</v>
      </c>
      <c r="K8" s="19">
        <v>84.418290290104196</v>
      </c>
      <c r="L8" s="30">
        <v>850.71253845000001</v>
      </c>
      <c r="M8" s="31">
        <v>355.16753146999997</v>
      </c>
      <c r="N8" s="31">
        <v>306.95819511000002</v>
      </c>
      <c r="O8" s="22">
        <v>83.142840165431281</v>
      </c>
      <c r="P8" s="30">
        <v>856.28454522000004</v>
      </c>
      <c r="Q8" s="31">
        <v>354.73178610000002</v>
      </c>
      <c r="R8" s="31">
        <v>349.15977932999999</v>
      </c>
      <c r="S8" s="23">
        <v>73.572438400246256</v>
      </c>
      <c r="T8" s="30">
        <v>903.65205255000001</v>
      </c>
      <c r="U8" s="31">
        <v>396.99506407000001</v>
      </c>
      <c r="V8" s="31">
        <v>349.62755673999999</v>
      </c>
      <c r="W8" s="23">
        <v>77.538400660620653</v>
      </c>
      <c r="X8" s="30">
        <v>1033.6152336600001</v>
      </c>
      <c r="Y8" s="31">
        <v>439.52005027000001</v>
      </c>
      <c r="Z8" s="31">
        <v>309.55686916000002</v>
      </c>
      <c r="AA8" s="23">
        <v>100.17046978780731</v>
      </c>
      <c r="AB8" s="30">
        <v>989.84970880000003</v>
      </c>
      <c r="AC8" s="31">
        <v>335.60291046999998</v>
      </c>
      <c r="AD8" s="31">
        <v>379.36843533000001</v>
      </c>
      <c r="AE8" s="23">
        <v>78.276125524699694</v>
      </c>
      <c r="AF8" s="30">
        <v>965.30173437999997</v>
      </c>
      <c r="AG8" s="31">
        <v>335.39489431999999</v>
      </c>
      <c r="AH8" s="31">
        <v>359.94286873999999</v>
      </c>
      <c r="AI8" s="23">
        <v>80.45457917466949</v>
      </c>
      <c r="AJ8" s="30">
        <v>1072.5548733600001</v>
      </c>
      <c r="AK8" s="31">
        <v>509.82297448000003</v>
      </c>
      <c r="AL8" s="31">
        <v>402.56983550000001</v>
      </c>
      <c r="AM8" s="23">
        <v>79.928110263989225</v>
      </c>
      <c r="AN8" s="30">
        <v>1098.7123911199999</v>
      </c>
      <c r="AO8" s="31">
        <v>390.6781684</v>
      </c>
      <c r="AP8" s="31">
        <v>364.53831004</v>
      </c>
      <c r="AQ8" s="23">
        <v>90.41950002451928</v>
      </c>
      <c r="AR8" s="30">
        <v>1003.47850179</v>
      </c>
      <c r="AS8" s="31">
        <v>362.75121422000001</v>
      </c>
      <c r="AT8" s="31">
        <v>457.98510355000002</v>
      </c>
      <c r="AU8" s="23">
        <v>65.732170807196113</v>
      </c>
      <c r="AV8" s="30">
        <v>1039.8612483300001</v>
      </c>
      <c r="AW8" s="31">
        <v>453.81489648000002</v>
      </c>
      <c r="AX8" s="31">
        <v>417.43214993999999</v>
      </c>
      <c r="AY8" s="23">
        <v>74.732713937783572</v>
      </c>
      <c r="AZ8" s="30">
        <v>1080.67670228</v>
      </c>
      <c r="BA8" s="31">
        <v>382.79464846000002</v>
      </c>
      <c r="BB8" s="31">
        <v>341.97919451000001</v>
      </c>
      <c r="BC8" s="23">
        <v>94.801969210006959</v>
      </c>
      <c r="BD8" s="30">
        <v>920.02771174999998</v>
      </c>
      <c r="BE8" s="31">
        <v>290.73225839999998</v>
      </c>
      <c r="BF8" s="31">
        <v>451.38124895999999</v>
      </c>
      <c r="BG8" s="23">
        <v>61.147492094750042</v>
      </c>
      <c r="BH8" s="30">
        <v>1017.41854418</v>
      </c>
      <c r="BI8" s="31">
        <v>457.23477380999998</v>
      </c>
      <c r="BJ8" s="31">
        <v>359.84394137999999</v>
      </c>
      <c r="BK8" s="23">
        <v>84.821648541159604</v>
      </c>
      <c r="BL8" s="30">
        <v>930.82569480999996</v>
      </c>
      <c r="BM8" s="31">
        <v>292.64045779000003</v>
      </c>
      <c r="BN8" s="31">
        <v>379.21663668999997</v>
      </c>
      <c r="BO8" s="23">
        <v>73.638042592334344</v>
      </c>
      <c r="BP8" s="32">
        <v>942.62584029000004</v>
      </c>
      <c r="BQ8" s="33">
        <v>378.26325852999997</v>
      </c>
      <c r="BR8" s="33">
        <v>366.46311305</v>
      </c>
      <c r="BS8" s="26">
        <v>77.166771229282404</v>
      </c>
      <c r="BT8" s="30"/>
      <c r="BU8" s="31"/>
      <c r="BV8" s="31"/>
      <c r="BW8" s="23"/>
      <c r="BX8" s="30"/>
      <c r="BY8" s="31"/>
      <c r="BZ8" s="31"/>
      <c r="CA8" s="23"/>
      <c r="CB8" s="30"/>
      <c r="CC8" s="31"/>
      <c r="CD8" s="31"/>
      <c r="CE8" s="23"/>
      <c r="CF8" s="30"/>
      <c r="CG8" s="31"/>
      <c r="CH8" s="31"/>
      <c r="CI8" s="23"/>
      <c r="CJ8" s="30"/>
      <c r="CK8" s="31"/>
      <c r="CL8" s="31"/>
      <c r="CM8" s="23"/>
      <c r="CN8" s="30"/>
      <c r="CO8" s="31"/>
      <c r="CP8" s="31"/>
      <c r="CQ8" s="23"/>
      <c r="CR8" s="30"/>
      <c r="CS8" s="31"/>
      <c r="CT8" s="31"/>
      <c r="CU8" s="23"/>
    </row>
    <row r="9" spans="2:99" x14ac:dyDescent="0.3">
      <c r="B9" s="14" t="s">
        <v>9</v>
      </c>
      <c r="C9" s="15"/>
      <c r="D9" s="27">
        <v>395.57375241</v>
      </c>
      <c r="E9" s="28">
        <v>149.70923934000001</v>
      </c>
      <c r="F9" s="28">
        <v>116.09076107</v>
      </c>
      <c r="G9" s="29">
        <v>102.22357458010246</v>
      </c>
      <c r="H9" s="27">
        <v>396.09255696000002</v>
      </c>
      <c r="I9" s="28">
        <v>139.22343382</v>
      </c>
      <c r="J9" s="28">
        <v>138.96226057000001</v>
      </c>
      <c r="K9" s="19">
        <v>85.510818981058833</v>
      </c>
      <c r="L9" s="30">
        <v>399.04274665000003</v>
      </c>
      <c r="M9" s="31">
        <v>129.81750859000002</v>
      </c>
      <c r="N9" s="31">
        <v>126.86121336000001</v>
      </c>
      <c r="O9" s="22">
        <v>94.365189189295648</v>
      </c>
      <c r="P9" s="30">
        <v>382.19374481000006</v>
      </c>
      <c r="Q9" s="31">
        <v>125.44223746</v>
      </c>
      <c r="R9" s="31">
        <v>142.29476045999999</v>
      </c>
      <c r="S9" s="23">
        <v>80.577895540455401</v>
      </c>
      <c r="T9" s="30">
        <v>433.79395850000003</v>
      </c>
      <c r="U9" s="31">
        <v>180.95280091000001</v>
      </c>
      <c r="V9" s="31">
        <v>129.35644196999999</v>
      </c>
      <c r="W9" s="23">
        <v>100.60433447928423</v>
      </c>
      <c r="X9" s="30">
        <v>403.80090730000001</v>
      </c>
      <c r="Y9" s="31">
        <v>113.63561946</v>
      </c>
      <c r="Z9" s="31">
        <v>143.92037375000001</v>
      </c>
      <c r="AA9" s="23">
        <v>84.171732627952537</v>
      </c>
      <c r="AB9" s="30">
        <v>394.59122610000003</v>
      </c>
      <c r="AC9" s="31">
        <v>123.61198139</v>
      </c>
      <c r="AD9" s="31">
        <v>132.8395519</v>
      </c>
      <c r="AE9" s="23">
        <v>89.11304362055742</v>
      </c>
      <c r="AF9" s="30">
        <v>459.55704846000003</v>
      </c>
      <c r="AG9" s="31">
        <v>149.39571078</v>
      </c>
      <c r="AH9" s="31">
        <v>84.429888419999997</v>
      </c>
      <c r="AI9" s="23">
        <v>163.29183553124494</v>
      </c>
      <c r="AJ9" s="30">
        <v>451.91530655000003</v>
      </c>
      <c r="AK9" s="31">
        <v>135.31977670000001</v>
      </c>
      <c r="AL9" s="31">
        <v>142.96196162999999</v>
      </c>
      <c r="AM9" s="23">
        <v>94.83263269419929</v>
      </c>
      <c r="AN9" s="30">
        <v>457.46072768000005</v>
      </c>
      <c r="AO9" s="31">
        <v>106.09576678000001</v>
      </c>
      <c r="AP9" s="31">
        <v>101.93046201999999</v>
      </c>
      <c r="AQ9" s="23">
        <v>134.6390623414149</v>
      </c>
      <c r="AR9" s="30">
        <v>452.81364775000003</v>
      </c>
      <c r="AS9" s="31">
        <v>113.99089935000001</v>
      </c>
      <c r="AT9" s="31">
        <v>118.80861188</v>
      </c>
      <c r="AU9" s="23">
        <v>114.33859227494916</v>
      </c>
      <c r="AV9" s="30">
        <v>429.62012976</v>
      </c>
      <c r="AW9" s="31">
        <v>108.94573447</v>
      </c>
      <c r="AX9" s="31">
        <v>132.13892898</v>
      </c>
      <c r="AY9" s="23">
        <v>97.538280295512052</v>
      </c>
      <c r="AZ9" s="30">
        <v>409.52315099000003</v>
      </c>
      <c r="BA9" s="31">
        <v>110.45942698</v>
      </c>
      <c r="BB9" s="31">
        <v>130.69692072000001</v>
      </c>
      <c r="BC9" s="23">
        <v>94.001407699729924</v>
      </c>
      <c r="BD9" s="30">
        <v>401.03181384999999</v>
      </c>
      <c r="BE9" s="31">
        <v>88.75198417</v>
      </c>
      <c r="BF9" s="31">
        <v>98.258048369999997</v>
      </c>
      <c r="BG9" s="23">
        <v>122.44243209672047</v>
      </c>
      <c r="BH9" s="30">
        <v>401.73331388999998</v>
      </c>
      <c r="BI9" s="31">
        <v>135.29109280999998</v>
      </c>
      <c r="BJ9" s="31">
        <v>134.59245804</v>
      </c>
      <c r="BK9" s="23">
        <v>89.544388981425868</v>
      </c>
      <c r="BL9" s="30">
        <v>414.26199097999995</v>
      </c>
      <c r="BM9" s="31">
        <v>134.48737032</v>
      </c>
      <c r="BN9" s="31">
        <v>121.95333702999999</v>
      </c>
      <c r="BO9" s="23">
        <v>101.90668030955807</v>
      </c>
      <c r="BP9" s="32">
        <v>418.45017265000001</v>
      </c>
      <c r="BQ9" s="33">
        <v>116.91644541000001</v>
      </c>
      <c r="BR9" s="33">
        <v>112.72736922000001</v>
      </c>
      <c r="BS9" s="26">
        <v>111.36164417179326</v>
      </c>
      <c r="BT9" s="30"/>
      <c r="BU9" s="31"/>
      <c r="BV9" s="31"/>
      <c r="BW9" s="23"/>
      <c r="BX9" s="30"/>
      <c r="BY9" s="31"/>
      <c r="BZ9" s="31"/>
      <c r="CA9" s="23"/>
      <c r="CB9" s="30"/>
      <c r="CC9" s="31"/>
      <c r="CD9" s="31"/>
      <c r="CE9" s="23"/>
      <c r="CF9" s="30"/>
      <c r="CG9" s="31"/>
      <c r="CH9" s="31"/>
      <c r="CI9" s="23"/>
      <c r="CJ9" s="30"/>
      <c r="CK9" s="31"/>
      <c r="CL9" s="31"/>
      <c r="CM9" s="23"/>
      <c r="CN9" s="30"/>
      <c r="CO9" s="31"/>
      <c r="CP9" s="31"/>
      <c r="CQ9" s="23"/>
      <c r="CR9" s="30"/>
      <c r="CS9" s="31"/>
      <c r="CT9" s="31"/>
      <c r="CU9" s="23"/>
    </row>
    <row r="10" spans="2:99" x14ac:dyDescent="0.3">
      <c r="B10" s="14" t="s">
        <v>10</v>
      </c>
      <c r="C10" s="15"/>
      <c r="D10" s="27">
        <v>129.12850456000001</v>
      </c>
      <c r="E10" s="28">
        <v>24.740480269999999</v>
      </c>
      <c r="F10" s="28">
        <v>27.35349326</v>
      </c>
      <c r="G10" s="29">
        <v>141.62195299804279</v>
      </c>
      <c r="H10" s="27">
        <v>141.08045698999999</v>
      </c>
      <c r="I10" s="28">
        <v>27.938868020000001</v>
      </c>
      <c r="J10" s="28">
        <v>15.98697883</v>
      </c>
      <c r="K10" s="19">
        <v>264.74130945602803</v>
      </c>
      <c r="L10" s="30">
        <v>140.64471294000001</v>
      </c>
      <c r="M10" s="31">
        <v>17.373416899999999</v>
      </c>
      <c r="N10" s="31">
        <v>17.809160949999999</v>
      </c>
      <c r="O10" s="22">
        <v>236.9197178938405</v>
      </c>
      <c r="P10" s="30">
        <v>149.54049438999999</v>
      </c>
      <c r="Q10" s="31">
        <v>36.349830589999996</v>
      </c>
      <c r="R10" s="31">
        <v>27.454046519999999</v>
      </c>
      <c r="S10" s="23">
        <v>163.40814562370019</v>
      </c>
      <c r="T10" s="30">
        <v>146.47851615000002</v>
      </c>
      <c r="U10" s="31">
        <v>27.242162820000001</v>
      </c>
      <c r="V10" s="31">
        <v>30.304141059999999</v>
      </c>
      <c r="W10" s="23">
        <v>145.00841570792241</v>
      </c>
      <c r="X10" s="30">
        <v>148.84236033000002</v>
      </c>
      <c r="Y10" s="31">
        <v>29.731393610000001</v>
      </c>
      <c r="Z10" s="31">
        <v>27.36754943</v>
      </c>
      <c r="AA10" s="23">
        <v>163.15932200364352</v>
      </c>
      <c r="AB10" s="30">
        <v>141.79330744999999</v>
      </c>
      <c r="AC10" s="31">
        <v>30.507258469999996</v>
      </c>
      <c r="AD10" s="31">
        <v>37.556001350000003</v>
      </c>
      <c r="AE10" s="23">
        <v>113.26549873766045</v>
      </c>
      <c r="AF10" s="30">
        <v>160.64722086</v>
      </c>
      <c r="AG10" s="31">
        <v>29.431805569999998</v>
      </c>
      <c r="AH10" s="31">
        <v>10.575636600000001</v>
      </c>
      <c r="AI10" s="23">
        <v>455.70936370865843</v>
      </c>
      <c r="AJ10" s="30">
        <v>168.32133749000002</v>
      </c>
      <c r="AK10" s="31">
        <v>31.950981479999999</v>
      </c>
      <c r="AL10" s="31">
        <v>24.275613310000001</v>
      </c>
      <c r="AM10" s="23">
        <v>208.0128753171345</v>
      </c>
      <c r="AN10" s="30">
        <v>164.03712166000003</v>
      </c>
      <c r="AO10" s="31">
        <v>20.27483569</v>
      </c>
      <c r="AP10" s="31">
        <v>24.559051520000001</v>
      </c>
      <c r="AQ10" s="23">
        <v>200.37881535418515</v>
      </c>
      <c r="AR10" s="30">
        <v>151.77341122000001</v>
      </c>
      <c r="AS10" s="31">
        <v>19.237158399999998</v>
      </c>
      <c r="AT10" s="31">
        <v>31.500000640000003</v>
      </c>
      <c r="AU10" s="23">
        <v>144.54610298699981</v>
      </c>
      <c r="AV10" s="30">
        <v>142.25988336</v>
      </c>
      <c r="AW10" s="31">
        <v>19.494515620000001</v>
      </c>
      <c r="AX10" s="31">
        <v>29.010295979999999</v>
      </c>
      <c r="AY10" s="23">
        <v>147.11316643381591</v>
      </c>
      <c r="AZ10" s="30">
        <v>132.29242754000001</v>
      </c>
      <c r="BA10" s="31">
        <v>22.078640570000001</v>
      </c>
      <c r="BB10" s="31">
        <v>32.045992689999999</v>
      </c>
      <c r="BC10" s="23">
        <v>123.84615026884349</v>
      </c>
      <c r="BD10" s="30">
        <v>144.71617791</v>
      </c>
      <c r="BE10" s="31">
        <v>25.217432670000001</v>
      </c>
      <c r="BF10" s="31">
        <v>12.84681836</v>
      </c>
      <c r="BG10" s="23">
        <v>337.94245513875234</v>
      </c>
      <c r="BH10" s="30">
        <v>149.22810193000001</v>
      </c>
      <c r="BI10" s="31">
        <v>23.071670830000002</v>
      </c>
      <c r="BJ10" s="31">
        <v>18.55974681</v>
      </c>
      <c r="BK10" s="23">
        <v>241.212507030962</v>
      </c>
      <c r="BL10" s="30">
        <v>137.40552568000001</v>
      </c>
      <c r="BM10" s="31">
        <v>17.32664973</v>
      </c>
      <c r="BN10" s="31">
        <v>29.149225980000001</v>
      </c>
      <c r="BO10" s="23">
        <v>141.41595983469063</v>
      </c>
      <c r="BP10" s="32">
        <v>145.97306809</v>
      </c>
      <c r="BQ10" s="33">
        <v>33.341695189999996</v>
      </c>
      <c r="BR10" s="33">
        <v>24.774152779999998</v>
      </c>
      <c r="BS10" s="26">
        <v>176.76455302379873</v>
      </c>
      <c r="BT10" s="30"/>
      <c r="BU10" s="31"/>
      <c r="BV10" s="31"/>
      <c r="BW10" s="23"/>
      <c r="BX10" s="30"/>
      <c r="BY10" s="31"/>
      <c r="BZ10" s="31"/>
      <c r="CA10" s="23"/>
      <c r="CB10" s="30"/>
      <c r="CC10" s="31"/>
      <c r="CD10" s="31"/>
      <c r="CE10" s="23"/>
      <c r="CF10" s="30"/>
      <c r="CG10" s="31"/>
      <c r="CH10" s="31"/>
      <c r="CI10" s="23"/>
      <c r="CJ10" s="30"/>
      <c r="CK10" s="31"/>
      <c r="CL10" s="31"/>
      <c r="CM10" s="23"/>
      <c r="CN10" s="30"/>
      <c r="CO10" s="31"/>
      <c r="CP10" s="31"/>
      <c r="CQ10" s="23"/>
      <c r="CR10" s="30"/>
      <c r="CS10" s="31"/>
      <c r="CT10" s="31"/>
      <c r="CU10" s="23"/>
    </row>
    <row r="11" spans="2:99" x14ac:dyDescent="0.3">
      <c r="B11" s="14" t="s">
        <v>11</v>
      </c>
      <c r="C11" s="15"/>
      <c r="D11" s="27">
        <v>139.21520081</v>
      </c>
      <c r="E11" s="34">
        <v>94.410205860000005</v>
      </c>
      <c r="F11" s="34">
        <v>90.745847389999994</v>
      </c>
      <c r="G11" s="29">
        <v>46.023659973671002</v>
      </c>
      <c r="H11" s="27">
        <v>145.0036968</v>
      </c>
      <c r="I11" s="34">
        <v>104.75729855</v>
      </c>
      <c r="J11" s="34">
        <v>98.96880256</v>
      </c>
      <c r="K11" s="19">
        <v>43.954365330051736</v>
      </c>
      <c r="L11" s="30">
        <v>98.084805149999994</v>
      </c>
      <c r="M11" s="31">
        <v>68.738840280000005</v>
      </c>
      <c r="N11" s="31">
        <v>115.65773191999999</v>
      </c>
      <c r="O11" s="22">
        <v>25.441828277726788</v>
      </c>
      <c r="P11" s="30">
        <v>118.69294515999999</v>
      </c>
      <c r="Q11" s="31">
        <v>114.20075469</v>
      </c>
      <c r="R11" s="31">
        <v>93.592614690000005</v>
      </c>
      <c r="S11" s="23">
        <v>38.045612536781235</v>
      </c>
      <c r="T11" s="30">
        <v>102.33685326</v>
      </c>
      <c r="U11" s="31">
        <v>89.020113319999993</v>
      </c>
      <c r="V11" s="31">
        <v>105.37620521000001</v>
      </c>
      <c r="W11" s="23">
        <v>29.134713967747366</v>
      </c>
      <c r="X11" s="30">
        <v>96.66959353</v>
      </c>
      <c r="Y11" s="31">
        <v>81.945464989999991</v>
      </c>
      <c r="Z11" s="31">
        <v>87.612724729999996</v>
      </c>
      <c r="AA11" s="23">
        <v>33.101216916119533</v>
      </c>
      <c r="AB11" s="30">
        <v>89.403405730000003</v>
      </c>
      <c r="AC11" s="31">
        <v>75.845592920000001</v>
      </c>
      <c r="AD11" s="31">
        <v>83.111780719999985</v>
      </c>
      <c r="AE11" s="23">
        <v>32.271022816078109</v>
      </c>
      <c r="AF11" s="30">
        <v>84.985114820000007</v>
      </c>
      <c r="AG11" s="31">
        <v>72.817295680000001</v>
      </c>
      <c r="AH11" s="31">
        <v>77.235586600000005</v>
      </c>
      <c r="AI11" s="23">
        <v>33.010087148091912</v>
      </c>
      <c r="AJ11" s="30">
        <v>93.746974640000019</v>
      </c>
      <c r="AK11" s="31">
        <v>89.334105720000011</v>
      </c>
      <c r="AL11" s="31">
        <v>80.572245890000005</v>
      </c>
      <c r="AM11" s="23">
        <v>34.905434348194767</v>
      </c>
      <c r="AN11" s="30">
        <v>89.799503560000005</v>
      </c>
      <c r="AO11" s="31">
        <v>82.880795000000006</v>
      </c>
      <c r="AP11" s="31">
        <v>86.828266080000006</v>
      </c>
      <c r="AQ11" s="23">
        <v>31.026591090945811</v>
      </c>
      <c r="AR11" s="30">
        <v>79.321202270000001</v>
      </c>
      <c r="AS11" s="31">
        <v>76.814331960000004</v>
      </c>
      <c r="AT11" s="31">
        <v>87.292633249999994</v>
      </c>
      <c r="AU11" s="23">
        <v>27.260445463764263</v>
      </c>
      <c r="AV11" s="30">
        <v>131.48131211999998</v>
      </c>
      <c r="AW11" s="31">
        <v>119.51084229999998</v>
      </c>
      <c r="AX11" s="31">
        <v>67.350732449999995</v>
      </c>
      <c r="AY11" s="23">
        <v>58.565649104533236</v>
      </c>
      <c r="AZ11" s="30">
        <v>115.78236305000001</v>
      </c>
      <c r="BA11" s="31">
        <v>111.04489998000001</v>
      </c>
      <c r="BB11" s="31">
        <v>126.74384902999999</v>
      </c>
      <c r="BC11" s="23">
        <v>27.405439538749036</v>
      </c>
      <c r="BD11" s="30">
        <v>92.620738040000006</v>
      </c>
      <c r="BE11" s="31">
        <v>76.407745009999985</v>
      </c>
      <c r="BF11" s="31">
        <v>99.569370019999994</v>
      </c>
      <c r="BG11" s="23">
        <v>27.906394713975519</v>
      </c>
      <c r="BH11" s="30">
        <v>82.936520229999999</v>
      </c>
      <c r="BI11" s="31">
        <v>83.554843529999999</v>
      </c>
      <c r="BJ11" s="31">
        <v>93.239061339999992</v>
      </c>
      <c r="BK11" s="23">
        <v>26.685120711662453</v>
      </c>
      <c r="BL11" s="30">
        <v>75.595444979999996</v>
      </c>
      <c r="BM11" s="31">
        <v>74.813494339999991</v>
      </c>
      <c r="BN11" s="31">
        <v>82.154569589999994</v>
      </c>
      <c r="BO11" s="23">
        <v>27.604835138422398</v>
      </c>
      <c r="BP11" s="32">
        <v>79.578155129999999</v>
      </c>
      <c r="BQ11" s="33">
        <v>76.883394759999987</v>
      </c>
      <c r="BR11" s="33">
        <v>72.900684610000013</v>
      </c>
      <c r="BS11" s="26">
        <v>32.747904449343409</v>
      </c>
      <c r="BT11" s="30"/>
      <c r="BU11" s="31"/>
      <c r="BV11" s="31"/>
      <c r="BW11" s="23"/>
      <c r="BX11" s="30"/>
      <c r="BY11" s="31"/>
      <c r="BZ11" s="31"/>
      <c r="CA11" s="23"/>
      <c r="CB11" s="30"/>
      <c r="CC11" s="31"/>
      <c r="CD11" s="31"/>
      <c r="CE11" s="23"/>
      <c r="CF11" s="30"/>
      <c r="CG11" s="31"/>
      <c r="CH11" s="31"/>
      <c r="CI11" s="23"/>
      <c r="CJ11" s="30"/>
      <c r="CK11" s="31"/>
      <c r="CL11" s="31"/>
      <c r="CM11" s="23"/>
      <c r="CN11" s="30"/>
      <c r="CO11" s="31"/>
      <c r="CP11" s="31"/>
      <c r="CQ11" s="23"/>
      <c r="CR11" s="30"/>
      <c r="CS11" s="31"/>
      <c r="CT11" s="31"/>
      <c r="CU11" s="23"/>
    </row>
    <row r="12" spans="2:99" x14ac:dyDescent="0.3">
      <c r="B12" s="14" t="s">
        <v>12</v>
      </c>
      <c r="C12" s="15"/>
      <c r="D12" s="27">
        <v>83.833925719999996</v>
      </c>
      <c r="E12" s="35"/>
      <c r="F12" s="35"/>
      <c r="G12" s="29"/>
      <c r="H12" s="27">
        <v>63.171060699999998</v>
      </c>
      <c r="I12" s="35"/>
      <c r="J12" s="35"/>
      <c r="K12" s="19"/>
      <c r="L12" s="30">
        <v>63.737783880000002</v>
      </c>
      <c r="M12" s="36"/>
      <c r="N12" s="36"/>
      <c r="O12" s="22"/>
      <c r="P12" s="30">
        <v>89.030653209999997</v>
      </c>
      <c r="Q12" s="36"/>
      <c r="R12" s="36"/>
      <c r="S12" s="23"/>
      <c r="T12" s="30">
        <v>103.27645974000001</v>
      </c>
      <c r="U12" s="36"/>
      <c r="V12" s="36"/>
      <c r="W12" s="23"/>
      <c r="X12" s="30">
        <v>99.829827890000004</v>
      </c>
      <c r="Y12" s="36"/>
      <c r="Z12" s="36"/>
      <c r="AA12" s="23"/>
      <c r="AB12" s="30">
        <v>135.24711823999999</v>
      </c>
      <c r="AC12" s="36"/>
      <c r="AD12" s="36"/>
      <c r="AE12" s="23"/>
      <c r="AF12" s="30">
        <v>89.976395120000007</v>
      </c>
      <c r="AG12" s="36"/>
      <c r="AH12" s="36"/>
      <c r="AI12" s="22"/>
      <c r="AJ12" s="30">
        <v>84.095985200000001</v>
      </c>
      <c r="AK12" s="36"/>
      <c r="AL12" s="36"/>
      <c r="AM12" s="22"/>
      <c r="AN12" s="30">
        <v>86.454785490000006</v>
      </c>
      <c r="AO12" s="36"/>
      <c r="AP12" s="36"/>
      <c r="AQ12" s="22"/>
      <c r="AR12" s="30">
        <v>60.212703419999997</v>
      </c>
      <c r="AS12" s="36"/>
      <c r="AT12" s="36"/>
      <c r="AU12" s="22"/>
      <c r="AV12" s="30">
        <v>88.794621000000006</v>
      </c>
      <c r="AW12" s="36"/>
      <c r="AX12" s="36"/>
      <c r="AY12" s="22"/>
      <c r="AZ12" s="30">
        <v>85.989407020000002</v>
      </c>
      <c r="BA12" s="36"/>
      <c r="BB12" s="36"/>
      <c r="BC12" s="22"/>
      <c r="BD12" s="30">
        <v>81.861224280000002</v>
      </c>
      <c r="BE12" s="36"/>
      <c r="BF12" s="36"/>
      <c r="BG12" s="22"/>
      <c r="BH12" s="30">
        <v>83.489012579999994</v>
      </c>
      <c r="BI12" s="36"/>
      <c r="BJ12" s="36"/>
      <c r="BK12" s="22"/>
      <c r="BL12" s="30">
        <v>85.838080849999997</v>
      </c>
      <c r="BM12" s="36"/>
      <c r="BN12" s="36"/>
      <c r="BO12" s="22"/>
      <c r="BP12" s="37">
        <v>54.889426129999997</v>
      </c>
      <c r="BQ12" s="38"/>
      <c r="BR12" s="38"/>
      <c r="BS12" s="26"/>
      <c r="BT12" s="30"/>
      <c r="BU12" s="36"/>
      <c r="BV12" s="36"/>
      <c r="BW12" s="22"/>
      <c r="BX12" s="30"/>
      <c r="BY12" s="36"/>
      <c r="BZ12" s="36"/>
      <c r="CA12" s="22"/>
      <c r="CB12" s="30"/>
      <c r="CC12" s="36"/>
      <c r="CD12" s="36"/>
      <c r="CE12" s="22"/>
      <c r="CF12" s="30"/>
      <c r="CG12" s="36"/>
      <c r="CH12" s="36"/>
      <c r="CI12" s="22"/>
      <c r="CJ12" s="30"/>
      <c r="CK12" s="36"/>
      <c r="CL12" s="36"/>
      <c r="CM12" s="22"/>
      <c r="CN12" s="30"/>
      <c r="CO12" s="36"/>
      <c r="CP12" s="36"/>
      <c r="CQ12" s="22"/>
      <c r="CR12" s="30"/>
      <c r="CS12" s="36"/>
      <c r="CT12" s="36"/>
      <c r="CU12" s="22"/>
    </row>
    <row r="13" spans="2:99" ht="17.25" thickBot="1" x14ac:dyDescent="0.35">
      <c r="B13" s="39" t="s">
        <v>13</v>
      </c>
      <c r="C13" s="15"/>
      <c r="D13" s="27">
        <v>-129.55632903</v>
      </c>
      <c r="E13" s="40"/>
      <c r="F13" s="40"/>
      <c r="G13" s="41"/>
      <c r="H13" s="27">
        <v>-146.77985451000001</v>
      </c>
      <c r="I13" s="40"/>
      <c r="J13" s="40"/>
      <c r="K13" s="42"/>
      <c r="L13" s="30">
        <v>-147.52617805</v>
      </c>
      <c r="M13" s="43"/>
      <c r="N13" s="43"/>
      <c r="O13" s="44"/>
      <c r="P13" s="30">
        <v>-148.53991227</v>
      </c>
      <c r="Q13" s="43"/>
      <c r="R13" s="43"/>
      <c r="S13" s="45"/>
      <c r="T13" s="30">
        <v>-153.7317635</v>
      </c>
      <c r="U13" s="43"/>
      <c r="V13" s="43"/>
      <c r="W13" s="45"/>
      <c r="X13" s="30">
        <v>-142.07748079999999</v>
      </c>
      <c r="Y13" s="43"/>
      <c r="Z13" s="43"/>
      <c r="AA13" s="45"/>
      <c r="AB13" s="30">
        <v>-120.52404279000001</v>
      </c>
      <c r="AC13" s="43"/>
      <c r="AD13" s="43"/>
      <c r="AE13" s="45"/>
      <c r="AF13" s="30">
        <v>-112.05279503000001</v>
      </c>
      <c r="AG13" s="43"/>
      <c r="AH13" s="43"/>
      <c r="AI13" s="44"/>
      <c r="AJ13" s="30">
        <v>-112.64730270999999</v>
      </c>
      <c r="AK13" s="43"/>
      <c r="AL13" s="43"/>
      <c r="AM13" s="44"/>
      <c r="AN13" s="30">
        <v>-120.39480818</v>
      </c>
      <c r="AO13" s="43"/>
      <c r="AP13" s="43"/>
      <c r="AQ13" s="44"/>
      <c r="AR13" s="30">
        <v>-109.44482164</v>
      </c>
      <c r="AS13" s="43"/>
      <c r="AT13" s="43"/>
      <c r="AU13" s="44"/>
      <c r="AV13" s="30">
        <v>-102.49772947999999</v>
      </c>
      <c r="AW13" s="43"/>
      <c r="AX13" s="43"/>
      <c r="AY13" s="44"/>
      <c r="AZ13" s="30">
        <v>-107.36814091000001</v>
      </c>
      <c r="BA13" s="43"/>
      <c r="BB13" s="43"/>
      <c r="BC13" s="44"/>
      <c r="BD13" s="30">
        <v>-125.17307724000001</v>
      </c>
      <c r="BE13" s="43"/>
      <c r="BF13" s="43"/>
      <c r="BG13" s="44"/>
      <c r="BH13" s="30">
        <v>-121.24808658000001</v>
      </c>
      <c r="BI13" s="43"/>
      <c r="BJ13" s="43"/>
      <c r="BK13" s="44"/>
      <c r="BL13" s="30">
        <v>-112.94105487</v>
      </c>
      <c r="BM13" s="43"/>
      <c r="BN13" s="43"/>
      <c r="BO13" s="44"/>
      <c r="BP13" s="46">
        <v>-109.11743219</v>
      </c>
      <c r="BQ13" s="47"/>
      <c r="BR13" s="47"/>
      <c r="BS13" s="48"/>
      <c r="BT13" s="30"/>
      <c r="BU13" s="43"/>
      <c r="BV13" s="43"/>
      <c r="BW13" s="44"/>
      <c r="BX13" s="30"/>
      <c r="BY13" s="43"/>
      <c r="BZ13" s="43"/>
      <c r="CA13" s="44"/>
      <c r="CB13" s="30"/>
      <c r="CC13" s="43"/>
      <c r="CD13" s="43"/>
      <c r="CE13" s="44"/>
      <c r="CF13" s="30"/>
      <c r="CG13" s="43"/>
      <c r="CH13" s="43"/>
      <c r="CI13" s="44"/>
      <c r="CJ13" s="30"/>
      <c r="CK13" s="43"/>
      <c r="CL13" s="43"/>
      <c r="CM13" s="44"/>
      <c r="CN13" s="30"/>
      <c r="CO13" s="43"/>
      <c r="CP13" s="43"/>
      <c r="CQ13" s="44"/>
      <c r="CR13" s="30"/>
      <c r="CS13" s="43"/>
      <c r="CT13" s="43"/>
      <c r="CU13" s="44"/>
    </row>
    <row r="14" spans="2:99" ht="18" thickTop="1" thickBot="1" x14ac:dyDescent="0.35">
      <c r="B14" s="49" t="s">
        <v>14</v>
      </c>
      <c r="C14" s="50"/>
      <c r="D14" s="51">
        <v>2182.1423775000003</v>
      </c>
      <c r="E14" s="52">
        <v>1032.69805023</v>
      </c>
      <c r="F14" s="52">
        <v>951.67506813</v>
      </c>
      <c r="G14" s="53">
        <v>71.081418404101171</v>
      </c>
      <c r="H14" s="51">
        <v>2213.4527038000001</v>
      </c>
      <c r="I14" s="52">
        <v>1095.7453344399999</v>
      </c>
      <c r="J14" s="52">
        <v>1026.8063121800001</v>
      </c>
      <c r="K14" s="54">
        <v>60.35868203304873</v>
      </c>
      <c r="L14" s="51">
        <v>2265.0145162700001</v>
      </c>
      <c r="M14" s="52">
        <v>1120.0563621399999</v>
      </c>
      <c r="N14" s="52">
        <v>1068.3088437599999</v>
      </c>
      <c r="O14" s="55">
        <v>63.605609824349031</v>
      </c>
      <c r="P14" s="51">
        <v>2315.4653097099999</v>
      </c>
      <c r="Q14" s="52">
        <v>1169.3302662899998</v>
      </c>
      <c r="R14" s="52">
        <v>1143.1621265099998</v>
      </c>
      <c r="S14" s="56">
        <v>60.764748656753504</v>
      </c>
      <c r="T14" s="51">
        <v>2435.3761595599999</v>
      </c>
      <c r="U14" s="52">
        <v>1235.3003788600001</v>
      </c>
      <c r="V14" s="52">
        <v>1124.44733905</v>
      </c>
      <c r="W14" s="56">
        <v>64.975283634471054</v>
      </c>
      <c r="X14" s="51">
        <v>2553.3474615499999</v>
      </c>
      <c r="Y14" s="52">
        <v>1181.2706256899999</v>
      </c>
      <c r="Z14" s="52">
        <v>1071.7986776500002</v>
      </c>
      <c r="AA14" s="56">
        <v>71.469041195732984</v>
      </c>
      <c r="AB14" s="51">
        <v>2570.8798880900003</v>
      </c>
      <c r="AC14" s="52">
        <v>1106.6019147699999</v>
      </c>
      <c r="AD14" s="52">
        <v>1146.0577959000002</v>
      </c>
      <c r="AE14" s="56">
        <v>67.297126653313839</v>
      </c>
      <c r="AF14" s="51">
        <v>2604.0570344799999</v>
      </c>
      <c r="AG14" s="52">
        <v>996.70599254000001</v>
      </c>
      <c r="AH14" s="52">
        <v>926.7271152400001</v>
      </c>
      <c r="AI14" s="56">
        <v>84.298505730209854</v>
      </c>
      <c r="AJ14" s="51">
        <v>2683.4906922600007</v>
      </c>
      <c r="AK14" s="52">
        <v>1317.9293745300001</v>
      </c>
      <c r="AL14" s="52">
        <v>1232.0199906199998</v>
      </c>
      <c r="AM14" s="56">
        <v>65.343680606421771</v>
      </c>
      <c r="AN14" s="51">
        <v>2676.8217049000004</v>
      </c>
      <c r="AO14" s="52">
        <v>1049.2268246200001</v>
      </c>
      <c r="AP14" s="52">
        <v>1051.88722317</v>
      </c>
      <c r="AQ14" s="55">
        <v>76.343403910726678</v>
      </c>
      <c r="AR14" s="51">
        <v>2552.8043015399999</v>
      </c>
      <c r="AS14" s="52">
        <v>1114.1539666200001</v>
      </c>
      <c r="AT14" s="52">
        <v>1223.0490388499998</v>
      </c>
      <c r="AU14" s="55">
        <v>62.617382143736442</v>
      </c>
      <c r="AV14" s="51">
        <v>2664.0182460599999</v>
      </c>
      <c r="AW14" s="52">
        <v>1204.3091652799999</v>
      </c>
      <c r="AX14" s="52">
        <v>1128.6261595199996</v>
      </c>
      <c r="AY14" s="55">
        <v>70.812240800611875</v>
      </c>
      <c r="AZ14" s="51">
        <v>2667.4372712200002</v>
      </c>
      <c r="BA14" s="52">
        <v>1144.1492651300002</v>
      </c>
      <c r="BB14" s="52">
        <v>1133.1893987600001</v>
      </c>
      <c r="BC14" s="55">
        <v>70.617602162679802</v>
      </c>
      <c r="BD14" s="51">
        <v>2472.37952047</v>
      </c>
      <c r="BE14" s="52">
        <v>912.10671036999997</v>
      </c>
      <c r="BF14" s="52">
        <v>1086.2900323900001</v>
      </c>
      <c r="BG14" s="55">
        <v>68.279541745321822</v>
      </c>
      <c r="BH14" s="51">
        <v>2612.4443860799997</v>
      </c>
      <c r="BI14" s="52">
        <v>1246.8685303999998</v>
      </c>
      <c r="BJ14" s="52">
        <v>1112.35930902</v>
      </c>
      <c r="BK14" s="55">
        <v>70.456848742019986</v>
      </c>
      <c r="BL14" s="51">
        <v>2526.7602394900005</v>
      </c>
      <c r="BM14" s="52">
        <v>1037.48469651</v>
      </c>
      <c r="BN14" s="52">
        <v>1133.8195868799999</v>
      </c>
      <c r="BO14" s="55">
        <v>66.856145423709961</v>
      </c>
      <c r="BP14" s="57">
        <v>2531.0828502900008</v>
      </c>
      <c r="BQ14" s="58">
        <v>1103.2344040200001</v>
      </c>
      <c r="BR14" s="58">
        <v>1071.78586666</v>
      </c>
      <c r="BS14" s="59">
        <v>70.846694167863944</v>
      </c>
      <c r="BT14" s="51"/>
      <c r="BU14" s="52"/>
      <c r="BV14" s="52"/>
      <c r="BW14" s="55"/>
      <c r="BX14" s="51"/>
      <c r="BY14" s="52"/>
      <c r="BZ14" s="52"/>
      <c r="CA14" s="55"/>
      <c r="CB14" s="51"/>
      <c r="CC14" s="52"/>
      <c r="CD14" s="52"/>
      <c r="CE14" s="55"/>
      <c r="CF14" s="51"/>
      <c r="CG14" s="52"/>
      <c r="CH14" s="52"/>
      <c r="CI14" s="55"/>
      <c r="CJ14" s="51"/>
      <c r="CK14" s="52"/>
      <c r="CL14" s="52"/>
      <c r="CM14" s="55"/>
      <c r="CN14" s="51"/>
      <c r="CO14" s="52"/>
      <c r="CP14" s="52"/>
      <c r="CQ14" s="55"/>
      <c r="CR14" s="51"/>
      <c r="CS14" s="52"/>
      <c r="CT14" s="52"/>
      <c r="CU14" s="55"/>
    </row>
    <row r="15" spans="2:99" ht="17.25" thickTop="1" x14ac:dyDescent="0.3">
      <c r="B15" s="60"/>
      <c r="C15" s="60"/>
      <c r="D15" s="61"/>
      <c r="E15" s="61"/>
      <c r="F15" s="62"/>
      <c r="G15" s="61"/>
      <c r="H15" s="61"/>
      <c r="I15" s="61"/>
      <c r="J15" s="62"/>
      <c r="K15" s="61"/>
      <c r="L15" s="61"/>
      <c r="M15" s="61"/>
      <c r="N15" s="62"/>
      <c r="O15" s="61"/>
      <c r="P15" s="61"/>
      <c r="Q15" s="61"/>
      <c r="R15" s="62"/>
      <c r="S15" s="61"/>
      <c r="T15" s="61"/>
      <c r="U15" s="61"/>
      <c r="V15" s="62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  <c r="AL15" s="61"/>
      <c r="AM15" s="61"/>
      <c r="AN15" s="61"/>
      <c r="AO15" s="61"/>
      <c r="AP15" s="61"/>
      <c r="AQ15" s="61"/>
      <c r="AR15" s="61"/>
      <c r="AS15" s="61"/>
      <c r="AT15" s="61"/>
      <c r="AU15" s="61"/>
      <c r="AV15" s="61"/>
      <c r="AW15" s="61"/>
      <c r="AX15" s="61"/>
      <c r="AY15" s="61"/>
      <c r="AZ15" s="61"/>
      <c r="BA15" s="61"/>
      <c r="BB15" s="61"/>
      <c r="BC15" s="61"/>
      <c r="BD15" s="61"/>
      <c r="BE15" s="61"/>
      <c r="BF15" s="61"/>
      <c r="BG15" s="61"/>
      <c r="BH15" s="61"/>
      <c r="BI15" s="61"/>
      <c r="BJ15" s="61"/>
      <c r="BK15" s="61"/>
      <c r="BL15" s="61"/>
      <c r="BM15" s="61"/>
      <c r="BN15" s="61"/>
      <c r="BO15" s="61"/>
      <c r="BP15" s="61"/>
      <c r="BQ15" s="61"/>
      <c r="BR15" s="61"/>
      <c r="BS15" s="61"/>
      <c r="BT15" s="61"/>
      <c r="BU15" s="61"/>
      <c r="BV15" s="61"/>
      <c r="BW15" s="61"/>
      <c r="BX15" s="61"/>
      <c r="BY15" s="61"/>
      <c r="BZ15" s="61"/>
      <c r="CA15" s="61"/>
      <c r="CB15" s="61"/>
      <c r="CC15" s="61"/>
      <c r="CD15" s="61"/>
      <c r="CE15" s="61"/>
      <c r="CF15" s="61"/>
      <c r="CG15" s="61"/>
      <c r="CH15" s="61"/>
      <c r="CI15" s="61"/>
      <c r="CJ15" s="61"/>
      <c r="CK15" s="61"/>
      <c r="CL15" s="61"/>
      <c r="CM15" s="61"/>
      <c r="CN15" s="61"/>
      <c r="CO15" s="61"/>
      <c r="CP15" s="61"/>
      <c r="CQ15" s="61"/>
      <c r="CR15" s="61"/>
      <c r="CS15" s="61"/>
      <c r="CT15" s="61"/>
      <c r="CU15" s="61"/>
    </row>
    <row r="16" spans="2:99" x14ac:dyDescent="0.3">
      <c r="B16" s="63"/>
      <c r="C16" s="63"/>
      <c r="D16" s="64"/>
      <c r="E16" s="64"/>
      <c r="F16" s="64"/>
      <c r="G16" s="64"/>
      <c r="H16" s="64"/>
      <c r="I16" s="64"/>
      <c r="J16" s="64"/>
      <c r="K16" s="64"/>
      <c r="L16" s="64"/>
      <c r="M16" s="64"/>
      <c r="N16" s="64"/>
      <c r="O16" s="64"/>
      <c r="P16" s="64"/>
      <c r="Q16" s="64"/>
      <c r="R16" s="64"/>
      <c r="S16" s="64"/>
      <c r="T16" s="64"/>
      <c r="U16" s="64"/>
      <c r="V16" s="64"/>
      <c r="W16" s="64"/>
      <c r="X16" s="64"/>
      <c r="Y16" s="64"/>
      <c r="Z16" s="64"/>
      <c r="AA16" s="64"/>
      <c r="AB16" s="64"/>
      <c r="AC16" s="64"/>
      <c r="AD16" s="64"/>
      <c r="AE16" s="64"/>
      <c r="AF16" s="64"/>
      <c r="AG16" s="64"/>
      <c r="AH16" s="64"/>
      <c r="AI16" s="64"/>
      <c r="AJ16" s="64"/>
      <c r="AK16" s="64"/>
      <c r="AL16" s="64"/>
      <c r="AM16" s="64"/>
      <c r="AN16" s="64"/>
      <c r="AO16" s="64"/>
      <c r="AP16" s="64"/>
      <c r="AQ16" s="64"/>
      <c r="AR16" s="64"/>
      <c r="AS16" s="64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  <c r="BR16" s="64"/>
      <c r="BS16" s="64"/>
      <c r="BT16" s="64"/>
      <c r="BU16" s="64"/>
      <c r="BV16" s="64"/>
      <c r="BW16" s="64"/>
      <c r="BX16" s="64"/>
      <c r="BY16" s="64"/>
      <c r="BZ16" s="64"/>
      <c r="CA16" s="64"/>
      <c r="CB16" s="64"/>
      <c r="CC16" s="64"/>
      <c r="CD16" s="64"/>
      <c r="CE16" s="64"/>
      <c r="CF16" s="64"/>
      <c r="CG16" s="64"/>
      <c r="CH16" s="64"/>
      <c r="CI16" s="64"/>
      <c r="CJ16" s="64"/>
      <c r="CK16" s="64"/>
      <c r="CL16" s="64"/>
      <c r="CM16" s="64"/>
      <c r="CN16" s="64"/>
      <c r="CO16" s="64"/>
      <c r="CP16" s="64"/>
      <c r="CQ16" s="64"/>
      <c r="CR16" s="64"/>
      <c r="CS16" s="64"/>
      <c r="CT16" s="64"/>
      <c r="CU16" s="64"/>
    </row>
    <row r="17" spans="2:99" x14ac:dyDescent="0.3">
      <c r="B17" s="63"/>
      <c r="C17" s="63"/>
      <c r="D17" s="64"/>
      <c r="E17" s="64"/>
      <c r="F17" s="64"/>
      <c r="G17" s="64"/>
      <c r="H17" s="64"/>
      <c r="I17" s="64"/>
      <c r="J17" s="64"/>
      <c r="K17" s="64"/>
      <c r="L17" s="64"/>
      <c r="M17" s="64"/>
      <c r="N17" s="64"/>
      <c r="O17" s="64"/>
      <c r="P17" s="64"/>
      <c r="Q17" s="64"/>
      <c r="R17" s="64"/>
      <c r="S17" s="64"/>
      <c r="T17" s="64"/>
      <c r="U17" s="64"/>
      <c r="V17" s="64"/>
      <c r="W17" s="64"/>
      <c r="X17" s="64"/>
      <c r="Y17" s="64"/>
      <c r="Z17" s="64"/>
      <c r="AA17" s="64"/>
      <c r="AB17" s="64"/>
      <c r="AC17" s="64"/>
      <c r="AD17" s="64"/>
      <c r="AE17" s="64"/>
      <c r="AF17" s="64"/>
      <c r="AG17" s="64"/>
      <c r="AH17" s="64"/>
      <c r="AI17" s="64"/>
      <c r="AJ17" s="64"/>
      <c r="AK17" s="64"/>
      <c r="AL17" s="64"/>
      <c r="AM17" s="64"/>
      <c r="AN17" s="64"/>
      <c r="AO17" s="64"/>
      <c r="AP17" s="64"/>
      <c r="AQ17" s="64"/>
      <c r="AR17" s="64"/>
      <c r="AS17" s="64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  <c r="BR17" s="64"/>
      <c r="BS17" s="64"/>
      <c r="BT17" s="64"/>
      <c r="BU17" s="64"/>
      <c r="BV17" s="64"/>
      <c r="BW17" s="64"/>
      <c r="BX17" s="64"/>
      <c r="BY17" s="64"/>
      <c r="BZ17" s="64"/>
      <c r="CA17" s="64"/>
      <c r="CB17" s="64"/>
      <c r="CC17" s="64"/>
      <c r="CD17" s="64"/>
      <c r="CE17" s="64"/>
      <c r="CF17" s="64"/>
      <c r="CG17" s="64"/>
      <c r="CH17" s="64"/>
      <c r="CI17" s="64"/>
      <c r="CJ17" s="64"/>
      <c r="CK17" s="64"/>
      <c r="CL17" s="64"/>
      <c r="CM17" s="64"/>
      <c r="CN17" s="64"/>
      <c r="CO17" s="64"/>
      <c r="CP17" s="64"/>
      <c r="CQ17" s="64"/>
      <c r="CR17" s="64"/>
      <c r="CS17" s="64"/>
      <c r="CT17" s="64"/>
      <c r="CU17" s="64"/>
    </row>
    <row r="18" spans="2:99" ht="17.25" thickBot="1" x14ac:dyDescent="0.35">
      <c r="B18" s="3"/>
      <c r="C18" s="3"/>
      <c r="D18" s="65"/>
      <c r="E18" s="3"/>
      <c r="F18" s="66">
        <v>100000000</v>
      </c>
      <c r="G18" s="3"/>
      <c r="H18" s="65"/>
      <c r="I18" s="3"/>
      <c r="J18" s="66"/>
      <c r="K18" s="3"/>
      <c r="L18" s="65"/>
      <c r="M18" s="3"/>
      <c r="N18" s="66"/>
      <c r="O18" s="3"/>
      <c r="P18" s="65"/>
      <c r="Q18" s="3"/>
      <c r="R18" s="66"/>
      <c r="S18" s="3"/>
      <c r="T18" s="65"/>
      <c r="U18" s="3"/>
      <c r="V18" s="66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</row>
    <row r="19" spans="2:99" s="67" customFormat="1" ht="17.25" thickTop="1" x14ac:dyDescent="0.3">
      <c r="B19" s="6" t="s">
        <v>4</v>
      </c>
      <c r="C19" s="68" t="s">
        <v>71</v>
      </c>
      <c r="D19" s="69" t="str">
        <f>D3</f>
        <v>2025-01</v>
      </c>
      <c r="E19" s="70" t="str">
        <f t="shared" ref="E19:BP19" si="0">E3</f>
        <v>2025-01</v>
      </c>
      <c r="F19" s="70" t="str">
        <f t="shared" si="0"/>
        <v>2025-01</v>
      </c>
      <c r="G19" s="71" t="str">
        <f t="shared" si="0"/>
        <v>2025-01</v>
      </c>
      <c r="H19" s="72" t="str">
        <f t="shared" si="0"/>
        <v>2025-02</v>
      </c>
      <c r="I19" s="73" t="str">
        <f t="shared" si="0"/>
        <v>2025-02</v>
      </c>
      <c r="J19" s="73" t="str">
        <f t="shared" si="0"/>
        <v>2025-02</v>
      </c>
      <c r="K19" s="73" t="str">
        <f t="shared" si="0"/>
        <v>2025-02</v>
      </c>
      <c r="L19" s="72" t="str">
        <f t="shared" si="0"/>
        <v>2025-03</v>
      </c>
      <c r="M19" s="73" t="str">
        <f t="shared" si="0"/>
        <v>2025-03</v>
      </c>
      <c r="N19" s="73" t="str">
        <f t="shared" si="0"/>
        <v>2025-03</v>
      </c>
      <c r="O19" s="73" t="str">
        <f t="shared" si="0"/>
        <v>2025-03</v>
      </c>
      <c r="P19" s="74" t="str">
        <f t="shared" si="0"/>
        <v>2025-04</v>
      </c>
      <c r="Q19" s="75" t="str">
        <f t="shared" si="0"/>
        <v>2025-04</v>
      </c>
      <c r="R19" s="75" t="str">
        <f t="shared" si="0"/>
        <v>2025-04</v>
      </c>
      <c r="S19" s="75" t="str">
        <f t="shared" si="0"/>
        <v>2025-04</v>
      </c>
      <c r="T19" s="74" t="str">
        <f t="shared" si="0"/>
        <v>2025-05</v>
      </c>
      <c r="U19" s="75" t="str">
        <f t="shared" si="0"/>
        <v>2025-05</v>
      </c>
      <c r="V19" s="75" t="str">
        <f t="shared" si="0"/>
        <v>2025-05</v>
      </c>
      <c r="W19" s="76" t="str">
        <f t="shared" si="0"/>
        <v>2025-05</v>
      </c>
      <c r="X19" s="74" t="str">
        <f t="shared" si="0"/>
        <v>2025-06</v>
      </c>
      <c r="Y19" s="75" t="str">
        <f t="shared" si="0"/>
        <v>2025-06</v>
      </c>
      <c r="Z19" s="75" t="str">
        <f t="shared" si="0"/>
        <v>2025-06</v>
      </c>
      <c r="AA19" s="75" t="str">
        <f t="shared" si="0"/>
        <v>2025-06</v>
      </c>
      <c r="AB19" s="74" t="str">
        <f t="shared" si="0"/>
        <v>2025-07</v>
      </c>
      <c r="AC19" s="75" t="str">
        <f t="shared" si="0"/>
        <v>2025-07</v>
      </c>
      <c r="AD19" s="75" t="str">
        <f t="shared" si="0"/>
        <v>2025-07</v>
      </c>
      <c r="AE19" s="75" t="str">
        <f t="shared" si="0"/>
        <v>2025-07</v>
      </c>
      <c r="AF19" s="74" t="str">
        <f t="shared" si="0"/>
        <v>2025-08</v>
      </c>
      <c r="AG19" s="75" t="str">
        <f t="shared" si="0"/>
        <v>2025-08</v>
      </c>
      <c r="AH19" s="75" t="str">
        <f t="shared" si="0"/>
        <v>2025-08</v>
      </c>
      <c r="AI19" s="76" t="str">
        <f t="shared" si="0"/>
        <v>2025-08</v>
      </c>
      <c r="AJ19" s="74" t="str">
        <f t="shared" si="0"/>
        <v>2025-09</v>
      </c>
      <c r="AK19" s="75" t="str">
        <f t="shared" si="0"/>
        <v>2025-09</v>
      </c>
      <c r="AL19" s="75" t="str">
        <f t="shared" si="0"/>
        <v>2025-09</v>
      </c>
      <c r="AM19" s="76" t="str">
        <f t="shared" si="0"/>
        <v>2025-09</v>
      </c>
      <c r="AN19" s="74" t="str">
        <f t="shared" si="0"/>
        <v>2025-10</v>
      </c>
      <c r="AO19" s="75" t="str">
        <f t="shared" si="0"/>
        <v>2025-10</v>
      </c>
      <c r="AP19" s="75" t="str">
        <f t="shared" si="0"/>
        <v>2025-10</v>
      </c>
      <c r="AQ19" s="75" t="str">
        <f t="shared" si="0"/>
        <v>2025-10</v>
      </c>
      <c r="AR19" s="74" t="str">
        <f t="shared" si="0"/>
        <v>2025-11</v>
      </c>
      <c r="AS19" s="75" t="str">
        <f t="shared" si="0"/>
        <v>2025-11</v>
      </c>
      <c r="AT19" s="75" t="str">
        <f t="shared" si="0"/>
        <v>2025-11</v>
      </c>
      <c r="AU19" s="75" t="str">
        <f t="shared" si="0"/>
        <v>2025-11</v>
      </c>
      <c r="AV19" s="74" t="str">
        <f t="shared" si="0"/>
        <v>2025-12</v>
      </c>
      <c r="AW19" s="75" t="str">
        <f t="shared" si="0"/>
        <v>2025-12</v>
      </c>
      <c r="AX19" s="75" t="str">
        <f t="shared" si="0"/>
        <v>2025-12</v>
      </c>
      <c r="AY19" s="75" t="str">
        <f t="shared" si="0"/>
        <v>2025-12</v>
      </c>
      <c r="AZ19" s="72" t="str">
        <f t="shared" si="0"/>
        <v>2026-01</v>
      </c>
      <c r="BA19" s="73" t="str">
        <f t="shared" si="0"/>
        <v>2026-01</v>
      </c>
      <c r="BB19" s="73" t="str">
        <f t="shared" si="0"/>
        <v>2026-01</v>
      </c>
      <c r="BC19" s="77" t="str">
        <f t="shared" si="0"/>
        <v>2026-01</v>
      </c>
      <c r="BD19" s="72" t="str">
        <f t="shared" si="0"/>
        <v>2026-02</v>
      </c>
      <c r="BE19" s="73" t="str">
        <f t="shared" si="0"/>
        <v>2026-02</v>
      </c>
      <c r="BF19" s="73" t="str">
        <f t="shared" si="0"/>
        <v>2026-02</v>
      </c>
      <c r="BG19" s="77" t="str">
        <f t="shared" si="0"/>
        <v>2026-02</v>
      </c>
      <c r="BH19" s="72" t="str">
        <f t="shared" si="0"/>
        <v>2026-03</v>
      </c>
      <c r="BI19" s="73" t="str">
        <f t="shared" si="0"/>
        <v>2026-03</v>
      </c>
      <c r="BJ19" s="73" t="str">
        <f t="shared" si="0"/>
        <v>2026-03</v>
      </c>
      <c r="BK19" s="73" t="str">
        <f t="shared" si="0"/>
        <v>2026-03</v>
      </c>
      <c r="BL19" s="72" t="str">
        <f t="shared" si="0"/>
        <v>2026-04</v>
      </c>
      <c r="BM19" s="73" t="str">
        <f t="shared" si="0"/>
        <v>2026-04</v>
      </c>
      <c r="BN19" s="73" t="str">
        <f t="shared" si="0"/>
        <v>2026-04</v>
      </c>
      <c r="BO19" s="73" t="str">
        <f t="shared" si="0"/>
        <v>2026-04</v>
      </c>
      <c r="BP19" s="78" t="str">
        <f t="shared" si="0"/>
        <v>2026-05</v>
      </c>
      <c r="BQ19" s="79" t="str">
        <f t="shared" ref="BQ19:CU19" si="1">BQ3</f>
        <v>2026-05</v>
      </c>
      <c r="BR19" s="79" t="str">
        <f t="shared" si="1"/>
        <v>2026-05</v>
      </c>
      <c r="BS19" s="80" t="str">
        <f t="shared" si="1"/>
        <v>2026-05</v>
      </c>
      <c r="BT19" s="72" t="str">
        <f t="shared" si="1"/>
        <v>2026-06</v>
      </c>
      <c r="BU19" s="73" t="str">
        <f t="shared" si="1"/>
        <v>2026-06</v>
      </c>
      <c r="BV19" s="73" t="str">
        <f t="shared" si="1"/>
        <v>2026-06</v>
      </c>
      <c r="BW19" s="73" t="str">
        <f t="shared" si="1"/>
        <v>2026-06</v>
      </c>
      <c r="BX19" s="72" t="str">
        <f t="shared" si="1"/>
        <v>2026-07</v>
      </c>
      <c r="BY19" s="73" t="str">
        <f t="shared" si="1"/>
        <v>2026-07</v>
      </c>
      <c r="BZ19" s="73" t="str">
        <f t="shared" si="1"/>
        <v>2026-07</v>
      </c>
      <c r="CA19" s="73" t="str">
        <f t="shared" si="1"/>
        <v>2026-07</v>
      </c>
      <c r="CB19" s="72" t="str">
        <f t="shared" si="1"/>
        <v>2026-08</v>
      </c>
      <c r="CC19" s="73" t="str">
        <f t="shared" si="1"/>
        <v>2026-08</v>
      </c>
      <c r="CD19" s="73" t="str">
        <f t="shared" si="1"/>
        <v>2026-08</v>
      </c>
      <c r="CE19" s="73" t="str">
        <f t="shared" si="1"/>
        <v>2026-08</v>
      </c>
      <c r="CF19" s="72" t="str">
        <f t="shared" si="1"/>
        <v>2026-09</v>
      </c>
      <c r="CG19" s="73" t="str">
        <f t="shared" si="1"/>
        <v>2026-09</v>
      </c>
      <c r="CH19" s="73" t="str">
        <f t="shared" si="1"/>
        <v>2026-09</v>
      </c>
      <c r="CI19" s="73" t="str">
        <f t="shared" si="1"/>
        <v>2026-09</v>
      </c>
      <c r="CJ19" s="72" t="str">
        <f t="shared" si="1"/>
        <v>2026-10</v>
      </c>
      <c r="CK19" s="73" t="str">
        <f t="shared" si="1"/>
        <v>2026-10</v>
      </c>
      <c r="CL19" s="73" t="str">
        <f t="shared" si="1"/>
        <v>2026-10</v>
      </c>
      <c r="CM19" s="73" t="str">
        <f t="shared" si="1"/>
        <v>2026-10</v>
      </c>
      <c r="CN19" s="72" t="str">
        <f t="shared" si="1"/>
        <v>2026-11</v>
      </c>
      <c r="CO19" s="73" t="str">
        <f t="shared" si="1"/>
        <v>2026-11</v>
      </c>
      <c r="CP19" s="73" t="str">
        <f t="shared" si="1"/>
        <v>2026-11</v>
      </c>
      <c r="CQ19" s="73" t="str">
        <f t="shared" si="1"/>
        <v>2026-11</v>
      </c>
      <c r="CR19" s="72" t="str">
        <f t="shared" si="1"/>
        <v>2026-12</v>
      </c>
      <c r="CS19" s="73" t="str">
        <f t="shared" si="1"/>
        <v>2026-12</v>
      </c>
      <c r="CT19" s="73" t="str">
        <f t="shared" si="1"/>
        <v>2026-12</v>
      </c>
      <c r="CU19" s="73" t="str">
        <f t="shared" si="1"/>
        <v>2026-12</v>
      </c>
    </row>
    <row r="20" spans="2:99" s="67" customFormat="1" x14ac:dyDescent="0.3">
      <c r="B20" s="10"/>
      <c r="C20" s="81"/>
      <c r="D20" s="82" t="s">
        <v>0</v>
      </c>
      <c r="E20" s="83" t="s">
        <v>1</v>
      </c>
      <c r="F20" s="83" t="s">
        <v>2</v>
      </c>
      <c r="G20" s="84" t="s">
        <v>3</v>
      </c>
      <c r="H20" s="82" t="s">
        <v>0</v>
      </c>
      <c r="I20" s="83" t="s">
        <v>1</v>
      </c>
      <c r="J20" s="83" t="s">
        <v>2</v>
      </c>
      <c r="K20" s="83" t="s">
        <v>3</v>
      </c>
      <c r="L20" s="12" t="s">
        <v>0</v>
      </c>
      <c r="M20" s="11" t="s">
        <v>1</v>
      </c>
      <c r="N20" s="11" t="s">
        <v>2</v>
      </c>
      <c r="O20" s="11" t="s">
        <v>3</v>
      </c>
      <c r="P20" s="12" t="s">
        <v>0</v>
      </c>
      <c r="Q20" s="11" t="s">
        <v>1</v>
      </c>
      <c r="R20" s="11" t="s">
        <v>2</v>
      </c>
      <c r="S20" s="85" t="s">
        <v>3</v>
      </c>
      <c r="T20" s="12" t="s">
        <v>0</v>
      </c>
      <c r="U20" s="11" t="s">
        <v>1</v>
      </c>
      <c r="V20" s="11" t="s">
        <v>2</v>
      </c>
      <c r="W20" s="85" t="s">
        <v>3</v>
      </c>
      <c r="X20" s="12" t="s">
        <v>0</v>
      </c>
      <c r="Y20" s="11" t="s">
        <v>1</v>
      </c>
      <c r="Z20" s="11" t="s">
        <v>2</v>
      </c>
      <c r="AA20" s="85" t="s">
        <v>3</v>
      </c>
      <c r="AB20" s="12" t="s">
        <v>0</v>
      </c>
      <c r="AC20" s="11" t="s">
        <v>1</v>
      </c>
      <c r="AD20" s="11" t="s">
        <v>2</v>
      </c>
      <c r="AE20" s="11" t="s">
        <v>3</v>
      </c>
      <c r="AF20" s="12" t="s">
        <v>0</v>
      </c>
      <c r="AG20" s="11" t="s">
        <v>1</v>
      </c>
      <c r="AH20" s="11" t="s">
        <v>2</v>
      </c>
      <c r="AI20" s="85" t="s">
        <v>3</v>
      </c>
      <c r="AJ20" s="12" t="s">
        <v>0</v>
      </c>
      <c r="AK20" s="11" t="s">
        <v>1</v>
      </c>
      <c r="AL20" s="11" t="s">
        <v>2</v>
      </c>
      <c r="AM20" s="85" t="s">
        <v>3</v>
      </c>
      <c r="AN20" s="12" t="s">
        <v>0</v>
      </c>
      <c r="AO20" s="11" t="s">
        <v>1</v>
      </c>
      <c r="AP20" s="11" t="s">
        <v>2</v>
      </c>
      <c r="AQ20" s="11" t="s">
        <v>3</v>
      </c>
      <c r="AR20" s="12" t="s">
        <v>0</v>
      </c>
      <c r="AS20" s="11" t="s">
        <v>1</v>
      </c>
      <c r="AT20" s="11" t="s">
        <v>2</v>
      </c>
      <c r="AU20" s="11" t="s">
        <v>3</v>
      </c>
      <c r="AV20" s="12" t="s">
        <v>0</v>
      </c>
      <c r="AW20" s="11" t="s">
        <v>1</v>
      </c>
      <c r="AX20" s="11" t="s">
        <v>2</v>
      </c>
      <c r="AY20" s="11" t="s">
        <v>3</v>
      </c>
      <c r="AZ20" s="12" t="s">
        <v>0</v>
      </c>
      <c r="BA20" s="11" t="s">
        <v>1</v>
      </c>
      <c r="BB20" s="11" t="s">
        <v>2</v>
      </c>
      <c r="BC20" s="85" t="s">
        <v>3</v>
      </c>
      <c r="BD20" s="12" t="s">
        <v>0</v>
      </c>
      <c r="BE20" s="11" t="s">
        <v>1</v>
      </c>
      <c r="BF20" s="11" t="s">
        <v>2</v>
      </c>
      <c r="BG20" s="85" t="s">
        <v>3</v>
      </c>
      <c r="BH20" s="12" t="s">
        <v>0</v>
      </c>
      <c r="BI20" s="11" t="s">
        <v>1</v>
      </c>
      <c r="BJ20" s="11" t="s">
        <v>2</v>
      </c>
      <c r="BK20" s="11" t="s">
        <v>3</v>
      </c>
      <c r="BL20" s="12" t="s">
        <v>0</v>
      </c>
      <c r="BM20" s="11" t="s">
        <v>1</v>
      </c>
      <c r="BN20" s="11" t="s">
        <v>2</v>
      </c>
      <c r="BO20" s="11" t="s">
        <v>3</v>
      </c>
      <c r="BP20" s="86" t="s">
        <v>0</v>
      </c>
      <c r="BQ20" s="11" t="s">
        <v>1</v>
      </c>
      <c r="BR20" s="11" t="s">
        <v>2</v>
      </c>
      <c r="BS20" s="85" t="s">
        <v>3</v>
      </c>
      <c r="BT20" s="12" t="s">
        <v>0</v>
      </c>
      <c r="BU20" s="11" t="s">
        <v>1</v>
      </c>
      <c r="BV20" s="11" t="s">
        <v>2</v>
      </c>
      <c r="BW20" s="11" t="s">
        <v>3</v>
      </c>
      <c r="BX20" s="12" t="s">
        <v>0</v>
      </c>
      <c r="BY20" s="11" t="s">
        <v>1</v>
      </c>
      <c r="BZ20" s="11" t="s">
        <v>2</v>
      </c>
      <c r="CA20" s="11" t="s">
        <v>3</v>
      </c>
      <c r="CB20" s="12" t="s">
        <v>0</v>
      </c>
      <c r="CC20" s="11" t="s">
        <v>1</v>
      </c>
      <c r="CD20" s="11" t="s">
        <v>2</v>
      </c>
      <c r="CE20" s="11" t="s">
        <v>3</v>
      </c>
      <c r="CF20" s="12" t="s">
        <v>0</v>
      </c>
      <c r="CG20" s="11" t="s">
        <v>1</v>
      </c>
      <c r="CH20" s="11" t="s">
        <v>2</v>
      </c>
      <c r="CI20" s="11" t="s">
        <v>3</v>
      </c>
      <c r="CJ20" s="12" t="s">
        <v>0</v>
      </c>
      <c r="CK20" s="11" t="s">
        <v>1</v>
      </c>
      <c r="CL20" s="11" t="s">
        <v>2</v>
      </c>
      <c r="CM20" s="11" t="s">
        <v>3</v>
      </c>
      <c r="CN20" s="12" t="s">
        <v>0</v>
      </c>
      <c r="CO20" s="11" t="s">
        <v>1</v>
      </c>
      <c r="CP20" s="11" t="s">
        <v>2</v>
      </c>
      <c r="CQ20" s="11" t="s">
        <v>3</v>
      </c>
      <c r="CR20" s="12" t="s">
        <v>0</v>
      </c>
      <c r="CS20" s="11" t="s">
        <v>1</v>
      </c>
      <c r="CT20" s="11" t="s">
        <v>2</v>
      </c>
      <c r="CU20" s="11" t="s">
        <v>3</v>
      </c>
    </row>
    <row r="21" spans="2:99" ht="17.25" thickBot="1" x14ac:dyDescent="0.35">
      <c r="B21" s="87" t="s">
        <v>15</v>
      </c>
      <c r="C21" s="88"/>
      <c r="D21" s="89">
        <v>1131.0380194899999</v>
      </c>
      <c r="E21" s="90">
        <v>610.36024926999994</v>
      </c>
      <c r="F21" s="90">
        <v>567.86205527000004</v>
      </c>
      <c r="G21" s="91">
        <v>61.744182902869014</v>
      </c>
      <c r="H21" s="89">
        <v>1162.40329877</v>
      </c>
      <c r="I21" s="90">
        <v>672.68735671000002</v>
      </c>
      <c r="J21" s="90">
        <v>641.32392421999998</v>
      </c>
      <c r="K21" s="91">
        <v>50.750160934889692</v>
      </c>
      <c r="L21" s="89">
        <v>1176.5015853499999</v>
      </c>
      <c r="M21" s="90">
        <v>670.47093184000005</v>
      </c>
      <c r="N21" s="90">
        <v>656.37097956000002</v>
      </c>
      <c r="O21" s="91">
        <v>53.773016570842493</v>
      </c>
      <c r="P21" s="89">
        <v>1202.0251211699999</v>
      </c>
      <c r="Q21" s="90">
        <v>676.05752726000003</v>
      </c>
      <c r="R21" s="90">
        <v>650.53750997999998</v>
      </c>
      <c r="S21" s="92">
        <v>55.43224346311505</v>
      </c>
      <c r="T21" s="89">
        <v>1243.73931481</v>
      </c>
      <c r="U21" s="90">
        <v>702.29284882000002</v>
      </c>
      <c r="V21" s="90">
        <v>660.56603070999995</v>
      </c>
      <c r="W21" s="92">
        <v>56.485162284526702</v>
      </c>
      <c r="X21" s="89">
        <v>1215.8147598999999</v>
      </c>
      <c r="Y21" s="90">
        <v>631.2438396</v>
      </c>
      <c r="Z21" s="90">
        <v>659.20951917000002</v>
      </c>
      <c r="AA21" s="92">
        <v>55.330576601691632</v>
      </c>
      <c r="AB21" s="89">
        <v>1230.59076658</v>
      </c>
      <c r="AC21" s="90">
        <v>651.78036937999991</v>
      </c>
      <c r="AD21" s="90">
        <v>637.02546338000002</v>
      </c>
      <c r="AE21" s="92">
        <v>57.953292481462</v>
      </c>
      <c r="AF21" s="89">
        <v>1305.06666548</v>
      </c>
      <c r="AG21" s="90">
        <v>565.54188876000001</v>
      </c>
      <c r="AH21" s="90">
        <v>491.06373429999996</v>
      </c>
      <c r="AI21" s="92">
        <v>79.728958238405198</v>
      </c>
      <c r="AJ21" s="89">
        <v>1284.5790551600001</v>
      </c>
      <c r="AK21" s="90">
        <v>713.82206437000002</v>
      </c>
      <c r="AL21" s="90">
        <v>734.30886616999987</v>
      </c>
      <c r="AM21" s="92">
        <v>52.481147144256617</v>
      </c>
      <c r="AN21" s="89">
        <v>1263.66417054</v>
      </c>
      <c r="AO21" s="90">
        <v>549.76914791000002</v>
      </c>
      <c r="AP21" s="90">
        <v>572.00339638000003</v>
      </c>
      <c r="AQ21" s="92">
        <v>66.275699333462057</v>
      </c>
      <c r="AR21" s="89">
        <v>1248.8405393200001</v>
      </c>
      <c r="AS21" s="90">
        <v>635.72071383000002</v>
      </c>
      <c r="AT21" s="90">
        <v>650.54287335000004</v>
      </c>
      <c r="AU21" s="91">
        <v>57.59069496322536</v>
      </c>
      <c r="AV21" s="89">
        <v>1281.87703848</v>
      </c>
      <c r="AW21" s="90">
        <v>641.64878964000013</v>
      </c>
      <c r="AX21" s="90">
        <v>608.61427946000003</v>
      </c>
      <c r="AY21" s="92">
        <v>63.186672498911463</v>
      </c>
      <c r="AZ21" s="89">
        <v>1264.9851126000001</v>
      </c>
      <c r="BA21" s="90">
        <v>648.50093588999994</v>
      </c>
      <c r="BB21" s="90">
        <v>665.527646</v>
      </c>
      <c r="BC21" s="92">
        <v>57.021753500530018</v>
      </c>
      <c r="BD21" s="89">
        <v>1238.3326014600002</v>
      </c>
      <c r="BE21" s="90">
        <v>530.02630665999993</v>
      </c>
      <c r="BF21" s="90">
        <v>557.74294585000007</v>
      </c>
      <c r="BG21" s="92">
        <v>66.607705790314299</v>
      </c>
      <c r="BH21" s="89">
        <v>1285.3449133300001</v>
      </c>
      <c r="BI21" s="90">
        <v>701.81123394000019</v>
      </c>
      <c r="BJ21" s="90">
        <v>654.80178734000003</v>
      </c>
      <c r="BK21" s="92">
        <v>58.888579941944911</v>
      </c>
      <c r="BL21" s="89">
        <v>1280.0539012099998</v>
      </c>
      <c r="BM21" s="90">
        <v>650.41265641999985</v>
      </c>
      <c r="BN21" s="90">
        <v>655.71498281000004</v>
      </c>
      <c r="BO21" s="92">
        <v>58.564495311261247</v>
      </c>
      <c r="BP21" s="93">
        <v>1297.5101630199999</v>
      </c>
      <c r="BQ21" s="90">
        <v>600.54966786</v>
      </c>
      <c r="BR21" s="90">
        <v>583.08857327999999</v>
      </c>
      <c r="BS21" s="92">
        <v>66.75710462243616</v>
      </c>
      <c r="BT21" s="89"/>
      <c r="BU21" s="90"/>
      <c r="BV21" s="90"/>
      <c r="BW21" s="92"/>
      <c r="BX21" s="89"/>
      <c r="BY21" s="90"/>
      <c r="BZ21" s="90"/>
      <c r="CA21" s="92"/>
      <c r="CB21" s="89"/>
      <c r="CC21" s="90"/>
      <c r="CD21" s="90"/>
      <c r="CE21" s="92"/>
      <c r="CF21" s="89"/>
      <c r="CG21" s="90"/>
      <c r="CH21" s="90"/>
      <c r="CI21" s="92"/>
      <c r="CJ21" s="89"/>
      <c r="CK21" s="90"/>
      <c r="CL21" s="90"/>
      <c r="CM21" s="92"/>
      <c r="CN21" s="89"/>
      <c r="CO21" s="90"/>
      <c r="CP21" s="90"/>
      <c r="CQ21" s="92"/>
      <c r="CR21" s="89"/>
      <c r="CS21" s="90"/>
      <c r="CT21" s="90"/>
      <c r="CU21" s="92"/>
    </row>
    <row r="22" spans="2:99" ht="17.25" thickTop="1" x14ac:dyDescent="0.3">
      <c r="B22" s="94" t="s">
        <v>5</v>
      </c>
      <c r="C22" s="95" t="s">
        <v>72</v>
      </c>
      <c r="D22" s="96">
        <v>455.61063506000005</v>
      </c>
      <c r="E22" s="97">
        <v>200.50182731000001</v>
      </c>
      <c r="F22" s="97">
        <v>208.08770013999998</v>
      </c>
      <c r="G22" s="98">
        <v>65.685377091505416</v>
      </c>
      <c r="H22" s="96">
        <v>463.54994045000001</v>
      </c>
      <c r="I22" s="97">
        <v>241.43443381</v>
      </c>
      <c r="J22" s="97">
        <v>233.49512842000001</v>
      </c>
      <c r="K22" s="99">
        <v>59.557980106915331</v>
      </c>
      <c r="L22" s="100">
        <v>498.96577126</v>
      </c>
      <c r="M22" s="101">
        <v>259.49243966</v>
      </c>
      <c r="N22" s="101">
        <v>224.07660885000001</v>
      </c>
      <c r="O22" s="22">
        <v>66.802926082393711</v>
      </c>
      <c r="P22" s="100">
        <v>510.55061719000003</v>
      </c>
      <c r="Q22" s="101">
        <v>240.60565169</v>
      </c>
      <c r="R22" s="101">
        <v>229.02080576</v>
      </c>
      <c r="S22" s="23">
        <v>66.87828411428606</v>
      </c>
      <c r="T22" s="100">
        <v>534.19643223000003</v>
      </c>
      <c r="U22" s="101">
        <v>251.57986108</v>
      </c>
      <c r="V22" s="101">
        <v>227.93404604</v>
      </c>
      <c r="W22" s="23">
        <v>70.309342747715846</v>
      </c>
      <c r="X22" s="100">
        <v>546.07373651</v>
      </c>
      <c r="Y22" s="101">
        <v>241.95579477999999</v>
      </c>
      <c r="Z22" s="101">
        <v>230.07849049999999</v>
      </c>
      <c r="AA22" s="23">
        <v>71.202710256394013</v>
      </c>
      <c r="AB22" s="100">
        <v>587.56184602999997</v>
      </c>
      <c r="AC22" s="101">
        <v>255.04609651999999</v>
      </c>
      <c r="AD22" s="101">
        <v>213.557987</v>
      </c>
      <c r="AE22" s="23">
        <v>82.53896577935059</v>
      </c>
      <c r="AF22" s="100">
        <v>552.46955365999997</v>
      </c>
      <c r="AG22" s="101">
        <v>180.07077412000001</v>
      </c>
      <c r="AH22" s="101">
        <v>215.16306649000001</v>
      </c>
      <c r="AI22" s="23">
        <v>77.030351352472024</v>
      </c>
      <c r="AJ22" s="100">
        <v>537.55667248999998</v>
      </c>
      <c r="AK22" s="101">
        <v>275.40948613</v>
      </c>
      <c r="AL22" s="101">
        <v>290.3223673</v>
      </c>
      <c r="AM22" s="23">
        <v>55.547563643402412</v>
      </c>
      <c r="AN22" s="100">
        <v>526.39633673000003</v>
      </c>
      <c r="AO22" s="101">
        <v>206.82496262999999</v>
      </c>
      <c r="AP22" s="101">
        <v>217.96763899000001</v>
      </c>
      <c r="AQ22" s="23">
        <v>72.450617784709351</v>
      </c>
      <c r="AR22" s="100">
        <v>553.05849035999995</v>
      </c>
      <c r="AS22" s="101">
        <v>257.68542265999997</v>
      </c>
      <c r="AT22" s="101">
        <v>231.02326902999999</v>
      </c>
      <c r="AU22" s="23">
        <v>71.818543562576991</v>
      </c>
      <c r="AV22" s="100">
        <v>518.58740448000003</v>
      </c>
      <c r="AW22" s="101">
        <v>211.58492295000002</v>
      </c>
      <c r="AX22" s="101">
        <v>246.05600883</v>
      </c>
      <c r="AY22" s="23">
        <v>63.227970771275722</v>
      </c>
      <c r="AZ22" s="100">
        <v>510.08255856999995</v>
      </c>
      <c r="BA22" s="101">
        <v>221.11092300999999</v>
      </c>
      <c r="BB22" s="101">
        <v>229.61014187000001</v>
      </c>
      <c r="BC22" s="23">
        <v>66.645474073893084</v>
      </c>
      <c r="BD22" s="100">
        <v>501.49267563000001</v>
      </c>
      <c r="BE22" s="101">
        <v>204.74874497000002</v>
      </c>
      <c r="BF22" s="101">
        <v>213.33853712999999</v>
      </c>
      <c r="BG22" s="23">
        <v>70.520687313667622</v>
      </c>
      <c r="BH22" s="100">
        <v>534.83858795000003</v>
      </c>
      <c r="BI22" s="101">
        <v>256.60516989000001</v>
      </c>
      <c r="BJ22" s="101">
        <v>223.25925756999999</v>
      </c>
      <c r="BK22" s="23">
        <v>71.867826728167159</v>
      </c>
      <c r="BL22" s="100">
        <v>533.58087189999992</v>
      </c>
      <c r="BM22" s="101">
        <v>246.57239071999999</v>
      </c>
      <c r="BN22" s="101">
        <v>247.84677723999999</v>
      </c>
      <c r="BO22" s="23">
        <v>64.585976607230052</v>
      </c>
      <c r="BP22" s="102">
        <v>549.80203476999998</v>
      </c>
      <c r="BQ22" s="102">
        <v>233.81615447000001</v>
      </c>
      <c r="BR22" s="102">
        <v>217.59499160000001</v>
      </c>
      <c r="BS22" s="26">
        <v>75.80165757408912</v>
      </c>
      <c r="BT22" s="100"/>
      <c r="BU22" s="101"/>
      <c r="BV22" s="101"/>
      <c r="BW22" s="23"/>
      <c r="BX22" s="100"/>
      <c r="BY22" s="101"/>
      <c r="BZ22" s="101"/>
      <c r="CA22" s="23"/>
      <c r="CB22" s="100"/>
      <c r="CC22" s="101"/>
      <c r="CD22" s="101"/>
      <c r="CE22" s="23"/>
      <c r="CF22" s="100"/>
      <c r="CG22" s="101"/>
      <c r="CH22" s="101"/>
      <c r="CI22" s="23"/>
      <c r="CJ22" s="100"/>
      <c r="CK22" s="101"/>
      <c r="CL22" s="101"/>
      <c r="CM22" s="23"/>
      <c r="CN22" s="100"/>
      <c r="CO22" s="101"/>
      <c r="CP22" s="101"/>
      <c r="CQ22" s="23"/>
      <c r="CR22" s="100"/>
      <c r="CS22" s="101"/>
      <c r="CT22" s="101"/>
      <c r="CU22" s="23"/>
    </row>
    <row r="23" spans="2:99" x14ac:dyDescent="0.3">
      <c r="B23" s="94" t="s">
        <v>6</v>
      </c>
      <c r="C23" s="95" t="s">
        <v>72</v>
      </c>
      <c r="D23" s="103">
        <v>143.25406681999999</v>
      </c>
      <c r="E23" s="95">
        <v>166.99903646000001</v>
      </c>
      <c r="F23" s="95">
        <v>142.52059715999999</v>
      </c>
      <c r="G23" s="104">
        <v>30.154392349165487</v>
      </c>
      <c r="H23" s="103">
        <v>135.99005192999999</v>
      </c>
      <c r="I23" s="95">
        <v>171.64312332</v>
      </c>
      <c r="J23" s="95">
        <v>178.90713821</v>
      </c>
      <c r="K23" s="105">
        <v>22.803458815104815</v>
      </c>
      <c r="L23" s="106">
        <v>146.05794549000001</v>
      </c>
      <c r="M23" s="107">
        <v>200.28798018000001</v>
      </c>
      <c r="N23" s="107">
        <v>190.22008661999999</v>
      </c>
      <c r="O23" s="22">
        <v>23.035098146355793</v>
      </c>
      <c r="P23" s="106">
        <v>133.67206153000001</v>
      </c>
      <c r="Q23" s="107">
        <v>179.24635982000001</v>
      </c>
      <c r="R23" s="107">
        <v>191.63224378000001</v>
      </c>
      <c r="S23" s="23">
        <v>20.926341866057754</v>
      </c>
      <c r="T23" s="106">
        <v>132.3625783</v>
      </c>
      <c r="U23" s="107">
        <v>186.8829293</v>
      </c>
      <c r="V23" s="107">
        <v>188.19241253000001</v>
      </c>
      <c r="W23" s="23">
        <v>21.100092695644662</v>
      </c>
      <c r="X23" s="106">
        <v>130.22735413999999</v>
      </c>
      <c r="Y23" s="107">
        <v>183.61173379000002</v>
      </c>
      <c r="Z23" s="107">
        <v>185.74695795</v>
      </c>
      <c r="AA23" s="23">
        <v>21.033026151909581</v>
      </c>
      <c r="AB23" s="106">
        <v>123.88595779000001</v>
      </c>
      <c r="AC23" s="107">
        <v>184.04198373999998</v>
      </c>
      <c r="AD23" s="107">
        <v>190.38338009</v>
      </c>
      <c r="AE23" s="23">
        <v>19.521550315700146</v>
      </c>
      <c r="AF23" s="106">
        <v>128.58577138000001</v>
      </c>
      <c r="AG23" s="107">
        <v>115.70381207</v>
      </c>
      <c r="AH23" s="107">
        <v>111.00399848000001</v>
      </c>
      <c r="AI23" s="23">
        <v>34.751659347613803</v>
      </c>
      <c r="AJ23" s="106">
        <v>120.07980266</v>
      </c>
      <c r="AK23" s="107">
        <v>193.94784241000002</v>
      </c>
      <c r="AL23" s="107">
        <v>202.45381112999999</v>
      </c>
      <c r="AM23" s="23">
        <v>17.793659006432954</v>
      </c>
      <c r="AN23" s="106">
        <v>121.65368845</v>
      </c>
      <c r="AO23" s="107">
        <v>154.58774798000002</v>
      </c>
      <c r="AP23" s="107">
        <v>153.01386219</v>
      </c>
      <c r="AQ23" s="23">
        <v>23.851503394955252</v>
      </c>
      <c r="AR23" s="106">
        <v>109.47711522</v>
      </c>
      <c r="AS23" s="107">
        <v>180.08449977000001</v>
      </c>
      <c r="AT23" s="107">
        <v>192.26107300000001</v>
      </c>
      <c r="AU23" s="23">
        <v>17.082571138048312</v>
      </c>
      <c r="AV23" s="106">
        <v>120.04425741</v>
      </c>
      <c r="AW23" s="107">
        <v>154.58958219000002</v>
      </c>
      <c r="AX23" s="107">
        <v>144.02243999999999</v>
      </c>
      <c r="AY23" s="23">
        <v>25.005323630817532</v>
      </c>
      <c r="AZ23" s="106">
        <v>147.16567982999999</v>
      </c>
      <c r="BA23" s="107">
        <v>205.83764780999999</v>
      </c>
      <c r="BB23" s="107">
        <v>178.71622538999998</v>
      </c>
      <c r="BC23" s="23">
        <v>24.703802831922602</v>
      </c>
      <c r="BD23" s="106">
        <v>150.59800064000001</v>
      </c>
      <c r="BE23" s="107">
        <v>150.98758723999998</v>
      </c>
      <c r="BF23" s="107">
        <v>147.55526643000002</v>
      </c>
      <c r="BG23" s="23">
        <v>30.618629402450395</v>
      </c>
      <c r="BH23" s="106">
        <v>154.21789827000001</v>
      </c>
      <c r="BI23" s="107">
        <v>181.64248043000001</v>
      </c>
      <c r="BJ23" s="107">
        <v>178.02258280000001</v>
      </c>
      <c r="BK23" s="23">
        <v>25.988483457167323</v>
      </c>
      <c r="BL23" s="106">
        <v>168.02014058999998</v>
      </c>
      <c r="BM23" s="107">
        <v>192.09592695999999</v>
      </c>
      <c r="BN23" s="107">
        <v>178.29368463999998</v>
      </c>
      <c r="BO23" s="23">
        <v>28.271355925352534</v>
      </c>
      <c r="BP23" s="108">
        <v>160.65035066999999</v>
      </c>
      <c r="BQ23" s="108">
        <v>162.89811689999999</v>
      </c>
      <c r="BR23" s="108">
        <v>170.26790682000001</v>
      </c>
      <c r="BS23" s="26">
        <v>28.305454680869374</v>
      </c>
      <c r="BT23" s="106"/>
      <c r="BU23" s="107"/>
      <c r="BV23" s="107"/>
      <c r="BW23" s="23"/>
      <c r="BX23" s="106"/>
      <c r="BY23" s="107"/>
      <c r="BZ23" s="107"/>
      <c r="CA23" s="23"/>
      <c r="CB23" s="106"/>
      <c r="CC23" s="107"/>
      <c r="CD23" s="107"/>
      <c r="CE23" s="23"/>
      <c r="CF23" s="106"/>
      <c r="CG23" s="107"/>
      <c r="CH23" s="107"/>
      <c r="CI23" s="23"/>
      <c r="CJ23" s="106"/>
      <c r="CK23" s="107"/>
      <c r="CL23" s="107"/>
      <c r="CM23" s="23"/>
      <c r="CN23" s="106"/>
      <c r="CO23" s="107"/>
      <c r="CP23" s="107"/>
      <c r="CQ23" s="23"/>
      <c r="CR23" s="106"/>
      <c r="CS23" s="107"/>
      <c r="CT23" s="107"/>
      <c r="CU23" s="23"/>
    </row>
    <row r="24" spans="2:99" x14ac:dyDescent="0.3">
      <c r="B24" s="94" t="s">
        <v>7</v>
      </c>
      <c r="C24" s="95" t="s">
        <v>72</v>
      </c>
      <c r="D24" s="103">
        <v>5.9958260499999998</v>
      </c>
      <c r="E24" s="95">
        <v>19.53226591</v>
      </c>
      <c r="F24" s="95">
        <v>19.312588860000002</v>
      </c>
      <c r="G24" s="104">
        <v>9.3138616890744483</v>
      </c>
      <c r="H24" s="103">
        <v>15.255845969999999</v>
      </c>
      <c r="I24" s="95">
        <v>22.365723799999998</v>
      </c>
      <c r="J24" s="95">
        <v>13.10570388</v>
      </c>
      <c r="K24" s="105">
        <v>34.921846494520366</v>
      </c>
      <c r="L24" s="106">
        <v>3.98947808</v>
      </c>
      <c r="M24" s="107">
        <v>4.0622906099999998</v>
      </c>
      <c r="N24" s="107">
        <v>15.3286585</v>
      </c>
      <c r="O24" s="22">
        <v>7.8078810614771026</v>
      </c>
      <c r="P24" s="106">
        <v>18.34541114</v>
      </c>
      <c r="Q24" s="107">
        <v>21.616307929999998</v>
      </c>
      <c r="R24" s="107">
        <v>7.2603748699999997</v>
      </c>
      <c r="S24" s="23">
        <v>75.803569933297396</v>
      </c>
      <c r="T24" s="106">
        <v>13.359951690000001</v>
      </c>
      <c r="U24" s="107">
        <v>12.429127829999999</v>
      </c>
      <c r="V24" s="107">
        <v>17.414587279999999</v>
      </c>
      <c r="W24" s="23">
        <v>23.01510476566402</v>
      </c>
      <c r="X24" s="106">
        <v>11.760887409999999</v>
      </c>
      <c r="Y24" s="107">
        <v>13.756376210000001</v>
      </c>
      <c r="Z24" s="107">
        <v>15.355440489999999</v>
      </c>
      <c r="AA24" s="23">
        <v>22.977303876744728</v>
      </c>
      <c r="AB24" s="106">
        <v>8.7716374399999992</v>
      </c>
      <c r="AC24" s="107">
        <v>15.158991959999998</v>
      </c>
      <c r="AD24" s="107">
        <v>18.148241930000001</v>
      </c>
      <c r="AE24" s="23">
        <v>14.499978797670787</v>
      </c>
      <c r="AF24" s="106">
        <v>33.03755786</v>
      </c>
      <c r="AG24" s="107">
        <v>40.085303170000003</v>
      </c>
      <c r="AH24" s="107">
        <v>15.819382749999999</v>
      </c>
      <c r="AI24" s="23">
        <v>62.652680667960958</v>
      </c>
      <c r="AJ24" s="106">
        <v>28.594966919999997</v>
      </c>
      <c r="AK24" s="107">
        <v>7.6967446500000003</v>
      </c>
      <c r="AL24" s="107">
        <v>12.13933559</v>
      </c>
      <c r="AM24" s="23">
        <v>70.666882980537153</v>
      </c>
      <c r="AN24" s="106">
        <v>22.899336810000001</v>
      </c>
      <c r="AO24" s="107">
        <v>5.2079394299999997</v>
      </c>
      <c r="AP24" s="107">
        <v>10.903569539999999</v>
      </c>
      <c r="AQ24" s="23">
        <v>63.005064697372497</v>
      </c>
      <c r="AR24" s="106">
        <v>11.366006950000001</v>
      </c>
      <c r="AS24" s="107">
        <v>6.6631365200000001</v>
      </c>
      <c r="AT24" s="107">
        <v>18.19646638</v>
      </c>
      <c r="AU24" s="23">
        <v>18.738814524713231</v>
      </c>
      <c r="AV24" s="106">
        <v>50.542243839999998</v>
      </c>
      <c r="AW24" s="107">
        <v>53.371656020000003</v>
      </c>
      <c r="AX24" s="107">
        <v>14.195419130000001</v>
      </c>
      <c r="AY24" s="23">
        <v>106.81384616503392</v>
      </c>
      <c r="AZ24" s="106">
        <v>57.0489678</v>
      </c>
      <c r="BA24" s="107">
        <v>11.863519</v>
      </c>
      <c r="BB24" s="107">
        <v>5.3567950399999997</v>
      </c>
      <c r="BC24" s="23">
        <v>319.4949631673793</v>
      </c>
      <c r="BD24" s="106">
        <v>60.001498679999997</v>
      </c>
      <c r="BE24" s="107">
        <v>8.0988975300000003</v>
      </c>
      <c r="BF24" s="107">
        <v>5.14636665</v>
      </c>
      <c r="BG24" s="23">
        <v>349.77005775521258</v>
      </c>
      <c r="BH24" s="106">
        <v>62.143308930000003</v>
      </c>
      <c r="BI24" s="107">
        <v>32.720180630000002</v>
      </c>
      <c r="BJ24" s="107">
        <v>30.578370379999999</v>
      </c>
      <c r="BK24" s="23">
        <v>60.967907862067051</v>
      </c>
      <c r="BL24" s="106">
        <v>51.449270579999997</v>
      </c>
      <c r="BM24" s="107">
        <v>1.85884596</v>
      </c>
      <c r="BN24" s="107">
        <v>12.55288431</v>
      </c>
      <c r="BO24" s="23">
        <v>122.95804528130793</v>
      </c>
      <c r="BP24" s="108">
        <v>58.267956249999997</v>
      </c>
      <c r="BQ24" s="108">
        <v>14.572382390000001</v>
      </c>
      <c r="BR24" s="108">
        <v>7.7536967199999998</v>
      </c>
      <c r="BS24" s="26">
        <v>225.44584223820402</v>
      </c>
      <c r="BT24" s="106"/>
      <c r="BU24" s="107"/>
      <c r="BV24" s="107"/>
      <c r="BW24" s="23"/>
      <c r="BX24" s="106"/>
      <c r="BY24" s="107"/>
      <c r="BZ24" s="107"/>
      <c r="CA24" s="23"/>
      <c r="CB24" s="106"/>
      <c r="CC24" s="107"/>
      <c r="CD24" s="107"/>
      <c r="CE24" s="23"/>
      <c r="CF24" s="106"/>
      <c r="CG24" s="107"/>
      <c r="CH24" s="107"/>
      <c r="CI24" s="23"/>
      <c r="CJ24" s="106"/>
      <c r="CK24" s="107"/>
      <c r="CL24" s="107"/>
      <c r="CM24" s="23"/>
      <c r="CN24" s="106"/>
      <c r="CO24" s="107"/>
      <c r="CP24" s="107"/>
      <c r="CQ24" s="23"/>
      <c r="CR24" s="106"/>
      <c r="CS24" s="107"/>
      <c r="CT24" s="107"/>
      <c r="CU24" s="23"/>
    </row>
    <row r="25" spans="2:99" x14ac:dyDescent="0.3">
      <c r="B25" s="94" t="s">
        <v>9</v>
      </c>
      <c r="C25" s="95" t="s">
        <v>72</v>
      </c>
      <c r="D25" s="103">
        <v>391.0663194</v>
      </c>
      <c r="E25" s="95">
        <v>149.57313934000001</v>
      </c>
      <c r="F25" s="95">
        <v>115.09727731000001</v>
      </c>
      <c r="G25" s="104">
        <v>101.93107826870106</v>
      </c>
      <c r="H25" s="103">
        <v>390.85847948000003</v>
      </c>
      <c r="I25" s="95">
        <v>133.96456512</v>
      </c>
      <c r="J25" s="95">
        <v>134.17418859</v>
      </c>
      <c r="K25" s="105">
        <v>87.392027539892425</v>
      </c>
      <c r="L25" s="106">
        <v>393.91759715000001</v>
      </c>
      <c r="M25" s="107">
        <v>129.68015099000002</v>
      </c>
      <c r="N25" s="107">
        <v>126.61936762000001</v>
      </c>
      <c r="O25" s="22">
        <v>93.331124113380724</v>
      </c>
      <c r="P25" s="106">
        <v>377.30919742000003</v>
      </c>
      <c r="Q25" s="107">
        <v>124.69235746</v>
      </c>
      <c r="R25" s="107">
        <v>141.30427835</v>
      </c>
      <c r="S25" s="23">
        <v>80.105684376824115</v>
      </c>
      <c r="T25" s="106">
        <v>425.09569224000001</v>
      </c>
      <c r="U25" s="107">
        <v>173.83366093000001</v>
      </c>
      <c r="V25" s="107">
        <v>126.03454163999999</v>
      </c>
      <c r="W25" s="23">
        <v>101.18552105839993</v>
      </c>
      <c r="X25" s="106">
        <v>398.60532733000002</v>
      </c>
      <c r="Y25" s="107">
        <v>113.78525380000001</v>
      </c>
      <c r="Z25" s="107">
        <v>140.31674337000001</v>
      </c>
      <c r="AA25" s="23">
        <v>85.22261515411337</v>
      </c>
      <c r="AB25" s="106">
        <v>390.29370976000001</v>
      </c>
      <c r="AC25" s="107">
        <v>123.45289479</v>
      </c>
      <c r="AD25" s="107">
        <v>131.78592304</v>
      </c>
      <c r="AE25" s="23">
        <v>88.847207825422387</v>
      </c>
      <c r="AF25" s="106">
        <v>454.16574222000003</v>
      </c>
      <c r="AG25" s="107">
        <v>146.84049048</v>
      </c>
      <c r="AH25" s="107">
        <v>82.96845802</v>
      </c>
      <c r="AI25" s="23">
        <v>164.21869939194997</v>
      </c>
      <c r="AJ25" s="106">
        <v>447.44253861000004</v>
      </c>
      <c r="AK25" s="107">
        <v>135.2132517</v>
      </c>
      <c r="AL25" s="107">
        <v>141.93689832999999</v>
      </c>
      <c r="AM25" s="23">
        <v>94.572139565084726</v>
      </c>
      <c r="AN25" s="106">
        <v>450.71097114000003</v>
      </c>
      <c r="AO25" s="107">
        <v>98.318882340000002</v>
      </c>
      <c r="AP25" s="107">
        <v>96.387473059999991</v>
      </c>
      <c r="AQ25" s="23">
        <v>140.28097951881301</v>
      </c>
      <c r="AR25" s="106">
        <v>447.35975257000001</v>
      </c>
      <c r="AS25" s="107">
        <v>114.10208785</v>
      </c>
      <c r="AT25" s="107">
        <v>117.45270292000001</v>
      </c>
      <c r="AU25" s="23">
        <v>114.26550639912681</v>
      </c>
      <c r="AV25" s="106">
        <v>425.02658006000001</v>
      </c>
      <c r="AW25" s="107">
        <v>108.21966847</v>
      </c>
      <c r="AX25" s="107">
        <v>130.55257746000001</v>
      </c>
      <c r="AY25" s="23">
        <v>97.667910123848117</v>
      </c>
      <c r="AZ25" s="106">
        <v>406.62938956000005</v>
      </c>
      <c r="BA25" s="107">
        <v>110.39837198000001</v>
      </c>
      <c r="BB25" s="107">
        <v>128.93607745</v>
      </c>
      <c r="BC25" s="23">
        <v>94.611856728234926</v>
      </c>
      <c r="BD25" s="106">
        <v>396.82791593000002</v>
      </c>
      <c r="BE25" s="107">
        <v>85.978007270000006</v>
      </c>
      <c r="BF25" s="107">
        <v>96.790563669999997</v>
      </c>
      <c r="BG25" s="23">
        <v>122.99584821603715</v>
      </c>
      <c r="BH25" s="106">
        <v>397.79656967</v>
      </c>
      <c r="BI25" s="107">
        <v>135.24048780999999</v>
      </c>
      <c r="BJ25" s="107">
        <v>134.27469933999998</v>
      </c>
      <c r="BK25" s="23">
        <v>88.876736635856545</v>
      </c>
      <c r="BL25" s="106">
        <v>403.97208021999995</v>
      </c>
      <c r="BM25" s="107">
        <v>127.26317157</v>
      </c>
      <c r="BN25" s="107">
        <v>121.08230481999999</v>
      </c>
      <c r="BO25" s="23">
        <v>100.09028507192897</v>
      </c>
      <c r="BP25" s="108">
        <v>405.26995018000002</v>
      </c>
      <c r="BQ25" s="108">
        <v>108.52794724</v>
      </c>
      <c r="BR25" s="108">
        <v>107.22524451000001</v>
      </c>
      <c r="BS25" s="26">
        <v>113.3883961837561</v>
      </c>
      <c r="BT25" s="106"/>
      <c r="BU25" s="107"/>
      <c r="BV25" s="107"/>
      <c r="BW25" s="23"/>
      <c r="BX25" s="106"/>
      <c r="BY25" s="107"/>
      <c r="BZ25" s="107"/>
      <c r="CA25" s="23"/>
      <c r="CB25" s="106"/>
      <c r="CC25" s="107"/>
      <c r="CD25" s="107"/>
      <c r="CE25" s="23"/>
      <c r="CF25" s="106"/>
      <c r="CG25" s="107"/>
      <c r="CH25" s="107"/>
      <c r="CI25" s="23"/>
      <c r="CJ25" s="106"/>
      <c r="CK25" s="107"/>
      <c r="CL25" s="107"/>
      <c r="CM25" s="23"/>
      <c r="CN25" s="106"/>
      <c r="CO25" s="107"/>
      <c r="CP25" s="107"/>
      <c r="CQ25" s="23"/>
      <c r="CR25" s="106"/>
      <c r="CS25" s="107"/>
      <c r="CT25" s="107"/>
      <c r="CU25" s="23"/>
    </row>
    <row r="26" spans="2:99" x14ac:dyDescent="0.3">
      <c r="B26" s="94" t="s">
        <v>10</v>
      </c>
      <c r="C26" s="95" t="s">
        <v>72</v>
      </c>
      <c r="D26" s="103">
        <v>63.443684990000001</v>
      </c>
      <c r="E26" s="95">
        <v>9.7603353399999992</v>
      </c>
      <c r="F26" s="95">
        <v>10.162854830000001</v>
      </c>
      <c r="G26" s="104">
        <v>187.28109193113406</v>
      </c>
      <c r="H26" s="103">
        <v>70.017433580000002</v>
      </c>
      <c r="I26" s="95">
        <v>17.401418809999999</v>
      </c>
      <c r="J26" s="95">
        <v>10.827733459999999</v>
      </c>
      <c r="K26" s="105">
        <v>193.99470952621698</v>
      </c>
      <c r="L26" s="106">
        <v>65.660152670000002</v>
      </c>
      <c r="M26" s="107">
        <v>9.4820819099999998</v>
      </c>
      <c r="N26" s="107">
        <v>13.83936282</v>
      </c>
      <c r="O26" s="22">
        <v>142.33347342070766</v>
      </c>
      <c r="P26" s="106">
        <v>67.924497900000006</v>
      </c>
      <c r="Q26" s="107">
        <v>16.368522160000001</v>
      </c>
      <c r="R26" s="107">
        <v>14.104174309999999</v>
      </c>
      <c r="S26" s="23">
        <v>144.47743570179972</v>
      </c>
      <c r="T26" s="106">
        <v>62.624844940000003</v>
      </c>
      <c r="U26" s="107">
        <v>9.0979357299999997</v>
      </c>
      <c r="V26" s="107">
        <v>14.397588689999999</v>
      </c>
      <c r="W26" s="23">
        <v>130.49027782721026</v>
      </c>
      <c r="X26" s="106">
        <v>60.658183350000002</v>
      </c>
      <c r="Y26" s="107">
        <v>13.07482821</v>
      </c>
      <c r="Z26" s="107">
        <v>15.041489800000001</v>
      </c>
      <c r="AA26" s="23">
        <v>120.98173284005416</v>
      </c>
      <c r="AB26" s="106">
        <v>55.927063910000001</v>
      </c>
      <c r="AC26" s="107">
        <v>13.026610549999999</v>
      </c>
      <c r="AD26" s="107">
        <v>17.757419989999999</v>
      </c>
      <c r="AE26" s="23">
        <v>94.485117671646634</v>
      </c>
      <c r="AF26" s="106">
        <v>59.35658274</v>
      </c>
      <c r="AG26" s="107">
        <v>11.6515001</v>
      </c>
      <c r="AH26" s="107">
        <v>8.2197257100000005</v>
      </c>
      <c r="AI26" s="23">
        <v>216.63709289394279</v>
      </c>
      <c r="AJ26" s="106">
        <v>61.103732399999998</v>
      </c>
      <c r="AK26" s="107">
        <v>16.1662663</v>
      </c>
      <c r="AL26" s="107">
        <v>14.4178651</v>
      </c>
      <c r="AM26" s="23">
        <v>127.14170643752242</v>
      </c>
      <c r="AN26" s="106">
        <v>60.281590410000007</v>
      </c>
      <c r="AO26" s="107">
        <v>10.026077069999999</v>
      </c>
      <c r="AP26" s="107">
        <v>10.84821906</v>
      </c>
      <c r="AQ26" s="23">
        <v>166.70457171796826</v>
      </c>
      <c r="AR26" s="106">
        <v>56.415087800000002</v>
      </c>
      <c r="AS26" s="107">
        <v>8.9171099399999996</v>
      </c>
      <c r="AT26" s="107">
        <v>12.78274435</v>
      </c>
      <c r="AU26" s="23">
        <v>132.40135198354335</v>
      </c>
      <c r="AV26" s="106">
        <v>54.555971909999997</v>
      </c>
      <c r="AW26" s="107">
        <v>10.137887660000001</v>
      </c>
      <c r="AX26" s="107">
        <v>11.99925605</v>
      </c>
      <c r="AY26" s="23">
        <v>136.3983859065996</v>
      </c>
      <c r="AZ26" s="106">
        <v>55.54303152</v>
      </c>
      <c r="BA26" s="107">
        <v>12.007452390000001</v>
      </c>
      <c r="BB26" s="107">
        <v>11.02028908</v>
      </c>
      <c r="BC26" s="23">
        <v>151.20210853851756</v>
      </c>
      <c r="BD26" s="106">
        <v>54.063791449999997</v>
      </c>
      <c r="BE26" s="107">
        <v>8.5501887300000003</v>
      </c>
      <c r="BF26" s="107">
        <v>10.08256486</v>
      </c>
      <c r="BG26" s="23">
        <v>160.86320951274297</v>
      </c>
      <c r="BH26" s="106">
        <v>53.523781920000005</v>
      </c>
      <c r="BI26" s="107">
        <v>13.237921570000001</v>
      </c>
      <c r="BJ26" s="107">
        <v>13.7779311</v>
      </c>
      <c r="BK26" s="23">
        <v>116.54242178638853</v>
      </c>
      <c r="BL26" s="106">
        <v>54.279311749999998</v>
      </c>
      <c r="BM26" s="107">
        <v>14.83093528</v>
      </c>
      <c r="BN26" s="107">
        <v>14.07540545</v>
      </c>
      <c r="BO26" s="23">
        <v>115.68969421765395</v>
      </c>
      <c r="BP26" s="108">
        <v>54.099159090000001</v>
      </c>
      <c r="BQ26" s="108">
        <v>12.43984182</v>
      </c>
      <c r="BR26" s="108">
        <v>12.619994480000001</v>
      </c>
      <c r="BS26" s="26">
        <v>128.60344553019169</v>
      </c>
      <c r="BT26" s="106"/>
      <c r="BU26" s="107"/>
      <c r="BV26" s="107"/>
      <c r="BW26" s="23"/>
      <c r="BX26" s="106"/>
      <c r="BY26" s="107"/>
      <c r="BZ26" s="107"/>
      <c r="CA26" s="23"/>
      <c r="CB26" s="106"/>
      <c r="CC26" s="107"/>
      <c r="CD26" s="107"/>
      <c r="CE26" s="23"/>
      <c r="CF26" s="106"/>
      <c r="CG26" s="107"/>
      <c r="CH26" s="107"/>
      <c r="CI26" s="23"/>
      <c r="CJ26" s="106"/>
      <c r="CK26" s="107"/>
      <c r="CL26" s="107"/>
      <c r="CM26" s="23"/>
      <c r="CN26" s="106"/>
      <c r="CO26" s="107"/>
      <c r="CP26" s="107"/>
      <c r="CQ26" s="23"/>
      <c r="CR26" s="106"/>
      <c r="CS26" s="107"/>
      <c r="CT26" s="107"/>
      <c r="CU26" s="23"/>
    </row>
    <row r="27" spans="2:99" x14ac:dyDescent="0.3">
      <c r="B27" s="94" t="s">
        <v>11</v>
      </c>
      <c r="C27" s="95" t="s">
        <v>72</v>
      </c>
      <c r="D27" s="109">
        <v>71.667487170000001</v>
      </c>
      <c r="E27" s="110">
        <v>63.99364491</v>
      </c>
      <c r="F27" s="110">
        <v>72.681036970000008</v>
      </c>
      <c r="G27" s="104">
        <v>29.581644741632527</v>
      </c>
      <c r="H27" s="109">
        <v>86.731547360000008</v>
      </c>
      <c r="I27" s="110">
        <v>85.878091850000004</v>
      </c>
      <c r="J27" s="110">
        <v>70.814031659999998</v>
      </c>
      <c r="K27" s="105">
        <v>36.743373591447913</v>
      </c>
      <c r="L27" s="111">
        <v>67.910640700000002</v>
      </c>
      <c r="M27" s="112">
        <v>67.465988490000001</v>
      </c>
      <c r="N27" s="112">
        <v>86.286895149999992</v>
      </c>
      <c r="O27" s="22">
        <v>23.610992346617078</v>
      </c>
      <c r="P27" s="111">
        <v>94.223335989999995</v>
      </c>
      <c r="Q27" s="112">
        <v>93.528328200000004</v>
      </c>
      <c r="R27" s="112">
        <v>67.215632909999997</v>
      </c>
      <c r="S27" s="23">
        <v>42.054206102394041</v>
      </c>
      <c r="T27" s="111">
        <v>76.099815410000005</v>
      </c>
      <c r="U27" s="112">
        <v>68.469333949999992</v>
      </c>
      <c r="V27" s="112">
        <v>86.592854530000011</v>
      </c>
      <c r="W27" s="23">
        <v>26.364698042250804</v>
      </c>
      <c r="X27" s="111">
        <v>68.489271160000001</v>
      </c>
      <c r="Y27" s="112">
        <v>65.059852809999995</v>
      </c>
      <c r="Z27" s="112">
        <v>72.670397059999999</v>
      </c>
      <c r="AA27" s="23">
        <v>28.273935714202359</v>
      </c>
      <c r="AB27" s="111">
        <v>64.150551650000011</v>
      </c>
      <c r="AC27" s="112">
        <v>61.053791820000001</v>
      </c>
      <c r="AD27" s="112">
        <v>65.392511329999991</v>
      </c>
      <c r="AE27" s="23">
        <v>29.430228482708443</v>
      </c>
      <c r="AF27" s="111">
        <v>77.451457619999999</v>
      </c>
      <c r="AG27" s="112">
        <v>71.190008820000003</v>
      </c>
      <c r="AH27" s="112">
        <v>57.88910285</v>
      </c>
      <c r="AI27" s="23">
        <v>40.137843120849126</v>
      </c>
      <c r="AJ27" s="111">
        <v>89.801342080000012</v>
      </c>
      <c r="AK27" s="112">
        <v>85.388473180000005</v>
      </c>
      <c r="AL27" s="112">
        <v>73.038588720000007</v>
      </c>
      <c r="AM27" s="23">
        <v>36.885163166663112</v>
      </c>
      <c r="AN27" s="111">
        <v>81.72224700000001</v>
      </c>
      <c r="AO27" s="112">
        <v>74.803538459999999</v>
      </c>
      <c r="AP27" s="112">
        <v>82.88263354</v>
      </c>
      <c r="AQ27" s="23">
        <v>29.579989260558435</v>
      </c>
      <c r="AR27" s="111">
        <v>71.164086420000004</v>
      </c>
      <c r="AS27" s="112">
        <v>68.268457089999998</v>
      </c>
      <c r="AT27" s="112">
        <v>78.82661766999999</v>
      </c>
      <c r="AU27" s="23">
        <v>27.083777735303158</v>
      </c>
      <c r="AV27" s="111">
        <v>113.12058078</v>
      </c>
      <c r="AW27" s="112">
        <v>103.74507234999999</v>
      </c>
      <c r="AX27" s="112">
        <v>61.788577989999993</v>
      </c>
      <c r="AY27" s="23">
        <v>54.923054289244696</v>
      </c>
      <c r="AZ27" s="111">
        <v>88.51548532000001</v>
      </c>
      <c r="BA27" s="112">
        <v>87.283021700000006</v>
      </c>
      <c r="BB27" s="112">
        <v>111.88811716999999</v>
      </c>
      <c r="BC27" s="23">
        <v>23.733213381054167</v>
      </c>
      <c r="BD27" s="111">
        <v>75.348719130000006</v>
      </c>
      <c r="BE27" s="112">
        <v>71.662880919999992</v>
      </c>
      <c r="BF27" s="112">
        <v>84.829647109999996</v>
      </c>
      <c r="BG27" s="23">
        <v>26.647070345215777</v>
      </c>
      <c r="BH27" s="111">
        <v>82.824766589999996</v>
      </c>
      <c r="BI27" s="112">
        <v>82.364993609999999</v>
      </c>
      <c r="BJ27" s="112">
        <v>74.888946149999995</v>
      </c>
      <c r="BK27" s="23">
        <v>33.179035430985294</v>
      </c>
      <c r="BL27" s="111">
        <v>68.75222617</v>
      </c>
      <c r="BM27" s="112">
        <v>67.79138592999999</v>
      </c>
      <c r="BN27" s="112">
        <v>81.86392635</v>
      </c>
      <c r="BO27" s="23">
        <v>25.195063040120115</v>
      </c>
      <c r="BP27" s="113">
        <v>69.42071206</v>
      </c>
      <c r="BQ27" s="113">
        <v>68.295225039999991</v>
      </c>
      <c r="BR27" s="113">
        <v>67.626739150000006</v>
      </c>
      <c r="BS27" s="26">
        <v>30.795827034934003</v>
      </c>
      <c r="BT27" s="111"/>
      <c r="BU27" s="112"/>
      <c r="BV27" s="112"/>
      <c r="BW27" s="23"/>
      <c r="BX27" s="111"/>
      <c r="BY27" s="112"/>
      <c r="BZ27" s="112"/>
      <c r="CA27" s="23"/>
      <c r="CB27" s="111"/>
      <c r="CC27" s="112"/>
      <c r="CD27" s="112"/>
      <c r="CE27" s="23"/>
      <c r="CF27" s="111"/>
      <c r="CG27" s="112"/>
      <c r="CH27" s="112"/>
      <c r="CI27" s="23"/>
      <c r="CJ27" s="111"/>
      <c r="CK27" s="112"/>
      <c r="CL27" s="112"/>
      <c r="CM27" s="23"/>
      <c r="CN27" s="111"/>
      <c r="CO27" s="112"/>
      <c r="CP27" s="112"/>
      <c r="CQ27" s="23"/>
      <c r="CR27" s="111"/>
      <c r="CS27" s="112"/>
      <c r="CT27" s="112"/>
      <c r="CU27" s="23"/>
    </row>
    <row r="28" spans="2:99" x14ac:dyDescent="0.3">
      <c r="B28" s="114" t="s">
        <v>16</v>
      </c>
      <c r="C28" s="115" t="s">
        <v>72</v>
      </c>
      <c r="D28" s="116">
        <v>640.26675305000003</v>
      </c>
      <c r="E28" s="117">
        <v>285.21868288999997</v>
      </c>
      <c r="F28" s="117">
        <v>262.30516940999996</v>
      </c>
      <c r="G28" s="118">
        <v>75.668616784009586</v>
      </c>
      <c r="H28" s="116">
        <v>652.14629777999994</v>
      </c>
      <c r="I28" s="117">
        <v>322.43664253000003</v>
      </c>
      <c r="J28" s="117">
        <v>310.85884922999998</v>
      </c>
      <c r="K28" s="119">
        <v>58.740796290890266</v>
      </c>
      <c r="L28" s="116">
        <v>654.75917755</v>
      </c>
      <c r="M28" s="117">
        <v>324.91233087000001</v>
      </c>
      <c r="N28" s="117">
        <v>320.17152042999993</v>
      </c>
      <c r="O28" s="119">
        <v>61.350788790080905</v>
      </c>
      <c r="P28" s="116">
        <v>672.52618944000005</v>
      </c>
      <c r="Q28" s="117">
        <v>316.71326708999999</v>
      </c>
      <c r="R28" s="117">
        <v>298.11813343</v>
      </c>
      <c r="S28" s="118">
        <v>67.67715016549775</v>
      </c>
      <c r="T28" s="116">
        <v>695.33792976999996</v>
      </c>
      <c r="U28" s="117">
        <v>350.23398324999999</v>
      </c>
      <c r="V28" s="117">
        <v>329.55482697000002</v>
      </c>
      <c r="W28" s="118">
        <v>63.297928556813204</v>
      </c>
      <c r="X28" s="116">
        <v>655.50406825999994</v>
      </c>
      <c r="Y28" s="117">
        <v>268.44316226000001</v>
      </c>
      <c r="Z28" s="117">
        <v>311.89332820000004</v>
      </c>
      <c r="AA28" s="118">
        <v>63.050794197142423</v>
      </c>
      <c r="AB28" s="116">
        <v>683.28322642000001</v>
      </c>
      <c r="AC28" s="117">
        <v>345.99055038999995</v>
      </c>
      <c r="AD28" s="117">
        <v>319.45064078000001</v>
      </c>
      <c r="AE28" s="118">
        <v>64.167962670379964</v>
      </c>
      <c r="AF28" s="116">
        <v>697.49022669999988</v>
      </c>
      <c r="AG28" s="117">
        <v>288.80438113999998</v>
      </c>
      <c r="AH28" s="117">
        <v>246.45661429999996</v>
      </c>
      <c r="AI28" s="118">
        <v>84.902192056932762</v>
      </c>
      <c r="AJ28" s="116">
        <v>677.84804094000003</v>
      </c>
      <c r="AK28" s="117">
        <v>360.67355457000002</v>
      </c>
      <c r="AL28" s="117">
        <v>375.43774425999999</v>
      </c>
      <c r="AM28" s="118">
        <v>54.164615942602722</v>
      </c>
      <c r="AN28" s="116">
        <v>679.45883752999998</v>
      </c>
      <c r="AO28" s="117">
        <v>295.83885965999997</v>
      </c>
      <c r="AP28" s="117">
        <v>296.83016267000005</v>
      </c>
      <c r="AQ28" s="118">
        <v>68.671475103969073</v>
      </c>
      <c r="AR28" s="116">
        <v>658.31130512000004</v>
      </c>
      <c r="AS28" s="117">
        <v>308.81341757000007</v>
      </c>
      <c r="AT28" s="117">
        <v>336.50984391999998</v>
      </c>
      <c r="AU28" s="118">
        <v>58.688741237225443</v>
      </c>
      <c r="AV28" s="116">
        <v>704.00133432999996</v>
      </c>
      <c r="AW28" s="117">
        <v>388.50705760000005</v>
      </c>
      <c r="AX28" s="117">
        <v>339.37342125999999</v>
      </c>
      <c r="AY28" s="118">
        <v>62.232451650123664</v>
      </c>
      <c r="AZ28" s="116">
        <v>714.01552179999999</v>
      </c>
      <c r="BA28" s="117">
        <v>335.30711417999999</v>
      </c>
      <c r="BB28" s="117">
        <v>325.42492608999999</v>
      </c>
      <c r="BC28" s="118">
        <v>65.823063744280986</v>
      </c>
      <c r="BD28" s="116">
        <v>690.7070342400001</v>
      </c>
      <c r="BE28" s="117">
        <v>268.71783667000005</v>
      </c>
      <c r="BF28" s="117">
        <v>292.48483499999998</v>
      </c>
      <c r="BG28" s="118">
        <v>70.845420164091593</v>
      </c>
      <c r="BH28" s="116">
        <v>741.73551293000003</v>
      </c>
      <c r="BI28" s="117">
        <v>385.25336484999997</v>
      </c>
      <c r="BJ28" s="117">
        <v>333.08690731000002</v>
      </c>
      <c r="BK28" s="118">
        <v>66.805584066954239</v>
      </c>
      <c r="BL28" s="116">
        <v>746.74619969999992</v>
      </c>
      <c r="BM28" s="117">
        <v>354.62155218999999</v>
      </c>
      <c r="BN28" s="117">
        <v>346.87429039999995</v>
      </c>
      <c r="BO28" s="118">
        <v>64.583587227426293</v>
      </c>
      <c r="BP28" s="117">
        <v>757.05814989999999</v>
      </c>
      <c r="BQ28" s="117">
        <v>327.89808721999998</v>
      </c>
      <c r="BR28" s="117">
        <v>316.88934943999999</v>
      </c>
      <c r="BS28" s="118">
        <v>71.670898807851088</v>
      </c>
      <c r="BT28" s="116"/>
      <c r="BU28" s="117"/>
      <c r="BV28" s="117"/>
      <c r="BW28" s="118"/>
      <c r="BX28" s="116"/>
      <c r="BY28" s="117"/>
      <c r="BZ28" s="117"/>
      <c r="CA28" s="118"/>
      <c r="CB28" s="116"/>
      <c r="CC28" s="117"/>
      <c r="CD28" s="117"/>
      <c r="CE28" s="118"/>
      <c r="CF28" s="116"/>
      <c r="CG28" s="117"/>
      <c r="CH28" s="117"/>
      <c r="CI28" s="118"/>
      <c r="CJ28" s="116"/>
      <c r="CK28" s="117"/>
      <c r="CL28" s="117"/>
      <c r="CM28" s="118"/>
      <c r="CN28" s="116"/>
      <c r="CO28" s="117"/>
      <c r="CP28" s="117"/>
      <c r="CQ28" s="118"/>
      <c r="CR28" s="116"/>
      <c r="CS28" s="117"/>
      <c r="CT28" s="117"/>
      <c r="CU28" s="118"/>
    </row>
    <row r="29" spans="2:99" x14ac:dyDescent="0.3">
      <c r="B29" s="94" t="s">
        <v>5</v>
      </c>
      <c r="C29" s="95" t="s">
        <v>73</v>
      </c>
      <c r="D29" s="120">
        <v>262.86007174000002</v>
      </c>
      <c r="E29" s="121">
        <v>91.67931299</v>
      </c>
      <c r="F29" s="121">
        <v>104.00474964999999</v>
      </c>
      <c r="G29" s="122">
        <v>75.821557945551007</v>
      </c>
      <c r="H29" s="120">
        <v>264.10683563999999</v>
      </c>
      <c r="I29" s="121">
        <v>118.0435645</v>
      </c>
      <c r="J29" s="121">
        <v>113.46516459999999</v>
      </c>
      <c r="K29" s="123">
        <v>69.82940620702189</v>
      </c>
      <c r="L29" s="106">
        <v>276.66621373999999</v>
      </c>
      <c r="M29" s="107">
        <v>126.46784353</v>
      </c>
      <c r="N29" s="107">
        <v>113.90846543000001</v>
      </c>
      <c r="O29" s="22">
        <v>72.865404523429177</v>
      </c>
      <c r="P29" s="106">
        <v>278.65295384000001</v>
      </c>
      <c r="Q29" s="107">
        <v>115.5993884</v>
      </c>
      <c r="R29" s="107">
        <v>113.6126483</v>
      </c>
      <c r="S29" s="23">
        <v>73.579735533724019</v>
      </c>
      <c r="T29" s="106">
        <v>277.55501275</v>
      </c>
      <c r="U29" s="107">
        <v>119.77531197</v>
      </c>
      <c r="V29" s="107">
        <v>120.87325306</v>
      </c>
      <c r="W29" s="23">
        <v>68.887451704197559</v>
      </c>
      <c r="X29" s="106">
        <v>272.41592684</v>
      </c>
      <c r="Y29" s="107">
        <v>111.89077974</v>
      </c>
      <c r="Z29" s="107">
        <v>117.02986565</v>
      </c>
      <c r="AA29" s="23">
        <v>69.832412092493925</v>
      </c>
      <c r="AB29" s="106">
        <v>307.82432265</v>
      </c>
      <c r="AC29" s="107">
        <v>139.93677407999999</v>
      </c>
      <c r="AD29" s="107">
        <v>105.7702611</v>
      </c>
      <c r="AE29" s="23">
        <v>87.309321008190267</v>
      </c>
      <c r="AF29" s="106">
        <v>265.46491100999998</v>
      </c>
      <c r="AG29" s="107">
        <v>98.699527540000005</v>
      </c>
      <c r="AH29" s="107">
        <v>112.97213991</v>
      </c>
      <c r="AI29" s="23">
        <v>70.494790455810872</v>
      </c>
      <c r="AJ29" s="106">
        <v>259.17360286000002</v>
      </c>
      <c r="AK29" s="107">
        <v>140.42920416999999</v>
      </c>
      <c r="AL29" s="107">
        <v>146.72051232000001</v>
      </c>
      <c r="AM29" s="23">
        <v>52.99332699194872</v>
      </c>
      <c r="AN29" s="106">
        <v>257.09019717000001</v>
      </c>
      <c r="AO29" s="107">
        <v>110.50547813999999</v>
      </c>
      <c r="AP29" s="107">
        <v>112.57122443</v>
      </c>
      <c r="AQ29" s="23">
        <v>68.514009278596603</v>
      </c>
      <c r="AR29" s="106">
        <v>265.96932679000003</v>
      </c>
      <c r="AS29" s="107">
        <v>128.47073048999999</v>
      </c>
      <c r="AT29" s="107">
        <v>127.68336244</v>
      </c>
      <c r="AU29" s="23">
        <v>62.491147250680129</v>
      </c>
      <c r="AV29" s="106">
        <v>275.0542595</v>
      </c>
      <c r="AW29" s="107">
        <v>140.30203610000001</v>
      </c>
      <c r="AX29" s="107">
        <v>131.21710339000001</v>
      </c>
      <c r="AY29" s="23">
        <v>62.885306654535199</v>
      </c>
      <c r="AZ29" s="106">
        <v>287.78714481999998</v>
      </c>
      <c r="BA29" s="107">
        <v>124.83998747</v>
      </c>
      <c r="BB29" s="107">
        <v>112.10710215</v>
      </c>
      <c r="BC29" s="23">
        <v>77.012197969832187</v>
      </c>
      <c r="BD29" s="106">
        <v>267.79740268</v>
      </c>
      <c r="BE29" s="107">
        <v>105.26416546</v>
      </c>
      <c r="BF29" s="107">
        <v>125.25381682</v>
      </c>
      <c r="BG29" s="23">
        <v>64.141135850138639</v>
      </c>
      <c r="BH29" s="106">
        <v>304.28882143999999</v>
      </c>
      <c r="BI29" s="107">
        <v>144.97810944</v>
      </c>
      <c r="BJ29" s="107">
        <v>108.48669068</v>
      </c>
      <c r="BK29" s="23">
        <v>84.145479837029541</v>
      </c>
      <c r="BL29" s="106">
        <v>304.68949667999999</v>
      </c>
      <c r="BM29" s="107">
        <v>141.98545078000001</v>
      </c>
      <c r="BN29" s="107">
        <v>141.60144600999999</v>
      </c>
      <c r="BO29" s="23">
        <v>64.552200263226666</v>
      </c>
      <c r="BP29" s="108">
        <v>314.16363473000001</v>
      </c>
      <c r="BQ29" s="108">
        <v>129.78393881</v>
      </c>
      <c r="BR29" s="108">
        <v>120.30980076</v>
      </c>
      <c r="BS29" s="26">
        <v>78.338663869132986</v>
      </c>
      <c r="BT29" s="106"/>
      <c r="BU29" s="107"/>
      <c r="BV29" s="107"/>
      <c r="BW29" s="23"/>
      <c r="BX29" s="106"/>
      <c r="BY29" s="107"/>
      <c r="BZ29" s="107"/>
      <c r="CA29" s="23"/>
      <c r="CB29" s="106"/>
      <c r="CC29" s="107"/>
      <c r="CD29" s="107"/>
      <c r="CE29" s="23"/>
      <c r="CF29" s="106"/>
      <c r="CG29" s="107"/>
      <c r="CH29" s="107"/>
      <c r="CI29" s="23"/>
      <c r="CJ29" s="106"/>
      <c r="CK29" s="107"/>
      <c r="CL29" s="107"/>
      <c r="CM29" s="23"/>
      <c r="CN29" s="106"/>
      <c r="CO29" s="107"/>
      <c r="CP29" s="107"/>
      <c r="CQ29" s="23"/>
      <c r="CR29" s="106"/>
      <c r="CS29" s="107"/>
      <c r="CT29" s="107"/>
      <c r="CU29" s="23"/>
    </row>
    <row r="30" spans="2:99" x14ac:dyDescent="0.3">
      <c r="B30" s="94" t="s">
        <v>6</v>
      </c>
      <c r="C30" s="95" t="s">
        <v>73</v>
      </c>
      <c r="D30" s="120">
        <v>91.749827879999998</v>
      </c>
      <c r="E30" s="121">
        <v>78.947832020000007</v>
      </c>
      <c r="F30" s="121">
        <v>56.208250380000003</v>
      </c>
      <c r="G30" s="122">
        <v>48.969587521254553</v>
      </c>
      <c r="H30" s="120">
        <v>82.14182572</v>
      </c>
      <c r="I30" s="121">
        <v>88.372528189999997</v>
      </c>
      <c r="J30" s="121">
        <v>96.111652770000006</v>
      </c>
      <c r="K30" s="123">
        <v>25.639500524427405</v>
      </c>
      <c r="L30" s="106">
        <v>90.854940350000007</v>
      </c>
      <c r="M30" s="107">
        <v>109.01079008000001</v>
      </c>
      <c r="N30" s="107">
        <v>96.162806739999994</v>
      </c>
      <c r="O30" s="22">
        <v>28.34409999979999</v>
      </c>
      <c r="P30" s="106">
        <v>77.773658429999998</v>
      </c>
      <c r="Q30" s="107">
        <v>85.124660169999999</v>
      </c>
      <c r="R30" s="107">
        <v>93.844318990000005</v>
      </c>
      <c r="S30" s="23">
        <v>24.86255724386071</v>
      </c>
      <c r="T30" s="106">
        <v>78.087425659999994</v>
      </c>
      <c r="U30" s="107">
        <v>91.747414680000006</v>
      </c>
      <c r="V30" s="107">
        <v>92.667174770000003</v>
      </c>
      <c r="W30" s="23">
        <v>25.279963219062104</v>
      </c>
      <c r="X30" s="106">
        <v>71.813859019999995</v>
      </c>
      <c r="Y30" s="107">
        <v>80.711110059999996</v>
      </c>
      <c r="Z30" s="107">
        <v>86.984676699999994</v>
      </c>
      <c r="AA30" s="23">
        <v>24.767762005144064</v>
      </c>
      <c r="AB30" s="106">
        <v>83.031060640000007</v>
      </c>
      <c r="AC30" s="107">
        <v>104.63470328</v>
      </c>
      <c r="AD30" s="107">
        <v>91.421577049999996</v>
      </c>
      <c r="AE30" s="23">
        <v>27.246651168986812</v>
      </c>
      <c r="AF30" s="106">
        <v>80.658798160000003</v>
      </c>
      <c r="AG30" s="107">
        <v>57.466252189999999</v>
      </c>
      <c r="AH30" s="107">
        <v>58.524144939999999</v>
      </c>
      <c r="AI30" s="23">
        <v>41.346421161399029</v>
      </c>
      <c r="AJ30" s="106">
        <v>68.563110879999996</v>
      </c>
      <c r="AK30" s="107">
        <v>100.46261687000001</v>
      </c>
      <c r="AL30" s="107">
        <v>107.65772536999999</v>
      </c>
      <c r="AM30" s="23">
        <v>19.105859048487527</v>
      </c>
      <c r="AN30" s="106">
        <v>69.585733279999999</v>
      </c>
      <c r="AO30" s="107">
        <v>85.658709459999997</v>
      </c>
      <c r="AP30" s="107">
        <v>82.565324709999999</v>
      </c>
      <c r="AQ30" s="23">
        <v>25.283882861628971</v>
      </c>
      <c r="AR30" s="106">
        <v>78.26553638</v>
      </c>
      <c r="AS30" s="107">
        <v>98.233152720000007</v>
      </c>
      <c r="AT30" s="107">
        <v>88.054003100000003</v>
      </c>
      <c r="AU30" s="23">
        <v>26.665069261342872</v>
      </c>
      <c r="AV30" s="106">
        <v>79.976837349999997</v>
      </c>
      <c r="AW30" s="107">
        <v>92.966378340000006</v>
      </c>
      <c r="AX30" s="107">
        <v>89.939047909999999</v>
      </c>
      <c r="AY30" s="23">
        <v>26.67701266863455</v>
      </c>
      <c r="AZ30" s="106">
        <v>71.908631159999999</v>
      </c>
      <c r="BA30" s="107">
        <v>84.664046769999999</v>
      </c>
      <c r="BB30" s="107">
        <v>92.732252959999997</v>
      </c>
      <c r="BC30" s="23">
        <v>23.263307705146904</v>
      </c>
      <c r="BD30" s="106">
        <v>87.014513410000006</v>
      </c>
      <c r="BE30" s="107">
        <v>80.502920639999999</v>
      </c>
      <c r="BF30" s="107">
        <v>64.739147549999998</v>
      </c>
      <c r="BG30" s="23">
        <v>40.322362914709096</v>
      </c>
      <c r="BH30" s="106">
        <v>89.431258270000001</v>
      </c>
      <c r="BI30" s="107">
        <v>100.4086001</v>
      </c>
      <c r="BJ30" s="107">
        <v>94.617927960000003</v>
      </c>
      <c r="BK30" s="23">
        <v>28.35549040171562</v>
      </c>
      <c r="BL30" s="106">
        <v>96.61326914</v>
      </c>
      <c r="BM30" s="107">
        <v>98.005675890000006</v>
      </c>
      <c r="BN30" s="107">
        <v>88.062560439999999</v>
      </c>
      <c r="BO30" s="23">
        <v>32.912943476981646</v>
      </c>
      <c r="BP30" s="108">
        <v>95.499705890000001</v>
      </c>
      <c r="BQ30" s="108">
        <v>87.883483940000005</v>
      </c>
      <c r="BR30" s="108">
        <v>88.300707470000006</v>
      </c>
      <c r="BS30" s="26">
        <v>32.44584623145149</v>
      </c>
      <c r="BT30" s="106"/>
      <c r="BU30" s="107"/>
      <c r="BV30" s="107"/>
      <c r="BW30" s="23"/>
      <c r="BX30" s="106"/>
      <c r="BY30" s="107"/>
      <c r="BZ30" s="107"/>
      <c r="CA30" s="23"/>
      <c r="CB30" s="106"/>
      <c r="CC30" s="107"/>
      <c r="CD30" s="107"/>
      <c r="CE30" s="23"/>
      <c r="CF30" s="106"/>
      <c r="CG30" s="107"/>
      <c r="CH30" s="107"/>
      <c r="CI30" s="23"/>
      <c r="CJ30" s="106"/>
      <c r="CK30" s="107"/>
      <c r="CL30" s="107"/>
      <c r="CM30" s="23"/>
      <c r="CN30" s="106"/>
      <c r="CO30" s="107"/>
      <c r="CP30" s="107"/>
      <c r="CQ30" s="23"/>
      <c r="CR30" s="106"/>
      <c r="CS30" s="107"/>
      <c r="CT30" s="107"/>
      <c r="CU30" s="23"/>
    </row>
    <row r="31" spans="2:99" x14ac:dyDescent="0.3">
      <c r="B31" s="94" t="s">
        <v>7</v>
      </c>
      <c r="C31" s="95" t="s">
        <v>73</v>
      </c>
      <c r="D31" s="120">
        <v>2.57732815</v>
      </c>
      <c r="E31" s="121">
        <v>14.563486790000001</v>
      </c>
      <c r="F31" s="121">
        <v>11.98671496</v>
      </c>
      <c r="G31" s="122">
        <v>6.4504615950256987</v>
      </c>
      <c r="H31" s="120">
        <v>7.8465847200000001</v>
      </c>
      <c r="I31" s="121">
        <v>7.8643202499999996</v>
      </c>
      <c r="J31" s="121">
        <v>2.59506368</v>
      </c>
      <c r="K31" s="123">
        <v>90.709736109442986</v>
      </c>
      <c r="L31" s="106">
        <v>0.71462724</v>
      </c>
      <c r="M31" s="107">
        <v>0.79518288999999998</v>
      </c>
      <c r="N31" s="107">
        <v>7.92714037</v>
      </c>
      <c r="O31" s="22">
        <v>2.7044831047945732</v>
      </c>
      <c r="P31" s="106">
        <v>7.7522631200000003</v>
      </c>
      <c r="Q31" s="107">
        <v>9.6650344799999992</v>
      </c>
      <c r="R31" s="107">
        <v>2.6273985999999998</v>
      </c>
      <c r="S31" s="23">
        <v>88.516410718952216</v>
      </c>
      <c r="T31" s="106">
        <v>2.2990544800000001</v>
      </c>
      <c r="U31" s="107">
        <v>1.3374110400000001</v>
      </c>
      <c r="V31" s="107">
        <v>6.7906196799999998</v>
      </c>
      <c r="W31" s="23">
        <v>10.156898434930465</v>
      </c>
      <c r="X31" s="106">
        <v>5.2966034899999999</v>
      </c>
      <c r="Y31" s="107">
        <v>5.2850958200000004</v>
      </c>
      <c r="Z31" s="107">
        <v>2.2875468099999998</v>
      </c>
      <c r="AA31" s="23">
        <v>69.462230895288215</v>
      </c>
      <c r="AB31" s="106">
        <v>4.5435542</v>
      </c>
      <c r="AC31" s="107">
        <v>5.6803234399999996</v>
      </c>
      <c r="AD31" s="107">
        <v>6.4333727300000003</v>
      </c>
      <c r="AE31" s="23">
        <v>21.187428697295452</v>
      </c>
      <c r="AF31" s="106">
        <v>17.74166439</v>
      </c>
      <c r="AG31" s="107">
        <v>21.731439779999999</v>
      </c>
      <c r="AH31" s="107">
        <v>8.5333295899999992</v>
      </c>
      <c r="AI31" s="23">
        <v>62.373066232403666</v>
      </c>
      <c r="AJ31" s="106">
        <v>16.132553779999999</v>
      </c>
      <c r="AK31" s="107">
        <v>4.3007695000000004</v>
      </c>
      <c r="AL31" s="107">
        <v>5.9098801099999996</v>
      </c>
      <c r="AM31" s="23">
        <v>81.892797212767832</v>
      </c>
      <c r="AN31" s="106">
        <v>16.582992409999999</v>
      </c>
      <c r="AO31" s="107">
        <v>5.2079394299999997</v>
      </c>
      <c r="AP31" s="107">
        <v>4.7575007999999999</v>
      </c>
      <c r="AQ31" s="23">
        <v>104.56956145966386</v>
      </c>
      <c r="AR31" s="106">
        <v>7.5480734600000003</v>
      </c>
      <c r="AS31" s="107">
        <v>0.57665831000000001</v>
      </c>
      <c r="AT31" s="107">
        <v>9.6115772600000007</v>
      </c>
      <c r="AU31" s="23">
        <v>23.559317859553886</v>
      </c>
      <c r="AV31" s="106">
        <v>48.862391639999998</v>
      </c>
      <c r="AW31" s="107">
        <v>49.113553899999999</v>
      </c>
      <c r="AX31" s="107">
        <v>7.7992357200000004</v>
      </c>
      <c r="AY31" s="23">
        <v>187.95069181471027</v>
      </c>
      <c r="AZ31" s="106">
        <v>57.0489678</v>
      </c>
      <c r="BA31" s="107">
        <v>9.8333293400000006</v>
      </c>
      <c r="BB31" s="107">
        <v>1.6467531799999999</v>
      </c>
      <c r="BC31" s="23">
        <v>1039.2990611987159</v>
      </c>
      <c r="BD31" s="106">
        <v>57.97262156</v>
      </c>
      <c r="BE31" s="107">
        <v>6.0700204099999997</v>
      </c>
      <c r="BF31" s="107">
        <v>5.14636665</v>
      </c>
      <c r="BG31" s="23">
        <v>337.94301204714981</v>
      </c>
      <c r="BH31" s="106">
        <v>54.537292690000001</v>
      </c>
      <c r="BI31" s="107">
        <v>7.3381635100000002</v>
      </c>
      <c r="BJ31" s="107">
        <v>10.77349238</v>
      </c>
      <c r="BK31" s="23">
        <v>151.86521909434904</v>
      </c>
      <c r="BL31" s="106">
        <v>49.789982389999999</v>
      </c>
      <c r="BM31" s="107">
        <v>1.85884596</v>
      </c>
      <c r="BN31" s="107">
        <v>6.6061562599999997</v>
      </c>
      <c r="BO31" s="23">
        <v>226.10719651672304</v>
      </c>
      <c r="BP31" s="108">
        <v>55.370970569999997</v>
      </c>
      <c r="BQ31" s="108">
        <v>7.4395991700000002</v>
      </c>
      <c r="BR31" s="108">
        <v>1.8586109900000001</v>
      </c>
      <c r="BS31" s="26">
        <v>893.74760293438271</v>
      </c>
      <c r="BT31" s="106"/>
      <c r="BU31" s="107"/>
      <c r="BV31" s="107"/>
      <c r="BW31" s="23"/>
      <c r="BX31" s="106"/>
      <c r="BY31" s="107"/>
      <c r="BZ31" s="107"/>
      <c r="CA31" s="23"/>
      <c r="CB31" s="106"/>
      <c r="CC31" s="107"/>
      <c r="CD31" s="107"/>
      <c r="CE31" s="23"/>
      <c r="CF31" s="106"/>
      <c r="CG31" s="107"/>
      <c r="CH31" s="107"/>
      <c r="CI31" s="23"/>
      <c r="CJ31" s="106"/>
      <c r="CK31" s="107"/>
      <c r="CL31" s="107"/>
      <c r="CM31" s="23"/>
      <c r="CN31" s="106"/>
      <c r="CO31" s="107"/>
      <c r="CP31" s="107"/>
      <c r="CQ31" s="23"/>
      <c r="CR31" s="106"/>
      <c r="CS31" s="107"/>
      <c r="CT31" s="107"/>
      <c r="CU31" s="23"/>
    </row>
    <row r="32" spans="2:99" x14ac:dyDescent="0.3">
      <c r="B32" s="94" t="s">
        <v>9</v>
      </c>
      <c r="C32" s="95" t="s">
        <v>73</v>
      </c>
      <c r="D32" s="120">
        <v>232.23343624</v>
      </c>
      <c r="E32" s="121">
        <v>70.746795689999999</v>
      </c>
      <c r="F32" s="121">
        <v>66.673718570000005</v>
      </c>
      <c r="G32" s="122">
        <v>104.49399308492775</v>
      </c>
      <c r="H32" s="120">
        <v>233.91574145999999</v>
      </c>
      <c r="I32" s="121">
        <v>63.578059840000002</v>
      </c>
      <c r="J32" s="121">
        <v>67.398032130000004</v>
      </c>
      <c r="K32" s="123">
        <v>104.11983884432145</v>
      </c>
      <c r="L32" s="106">
        <v>242.58988291</v>
      </c>
      <c r="M32" s="107">
        <v>64.768902269999998</v>
      </c>
      <c r="N32" s="107">
        <v>58.101698859999999</v>
      </c>
      <c r="O32" s="22">
        <v>125.25789486527933</v>
      </c>
      <c r="P32" s="106">
        <v>247.46884204</v>
      </c>
      <c r="Q32" s="107">
        <v>62.374524299999997</v>
      </c>
      <c r="R32" s="107">
        <v>61.029069120000003</v>
      </c>
      <c r="S32" s="23">
        <v>121.64801738335935</v>
      </c>
      <c r="T32" s="106">
        <v>286.69676806000001</v>
      </c>
      <c r="U32" s="107">
        <v>107.9598628</v>
      </c>
      <c r="V32" s="107">
        <v>69.630993509999996</v>
      </c>
      <c r="W32" s="23">
        <v>123.52118802620257</v>
      </c>
      <c r="X32" s="106">
        <v>247.06428098999999</v>
      </c>
      <c r="Y32" s="107">
        <v>32.823891340000003</v>
      </c>
      <c r="Z32" s="107">
        <v>75.977520600000005</v>
      </c>
      <c r="AA32" s="23">
        <v>97.55422881883301</v>
      </c>
      <c r="AB32" s="106">
        <v>230.51257251000001</v>
      </c>
      <c r="AC32" s="107">
        <v>57.752133389999997</v>
      </c>
      <c r="AD32" s="107">
        <v>76.297132199999993</v>
      </c>
      <c r="AE32" s="23">
        <v>90.637445679773549</v>
      </c>
      <c r="AF32" s="106">
        <v>272.88183464000002</v>
      </c>
      <c r="AG32" s="107">
        <v>77.548915070000007</v>
      </c>
      <c r="AH32" s="107">
        <v>36.440055379999997</v>
      </c>
      <c r="AI32" s="23">
        <v>224.65539510933644</v>
      </c>
      <c r="AJ32" s="106">
        <v>258.60619441</v>
      </c>
      <c r="AK32" s="107">
        <v>65.819189379999997</v>
      </c>
      <c r="AL32" s="107">
        <v>80.118663859999998</v>
      </c>
      <c r="AM32" s="23">
        <v>96.833689661334304</v>
      </c>
      <c r="AN32" s="106">
        <v>266.12885511000002</v>
      </c>
      <c r="AO32" s="107">
        <v>53.937793769999999</v>
      </c>
      <c r="AP32" s="107">
        <v>51.10565442</v>
      </c>
      <c r="AQ32" s="23">
        <v>156.2227456806726</v>
      </c>
      <c r="AR32" s="106">
        <v>242.91254957000001</v>
      </c>
      <c r="AS32" s="107">
        <v>44.870438800000002</v>
      </c>
      <c r="AT32" s="107">
        <v>68.04254143</v>
      </c>
      <c r="AU32" s="23">
        <v>107.10029834198684</v>
      </c>
      <c r="AV32" s="106">
        <v>224.60965511000001</v>
      </c>
      <c r="AW32" s="107">
        <v>55.985237269999999</v>
      </c>
      <c r="AX32" s="107">
        <v>72.095919219999999</v>
      </c>
      <c r="AY32" s="23">
        <v>93.462844030577855</v>
      </c>
      <c r="AZ32" s="106">
        <v>214.77376785000001</v>
      </c>
      <c r="BA32" s="107">
        <v>57.40141534</v>
      </c>
      <c r="BB32" s="107">
        <v>67.369272170000002</v>
      </c>
      <c r="BC32" s="23">
        <v>95.640235198640113</v>
      </c>
      <c r="BD32" s="106">
        <v>215.42410237000001</v>
      </c>
      <c r="BE32" s="107">
        <v>42.499817720000003</v>
      </c>
      <c r="BF32" s="107">
        <v>42.912839529999999</v>
      </c>
      <c r="BG32" s="23">
        <v>150.60115205338406</v>
      </c>
      <c r="BH32" s="106">
        <v>224.12902919999999</v>
      </c>
      <c r="BI32" s="107">
        <v>83.418749919999996</v>
      </c>
      <c r="BJ32" s="107">
        <v>76.949771519999999</v>
      </c>
      <c r="BK32" s="23">
        <v>87.379997928290138</v>
      </c>
      <c r="BL32" s="106">
        <v>230.79141878999999</v>
      </c>
      <c r="BM32" s="107">
        <v>68.806177329999997</v>
      </c>
      <c r="BN32" s="107">
        <v>62.151646829999997</v>
      </c>
      <c r="BO32" s="23">
        <v>111.40079011322314</v>
      </c>
      <c r="BP32" s="108">
        <v>227.80383721000001</v>
      </c>
      <c r="BQ32" s="108">
        <v>60.180959729999998</v>
      </c>
      <c r="BR32" s="108">
        <v>63.168093450000001</v>
      </c>
      <c r="BS32" s="26">
        <v>108.18935229871182</v>
      </c>
      <c r="BT32" s="106"/>
      <c r="BU32" s="107"/>
      <c r="BV32" s="107"/>
      <c r="BW32" s="23"/>
      <c r="BX32" s="106"/>
      <c r="BY32" s="107"/>
      <c r="BZ32" s="107"/>
      <c r="CA32" s="23"/>
      <c r="CB32" s="106"/>
      <c r="CC32" s="107"/>
      <c r="CD32" s="107"/>
      <c r="CE32" s="23"/>
      <c r="CF32" s="106"/>
      <c r="CG32" s="107"/>
      <c r="CH32" s="107"/>
      <c r="CI32" s="23"/>
      <c r="CJ32" s="106"/>
      <c r="CK32" s="107"/>
      <c r="CL32" s="107"/>
      <c r="CM32" s="23"/>
      <c r="CN32" s="106"/>
      <c r="CO32" s="107"/>
      <c r="CP32" s="107"/>
      <c r="CQ32" s="23"/>
      <c r="CR32" s="106"/>
      <c r="CS32" s="107"/>
      <c r="CT32" s="107"/>
      <c r="CU32" s="23"/>
    </row>
    <row r="33" spans="2:99" x14ac:dyDescent="0.3">
      <c r="B33" s="94" t="s">
        <v>10</v>
      </c>
      <c r="C33" s="95" t="s">
        <v>73</v>
      </c>
      <c r="D33" s="120">
        <v>27.006857979999999</v>
      </c>
      <c r="E33" s="121">
        <v>5.1186634499999997</v>
      </c>
      <c r="F33" s="121">
        <v>6.8901383699999998</v>
      </c>
      <c r="G33" s="122">
        <v>117.58918266833007</v>
      </c>
      <c r="H33" s="120">
        <v>28.994877689999999</v>
      </c>
      <c r="I33" s="121">
        <v>9.2488436299999996</v>
      </c>
      <c r="J33" s="121">
        <v>7.2608114199999996</v>
      </c>
      <c r="K33" s="123">
        <v>119.80015460861536</v>
      </c>
      <c r="L33" s="106">
        <v>25.917315259999999</v>
      </c>
      <c r="M33" s="107">
        <v>5.7538674700000003</v>
      </c>
      <c r="N33" s="107">
        <v>8.8314298999999998</v>
      </c>
      <c r="O33" s="22">
        <v>88.040041828334054</v>
      </c>
      <c r="P33" s="106">
        <v>29.919422180000002</v>
      </c>
      <c r="Q33" s="107">
        <v>13.67775501</v>
      </c>
      <c r="R33" s="107">
        <v>9.6756454699999992</v>
      </c>
      <c r="S33" s="23">
        <v>92.767213121131462</v>
      </c>
      <c r="T33" s="106">
        <v>28.108421400000001</v>
      </c>
      <c r="U33" s="107">
        <v>6.6391041900000003</v>
      </c>
      <c r="V33" s="107">
        <v>8.4501049699999999</v>
      </c>
      <c r="W33" s="23">
        <v>99.791972406704915</v>
      </c>
      <c r="X33" s="106">
        <v>29.716681990000001</v>
      </c>
      <c r="Y33" s="107">
        <v>8.7974802200000006</v>
      </c>
      <c r="Z33" s="107">
        <v>7.2843818699999998</v>
      </c>
      <c r="AA33" s="23">
        <v>122.38519006966889</v>
      </c>
      <c r="AB33" s="106">
        <v>28.192151710000001</v>
      </c>
      <c r="AC33" s="107">
        <v>9.2298456699999996</v>
      </c>
      <c r="AD33" s="107">
        <v>10.75437595</v>
      </c>
      <c r="AE33" s="23">
        <v>78.643759083017741</v>
      </c>
      <c r="AF33" s="106">
        <v>31.565269300000001</v>
      </c>
      <c r="AG33" s="107">
        <v>8.1294892900000004</v>
      </c>
      <c r="AH33" s="107">
        <v>4.7563716999999999</v>
      </c>
      <c r="AI33" s="23">
        <v>199.09253076247174</v>
      </c>
      <c r="AJ33" s="106">
        <v>34.23489447</v>
      </c>
      <c r="AK33" s="107">
        <v>11.458138140000001</v>
      </c>
      <c r="AL33" s="107">
        <v>8.7872614299999992</v>
      </c>
      <c r="AM33" s="23">
        <v>116.87905751769584</v>
      </c>
      <c r="AN33" s="106">
        <v>33.416680120000002</v>
      </c>
      <c r="AO33" s="107">
        <v>6.6055904300000003</v>
      </c>
      <c r="AP33" s="107">
        <v>7.4238047800000002</v>
      </c>
      <c r="AQ33" s="23">
        <v>135.03862686432333</v>
      </c>
      <c r="AR33" s="106">
        <v>31.504017910000002</v>
      </c>
      <c r="AS33" s="107">
        <v>6.7890946899999998</v>
      </c>
      <c r="AT33" s="107">
        <v>8.7024387000000001</v>
      </c>
      <c r="AU33" s="23">
        <v>108.60410166405424</v>
      </c>
      <c r="AV33" s="106">
        <v>29.7467218</v>
      </c>
      <c r="AW33" s="107">
        <v>7.3658365799999999</v>
      </c>
      <c r="AX33" s="107">
        <v>9.1877675300000003</v>
      </c>
      <c r="AY33" s="23">
        <v>97.129324516115616</v>
      </c>
      <c r="AZ33" s="106">
        <v>31.685366940000002</v>
      </c>
      <c r="BA33" s="107">
        <v>8.9891556500000007</v>
      </c>
      <c r="BB33" s="107">
        <v>7.0505403099999997</v>
      </c>
      <c r="BC33" s="23">
        <v>134.82101603642914</v>
      </c>
      <c r="BD33" s="106">
        <v>28.829399670000001</v>
      </c>
      <c r="BE33" s="107">
        <v>3.9949627099999998</v>
      </c>
      <c r="BF33" s="107">
        <v>6.90406604</v>
      </c>
      <c r="BG33" s="23">
        <v>125.27139588311354</v>
      </c>
      <c r="BH33" s="106">
        <v>29.32813904</v>
      </c>
      <c r="BI33" s="107">
        <v>9.5485425700000004</v>
      </c>
      <c r="BJ33" s="107">
        <v>9.0498031999999995</v>
      </c>
      <c r="BK33" s="23">
        <v>97.222464594589198</v>
      </c>
      <c r="BL33" s="106">
        <v>30.1119986</v>
      </c>
      <c r="BM33" s="107">
        <v>10.13352626</v>
      </c>
      <c r="BN33" s="107">
        <v>9.3496667000000002</v>
      </c>
      <c r="BO33" s="23">
        <v>96.619482489145838</v>
      </c>
      <c r="BP33" s="108">
        <v>29.51034739</v>
      </c>
      <c r="BQ33" s="108">
        <v>7.5223076799999999</v>
      </c>
      <c r="BR33" s="108">
        <v>8.1239588900000008</v>
      </c>
      <c r="BS33" s="26">
        <v>108.97524639000234</v>
      </c>
      <c r="BT33" s="106"/>
      <c r="BU33" s="107"/>
      <c r="BV33" s="107"/>
      <c r="BW33" s="23"/>
      <c r="BX33" s="106"/>
      <c r="BY33" s="107"/>
      <c r="BZ33" s="107"/>
      <c r="CA33" s="23"/>
      <c r="CB33" s="106"/>
      <c r="CC33" s="107"/>
      <c r="CD33" s="107"/>
      <c r="CE33" s="23"/>
      <c r="CF33" s="106"/>
      <c r="CG33" s="107"/>
      <c r="CH33" s="107"/>
      <c r="CI33" s="23"/>
      <c r="CJ33" s="106"/>
      <c r="CK33" s="107"/>
      <c r="CL33" s="107"/>
      <c r="CM33" s="23"/>
      <c r="CN33" s="106"/>
      <c r="CO33" s="107"/>
      <c r="CP33" s="107"/>
      <c r="CQ33" s="23"/>
      <c r="CR33" s="106"/>
      <c r="CS33" s="107"/>
      <c r="CT33" s="107"/>
      <c r="CU33" s="23"/>
    </row>
    <row r="34" spans="2:99" x14ac:dyDescent="0.3">
      <c r="B34" s="94" t="s">
        <v>11</v>
      </c>
      <c r="C34" s="95" t="s">
        <v>73</v>
      </c>
      <c r="D34" s="120">
        <v>23.839231059999999</v>
      </c>
      <c r="E34" s="121">
        <v>24.162591949999999</v>
      </c>
      <c r="F34" s="121">
        <v>16.54159748</v>
      </c>
      <c r="G34" s="122">
        <v>43.235058322795076</v>
      </c>
      <c r="H34" s="120">
        <v>35.14043255</v>
      </c>
      <c r="I34" s="121">
        <v>35.329326119999998</v>
      </c>
      <c r="J34" s="121">
        <v>24.028124630000001</v>
      </c>
      <c r="K34" s="123">
        <v>43.874126372050533</v>
      </c>
      <c r="L34" s="106">
        <v>18.01619805</v>
      </c>
      <c r="M34" s="107">
        <v>18.115744629999998</v>
      </c>
      <c r="N34" s="107">
        <v>35.239979130000002</v>
      </c>
      <c r="O34" s="22">
        <v>15.337294596746261</v>
      </c>
      <c r="P34" s="106">
        <v>30.959049830000001</v>
      </c>
      <c r="Q34" s="107">
        <v>30.271904729999999</v>
      </c>
      <c r="R34" s="107">
        <v>17.329052950000001</v>
      </c>
      <c r="S34" s="23">
        <v>53.596206185058712</v>
      </c>
      <c r="T34" s="106">
        <v>22.591247419999998</v>
      </c>
      <c r="U34" s="107">
        <v>22.774878569999998</v>
      </c>
      <c r="V34" s="107">
        <v>31.142680980000002</v>
      </c>
      <c r="W34" s="23">
        <v>21.762333918369027</v>
      </c>
      <c r="X34" s="106">
        <v>29.19671593</v>
      </c>
      <c r="Y34" s="107">
        <v>28.93480508</v>
      </c>
      <c r="Z34" s="107">
        <v>22.329336569999999</v>
      </c>
      <c r="AA34" s="23">
        <v>39.226489114629345</v>
      </c>
      <c r="AB34" s="106">
        <v>29.179564710000001</v>
      </c>
      <c r="AC34" s="107">
        <v>28.756770530000001</v>
      </c>
      <c r="AD34" s="107">
        <v>28.77392175</v>
      </c>
      <c r="AE34" s="23">
        <v>30.422927708837605</v>
      </c>
      <c r="AF34" s="106">
        <v>29.177749200000001</v>
      </c>
      <c r="AG34" s="107">
        <v>25.228757269999999</v>
      </c>
      <c r="AH34" s="107">
        <v>25.230572779999999</v>
      </c>
      <c r="AI34" s="23">
        <v>34.693325578952631</v>
      </c>
      <c r="AJ34" s="106">
        <v>41.137684540000002</v>
      </c>
      <c r="AK34" s="107">
        <v>38.203636510000003</v>
      </c>
      <c r="AL34" s="107">
        <v>26.243701170000001</v>
      </c>
      <c r="AM34" s="23">
        <v>47.025780708506673</v>
      </c>
      <c r="AN34" s="106">
        <v>36.65437944</v>
      </c>
      <c r="AO34" s="107">
        <v>33.923348429999997</v>
      </c>
      <c r="AP34" s="107">
        <v>38.40665353</v>
      </c>
      <c r="AQ34" s="23">
        <v>28.631273025155963</v>
      </c>
      <c r="AR34" s="106">
        <v>32.111801010000001</v>
      </c>
      <c r="AS34" s="107">
        <v>29.873342560000001</v>
      </c>
      <c r="AT34" s="107">
        <v>34.415920989999996</v>
      </c>
      <c r="AU34" s="23">
        <v>27.991522603155538</v>
      </c>
      <c r="AV34" s="106">
        <v>45.751468930000001</v>
      </c>
      <c r="AW34" s="107">
        <v>42.774015409999997</v>
      </c>
      <c r="AX34" s="107">
        <v>29.13434749</v>
      </c>
      <c r="AY34" s="23">
        <v>47.110856639954221</v>
      </c>
      <c r="AZ34" s="106">
        <v>50.811643230000001</v>
      </c>
      <c r="BA34" s="107">
        <v>49.579179609999997</v>
      </c>
      <c r="BB34" s="107">
        <v>44.519005319999998</v>
      </c>
      <c r="BC34" s="23">
        <v>34.240416782519439</v>
      </c>
      <c r="BD34" s="106">
        <v>33.668994550000001</v>
      </c>
      <c r="BE34" s="107">
        <v>30.38594973</v>
      </c>
      <c r="BF34" s="107">
        <v>47.528598410000001</v>
      </c>
      <c r="BG34" s="23">
        <v>21.251833007713554</v>
      </c>
      <c r="BH34" s="106">
        <v>40.020972290000003</v>
      </c>
      <c r="BI34" s="107">
        <v>39.561199309999999</v>
      </c>
      <c r="BJ34" s="107">
        <v>33.209221569999997</v>
      </c>
      <c r="BK34" s="23">
        <v>36.153487252607114</v>
      </c>
      <c r="BL34" s="106">
        <v>34.750034100000001</v>
      </c>
      <c r="BM34" s="107">
        <v>33.831875969999999</v>
      </c>
      <c r="BN34" s="107">
        <v>39.102814160000001</v>
      </c>
      <c r="BO34" s="23">
        <v>26.660511408061787</v>
      </c>
      <c r="BP34" s="108">
        <v>34.709654110000002</v>
      </c>
      <c r="BQ34" s="108">
        <v>35.087797889999997</v>
      </c>
      <c r="BR34" s="108">
        <v>35.128177880000003</v>
      </c>
      <c r="BS34" s="26">
        <v>29.642574313336404</v>
      </c>
      <c r="BT34" s="106"/>
      <c r="BU34" s="107"/>
      <c r="BV34" s="107"/>
      <c r="BW34" s="23"/>
      <c r="BX34" s="106"/>
      <c r="BY34" s="107"/>
      <c r="BZ34" s="107"/>
      <c r="CA34" s="23"/>
      <c r="CB34" s="106"/>
      <c r="CC34" s="107"/>
      <c r="CD34" s="107"/>
      <c r="CE34" s="23"/>
      <c r="CF34" s="106"/>
      <c r="CG34" s="107"/>
      <c r="CH34" s="107"/>
      <c r="CI34" s="23"/>
      <c r="CJ34" s="106"/>
      <c r="CK34" s="107"/>
      <c r="CL34" s="107"/>
      <c r="CM34" s="23"/>
      <c r="CN34" s="106"/>
      <c r="CO34" s="107"/>
      <c r="CP34" s="107"/>
      <c r="CQ34" s="23"/>
      <c r="CR34" s="106"/>
      <c r="CS34" s="107"/>
      <c r="CT34" s="107"/>
      <c r="CU34" s="23"/>
    </row>
    <row r="35" spans="2:99" x14ac:dyDescent="0.3">
      <c r="B35" s="114" t="s">
        <v>17</v>
      </c>
      <c r="C35" s="115"/>
      <c r="D35" s="116">
        <v>490.77126643999998</v>
      </c>
      <c r="E35" s="117">
        <v>325.14156638000003</v>
      </c>
      <c r="F35" s="117">
        <v>305.55688586000002</v>
      </c>
      <c r="G35" s="118">
        <v>49.79075898361755</v>
      </c>
      <c r="H35" s="116">
        <v>510.25700098999999</v>
      </c>
      <c r="I35" s="117">
        <v>350.25071417999999</v>
      </c>
      <c r="J35" s="117">
        <v>330.46507499000001</v>
      </c>
      <c r="K35" s="119">
        <v>43.233603515144033</v>
      </c>
      <c r="L35" s="116">
        <v>521.74240780000002</v>
      </c>
      <c r="M35" s="117">
        <v>345.55860096999999</v>
      </c>
      <c r="N35" s="117">
        <v>336.19945912999992</v>
      </c>
      <c r="O35" s="119">
        <v>46.556506290950509</v>
      </c>
      <c r="P35" s="116">
        <v>529.49893172999998</v>
      </c>
      <c r="Q35" s="117">
        <v>359.34426017000004</v>
      </c>
      <c r="R35" s="117">
        <v>352.41937655000004</v>
      </c>
      <c r="S35" s="118">
        <v>45.074048162179572</v>
      </c>
      <c r="T35" s="116">
        <v>548.40138504000004</v>
      </c>
      <c r="U35" s="117">
        <v>352.05886557000002</v>
      </c>
      <c r="V35" s="117">
        <v>331.01120373999998</v>
      </c>
      <c r="W35" s="118">
        <v>49.702370691122042</v>
      </c>
      <c r="X35" s="116">
        <v>560.31069163999996</v>
      </c>
      <c r="Y35" s="117">
        <v>362.80067734000005</v>
      </c>
      <c r="Z35" s="117">
        <v>347.31619097000004</v>
      </c>
      <c r="AA35" s="118">
        <v>48.397745876039302</v>
      </c>
      <c r="AB35" s="116">
        <v>547.30754016000003</v>
      </c>
      <c r="AC35" s="117">
        <v>305.78981899000007</v>
      </c>
      <c r="AD35" s="117">
        <v>317.5748226</v>
      </c>
      <c r="AE35" s="118">
        <v>51.701914120190708</v>
      </c>
      <c r="AF35" s="116">
        <v>607.57643877999999</v>
      </c>
      <c r="AG35" s="117">
        <v>276.73750762000003</v>
      </c>
      <c r="AH35" s="117">
        <v>244.60711999999995</v>
      </c>
      <c r="AI35" s="118">
        <v>74.516609178833406</v>
      </c>
      <c r="AJ35" s="116">
        <v>606.73101422000013</v>
      </c>
      <c r="AK35" s="117">
        <v>353.1485098</v>
      </c>
      <c r="AL35" s="117">
        <v>358.87112191000006</v>
      </c>
      <c r="AM35" s="118">
        <v>50.719964118942954</v>
      </c>
      <c r="AN35" s="116">
        <v>584.20533301</v>
      </c>
      <c r="AO35" s="117">
        <v>253.93028824999999</v>
      </c>
      <c r="AP35" s="117">
        <v>275.17323371000003</v>
      </c>
      <c r="AQ35" s="118">
        <v>63.691369084140263</v>
      </c>
      <c r="AR35" s="116">
        <v>590.52923419999991</v>
      </c>
      <c r="AS35" s="117">
        <v>326.90729625999995</v>
      </c>
      <c r="AT35" s="117">
        <v>314.03302943</v>
      </c>
      <c r="AU35" s="118">
        <v>56.414056375394679</v>
      </c>
      <c r="AV35" s="116">
        <v>577.87570415000005</v>
      </c>
      <c r="AW35" s="117">
        <v>253.14173204000002</v>
      </c>
      <c r="AX35" s="117">
        <v>269.24085819999999</v>
      </c>
      <c r="AY35" s="118">
        <v>64.389451290569397</v>
      </c>
      <c r="AZ35" s="116">
        <v>550.96959079999999</v>
      </c>
      <c r="BA35" s="117">
        <v>313.19382170999995</v>
      </c>
      <c r="BB35" s="117">
        <v>340.10271991000002</v>
      </c>
      <c r="BC35" s="118">
        <v>48.600280904469166</v>
      </c>
      <c r="BD35" s="116">
        <v>547.62556721999999</v>
      </c>
      <c r="BE35" s="117">
        <v>261.30846998999999</v>
      </c>
      <c r="BF35" s="117">
        <v>265.25811084999998</v>
      </c>
      <c r="BG35" s="118">
        <v>61.935022322051651</v>
      </c>
      <c r="BH35" s="116">
        <v>543.60940040000003</v>
      </c>
      <c r="BI35" s="117">
        <v>316.55786909</v>
      </c>
      <c r="BJ35" s="117">
        <v>321.71488003000002</v>
      </c>
      <c r="BK35" s="118">
        <v>50.691724332052182</v>
      </c>
      <c r="BL35" s="116">
        <v>533.3077015099999</v>
      </c>
      <c r="BM35" s="117">
        <v>295.79110422999997</v>
      </c>
      <c r="BN35" s="117">
        <v>308.84069240999997</v>
      </c>
      <c r="BO35" s="118">
        <v>51.804154823161369</v>
      </c>
      <c r="BP35" s="117">
        <v>540.45201311999995</v>
      </c>
      <c r="BQ35" s="117">
        <v>272.65158063999996</v>
      </c>
      <c r="BR35" s="117">
        <v>266.19922384</v>
      </c>
      <c r="BS35" s="118">
        <v>60.907617083606588</v>
      </c>
      <c r="BT35" s="116"/>
      <c r="BU35" s="117"/>
      <c r="BV35" s="117"/>
      <c r="BW35" s="118"/>
      <c r="BX35" s="116"/>
      <c r="BY35" s="117"/>
      <c r="BZ35" s="117"/>
      <c r="CA35" s="118"/>
      <c r="CB35" s="116"/>
      <c r="CC35" s="117"/>
      <c r="CD35" s="117"/>
      <c r="CE35" s="118"/>
      <c r="CF35" s="116"/>
      <c r="CG35" s="117"/>
      <c r="CH35" s="117"/>
      <c r="CI35" s="118"/>
      <c r="CJ35" s="116"/>
      <c r="CK35" s="117"/>
      <c r="CL35" s="117"/>
      <c r="CM35" s="118"/>
      <c r="CN35" s="116"/>
      <c r="CO35" s="117"/>
      <c r="CP35" s="117"/>
      <c r="CQ35" s="118"/>
      <c r="CR35" s="116"/>
      <c r="CS35" s="117"/>
      <c r="CT35" s="117"/>
      <c r="CU35" s="118"/>
    </row>
    <row r="36" spans="2:99" x14ac:dyDescent="0.3">
      <c r="B36" s="94" t="s">
        <v>5</v>
      </c>
      <c r="C36" s="95" t="s">
        <v>75</v>
      </c>
      <c r="D36" s="120">
        <v>192.75056332</v>
      </c>
      <c r="E36" s="121">
        <v>108.82251432</v>
      </c>
      <c r="F36" s="121">
        <v>104.08295049</v>
      </c>
      <c r="G36" s="122">
        <v>55.556811873387161</v>
      </c>
      <c r="H36" s="120">
        <v>199.44310480999999</v>
      </c>
      <c r="I36" s="121">
        <v>123.39086931</v>
      </c>
      <c r="J36" s="121">
        <v>120.02996382000001</v>
      </c>
      <c r="K36" s="123">
        <v>49.84832914948386</v>
      </c>
      <c r="L36" s="106">
        <v>222.29955752000001</v>
      </c>
      <c r="M36" s="107">
        <v>133.02459612999999</v>
      </c>
      <c r="N36" s="107">
        <v>110.16814342000001</v>
      </c>
      <c r="O36" s="22">
        <v>60.534620250206629</v>
      </c>
      <c r="P36" s="106">
        <v>231.89766334999999</v>
      </c>
      <c r="Q36" s="107">
        <v>125.00626329000001</v>
      </c>
      <c r="R36" s="107">
        <v>115.40815746</v>
      </c>
      <c r="S36" s="23">
        <v>60.281093239975199</v>
      </c>
      <c r="T36" s="106">
        <v>256.64141948000002</v>
      </c>
      <c r="U36" s="107">
        <v>131.80454911000001</v>
      </c>
      <c r="V36" s="107">
        <v>107.06079298</v>
      </c>
      <c r="W36" s="23">
        <v>71.914679221909864</v>
      </c>
      <c r="X36" s="106">
        <v>273.65780967000001</v>
      </c>
      <c r="Y36" s="107">
        <v>130.06501503999999</v>
      </c>
      <c r="Z36" s="107">
        <v>113.04862485</v>
      </c>
      <c r="AA36" s="23">
        <v>72.6212663001712</v>
      </c>
      <c r="AB36" s="106">
        <v>279.73752338000003</v>
      </c>
      <c r="AC36" s="107">
        <v>115.10932244</v>
      </c>
      <c r="AD36" s="107">
        <v>107.7877259</v>
      </c>
      <c r="AE36" s="23">
        <v>77.857897374936655</v>
      </c>
      <c r="AF36" s="106">
        <v>287.00464264999999</v>
      </c>
      <c r="AG36" s="107">
        <v>81.371246580000005</v>
      </c>
      <c r="AH36" s="107">
        <v>102.19092658</v>
      </c>
      <c r="AI36" s="23">
        <v>84.255418437365549</v>
      </c>
      <c r="AJ36" s="106">
        <v>278.38306963000002</v>
      </c>
      <c r="AK36" s="107">
        <v>134.98028196000001</v>
      </c>
      <c r="AL36" s="107">
        <v>143.60185498000001</v>
      </c>
      <c r="AM36" s="23">
        <v>58.157271645711994</v>
      </c>
      <c r="AN36" s="106">
        <v>269.30613956000002</v>
      </c>
      <c r="AO36" s="107">
        <v>96.319484489999994</v>
      </c>
      <c r="AP36" s="107">
        <v>105.39641456</v>
      </c>
      <c r="AQ36" s="23">
        <v>76.655209008089059</v>
      </c>
      <c r="AR36" s="106">
        <v>287.08916356999998</v>
      </c>
      <c r="AS36" s="107">
        <v>129.21469217000001</v>
      </c>
      <c r="AT36" s="107">
        <v>103.33990659</v>
      </c>
      <c r="AU36" s="23">
        <v>83.343165204035813</v>
      </c>
      <c r="AV36" s="106">
        <v>243.53314498</v>
      </c>
      <c r="AW36" s="107">
        <v>71.282886849999997</v>
      </c>
      <c r="AX36" s="107">
        <v>114.83890544</v>
      </c>
      <c r="AY36" s="23">
        <v>63.619505266158868</v>
      </c>
      <c r="AZ36" s="106">
        <v>222.29541374999999</v>
      </c>
      <c r="BA36" s="107">
        <v>96.270935539999996</v>
      </c>
      <c r="BB36" s="107">
        <v>117.50303972</v>
      </c>
      <c r="BC36" s="23">
        <v>56.754807606606143</v>
      </c>
      <c r="BD36" s="106">
        <v>233.69527295</v>
      </c>
      <c r="BE36" s="107">
        <v>99.484579510000003</v>
      </c>
      <c r="BF36" s="107">
        <v>88.084720309999994</v>
      </c>
      <c r="BG36" s="23">
        <v>79.592217172585819</v>
      </c>
      <c r="BH36" s="106">
        <v>230.54976651000001</v>
      </c>
      <c r="BI36" s="107">
        <v>111.62706045</v>
      </c>
      <c r="BJ36" s="107">
        <v>114.77256688999999</v>
      </c>
      <c r="BK36" s="23">
        <v>60.262597436971902</v>
      </c>
      <c r="BL36" s="106">
        <v>228.89137521999999</v>
      </c>
      <c r="BM36" s="107">
        <v>104.58693993999999</v>
      </c>
      <c r="BN36" s="107">
        <v>106.24533123000001</v>
      </c>
      <c r="BO36" s="23">
        <v>64.630992977327821</v>
      </c>
      <c r="BP36" s="108">
        <v>235.63840003999999</v>
      </c>
      <c r="BQ36" s="108">
        <v>104.03221566000001</v>
      </c>
      <c r="BR36" s="108">
        <v>97.285190839999999</v>
      </c>
      <c r="BS36" s="26">
        <v>72.664214770635283</v>
      </c>
      <c r="BT36" s="106"/>
      <c r="BU36" s="107"/>
      <c r="BV36" s="107"/>
      <c r="BW36" s="23"/>
      <c r="BX36" s="106"/>
      <c r="BY36" s="107"/>
      <c r="BZ36" s="107"/>
      <c r="CA36" s="23"/>
      <c r="CB36" s="106"/>
      <c r="CC36" s="107"/>
      <c r="CD36" s="107"/>
      <c r="CE36" s="23"/>
      <c r="CF36" s="106"/>
      <c r="CG36" s="107"/>
      <c r="CH36" s="107"/>
      <c r="CI36" s="23"/>
      <c r="CJ36" s="106"/>
      <c r="CK36" s="107"/>
      <c r="CL36" s="107"/>
      <c r="CM36" s="23"/>
      <c r="CN36" s="106"/>
      <c r="CO36" s="107"/>
      <c r="CP36" s="107"/>
      <c r="CQ36" s="23"/>
      <c r="CR36" s="106"/>
      <c r="CS36" s="107"/>
      <c r="CT36" s="107"/>
      <c r="CU36" s="23"/>
    </row>
    <row r="37" spans="2:99" x14ac:dyDescent="0.3">
      <c r="B37" s="94" t="s">
        <v>6</v>
      </c>
      <c r="C37" s="95" t="s">
        <v>74</v>
      </c>
      <c r="D37" s="120">
        <v>51.50423894</v>
      </c>
      <c r="E37" s="121">
        <v>88.051204440000006</v>
      </c>
      <c r="F37" s="121">
        <v>86.312346779999999</v>
      </c>
      <c r="G37" s="122">
        <v>17.901577536042986</v>
      </c>
      <c r="H37" s="120">
        <v>53.84822621</v>
      </c>
      <c r="I37" s="121">
        <v>83.270595130000004</v>
      </c>
      <c r="J37" s="121">
        <v>82.795485439999993</v>
      </c>
      <c r="K37" s="123">
        <v>19.511290714886592</v>
      </c>
      <c r="L37" s="106">
        <v>55.203005140000002</v>
      </c>
      <c r="M37" s="107">
        <v>91.277190099999999</v>
      </c>
      <c r="N37" s="107">
        <v>94.057279879999996</v>
      </c>
      <c r="O37" s="22">
        <v>17.607251201745044</v>
      </c>
      <c r="P37" s="106">
        <v>55.898403100000003</v>
      </c>
      <c r="Q37" s="107">
        <v>94.121699649999996</v>
      </c>
      <c r="R37" s="107">
        <v>97.787924790000005</v>
      </c>
      <c r="S37" s="23">
        <v>17.1488667604028</v>
      </c>
      <c r="T37" s="106">
        <v>54.275152640000002</v>
      </c>
      <c r="U37" s="107">
        <v>95.135514619999995</v>
      </c>
      <c r="V37" s="107">
        <v>95.525237759999996</v>
      </c>
      <c r="W37" s="23">
        <v>17.045281617522562</v>
      </c>
      <c r="X37" s="106">
        <v>58.41349512</v>
      </c>
      <c r="Y37" s="107">
        <v>102.90062373000001</v>
      </c>
      <c r="Z37" s="107">
        <v>98.762281250000001</v>
      </c>
      <c r="AA37" s="23">
        <v>17.743665207206824</v>
      </c>
      <c r="AB37" s="106">
        <v>40.854897149999999</v>
      </c>
      <c r="AC37" s="107">
        <v>79.407280459999996</v>
      </c>
      <c r="AD37" s="107">
        <v>98.961803040000007</v>
      </c>
      <c r="AE37" s="23">
        <v>12.385050361345961</v>
      </c>
      <c r="AF37" s="106">
        <v>47.926973220000001</v>
      </c>
      <c r="AG37" s="107">
        <v>58.237559879999999</v>
      </c>
      <c r="AH37" s="107">
        <v>52.479853540000001</v>
      </c>
      <c r="AI37" s="23">
        <v>27.397355358549273</v>
      </c>
      <c r="AJ37" s="106">
        <v>51.516691780000002</v>
      </c>
      <c r="AK37" s="107">
        <v>93.485225540000002</v>
      </c>
      <c r="AL37" s="107">
        <v>94.796085759999997</v>
      </c>
      <c r="AM37" s="23">
        <v>16.303423722713845</v>
      </c>
      <c r="AN37" s="106">
        <v>52.067955169999998</v>
      </c>
      <c r="AO37" s="107">
        <v>68.929038520000006</v>
      </c>
      <c r="AP37" s="107">
        <v>70.448537479999999</v>
      </c>
      <c r="AQ37" s="23">
        <v>22.172762004370284</v>
      </c>
      <c r="AR37" s="106">
        <v>31.211578840000001</v>
      </c>
      <c r="AS37" s="107">
        <v>81.851347050000001</v>
      </c>
      <c r="AT37" s="107">
        <v>104.20706989999999</v>
      </c>
      <c r="AU37" s="23">
        <v>8.9854495102735825</v>
      </c>
      <c r="AV37" s="106">
        <v>40.067420060000003</v>
      </c>
      <c r="AW37" s="107">
        <v>61.623203850000003</v>
      </c>
      <c r="AX37" s="107">
        <v>54.083392089999997</v>
      </c>
      <c r="AY37" s="23">
        <v>22.22535524028741</v>
      </c>
      <c r="AZ37" s="106">
        <v>75.257048670000003</v>
      </c>
      <c r="BA37" s="107">
        <v>121.17360103999999</v>
      </c>
      <c r="BB37" s="107">
        <v>85.983972429999994</v>
      </c>
      <c r="BC37" s="23">
        <v>26.257352344799084</v>
      </c>
      <c r="BD37" s="106">
        <v>63.583487230000003</v>
      </c>
      <c r="BE37" s="107">
        <v>70.484666599999997</v>
      </c>
      <c r="BF37" s="107">
        <v>82.816118880000005</v>
      </c>
      <c r="BG37" s="23">
        <v>23.033011480095574</v>
      </c>
      <c r="BH37" s="106">
        <v>64.786640000000006</v>
      </c>
      <c r="BI37" s="107">
        <v>81.233880330000005</v>
      </c>
      <c r="BJ37" s="107">
        <v>83.404654840000006</v>
      </c>
      <c r="BK37" s="23">
        <v>23.303246128510683</v>
      </c>
      <c r="BL37" s="106">
        <v>71.406871449999997</v>
      </c>
      <c r="BM37" s="107">
        <v>94.090251069999994</v>
      </c>
      <c r="BN37" s="107">
        <v>90.231124199999996</v>
      </c>
      <c r="BO37" s="23">
        <v>23.741321661378571</v>
      </c>
      <c r="BP37" s="108">
        <v>65.150644779999993</v>
      </c>
      <c r="BQ37" s="108">
        <v>75.01463296</v>
      </c>
      <c r="BR37" s="108">
        <v>81.967199350000001</v>
      </c>
      <c r="BS37" s="26">
        <v>23.845139993794355</v>
      </c>
      <c r="BT37" s="106"/>
      <c r="BU37" s="107"/>
      <c r="BV37" s="107"/>
      <c r="BW37" s="23"/>
      <c r="BX37" s="106"/>
      <c r="BY37" s="107"/>
      <c r="BZ37" s="107"/>
      <c r="CA37" s="23"/>
      <c r="CB37" s="106"/>
      <c r="CC37" s="107"/>
      <c r="CD37" s="107"/>
      <c r="CE37" s="23"/>
      <c r="CF37" s="106"/>
      <c r="CG37" s="107"/>
      <c r="CH37" s="107"/>
      <c r="CI37" s="23"/>
      <c r="CJ37" s="106"/>
      <c r="CK37" s="107"/>
      <c r="CL37" s="107"/>
      <c r="CM37" s="23"/>
      <c r="CN37" s="106"/>
      <c r="CO37" s="107"/>
      <c r="CP37" s="107"/>
      <c r="CQ37" s="23"/>
      <c r="CR37" s="106"/>
      <c r="CS37" s="107"/>
      <c r="CT37" s="107"/>
      <c r="CU37" s="23"/>
    </row>
    <row r="38" spans="2:99" x14ac:dyDescent="0.3">
      <c r="B38" s="94" t="s">
        <v>7</v>
      </c>
      <c r="C38" s="95" t="s">
        <v>74</v>
      </c>
      <c r="D38" s="120">
        <v>3.4184979000000002</v>
      </c>
      <c r="E38" s="121">
        <v>4.9687791199999998</v>
      </c>
      <c r="F38" s="121">
        <v>7.3258739000000004</v>
      </c>
      <c r="G38" s="122">
        <v>13.999003859457641</v>
      </c>
      <c r="H38" s="120">
        <v>7.4092612500000001</v>
      </c>
      <c r="I38" s="121">
        <v>14.501403549999999</v>
      </c>
      <c r="J38" s="121">
        <v>10.510640199999999</v>
      </c>
      <c r="K38" s="123">
        <v>21.147887594896456</v>
      </c>
      <c r="L38" s="106">
        <v>3.27485084</v>
      </c>
      <c r="M38" s="107">
        <v>3.2671077199999998</v>
      </c>
      <c r="N38" s="107">
        <v>7.4015181300000004</v>
      </c>
      <c r="O38" s="22">
        <v>13.273699189060826</v>
      </c>
      <c r="P38" s="106">
        <v>10.593148019999999</v>
      </c>
      <c r="Q38" s="107">
        <v>11.95127345</v>
      </c>
      <c r="R38" s="107">
        <v>4.6329762700000003</v>
      </c>
      <c r="S38" s="23">
        <v>68.594014318143692</v>
      </c>
      <c r="T38" s="106">
        <v>11.06089721</v>
      </c>
      <c r="U38" s="107">
        <v>11.09171679</v>
      </c>
      <c r="V38" s="107">
        <v>10.6239676</v>
      </c>
      <c r="W38" s="23">
        <v>31.233803489762149</v>
      </c>
      <c r="X38" s="106">
        <v>6.4642839199999997</v>
      </c>
      <c r="Y38" s="107">
        <v>8.4712803900000004</v>
      </c>
      <c r="Z38" s="107">
        <v>13.067893679999999</v>
      </c>
      <c r="AA38" s="23">
        <v>14.840074640093032</v>
      </c>
      <c r="AB38" s="106">
        <v>4.2280832400000001</v>
      </c>
      <c r="AC38" s="107">
        <v>9.4786685199999994</v>
      </c>
      <c r="AD38" s="107">
        <v>11.714869200000001</v>
      </c>
      <c r="AE38" s="23">
        <v>10.827478739583366</v>
      </c>
      <c r="AF38" s="106">
        <v>15.295893469999999</v>
      </c>
      <c r="AG38" s="107">
        <v>18.353863390000001</v>
      </c>
      <c r="AH38" s="107">
        <v>7.2860531599999998</v>
      </c>
      <c r="AI38" s="23">
        <v>62.98016141567652</v>
      </c>
      <c r="AJ38" s="106">
        <v>12.462413140000001</v>
      </c>
      <c r="AK38" s="107">
        <v>3.3959751499999999</v>
      </c>
      <c r="AL38" s="107">
        <v>6.2294554800000004</v>
      </c>
      <c r="AM38" s="23">
        <v>60.016865904305334</v>
      </c>
      <c r="AN38" s="106">
        <v>6.3163444000000002</v>
      </c>
      <c r="AO38" s="107">
        <v>0</v>
      </c>
      <c r="AP38" s="107">
        <v>6.1460687399999996</v>
      </c>
      <c r="AQ38" s="23">
        <v>30.831144267351625</v>
      </c>
      <c r="AR38" s="106">
        <v>3.8179334900000002</v>
      </c>
      <c r="AS38" s="107">
        <v>6.0864782100000001</v>
      </c>
      <c r="AT38" s="107">
        <v>8.5848891199999997</v>
      </c>
      <c r="AU38" s="23">
        <v>13.341815263887765</v>
      </c>
      <c r="AV38" s="106">
        <v>1.6798522</v>
      </c>
      <c r="AW38" s="107">
        <v>4.2581021200000002</v>
      </c>
      <c r="AX38" s="107">
        <v>6.3961834099999999</v>
      </c>
      <c r="AY38" s="23">
        <v>7.8790057710368249</v>
      </c>
      <c r="AZ38" s="106">
        <v>0</v>
      </c>
      <c r="BA38" s="107">
        <v>2.03018966</v>
      </c>
      <c r="BB38" s="107">
        <v>3.71004186</v>
      </c>
      <c r="BC38" s="23">
        <v>0</v>
      </c>
      <c r="BD38" s="106">
        <v>2.0288771200000002</v>
      </c>
      <c r="BE38" s="107">
        <v>2.0288771200000002</v>
      </c>
      <c r="BF38" s="107">
        <v>0</v>
      </c>
      <c r="BG38" s="23" t="e">
        <v>#DIV/0!</v>
      </c>
      <c r="BH38" s="106">
        <v>7.6060162399999998</v>
      </c>
      <c r="BI38" s="107">
        <v>25.38201712</v>
      </c>
      <c r="BJ38" s="107">
        <v>19.804877999999999</v>
      </c>
      <c r="BK38" s="23">
        <v>11.521428569264604</v>
      </c>
      <c r="BL38" s="106">
        <v>1.6592881900000001</v>
      </c>
      <c r="BM38" s="107">
        <v>0</v>
      </c>
      <c r="BN38" s="107">
        <v>5.9467280499999999</v>
      </c>
      <c r="BO38" s="23">
        <v>8.3707620865561534</v>
      </c>
      <c r="BP38" s="108">
        <v>2.8969856799999998</v>
      </c>
      <c r="BQ38" s="108">
        <v>7.1327832200000003</v>
      </c>
      <c r="BR38" s="108">
        <v>5.8950857299999999</v>
      </c>
      <c r="BS38" s="26">
        <v>14.742715268366419</v>
      </c>
      <c r="BT38" s="106"/>
      <c r="BU38" s="107"/>
      <c r="BV38" s="107"/>
      <c r="BW38" s="23"/>
      <c r="BX38" s="106"/>
      <c r="BY38" s="107"/>
      <c r="BZ38" s="107"/>
      <c r="CA38" s="23"/>
      <c r="CB38" s="106"/>
      <c r="CC38" s="107"/>
      <c r="CD38" s="107"/>
      <c r="CE38" s="23"/>
      <c r="CF38" s="106"/>
      <c r="CG38" s="107"/>
      <c r="CH38" s="107"/>
      <c r="CI38" s="23"/>
      <c r="CJ38" s="106"/>
      <c r="CK38" s="107"/>
      <c r="CL38" s="107"/>
      <c r="CM38" s="23"/>
      <c r="CN38" s="106"/>
      <c r="CO38" s="107"/>
      <c r="CP38" s="107"/>
      <c r="CQ38" s="23"/>
      <c r="CR38" s="106"/>
      <c r="CS38" s="107"/>
      <c r="CT38" s="107"/>
      <c r="CU38" s="23"/>
    </row>
    <row r="39" spans="2:99" x14ac:dyDescent="0.3">
      <c r="B39" s="94" t="s">
        <v>9</v>
      </c>
      <c r="C39" s="95" t="s">
        <v>74</v>
      </c>
      <c r="D39" s="120">
        <v>158.83288315999999</v>
      </c>
      <c r="E39" s="121">
        <v>78.826343649999998</v>
      </c>
      <c r="F39" s="121">
        <v>48.423558739999997</v>
      </c>
      <c r="G39" s="122">
        <v>98.402236819986356</v>
      </c>
      <c r="H39" s="120">
        <v>156.94273802000001</v>
      </c>
      <c r="I39" s="121">
        <v>70.386505279999994</v>
      </c>
      <c r="J39" s="121">
        <v>66.776156459999996</v>
      </c>
      <c r="K39" s="123">
        <v>70.508432802962204</v>
      </c>
      <c r="L39" s="106">
        <v>151.32771424000001</v>
      </c>
      <c r="M39" s="107">
        <v>64.911248720000003</v>
      </c>
      <c r="N39" s="107">
        <v>68.517668760000007</v>
      </c>
      <c r="O39" s="22">
        <v>66.257820929399642</v>
      </c>
      <c r="P39" s="106">
        <v>129.84035538000001</v>
      </c>
      <c r="Q39" s="107">
        <v>62.317833159999999</v>
      </c>
      <c r="R39" s="107">
        <v>80.275209230000002</v>
      </c>
      <c r="S39" s="23">
        <v>48.5232078341853</v>
      </c>
      <c r="T39" s="106">
        <v>138.39892417999999</v>
      </c>
      <c r="U39" s="107">
        <v>65.873798129999997</v>
      </c>
      <c r="V39" s="107">
        <v>56.403548129999997</v>
      </c>
      <c r="W39" s="23">
        <v>73.611818104606883</v>
      </c>
      <c r="X39" s="106">
        <v>151.54104634000001</v>
      </c>
      <c r="Y39" s="107">
        <v>80.961362460000004</v>
      </c>
      <c r="Z39" s="107">
        <v>64.339222770000006</v>
      </c>
      <c r="AA39" s="23">
        <v>70.660340527455205</v>
      </c>
      <c r="AB39" s="106">
        <v>159.78113725</v>
      </c>
      <c r="AC39" s="107">
        <v>65.700761400000005</v>
      </c>
      <c r="AD39" s="107">
        <v>55.48879084</v>
      </c>
      <c r="AE39" s="23">
        <v>86.385629330466045</v>
      </c>
      <c r="AF39" s="106">
        <v>181.28390758</v>
      </c>
      <c r="AG39" s="107">
        <v>69.291575409999993</v>
      </c>
      <c r="AH39" s="107">
        <v>46.528402640000003</v>
      </c>
      <c r="AI39" s="23">
        <v>116.88596467579055</v>
      </c>
      <c r="AJ39" s="106">
        <v>188.83634420000001</v>
      </c>
      <c r="AK39" s="107">
        <v>69.394062320000003</v>
      </c>
      <c r="AL39" s="107">
        <v>61.81823447</v>
      </c>
      <c r="AM39" s="23">
        <v>91.64108898563309</v>
      </c>
      <c r="AN39" s="106">
        <v>184.58211603000001</v>
      </c>
      <c r="AO39" s="107">
        <v>44.381088570000003</v>
      </c>
      <c r="AP39" s="107">
        <v>45.281818639999997</v>
      </c>
      <c r="AQ39" s="23">
        <v>122.28889314106399</v>
      </c>
      <c r="AR39" s="106">
        <v>204.447203</v>
      </c>
      <c r="AS39" s="107">
        <v>69.231649050000001</v>
      </c>
      <c r="AT39" s="107">
        <v>49.41016149</v>
      </c>
      <c r="AU39" s="23">
        <v>124.13268657786773</v>
      </c>
      <c r="AV39" s="106">
        <v>200.41692495000001</v>
      </c>
      <c r="AW39" s="107">
        <v>52.234431200000003</v>
      </c>
      <c r="AX39" s="107">
        <v>58.456658240000003</v>
      </c>
      <c r="AY39" s="23">
        <v>102.85411327850819</v>
      </c>
      <c r="AZ39" s="106">
        <v>191.85562171000001</v>
      </c>
      <c r="BA39" s="107">
        <v>52.996956640000001</v>
      </c>
      <c r="BB39" s="107">
        <v>61.566805279999997</v>
      </c>
      <c r="BC39" s="23">
        <v>93.486557002978543</v>
      </c>
      <c r="BD39" s="106">
        <v>181.40381356</v>
      </c>
      <c r="BE39" s="107">
        <v>43.478189550000003</v>
      </c>
      <c r="BF39" s="107">
        <v>53.877724139999998</v>
      </c>
      <c r="BG39" s="23">
        <v>101.00861708001611</v>
      </c>
      <c r="BH39" s="106">
        <v>173.66754047000001</v>
      </c>
      <c r="BI39" s="107">
        <v>51.821737890000001</v>
      </c>
      <c r="BJ39" s="107">
        <v>57.324927819999999</v>
      </c>
      <c r="BK39" s="23">
        <v>90.885874823243697</v>
      </c>
      <c r="BL39" s="106">
        <v>173.18066142999999</v>
      </c>
      <c r="BM39" s="107">
        <v>58.45699424</v>
      </c>
      <c r="BN39" s="107">
        <v>58.93065799</v>
      </c>
      <c r="BO39" s="23">
        <v>88.161578711400352</v>
      </c>
      <c r="BP39" s="108">
        <v>177.46611297000001</v>
      </c>
      <c r="BQ39" s="108">
        <v>48.346987509999998</v>
      </c>
      <c r="BR39" s="108">
        <v>44.057151060000002</v>
      </c>
      <c r="BS39" s="26">
        <v>120.84266142968347</v>
      </c>
      <c r="BT39" s="106"/>
      <c r="BU39" s="107"/>
      <c r="BV39" s="107"/>
      <c r="BW39" s="23"/>
      <c r="BX39" s="106"/>
      <c r="BY39" s="107"/>
      <c r="BZ39" s="107"/>
      <c r="CA39" s="23"/>
      <c r="CB39" s="106"/>
      <c r="CC39" s="107"/>
      <c r="CD39" s="107"/>
      <c r="CE39" s="23"/>
      <c r="CF39" s="106"/>
      <c r="CG39" s="107"/>
      <c r="CH39" s="107"/>
      <c r="CI39" s="23"/>
      <c r="CJ39" s="106"/>
      <c r="CK39" s="107"/>
      <c r="CL39" s="107"/>
      <c r="CM39" s="23"/>
      <c r="CN39" s="106"/>
      <c r="CO39" s="107"/>
      <c r="CP39" s="107"/>
      <c r="CQ39" s="23"/>
      <c r="CR39" s="106"/>
      <c r="CS39" s="107"/>
      <c r="CT39" s="107"/>
      <c r="CU39" s="23"/>
    </row>
    <row r="40" spans="2:99" x14ac:dyDescent="0.3">
      <c r="B40" s="94" t="s">
        <v>10</v>
      </c>
      <c r="C40" s="95" t="s">
        <v>74</v>
      </c>
      <c r="D40" s="120">
        <v>36.436827010000002</v>
      </c>
      <c r="E40" s="121">
        <v>4.6416718899999996</v>
      </c>
      <c r="F40" s="121">
        <v>3.2727164599999998</v>
      </c>
      <c r="G40" s="122">
        <v>334.00535110823506</v>
      </c>
      <c r="H40" s="120">
        <v>41.02255589</v>
      </c>
      <c r="I40" s="121">
        <v>8.1525751799999995</v>
      </c>
      <c r="J40" s="121">
        <v>3.5669220400000001</v>
      </c>
      <c r="K40" s="123">
        <v>345.02483174541146</v>
      </c>
      <c r="L40" s="106">
        <v>39.74283741</v>
      </c>
      <c r="M40" s="107">
        <v>3.7282144399999999</v>
      </c>
      <c r="N40" s="107">
        <v>5.00793292</v>
      </c>
      <c r="O40" s="22">
        <v>238.07929166511281</v>
      </c>
      <c r="P40" s="106">
        <v>38.005075720000001</v>
      </c>
      <c r="Q40" s="107">
        <v>2.6907671500000001</v>
      </c>
      <c r="R40" s="107">
        <v>4.4285288400000002</v>
      </c>
      <c r="S40" s="23">
        <v>257.45621464666806</v>
      </c>
      <c r="T40" s="106">
        <v>34.516423539999998</v>
      </c>
      <c r="U40" s="107">
        <v>2.4588315399999998</v>
      </c>
      <c r="V40" s="107">
        <v>5.9474837200000001</v>
      </c>
      <c r="W40" s="23">
        <v>174.10601776308854</v>
      </c>
      <c r="X40" s="106">
        <v>30.94150136</v>
      </c>
      <c r="Y40" s="107">
        <v>4.27734799</v>
      </c>
      <c r="Z40" s="107">
        <v>7.7571079300000001</v>
      </c>
      <c r="AA40" s="23">
        <v>119.66380372381902</v>
      </c>
      <c r="AB40" s="106">
        <v>27.7349122</v>
      </c>
      <c r="AC40" s="107">
        <v>3.79676488</v>
      </c>
      <c r="AD40" s="107">
        <v>7.0030440399999998</v>
      </c>
      <c r="AE40" s="23">
        <v>118.81224239737895</v>
      </c>
      <c r="AF40" s="106">
        <v>27.79131344</v>
      </c>
      <c r="AG40" s="107">
        <v>3.5220108099999998</v>
      </c>
      <c r="AH40" s="107">
        <v>3.4633540100000002</v>
      </c>
      <c r="AI40" s="23">
        <v>240.73178796989336</v>
      </c>
      <c r="AJ40" s="106">
        <v>26.868837930000002</v>
      </c>
      <c r="AK40" s="107">
        <v>4.7081281600000002</v>
      </c>
      <c r="AL40" s="107">
        <v>5.6306036700000002</v>
      </c>
      <c r="AM40" s="23">
        <v>143.15785396062159</v>
      </c>
      <c r="AN40" s="106">
        <v>26.864910290000001</v>
      </c>
      <c r="AO40" s="107">
        <v>3.42048664</v>
      </c>
      <c r="AP40" s="107">
        <v>3.4244142800000001</v>
      </c>
      <c r="AQ40" s="23">
        <v>235.35333134401017</v>
      </c>
      <c r="AR40" s="106">
        <v>24.91106989</v>
      </c>
      <c r="AS40" s="107">
        <v>2.1280152499999998</v>
      </c>
      <c r="AT40" s="107">
        <v>4.0803056499999997</v>
      </c>
      <c r="AU40" s="23">
        <v>183.15591056272956</v>
      </c>
      <c r="AV40" s="106">
        <v>24.809250110000001</v>
      </c>
      <c r="AW40" s="107">
        <v>2.7720510799999998</v>
      </c>
      <c r="AX40" s="107">
        <v>2.8114885200000002</v>
      </c>
      <c r="AY40" s="23">
        <v>264.72720696010521</v>
      </c>
      <c r="AZ40" s="106">
        <v>23.857664580000002</v>
      </c>
      <c r="BA40" s="107">
        <v>3.0182967399999998</v>
      </c>
      <c r="BB40" s="107">
        <v>3.9697487699999998</v>
      </c>
      <c r="BC40" s="23">
        <v>180.29602850661001</v>
      </c>
      <c r="BD40" s="106">
        <v>25.234391779999999</v>
      </c>
      <c r="BE40" s="107">
        <v>4.5552260200000001</v>
      </c>
      <c r="BF40" s="107">
        <v>3.1784988200000002</v>
      </c>
      <c r="BG40" s="23">
        <v>238.17273381904226</v>
      </c>
      <c r="BH40" s="106">
        <v>24.195642880000001</v>
      </c>
      <c r="BI40" s="107">
        <v>3.6893790000000002</v>
      </c>
      <c r="BJ40" s="107">
        <v>4.7281278999999996</v>
      </c>
      <c r="BK40" s="23">
        <v>153.52149978853154</v>
      </c>
      <c r="BL40" s="106">
        <v>24.167313149999998</v>
      </c>
      <c r="BM40" s="107">
        <v>4.6974090200000003</v>
      </c>
      <c r="BN40" s="107">
        <v>4.7257387499999997</v>
      </c>
      <c r="BO40" s="23">
        <v>153.41927111396078</v>
      </c>
      <c r="BP40" s="108">
        <v>24.588811700000001</v>
      </c>
      <c r="BQ40" s="108">
        <v>4.9175341399999999</v>
      </c>
      <c r="BR40" s="108">
        <v>4.49603559</v>
      </c>
      <c r="BS40" s="26">
        <v>164.06995368112734</v>
      </c>
      <c r="BT40" s="106"/>
      <c r="BU40" s="107"/>
      <c r="BV40" s="107"/>
      <c r="BW40" s="23"/>
      <c r="BX40" s="106"/>
      <c r="BY40" s="107"/>
      <c r="BZ40" s="107"/>
      <c r="CA40" s="23"/>
      <c r="CB40" s="106"/>
      <c r="CC40" s="107"/>
      <c r="CD40" s="107"/>
      <c r="CE40" s="23"/>
      <c r="CF40" s="106"/>
      <c r="CG40" s="107"/>
      <c r="CH40" s="107"/>
      <c r="CI40" s="23"/>
      <c r="CJ40" s="106"/>
      <c r="CK40" s="107"/>
      <c r="CL40" s="107"/>
      <c r="CM40" s="23"/>
      <c r="CN40" s="106"/>
      <c r="CO40" s="107"/>
      <c r="CP40" s="107"/>
      <c r="CQ40" s="23"/>
      <c r="CR40" s="106"/>
      <c r="CS40" s="107"/>
      <c r="CT40" s="107"/>
      <c r="CU40" s="23"/>
    </row>
    <row r="41" spans="2:99" x14ac:dyDescent="0.3">
      <c r="B41" s="94" t="s">
        <v>11</v>
      </c>
      <c r="C41" s="95" t="s">
        <v>74</v>
      </c>
      <c r="D41" s="120">
        <v>47.828256109999998</v>
      </c>
      <c r="E41" s="121">
        <v>39.831052960000001</v>
      </c>
      <c r="F41" s="121">
        <v>56.139439490000001</v>
      </c>
      <c r="G41" s="122">
        <v>25.558639279887828</v>
      </c>
      <c r="H41" s="120">
        <v>51.591114810000001</v>
      </c>
      <c r="I41" s="121">
        <v>50.54876573</v>
      </c>
      <c r="J41" s="121">
        <v>46.785907029999997</v>
      </c>
      <c r="K41" s="123">
        <v>33.08118924161424</v>
      </c>
      <c r="L41" s="106">
        <v>49.894442650000002</v>
      </c>
      <c r="M41" s="107">
        <v>49.350243859999999</v>
      </c>
      <c r="N41" s="107">
        <v>51.046916019999998</v>
      </c>
      <c r="O41" s="22">
        <v>29.322697553629805</v>
      </c>
      <c r="P41" s="106">
        <v>63.264286159999997</v>
      </c>
      <c r="Q41" s="107">
        <v>63.256423470000001</v>
      </c>
      <c r="R41" s="107">
        <v>49.886579959999999</v>
      </c>
      <c r="S41" s="23">
        <v>38.044872715704201</v>
      </c>
      <c r="T41" s="106">
        <v>53.508567990000003</v>
      </c>
      <c r="U41" s="107">
        <v>45.694455380000001</v>
      </c>
      <c r="V41" s="107">
        <v>55.450173550000002</v>
      </c>
      <c r="W41" s="23">
        <v>28.949540405901939</v>
      </c>
      <c r="X41" s="106">
        <v>39.292555229999998</v>
      </c>
      <c r="Y41" s="107">
        <v>36.125047729999999</v>
      </c>
      <c r="Z41" s="107">
        <v>50.341060489999997</v>
      </c>
      <c r="AA41" s="23">
        <v>23.415808992227291</v>
      </c>
      <c r="AB41" s="106">
        <v>34.970986940000003</v>
      </c>
      <c r="AC41" s="107">
        <v>32.297021290000004</v>
      </c>
      <c r="AD41" s="107">
        <v>36.618589579999998</v>
      </c>
      <c r="AE41" s="23">
        <v>28.650191616691977</v>
      </c>
      <c r="AF41" s="106">
        <v>48.273708419999998</v>
      </c>
      <c r="AG41" s="107">
        <v>45.96125155</v>
      </c>
      <c r="AH41" s="107">
        <v>32.658530069999998</v>
      </c>
      <c r="AI41" s="23">
        <v>44.344042720107645</v>
      </c>
      <c r="AJ41" s="106">
        <v>48.663657540000003</v>
      </c>
      <c r="AK41" s="107">
        <v>47.184836670000003</v>
      </c>
      <c r="AL41" s="107">
        <v>46.794887549999999</v>
      </c>
      <c r="AM41" s="23">
        <v>31.198060357343465</v>
      </c>
      <c r="AN41" s="106">
        <v>45.067867560000003</v>
      </c>
      <c r="AO41" s="107">
        <v>40.880190030000001</v>
      </c>
      <c r="AP41" s="107">
        <v>44.475980010000001</v>
      </c>
      <c r="AQ41" s="23">
        <v>30.399240814840006</v>
      </c>
      <c r="AR41" s="106">
        <v>39.052285410000003</v>
      </c>
      <c r="AS41" s="107">
        <v>38.395114530000001</v>
      </c>
      <c r="AT41" s="107">
        <v>44.410696680000001</v>
      </c>
      <c r="AU41" s="23">
        <v>26.380323883268566</v>
      </c>
      <c r="AV41" s="106">
        <v>67.369111849999996</v>
      </c>
      <c r="AW41" s="107">
        <v>60.971056939999997</v>
      </c>
      <c r="AX41" s="107">
        <v>32.654230499999997</v>
      </c>
      <c r="AY41" s="23">
        <v>61.893155176325465</v>
      </c>
      <c r="AZ41" s="106">
        <v>37.703842090000002</v>
      </c>
      <c r="BA41" s="107">
        <v>37.703842090000002</v>
      </c>
      <c r="BB41" s="107">
        <v>67.369111849999996</v>
      </c>
      <c r="BC41" s="23">
        <v>16.789820017495156</v>
      </c>
      <c r="BD41" s="106">
        <v>41.679724579999998</v>
      </c>
      <c r="BE41" s="107">
        <v>41.276931189999999</v>
      </c>
      <c r="BF41" s="107">
        <v>37.301048700000003</v>
      </c>
      <c r="BG41" s="23">
        <v>33.521624216425849</v>
      </c>
      <c r="BH41" s="106">
        <v>42.8037943</v>
      </c>
      <c r="BI41" s="107">
        <v>42.8037943</v>
      </c>
      <c r="BJ41" s="107">
        <v>41.679724579999998</v>
      </c>
      <c r="BK41" s="23">
        <v>30.80907664193591</v>
      </c>
      <c r="BL41" s="106">
        <v>34.00219207</v>
      </c>
      <c r="BM41" s="107">
        <v>33.959509959999998</v>
      </c>
      <c r="BN41" s="107">
        <v>42.761112189999999</v>
      </c>
      <c r="BO41" s="23">
        <v>23.854986689016705</v>
      </c>
      <c r="BP41" s="108">
        <v>34.711057949999997</v>
      </c>
      <c r="BQ41" s="108">
        <v>33.207427150000001</v>
      </c>
      <c r="BR41" s="108">
        <v>32.498561270000003</v>
      </c>
      <c r="BS41" s="26">
        <v>32.042395041692863</v>
      </c>
      <c r="BT41" s="106"/>
      <c r="BU41" s="107"/>
      <c r="BV41" s="107"/>
      <c r="BW41" s="23"/>
      <c r="BX41" s="106"/>
      <c r="BY41" s="107"/>
      <c r="BZ41" s="107"/>
      <c r="CA41" s="23"/>
      <c r="CB41" s="106"/>
      <c r="CC41" s="107"/>
      <c r="CD41" s="107"/>
      <c r="CE41" s="23"/>
      <c r="CF41" s="106"/>
      <c r="CG41" s="107"/>
      <c r="CH41" s="107"/>
      <c r="CI41" s="23"/>
      <c r="CJ41" s="106"/>
      <c r="CK41" s="107"/>
      <c r="CL41" s="107"/>
      <c r="CM41" s="23"/>
      <c r="CN41" s="106"/>
      <c r="CO41" s="107"/>
      <c r="CP41" s="107"/>
      <c r="CQ41" s="23"/>
      <c r="CR41" s="106"/>
      <c r="CS41" s="107"/>
      <c r="CT41" s="107"/>
      <c r="CU41" s="23"/>
    </row>
    <row r="42" spans="2:99" ht="17.25" thickBot="1" x14ac:dyDescent="0.35">
      <c r="B42" s="87" t="s">
        <v>18</v>
      </c>
      <c r="C42" s="88"/>
      <c r="D42" s="89">
        <v>314.96643756999998</v>
      </c>
      <c r="E42" s="90">
        <v>111.94350655</v>
      </c>
      <c r="F42" s="90">
        <v>96.12679163</v>
      </c>
      <c r="G42" s="92">
        <v>101.57375898128682</v>
      </c>
      <c r="H42" s="89">
        <v>332.15499675000001</v>
      </c>
      <c r="I42" s="90">
        <v>117.22694905</v>
      </c>
      <c r="J42" s="90">
        <v>100.29423762</v>
      </c>
      <c r="K42" s="91">
        <v>92.730550923948485</v>
      </c>
      <c r="L42" s="89">
        <v>321.58878663999997</v>
      </c>
      <c r="M42" s="90">
        <v>94.417898830000013</v>
      </c>
      <c r="N42" s="90">
        <v>104.97966909</v>
      </c>
      <c r="O42" s="91">
        <v>91.900304914554184</v>
      </c>
      <c r="P42" s="89">
        <v>316.66490238</v>
      </c>
      <c r="Q42" s="90">
        <v>138.54095293</v>
      </c>
      <c r="R42" s="90">
        <v>143.46483720000001</v>
      </c>
      <c r="S42" s="92">
        <v>66.217947594757376</v>
      </c>
      <c r="T42" s="89">
        <v>338.44009595999995</v>
      </c>
      <c r="U42" s="90">
        <v>136.01246596999999</v>
      </c>
      <c r="V42" s="90">
        <v>114.25375160000002</v>
      </c>
      <c r="W42" s="92">
        <v>88.865378480928555</v>
      </c>
      <c r="X42" s="89">
        <v>346.16512089999998</v>
      </c>
      <c r="Y42" s="90">
        <v>110.50673581999999</v>
      </c>
      <c r="Z42" s="90">
        <v>103.03228931999999</v>
      </c>
      <c r="AA42" s="92">
        <v>100.79319498323655</v>
      </c>
      <c r="AB42" s="89">
        <v>335.71633725999999</v>
      </c>
      <c r="AC42" s="90">
        <v>119.21863491999999</v>
      </c>
      <c r="AD42" s="90">
        <v>129.66389719</v>
      </c>
      <c r="AE42" s="92">
        <v>77.673819282494449</v>
      </c>
      <c r="AF42" s="89">
        <v>355.76503452999998</v>
      </c>
      <c r="AG42" s="90">
        <v>95.769209459999999</v>
      </c>
      <c r="AH42" s="90">
        <v>75.720512199999988</v>
      </c>
      <c r="AI42" s="92">
        <v>140.95191284112843</v>
      </c>
      <c r="AJ42" s="89">
        <v>354.90808124999995</v>
      </c>
      <c r="AK42" s="90">
        <v>94.284335680000012</v>
      </c>
      <c r="AL42" s="90">
        <v>95.141288949999989</v>
      </c>
      <c r="AM42" s="92">
        <v>111.90979810138467</v>
      </c>
      <c r="AN42" s="89">
        <v>348.38516593000003</v>
      </c>
      <c r="AO42" s="90">
        <v>108.77950831000001</v>
      </c>
      <c r="AP42" s="90">
        <v>115.34551675000002</v>
      </c>
      <c r="AQ42" s="92">
        <v>90.610847065280495</v>
      </c>
      <c r="AR42" s="89">
        <v>349.71737865000006</v>
      </c>
      <c r="AS42" s="90">
        <v>115.68203857</v>
      </c>
      <c r="AT42" s="90">
        <v>114.52106194999999</v>
      </c>
      <c r="AU42" s="92">
        <v>91.612155710541785</v>
      </c>
      <c r="AV42" s="89">
        <v>355.98306773000002</v>
      </c>
      <c r="AW42" s="90">
        <v>108.84547916</v>
      </c>
      <c r="AX42" s="90">
        <v>102.57973011999999</v>
      </c>
      <c r="AY42" s="92">
        <v>104.10918433307339</v>
      </c>
      <c r="AZ42" s="89">
        <v>343.15419022999998</v>
      </c>
      <c r="BA42" s="90">
        <v>112.85368078</v>
      </c>
      <c r="BB42" s="90">
        <v>125.68255825000001</v>
      </c>
      <c r="BC42" s="92">
        <v>81.909740303205496</v>
      </c>
      <c r="BD42" s="89">
        <v>357.33106021999998</v>
      </c>
      <c r="BE42" s="90">
        <v>91.348145309999978</v>
      </c>
      <c r="BF42" s="90">
        <v>77.165837580000002</v>
      </c>
      <c r="BG42" s="92">
        <v>138.92069525567376</v>
      </c>
      <c r="BH42" s="89">
        <v>347.44000257000005</v>
      </c>
      <c r="BI42" s="90">
        <v>87.82252265000001</v>
      </c>
      <c r="BJ42" s="90">
        <v>97.713580300000004</v>
      </c>
      <c r="BK42" s="92">
        <v>106.67094630141192</v>
      </c>
      <c r="BL42" s="89">
        <v>342.98361748999997</v>
      </c>
      <c r="BM42" s="90">
        <v>94.431582300000002</v>
      </c>
      <c r="BN42" s="90">
        <v>98.887967379999992</v>
      </c>
      <c r="BO42" s="92">
        <v>104.05217942401599</v>
      </c>
      <c r="BP42" s="93">
        <v>334.01682528000003</v>
      </c>
      <c r="BQ42" s="90">
        <v>106.62794529999999</v>
      </c>
      <c r="BR42" s="90">
        <v>115.59867575999999</v>
      </c>
      <c r="BS42" s="92">
        <v>86.683560105861901</v>
      </c>
      <c r="BT42" s="89"/>
      <c r="BU42" s="90"/>
      <c r="BV42" s="90"/>
      <c r="BW42" s="92"/>
      <c r="BX42" s="89"/>
      <c r="BY42" s="90"/>
      <c r="BZ42" s="90"/>
      <c r="CA42" s="92"/>
      <c r="CB42" s="89"/>
      <c r="CC42" s="90"/>
      <c r="CD42" s="90"/>
      <c r="CE42" s="92"/>
      <c r="CF42" s="89"/>
      <c r="CG42" s="90"/>
      <c r="CH42" s="90"/>
      <c r="CI42" s="92"/>
      <c r="CJ42" s="89"/>
      <c r="CK42" s="90"/>
      <c r="CL42" s="90"/>
      <c r="CM42" s="92"/>
      <c r="CN42" s="89"/>
      <c r="CO42" s="90"/>
      <c r="CP42" s="90"/>
      <c r="CQ42" s="92"/>
      <c r="CR42" s="89"/>
      <c r="CS42" s="90"/>
      <c r="CT42" s="90"/>
      <c r="CU42" s="92"/>
    </row>
    <row r="43" spans="2:99" ht="17.25" thickTop="1" x14ac:dyDescent="0.3">
      <c r="B43" s="94" t="s">
        <v>5</v>
      </c>
      <c r="C43" s="95" t="s">
        <v>77</v>
      </c>
      <c r="D43" s="120">
        <v>125.75687901000001</v>
      </c>
      <c r="E43" s="121">
        <v>36.281685889999999</v>
      </c>
      <c r="F43" s="121">
        <v>28.203641780000002</v>
      </c>
      <c r="G43" s="122">
        <v>133.76663906486476</v>
      </c>
      <c r="H43" s="120">
        <v>143.94019660999999</v>
      </c>
      <c r="I43" s="121">
        <v>45.469276120000004</v>
      </c>
      <c r="J43" s="121">
        <v>27.285958520000001</v>
      </c>
      <c r="K43" s="123">
        <v>158.2574383500162</v>
      </c>
      <c r="L43" s="106">
        <v>149.14338291999999</v>
      </c>
      <c r="M43" s="107">
        <v>42.33160118</v>
      </c>
      <c r="N43" s="107">
        <v>37.12841487</v>
      </c>
      <c r="O43" s="22">
        <v>120.50882062339979</v>
      </c>
      <c r="P43" s="106">
        <v>132.40434489</v>
      </c>
      <c r="Q43" s="107">
        <v>42.231743850000001</v>
      </c>
      <c r="R43" s="107">
        <v>58.970781879999997</v>
      </c>
      <c r="S43" s="23">
        <v>67.357600154987125</v>
      </c>
      <c r="T43" s="106">
        <v>139.30764667</v>
      </c>
      <c r="U43" s="107">
        <v>42.721791150000001</v>
      </c>
      <c r="V43" s="107">
        <v>35.818489370000002</v>
      </c>
      <c r="W43" s="23">
        <v>116.67799155149015</v>
      </c>
      <c r="X43" s="106">
        <v>138.45082034999999</v>
      </c>
      <c r="Y43" s="107">
        <v>37.132565139999997</v>
      </c>
      <c r="Z43" s="107">
        <v>37.98939146</v>
      </c>
      <c r="AA43" s="23">
        <v>109.33380217141283</v>
      </c>
      <c r="AB43" s="106">
        <v>127.03049733</v>
      </c>
      <c r="AC43" s="107">
        <v>39.140149829999999</v>
      </c>
      <c r="AD43" s="107">
        <v>50.560472849999996</v>
      </c>
      <c r="AE43" s="23">
        <v>75.373403472827704</v>
      </c>
      <c r="AF43" s="106">
        <v>130.53159847000001</v>
      </c>
      <c r="AG43" s="107">
        <v>31.504274899999999</v>
      </c>
      <c r="AH43" s="107">
        <v>28.003173759999999</v>
      </c>
      <c r="AI43" s="23">
        <v>139.83943347498624</v>
      </c>
      <c r="AJ43" s="106">
        <v>128.20377397999999</v>
      </c>
      <c r="AK43" s="107">
        <v>38.82344861</v>
      </c>
      <c r="AL43" s="107">
        <v>41.151273099999997</v>
      </c>
      <c r="AM43" s="23">
        <v>93.462800289403447</v>
      </c>
      <c r="AN43" s="106">
        <v>118.5526966</v>
      </c>
      <c r="AO43" s="107">
        <v>40.22458477</v>
      </c>
      <c r="AP43" s="107">
        <v>49.875662149999997</v>
      </c>
      <c r="AQ43" s="23">
        <v>71.308945980579836</v>
      </c>
      <c r="AR43" s="106">
        <v>133.35283232</v>
      </c>
      <c r="AS43" s="107">
        <v>46.778818350000002</v>
      </c>
      <c r="AT43" s="107">
        <v>31.978682630000002</v>
      </c>
      <c r="AU43" s="23">
        <v>125.10161897185068</v>
      </c>
      <c r="AV43" s="106">
        <v>134.72689903</v>
      </c>
      <c r="AW43" s="107">
        <v>37.93972316</v>
      </c>
      <c r="AX43" s="107">
        <v>36.565656449999999</v>
      </c>
      <c r="AY43" s="23">
        <v>110.53560535489854</v>
      </c>
      <c r="AZ43" s="106">
        <v>128.61807483999999</v>
      </c>
      <c r="BA43" s="107">
        <v>37.260285000000003</v>
      </c>
      <c r="BB43" s="107">
        <v>43.369109190000003</v>
      </c>
      <c r="BC43" s="23">
        <v>88.96982938468328</v>
      </c>
      <c r="BD43" s="106">
        <v>135.19160155</v>
      </c>
      <c r="BE43" s="107">
        <v>35.173648450000002</v>
      </c>
      <c r="BF43" s="107">
        <v>28.600121739999999</v>
      </c>
      <c r="BG43" s="23">
        <v>141.8087686258919</v>
      </c>
      <c r="BH43" s="106">
        <v>133.99155508000001</v>
      </c>
      <c r="BI43" s="107">
        <v>40.805624979999997</v>
      </c>
      <c r="BJ43" s="107">
        <v>42.005671450000001</v>
      </c>
      <c r="BK43" s="23">
        <v>95.695331455057612</v>
      </c>
      <c r="BL43" s="106">
        <v>137.06295624000001</v>
      </c>
      <c r="BM43" s="107">
        <v>38.396520299999999</v>
      </c>
      <c r="BN43" s="107">
        <v>35.325119139999998</v>
      </c>
      <c r="BO43" s="23">
        <v>116.40126876582703</v>
      </c>
      <c r="BP43" s="108">
        <v>121.59128661</v>
      </c>
      <c r="BQ43" s="108">
        <v>38.769296709999999</v>
      </c>
      <c r="BR43" s="108">
        <v>54.24096634</v>
      </c>
      <c r="BS43" s="26">
        <v>67.250619678026922</v>
      </c>
      <c r="BT43" s="106"/>
      <c r="BU43" s="107"/>
      <c r="BV43" s="107"/>
      <c r="BW43" s="23"/>
      <c r="BX43" s="106"/>
      <c r="BY43" s="107"/>
      <c r="BZ43" s="107"/>
      <c r="CA43" s="23"/>
      <c r="CB43" s="106"/>
      <c r="CC43" s="107"/>
      <c r="CD43" s="107"/>
      <c r="CE43" s="23"/>
      <c r="CF43" s="106"/>
      <c r="CG43" s="107"/>
      <c r="CH43" s="107"/>
      <c r="CI43" s="23"/>
      <c r="CJ43" s="106"/>
      <c r="CK43" s="107"/>
      <c r="CL43" s="107"/>
      <c r="CM43" s="23"/>
      <c r="CN43" s="106"/>
      <c r="CO43" s="107"/>
      <c r="CP43" s="107"/>
      <c r="CQ43" s="23"/>
      <c r="CR43" s="106"/>
      <c r="CS43" s="107"/>
      <c r="CT43" s="107"/>
      <c r="CU43" s="23"/>
    </row>
    <row r="44" spans="2:99" x14ac:dyDescent="0.3">
      <c r="B44" s="94" t="s">
        <v>6</v>
      </c>
      <c r="C44" s="95" t="s">
        <v>76</v>
      </c>
      <c r="D44" s="120">
        <v>51.469592339999998</v>
      </c>
      <c r="E44" s="121">
        <v>30.129014779999999</v>
      </c>
      <c r="F44" s="121">
        <v>31.674217240000001</v>
      </c>
      <c r="G44" s="122">
        <v>48.749042746667726</v>
      </c>
      <c r="H44" s="120">
        <v>53.645549809999999</v>
      </c>
      <c r="I44" s="121">
        <v>37.082148320000002</v>
      </c>
      <c r="J44" s="121">
        <v>34.906190850000002</v>
      </c>
      <c r="K44" s="123">
        <v>46.105474562258053</v>
      </c>
      <c r="L44" s="106">
        <v>62.1615295</v>
      </c>
      <c r="M44" s="107">
        <v>42.784753270000003</v>
      </c>
      <c r="N44" s="107">
        <v>34.268773580000001</v>
      </c>
      <c r="O44" s="22">
        <v>54.418226571386974</v>
      </c>
      <c r="P44" s="106">
        <v>73.290404440000003</v>
      </c>
      <c r="Q44" s="107">
        <v>54.90559416</v>
      </c>
      <c r="R44" s="107">
        <v>43.776719219999997</v>
      </c>
      <c r="S44" s="23">
        <v>50.225603297276976</v>
      </c>
      <c r="T44" s="106">
        <v>80.343473970000005</v>
      </c>
      <c r="U44" s="107">
        <v>47.476528379999998</v>
      </c>
      <c r="V44" s="107">
        <v>40.423458850000003</v>
      </c>
      <c r="W44" s="23">
        <v>59.626372598246874</v>
      </c>
      <c r="X44" s="106">
        <v>86.154221230000005</v>
      </c>
      <c r="Y44" s="107">
        <v>39.981627439999997</v>
      </c>
      <c r="Z44" s="107">
        <v>34.170880179999997</v>
      </c>
      <c r="AA44" s="23">
        <v>75.638280994961491</v>
      </c>
      <c r="AB44" s="106">
        <v>93.269225969999994</v>
      </c>
      <c r="AC44" s="107">
        <v>47.646949470000003</v>
      </c>
      <c r="AD44" s="107">
        <v>40.531944729999999</v>
      </c>
      <c r="AE44" s="23">
        <v>69.033864467622848</v>
      </c>
      <c r="AF44" s="106">
        <v>111.01783450000001</v>
      </c>
      <c r="AG44" s="107">
        <v>42.302121929999998</v>
      </c>
      <c r="AH44" s="107">
        <v>24.5535134</v>
      </c>
      <c r="AI44" s="23">
        <v>135.6439292716455</v>
      </c>
      <c r="AJ44" s="106">
        <v>111.06830168</v>
      </c>
      <c r="AK44" s="107">
        <v>35.624014350000003</v>
      </c>
      <c r="AL44" s="107">
        <v>35.573547169999998</v>
      </c>
      <c r="AM44" s="23">
        <v>93.666482976147918</v>
      </c>
      <c r="AN44" s="106">
        <v>111.24992498</v>
      </c>
      <c r="AO44" s="107">
        <v>42.452023939999997</v>
      </c>
      <c r="AP44" s="107">
        <v>42.270400639999998</v>
      </c>
      <c r="AQ44" s="23">
        <v>78.955905287582354</v>
      </c>
      <c r="AR44" s="106">
        <v>107.39521188000001</v>
      </c>
      <c r="AS44" s="107">
        <v>50.148485389999998</v>
      </c>
      <c r="AT44" s="107">
        <v>54.003198490000003</v>
      </c>
      <c r="AU44" s="23">
        <v>59.660472832856456</v>
      </c>
      <c r="AV44" s="106">
        <v>110.59797621</v>
      </c>
      <c r="AW44" s="107">
        <v>45.057292089999997</v>
      </c>
      <c r="AX44" s="107">
        <v>41.854527760000003</v>
      </c>
      <c r="AY44" s="23">
        <v>79.273126800654651</v>
      </c>
      <c r="AZ44" s="106">
        <v>107.62608021</v>
      </c>
      <c r="BA44" s="107">
        <v>41.699274320000001</v>
      </c>
      <c r="BB44" s="107">
        <v>44.671170320000002</v>
      </c>
      <c r="BC44" s="23">
        <v>72.278885535587179</v>
      </c>
      <c r="BD44" s="106">
        <v>110.01115538000001</v>
      </c>
      <c r="BE44" s="107">
        <v>31.988411930000002</v>
      </c>
      <c r="BF44" s="107">
        <v>29.594254729999999</v>
      </c>
      <c r="BG44" s="23">
        <v>111.51943819873988</v>
      </c>
      <c r="BH44" s="106">
        <v>113.69562962000001</v>
      </c>
      <c r="BI44" s="107">
        <v>35.942693490000003</v>
      </c>
      <c r="BJ44" s="107">
        <v>32.258219250000003</v>
      </c>
      <c r="BK44" s="23">
        <v>105.73642835538728</v>
      </c>
      <c r="BL44" s="106">
        <v>105.66131774999999</v>
      </c>
      <c r="BM44" s="107">
        <v>39.293040390000002</v>
      </c>
      <c r="BN44" s="107">
        <v>47.327352259999998</v>
      </c>
      <c r="BO44" s="23">
        <v>66.976904076230696</v>
      </c>
      <c r="BP44" s="108">
        <v>107.7299807</v>
      </c>
      <c r="BQ44" s="108">
        <v>43.943686909999997</v>
      </c>
      <c r="BR44" s="108">
        <v>41.87502396</v>
      </c>
      <c r="BS44" s="26">
        <v>77.179643505092344</v>
      </c>
      <c r="BT44" s="106"/>
      <c r="BU44" s="107"/>
      <c r="BV44" s="107"/>
      <c r="BW44" s="23"/>
      <c r="BX44" s="106"/>
      <c r="BY44" s="107"/>
      <c r="BZ44" s="107"/>
      <c r="CA44" s="23"/>
      <c r="CB44" s="106"/>
      <c r="CC44" s="107"/>
      <c r="CD44" s="107"/>
      <c r="CE44" s="23"/>
      <c r="CF44" s="106"/>
      <c r="CG44" s="107"/>
      <c r="CH44" s="107"/>
      <c r="CI44" s="23"/>
      <c r="CJ44" s="106"/>
      <c r="CK44" s="107"/>
      <c r="CL44" s="107"/>
      <c r="CM44" s="23"/>
      <c r="CN44" s="106"/>
      <c r="CO44" s="107"/>
      <c r="CP44" s="107"/>
      <c r="CQ44" s="23"/>
      <c r="CR44" s="106"/>
      <c r="CS44" s="107"/>
      <c r="CT44" s="107"/>
      <c r="CU44" s="23"/>
    </row>
    <row r="45" spans="2:99" x14ac:dyDescent="0.3">
      <c r="B45" s="94" t="s">
        <v>9</v>
      </c>
      <c r="C45" s="95" t="s">
        <v>76</v>
      </c>
      <c r="D45" s="120">
        <v>4.5074330099999997</v>
      </c>
      <c r="E45" s="121">
        <v>0.1361</v>
      </c>
      <c r="F45" s="121">
        <v>0.99348376000000005</v>
      </c>
      <c r="G45" s="122">
        <v>136.10991517365113</v>
      </c>
      <c r="H45" s="120">
        <v>5.2340774799999998</v>
      </c>
      <c r="I45" s="121">
        <v>5.2588686999999998</v>
      </c>
      <c r="J45" s="121">
        <v>4.7880719799999998</v>
      </c>
      <c r="K45" s="123">
        <v>32.794478666128995</v>
      </c>
      <c r="L45" s="106">
        <v>5.1251495</v>
      </c>
      <c r="M45" s="107">
        <v>0.1373576</v>
      </c>
      <c r="N45" s="107">
        <v>0.24184574</v>
      </c>
      <c r="O45" s="22">
        <v>635.75436557203773</v>
      </c>
      <c r="P45" s="106">
        <v>4.8845473899999998</v>
      </c>
      <c r="Q45" s="107">
        <v>0.74987999999999999</v>
      </c>
      <c r="R45" s="107">
        <v>0.99048210999999997</v>
      </c>
      <c r="S45" s="23">
        <v>147.94454157279026</v>
      </c>
      <c r="T45" s="106">
        <v>8.6982662600000005</v>
      </c>
      <c r="U45" s="107">
        <v>7.1191399799999999</v>
      </c>
      <c r="V45" s="107">
        <v>3.3219003300000001</v>
      </c>
      <c r="W45" s="23">
        <v>78.553828193876001</v>
      </c>
      <c r="X45" s="106">
        <v>5.1955799699999998</v>
      </c>
      <c r="Y45" s="107">
        <v>-0.14963434</v>
      </c>
      <c r="Z45" s="107">
        <v>3.6036303799999998</v>
      </c>
      <c r="AA45" s="23">
        <v>43.252881861873973</v>
      </c>
      <c r="AB45" s="106">
        <v>4.2975163399999996</v>
      </c>
      <c r="AC45" s="107">
        <v>0.15908659999999999</v>
      </c>
      <c r="AD45" s="107">
        <v>1.0536288599999999</v>
      </c>
      <c r="AE45" s="23">
        <v>122.36328663206891</v>
      </c>
      <c r="AF45" s="106">
        <v>5.3913062399999996</v>
      </c>
      <c r="AG45" s="107">
        <v>2.5552203000000002</v>
      </c>
      <c r="AH45" s="107">
        <v>1.4614304</v>
      </c>
      <c r="AI45" s="23">
        <v>110.6718371261471</v>
      </c>
      <c r="AJ45" s="106">
        <v>4.4727679399999998</v>
      </c>
      <c r="AK45" s="107">
        <v>0.10652499999999999</v>
      </c>
      <c r="AL45" s="107">
        <v>1.0250633</v>
      </c>
      <c r="AM45" s="23">
        <v>130.90219716187281</v>
      </c>
      <c r="AN45" s="106">
        <v>6.7497565399999999</v>
      </c>
      <c r="AO45" s="107">
        <v>7.7768844399999999</v>
      </c>
      <c r="AP45" s="107">
        <v>5.5429889599999997</v>
      </c>
      <c r="AQ45" s="23">
        <v>36.531318691278791</v>
      </c>
      <c r="AR45" s="106">
        <v>5.45389518</v>
      </c>
      <c r="AS45" s="107">
        <v>-0.1111885</v>
      </c>
      <c r="AT45" s="107">
        <v>1.3559089600000001</v>
      </c>
      <c r="AU45" s="23">
        <v>120.66949937405828</v>
      </c>
      <c r="AV45" s="106">
        <v>4.5935496999999996</v>
      </c>
      <c r="AW45" s="107">
        <v>0.72606599999999999</v>
      </c>
      <c r="AX45" s="107">
        <v>1.58635152</v>
      </c>
      <c r="AY45" s="23">
        <v>86.870084759019861</v>
      </c>
      <c r="AZ45" s="106">
        <v>2.8937614300000001</v>
      </c>
      <c r="BA45" s="107">
        <v>6.1054999999999998E-2</v>
      </c>
      <c r="BB45" s="107">
        <v>1.7608432700000001</v>
      </c>
      <c r="BC45" s="23">
        <v>49.301856888148819</v>
      </c>
      <c r="BD45" s="106">
        <v>4.2038979200000002</v>
      </c>
      <c r="BE45" s="107">
        <v>2.7739769000000001</v>
      </c>
      <c r="BF45" s="107">
        <v>1.4674847</v>
      </c>
      <c r="BG45" s="23">
        <v>85.940887560872014</v>
      </c>
      <c r="BH45" s="106">
        <v>3.93674422</v>
      </c>
      <c r="BI45" s="107">
        <v>5.0604999999999997E-2</v>
      </c>
      <c r="BJ45" s="107">
        <v>0.31775870000000001</v>
      </c>
      <c r="BK45" s="23">
        <v>371.6729914869365</v>
      </c>
      <c r="BL45" s="106">
        <v>10.28991076</v>
      </c>
      <c r="BM45" s="107">
        <v>7.2241987500000002</v>
      </c>
      <c r="BN45" s="107">
        <v>0.87103220999999997</v>
      </c>
      <c r="BO45" s="23">
        <v>354.40402691882082</v>
      </c>
      <c r="BP45" s="108">
        <v>8.0109593100000005</v>
      </c>
      <c r="BQ45" s="108">
        <v>9.5509999999999998E-2</v>
      </c>
      <c r="BR45" s="108">
        <v>2.3783997000000001</v>
      </c>
      <c r="BS45" s="26">
        <v>101.04642180202092</v>
      </c>
      <c r="BT45" s="106"/>
      <c r="BU45" s="107"/>
      <c r="BV45" s="107"/>
      <c r="BW45" s="23"/>
      <c r="BX45" s="106"/>
      <c r="BY45" s="107"/>
      <c r="BZ45" s="107"/>
      <c r="CA45" s="23"/>
      <c r="CB45" s="106"/>
      <c r="CC45" s="107"/>
      <c r="CD45" s="107"/>
      <c r="CE45" s="23"/>
      <c r="CF45" s="106"/>
      <c r="CG45" s="107"/>
      <c r="CH45" s="107"/>
      <c r="CI45" s="23"/>
      <c r="CJ45" s="106"/>
      <c r="CK45" s="107"/>
      <c r="CL45" s="107"/>
      <c r="CM45" s="23"/>
      <c r="CN45" s="106"/>
      <c r="CO45" s="107"/>
      <c r="CP45" s="107"/>
      <c r="CQ45" s="23"/>
      <c r="CR45" s="106"/>
      <c r="CS45" s="107"/>
      <c r="CT45" s="107"/>
      <c r="CU45" s="23"/>
    </row>
    <row r="46" spans="2:99" x14ac:dyDescent="0.3">
      <c r="B46" s="94" t="s">
        <v>10</v>
      </c>
      <c r="C46" s="95" t="s">
        <v>76</v>
      </c>
      <c r="D46" s="120">
        <v>65.684819570000002</v>
      </c>
      <c r="E46" s="121">
        <v>14.98014493</v>
      </c>
      <c r="F46" s="121">
        <v>17.19063843</v>
      </c>
      <c r="G46" s="122">
        <v>114.62893569218069</v>
      </c>
      <c r="H46" s="120">
        <v>71.06302341</v>
      </c>
      <c r="I46" s="121">
        <v>10.53744921</v>
      </c>
      <c r="J46" s="121">
        <v>5.1592453699999998</v>
      </c>
      <c r="K46" s="123">
        <v>413.2175443130746</v>
      </c>
      <c r="L46" s="106">
        <v>74.984560270000003</v>
      </c>
      <c r="M46" s="107">
        <v>7.8913349899999998</v>
      </c>
      <c r="N46" s="107">
        <v>3.96979813</v>
      </c>
      <c r="O46" s="22">
        <v>566.66277085983711</v>
      </c>
      <c r="P46" s="106">
        <v>81.615996490000001</v>
      </c>
      <c r="Q46" s="107">
        <v>19.981308429999999</v>
      </c>
      <c r="R46" s="107">
        <v>13.349872209999999</v>
      </c>
      <c r="S46" s="23">
        <v>183.40848932365924</v>
      </c>
      <c r="T46" s="106">
        <v>83.853671210000002</v>
      </c>
      <c r="U46" s="107">
        <v>18.144227090000001</v>
      </c>
      <c r="V46" s="107">
        <v>15.90655237</v>
      </c>
      <c r="W46" s="23">
        <v>158.14930085318042</v>
      </c>
      <c r="X46" s="106">
        <v>88.184176980000004</v>
      </c>
      <c r="Y46" s="107">
        <v>16.656565400000002</v>
      </c>
      <c r="Z46" s="107">
        <v>12.32605963</v>
      </c>
      <c r="AA46" s="23">
        <v>214.62863143718218</v>
      </c>
      <c r="AB46" s="106">
        <v>85.866243539999999</v>
      </c>
      <c r="AC46" s="107">
        <v>17.480647919999999</v>
      </c>
      <c r="AD46" s="107">
        <v>19.79858136</v>
      </c>
      <c r="AE46" s="23">
        <v>130.10969116223589</v>
      </c>
      <c r="AF46" s="106">
        <v>101.29063812</v>
      </c>
      <c r="AG46" s="107">
        <v>17.780305469999998</v>
      </c>
      <c r="AH46" s="107">
        <v>2.3559108900000001</v>
      </c>
      <c r="AI46" s="23">
        <v>1289.8277080420471</v>
      </c>
      <c r="AJ46" s="106">
        <v>107.21760509000001</v>
      </c>
      <c r="AK46" s="107">
        <v>15.784715179999999</v>
      </c>
      <c r="AL46" s="107">
        <v>9.8577482100000005</v>
      </c>
      <c r="AM46" s="23">
        <v>326.29441168288884</v>
      </c>
      <c r="AN46" s="106">
        <v>103.75553125</v>
      </c>
      <c r="AO46" s="107">
        <v>10.24875862</v>
      </c>
      <c r="AP46" s="107">
        <v>13.710832460000001</v>
      </c>
      <c r="AQ46" s="23">
        <v>227.02238879957841</v>
      </c>
      <c r="AR46" s="106">
        <v>95.358323420000005</v>
      </c>
      <c r="AS46" s="107">
        <v>10.320048460000001</v>
      </c>
      <c r="AT46" s="107">
        <v>18.717256290000002</v>
      </c>
      <c r="AU46" s="23">
        <v>152.84022712925088</v>
      </c>
      <c r="AV46" s="106">
        <v>87.703911450000007</v>
      </c>
      <c r="AW46" s="107">
        <v>9.3566279600000009</v>
      </c>
      <c r="AX46" s="107">
        <v>17.011039929999999</v>
      </c>
      <c r="AY46" s="23">
        <v>154.67116380462227</v>
      </c>
      <c r="AZ46" s="106">
        <v>76.749396020000006</v>
      </c>
      <c r="BA46" s="107">
        <v>10.07118818</v>
      </c>
      <c r="BB46" s="107">
        <v>21.025703610000001</v>
      </c>
      <c r="BC46" s="23">
        <v>109.50795860667039</v>
      </c>
      <c r="BD46" s="106">
        <v>90.652386460000002</v>
      </c>
      <c r="BE46" s="107">
        <v>16.667243939999999</v>
      </c>
      <c r="BF46" s="107">
        <v>2.7642535000000001</v>
      </c>
      <c r="BG46" s="23">
        <v>983.83581455174055</v>
      </c>
      <c r="BH46" s="106">
        <v>95.704320010000004</v>
      </c>
      <c r="BI46" s="107">
        <v>9.8337492599999994</v>
      </c>
      <c r="BJ46" s="107">
        <v>4.7818157100000001</v>
      </c>
      <c r="BK46" s="23">
        <v>600.42665264069751</v>
      </c>
      <c r="BL46" s="106">
        <v>83.126213930000006</v>
      </c>
      <c r="BM46" s="107">
        <v>2.4957144499999999</v>
      </c>
      <c r="BN46" s="107">
        <v>15.073820530000001</v>
      </c>
      <c r="BO46" s="23">
        <v>165.43824526349192</v>
      </c>
      <c r="BP46" s="108">
        <v>90.386196240000004</v>
      </c>
      <c r="BQ46" s="108">
        <v>19.090322610000001</v>
      </c>
      <c r="BR46" s="108">
        <v>11.8303403</v>
      </c>
      <c r="BS46" s="26">
        <v>229.20607678546662</v>
      </c>
      <c r="BT46" s="106"/>
      <c r="BU46" s="107"/>
      <c r="BV46" s="107"/>
      <c r="BW46" s="23"/>
      <c r="BX46" s="106"/>
      <c r="BY46" s="107"/>
      <c r="BZ46" s="107"/>
      <c r="CA46" s="23"/>
      <c r="CB46" s="106"/>
      <c r="CC46" s="107"/>
      <c r="CD46" s="107"/>
      <c r="CE46" s="23"/>
      <c r="CF46" s="106"/>
      <c r="CG46" s="107"/>
      <c r="CH46" s="107"/>
      <c r="CI46" s="23"/>
      <c r="CJ46" s="106"/>
      <c r="CK46" s="107"/>
      <c r="CL46" s="107"/>
      <c r="CM46" s="23"/>
      <c r="CN46" s="106"/>
      <c r="CO46" s="107"/>
      <c r="CP46" s="107"/>
      <c r="CQ46" s="23"/>
      <c r="CR46" s="106"/>
      <c r="CS46" s="107"/>
      <c r="CT46" s="107"/>
      <c r="CU46" s="23"/>
    </row>
    <row r="47" spans="2:99" x14ac:dyDescent="0.3">
      <c r="B47" s="94" t="s">
        <v>11</v>
      </c>
      <c r="C47" s="95" t="s">
        <v>76</v>
      </c>
      <c r="D47" s="120">
        <v>67.547713639999998</v>
      </c>
      <c r="E47" s="121">
        <v>30.416560950000001</v>
      </c>
      <c r="F47" s="121">
        <v>18.064810420000001</v>
      </c>
      <c r="G47" s="122">
        <v>112.17562554415115</v>
      </c>
      <c r="H47" s="120">
        <v>58.27214944</v>
      </c>
      <c r="I47" s="121">
        <v>18.879206700000001</v>
      </c>
      <c r="J47" s="121">
        <v>28.154770899999999</v>
      </c>
      <c r="K47" s="123">
        <v>62.091234533895644</v>
      </c>
      <c r="L47" s="106">
        <v>30.174164449999999</v>
      </c>
      <c r="M47" s="107">
        <v>1.27285179</v>
      </c>
      <c r="N47" s="107">
        <v>29.37083677</v>
      </c>
      <c r="O47" s="22">
        <v>30.82053605039323</v>
      </c>
      <c r="P47" s="106">
        <v>24.469609169999998</v>
      </c>
      <c r="Q47" s="107">
        <v>20.672426489999999</v>
      </c>
      <c r="R47" s="107">
        <v>26.376981780000001</v>
      </c>
      <c r="S47" s="23">
        <v>27.83063965478464</v>
      </c>
      <c r="T47" s="106">
        <v>26.23703785</v>
      </c>
      <c r="U47" s="107">
        <v>20.550779370000001</v>
      </c>
      <c r="V47" s="107">
        <v>18.783350680000002</v>
      </c>
      <c r="W47" s="23">
        <v>41.904724503604911</v>
      </c>
      <c r="X47" s="106">
        <v>28.180322369999999</v>
      </c>
      <c r="Y47" s="107">
        <v>16.885612179999999</v>
      </c>
      <c r="Z47" s="107">
        <v>14.942327669999999</v>
      </c>
      <c r="AA47" s="23">
        <v>56.578177762581483</v>
      </c>
      <c r="AB47" s="106">
        <v>25.252854079999999</v>
      </c>
      <c r="AC47" s="107">
        <v>14.791801100000001</v>
      </c>
      <c r="AD47" s="107">
        <v>17.719269390000001</v>
      </c>
      <c r="AE47" s="23">
        <v>42.754901780970101</v>
      </c>
      <c r="AF47" s="106">
        <v>7.5336572000000004</v>
      </c>
      <c r="AG47" s="107">
        <v>1.6272868599999999</v>
      </c>
      <c r="AH47" s="107">
        <v>19.346483750000001</v>
      </c>
      <c r="AI47" s="23">
        <v>11.682211554334776</v>
      </c>
      <c r="AJ47" s="106">
        <v>3.94563256</v>
      </c>
      <c r="AK47" s="107">
        <v>3.9456325400000001</v>
      </c>
      <c r="AL47" s="107">
        <v>7.5336571699999997</v>
      </c>
      <c r="AM47" s="23">
        <v>15.712020620125989</v>
      </c>
      <c r="AN47" s="106">
        <v>8.0772565600000004</v>
      </c>
      <c r="AO47" s="107">
        <v>8.0772565400000005</v>
      </c>
      <c r="AP47" s="107">
        <v>3.9456325400000001</v>
      </c>
      <c r="AQ47" s="23">
        <v>61.414157132838334</v>
      </c>
      <c r="AR47" s="106">
        <v>8.1571158500000003</v>
      </c>
      <c r="AS47" s="107">
        <v>8.5458748700000005</v>
      </c>
      <c r="AT47" s="107">
        <v>8.4660155800000005</v>
      </c>
      <c r="AU47" s="23">
        <v>28.905389222068973</v>
      </c>
      <c r="AV47" s="106">
        <v>18.360731340000001</v>
      </c>
      <c r="AW47" s="107">
        <v>15.765769949999999</v>
      </c>
      <c r="AX47" s="107">
        <v>5.5621544600000004</v>
      </c>
      <c r="AY47" s="23">
        <v>99.0303207437357</v>
      </c>
      <c r="AZ47" s="106">
        <v>27.266877730000001</v>
      </c>
      <c r="BA47" s="107">
        <v>23.761878280000001</v>
      </c>
      <c r="BB47" s="107">
        <v>14.855731860000001</v>
      </c>
      <c r="BC47" s="23">
        <v>55.063347912365991</v>
      </c>
      <c r="BD47" s="106">
        <v>17.27201891</v>
      </c>
      <c r="BE47" s="107">
        <v>4.7448640900000001</v>
      </c>
      <c r="BF47" s="107">
        <v>14.739722909999999</v>
      </c>
      <c r="BG47" s="23">
        <v>35.154023617937881</v>
      </c>
      <c r="BH47" s="106">
        <v>0.11175364</v>
      </c>
      <c r="BI47" s="107">
        <v>1.1898499199999999</v>
      </c>
      <c r="BJ47" s="107">
        <v>18.35011519</v>
      </c>
      <c r="BK47" s="23">
        <v>0.18270235174474672</v>
      </c>
      <c r="BL47" s="106">
        <v>6.8432188099999998</v>
      </c>
      <c r="BM47" s="107">
        <v>7.0221084100000004</v>
      </c>
      <c r="BN47" s="107">
        <v>0.29064324000000002</v>
      </c>
      <c r="BO47" s="23">
        <v>706.3524487959877</v>
      </c>
      <c r="BP47" s="37">
        <v>6.2984024200000004</v>
      </c>
      <c r="BQ47" s="108">
        <v>4.7291290699999999</v>
      </c>
      <c r="BR47" s="108">
        <v>5.2739454600000002</v>
      </c>
      <c r="BS47" s="26">
        <v>35.827460491030564</v>
      </c>
      <c r="BT47" s="106"/>
      <c r="BU47" s="107"/>
      <c r="BV47" s="107"/>
      <c r="BW47" s="23"/>
      <c r="BX47" s="106"/>
      <c r="BY47" s="107"/>
      <c r="BZ47" s="107"/>
      <c r="CA47" s="23"/>
      <c r="CB47" s="106"/>
      <c r="CC47" s="107"/>
      <c r="CD47" s="107"/>
      <c r="CE47" s="23"/>
      <c r="CF47" s="106"/>
      <c r="CG47" s="107"/>
      <c r="CH47" s="107"/>
      <c r="CI47" s="23"/>
      <c r="CJ47" s="106"/>
      <c r="CK47" s="107"/>
      <c r="CL47" s="107"/>
      <c r="CM47" s="23"/>
      <c r="CN47" s="106"/>
      <c r="CO47" s="107"/>
      <c r="CP47" s="107"/>
      <c r="CQ47" s="23"/>
      <c r="CR47" s="106"/>
      <c r="CS47" s="107"/>
      <c r="CT47" s="107"/>
      <c r="CU47" s="23"/>
    </row>
    <row r="48" spans="2:99" ht="17.25" thickBot="1" x14ac:dyDescent="0.35">
      <c r="B48" s="87" t="s">
        <v>19</v>
      </c>
      <c r="C48" s="88"/>
      <c r="D48" s="89"/>
      <c r="E48" s="90"/>
      <c r="F48" s="90"/>
      <c r="G48" s="92"/>
      <c r="H48" s="89"/>
      <c r="I48" s="90"/>
      <c r="J48" s="90"/>
      <c r="K48" s="91"/>
      <c r="L48" s="89"/>
      <c r="M48" s="90"/>
      <c r="N48" s="90"/>
      <c r="O48" s="91"/>
      <c r="P48" s="89"/>
      <c r="Q48" s="90"/>
      <c r="R48" s="90"/>
      <c r="S48" s="92"/>
      <c r="T48" s="89"/>
      <c r="U48" s="90"/>
      <c r="V48" s="90"/>
      <c r="W48" s="92"/>
      <c r="X48" s="89"/>
      <c r="Y48" s="90"/>
      <c r="Z48" s="90"/>
      <c r="AA48" s="92"/>
      <c r="AB48" s="89"/>
      <c r="AC48" s="90"/>
      <c r="AD48" s="90"/>
      <c r="AE48" s="92"/>
      <c r="AF48" s="89"/>
      <c r="AG48" s="90"/>
      <c r="AH48" s="90"/>
      <c r="AI48" s="92"/>
      <c r="AJ48" s="89"/>
      <c r="AK48" s="90"/>
      <c r="AL48" s="90"/>
      <c r="AM48" s="92"/>
      <c r="AN48" s="89"/>
      <c r="AO48" s="90"/>
      <c r="AP48" s="90"/>
      <c r="AQ48" s="92"/>
      <c r="AR48" s="89"/>
      <c r="AS48" s="90"/>
      <c r="AT48" s="90"/>
      <c r="AU48" s="92"/>
      <c r="AV48" s="89"/>
      <c r="AW48" s="90"/>
      <c r="AX48" s="90"/>
      <c r="AY48" s="92"/>
      <c r="AZ48" s="89"/>
      <c r="BA48" s="90"/>
      <c r="BB48" s="90"/>
      <c r="BC48" s="92"/>
      <c r="BD48" s="89"/>
      <c r="BE48" s="90"/>
      <c r="BF48" s="90"/>
      <c r="BG48" s="92"/>
      <c r="BH48" s="89"/>
      <c r="BI48" s="90"/>
      <c r="BJ48" s="90"/>
      <c r="BK48" s="92"/>
      <c r="BL48" s="89"/>
      <c r="BM48" s="90"/>
      <c r="BN48" s="90"/>
      <c r="BO48" s="92"/>
      <c r="BP48" s="93">
        <v>11.15802776</v>
      </c>
      <c r="BQ48" s="90">
        <v>17.793532329999998</v>
      </c>
      <c r="BR48" s="90">
        <v>6.6355045699999993</v>
      </c>
      <c r="BS48" s="92"/>
      <c r="BT48" s="89"/>
      <c r="BU48" s="90"/>
      <c r="BV48" s="90"/>
      <c r="BW48" s="92"/>
      <c r="BX48" s="89"/>
      <c r="BY48" s="90"/>
      <c r="BZ48" s="90"/>
      <c r="CA48" s="92"/>
      <c r="CB48" s="89"/>
      <c r="CC48" s="90"/>
      <c r="CD48" s="90"/>
      <c r="CE48" s="92"/>
      <c r="CF48" s="89"/>
      <c r="CG48" s="90"/>
      <c r="CH48" s="90"/>
      <c r="CI48" s="92"/>
      <c r="CJ48" s="89"/>
      <c r="CK48" s="90"/>
      <c r="CL48" s="90"/>
      <c r="CM48" s="92"/>
      <c r="CN48" s="89"/>
      <c r="CO48" s="90"/>
      <c r="CP48" s="90"/>
      <c r="CQ48" s="92"/>
      <c r="CR48" s="89"/>
      <c r="CS48" s="90"/>
      <c r="CT48" s="90"/>
      <c r="CU48" s="92"/>
    </row>
    <row r="49" spans="2:99" ht="17.25" thickTop="1" x14ac:dyDescent="0.3">
      <c r="B49" s="94" t="s">
        <v>5</v>
      </c>
      <c r="C49" s="95"/>
      <c r="D49" s="120"/>
      <c r="E49" s="121"/>
      <c r="F49" s="121"/>
      <c r="G49" s="122"/>
      <c r="H49" s="120"/>
      <c r="I49" s="121"/>
      <c r="J49" s="121"/>
      <c r="K49" s="123"/>
      <c r="L49" s="106"/>
      <c r="M49" s="107"/>
      <c r="N49" s="107"/>
      <c r="O49" s="22"/>
      <c r="P49" s="106"/>
      <c r="Q49" s="107"/>
      <c r="R49" s="107"/>
      <c r="S49" s="23"/>
      <c r="T49" s="106"/>
      <c r="U49" s="107"/>
      <c r="V49" s="107"/>
      <c r="W49" s="23"/>
      <c r="X49" s="106"/>
      <c r="Y49" s="107"/>
      <c r="Z49" s="107"/>
      <c r="AA49" s="23"/>
      <c r="AB49" s="106"/>
      <c r="AC49" s="107"/>
      <c r="AD49" s="107"/>
      <c r="AE49" s="23"/>
      <c r="AF49" s="106"/>
      <c r="AG49" s="107"/>
      <c r="AH49" s="107"/>
      <c r="AI49" s="23"/>
      <c r="AJ49" s="106"/>
      <c r="AK49" s="107"/>
      <c r="AL49" s="107"/>
      <c r="AM49" s="23"/>
      <c r="AN49" s="106"/>
      <c r="AO49" s="107"/>
      <c r="AP49" s="107"/>
      <c r="AQ49" s="23"/>
      <c r="AR49" s="106"/>
      <c r="AS49" s="107"/>
      <c r="AT49" s="107"/>
      <c r="AU49" s="23"/>
      <c r="AV49" s="106"/>
      <c r="AW49" s="107"/>
      <c r="AX49" s="107"/>
      <c r="AY49" s="23"/>
      <c r="AZ49" s="106"/>
      <c r="BA49" s="107"/>
      <c r="BB49" s="107"/>
      <c r="BC49" s="23"/>
      <c r="BD49" s="106"/>
      <c r="BE49" s="107"/>
      <c r="BF49" s="107"/>
      <c r="BG49" s="23"/>
      <c r="BH49" s="106"/>
      <c r="BI49" s="107"/>
      <c r="BJ49" s="107"/>
      <c r="BK49" s="23"/>
      <c r="BL49" s="106"/>
      <c r="BM49" s="107"/>
      <c r="BN49" s="107"/>
      <c r="BO49" s="23"/>
      <c r="BP49" s="108">
        <v>0</v>
      </c>
      <c r="BQ49" s="108">
        <v>1.42935214</v>
      </c>
      <c r="BR49" s="108">
        <v>1.42935214</v>
      </c>
      <c r="BS49" s="26"/>
      <c r="BT49" s="106"/>
      <c r="BU49" s="107"/>
      <c r="BV49" s="107"/>
      <c r="BW49" s="23"/>
      <c r="BX49" s="106"/>
      <c r="BY49" s="107"/>
      <c r="BZ49" s="107"/>
      <c r="CA49" s="23"/>
      <c r="CB49" s="106"/>
      <c r="CC49" s="107"/>
      <c r="CD49" s="107"/>
      <c r="CE49" s="23"/>
      <c r="CF49" s="106"/>
      <c r="CG49" s="107"/>
      <c r="CH49" s="107"/>
      <c r="CI49" s="23"/>
      <c r="CJ49" s="106"/>
      <c r="CK49" s="107"/>
      <c r="CL49" s="107"/>
      <c r="CM49" s="23"/>
      <c r="CN49" s="106"/>
      <c r="CO49" s="107"/>
      <c r="CP49" s="107"/>
      <c r="CQ49" s="23"/>
      <c r="CR49" s="106"/>
      <c r="CS49" s="107"/>
      <c r="CT49" s="107"/>
      <c r="CU49" s="23"/>
    </row>
    <row r="50" spans="2:99" x14ac:dyDescent="0.3">
      <c r="B50" s="94" t="s">
        <v>6</v>
      </c>
      <c r="C50" s="95"/>
      <c r="D50" s="120"/>
      <c r="E50" s="121"/>
      <c r="F50" s="121"/>
      <c r="G50" s="122"/>
      <c r="H50" s="120"/>
      <c r="I50" s="121"/>
      <c r="J50" s="121"/>
      <c r="K50" s="123"/>
      <c r="L50" s="106"/>
      <c r="M50" s="107"/>
      <c r="N50" s="107"/>
      <c r="O50" s="22"/>
      <c r="P50" s="106"/>
      <c r="Q50" s="107"/>
      <c r="R50" s="107"/>
      <c r="S50" s="23"/>
      <c r="T50" s="106"/>
      <c r="U50" s="107"/>
      <c r="V50" s="107"/>
      <c r="W50" s="23"/>
      <c r="X50" s="106"/>
      <c r="Y50" s="107"/>
      <c r="Z50" s="107"/>
      <c r="AA50" s="23"/>
      <c r="AB50" s="106"/>
      <c r="AC50" s="107"/>
      <c r="AD50" s="107"/>
      <c r="AE50" s="23"/>
      <c r="AF50" s="106"/>
      <c r="AG50" s="107"/>
      <c r="AH50" s="107"/>
      <c r="AI50" s="23"/>
      <c r="AJ50" s="106"/>
      <c r="AK50" s="107"/>
      <c r="AL50" s="107"/>
      <c r="AM50" s="23"/>
      <c r="AN50" s="106"/>
      <c r="AO50" s="107"/>
      <c r="AP50" s="107"/>
      <c r="AQ50" s="23"/>
      <c r="AR50" s="106"/>
      <c r="AS50" s="107"/>
      <c r="AT50" s="107"/>
      <c r="AU50" s="23"/>
      <c r="AV50" s="106"/>
      <c r="AW50" s="107"/>
      <c r="AX50" s="107"/>
      <c r="AY50" s="23"/>
      <c r="AZ50" s="106"/>
      <c r="BA50" s="107"/>
      <c r="BB50" s="107"/>
      <c r="BC50" s="23"/>
      <c r="BD50" s="106"/>
      <c r="BE50" s="107"/>
      <c r="BF50" s="107"/>
      <c r="BG50" s="23"/>
      <c r="BH50" s="106"/>
      <c r="BI50" s="107"/>
      <c r="BJ50" s="107"/>
      <c r="BK50" s="23"/>
      <c r="BL50" s="106"/>
      <c r="BM50" s="107"/>
      <c r="BN50" s="107"/>
      <c r="BO50" s="23"/>
      <c r="BP50" s="108">
        <v>0.64201118999999995</v>
      </c>
      <c r="BQ50" s="108">
        <v>2.4006206099999998</v>
      </c>
      <c r="BR50" s="108">
        <v>1.75860942</v>
      </c>
      <c r="BS50" s="26"/>
      <c r="BT50" s="106"/>
      <c r="BU50" s="107"/>
      <c r="BV50" s="107"/>
      <c r="BW50" s="23"/>
      <c r="BX50" s="106"/>
      <c r="BY50" s="107"/>
      <c r="BZ50" s="107"/>
      <c r="CA50" s="23"/>
      <c r="CB50" s="106"/>
      <c r="CC50" s="107"/>
      <c r="CD50" s="107"/>
      <c r="CE50" s="23"/>
      <c r="CF50" s="106"/>
      <c r="CG50" s="107"/>
      <c r="CH50" s="107"/>
      <c r="CI50" s="23"/>
      <c r="CJ50" s="106"/>
      <c r="CK50" s="107"/>
      <c r="CL50" s="107"/>
      <c r="CM50" s="23"/>
      <c r="CN50" s="106"/>
      <c r="CO50" s="107"/>
      <c r="CP50" s="107"/>
      <c r="CQ50" s="23"/>
      <c r="CR50" s="106"/>
      <c r="CS50" s="107"/>
      <c r="CT50" s="107"/>
      <c r="CU50" s="23"/>
    </row>
    <row r="51" spans="2:99" x14ac:dyDescent="0.3">
      <c r="B51" s="94" t="s">
        <v>9</v>
      </c>
      <c r="C51" s="95"/>
      <c r="D51" s="120"/>
      <c r="E51" s="121"/>
      <c r="F51" s="121"/>
      <c r="G51" s="122"/>
      <c r="H51" s="120"/>
      <c r="I51" s="121"/>
      <c r="J51" s="121"/>
      <c r="K51" s="123"/>
      <c r="L51" s="106"/>
      <c r="M51" s="107"/>
      <c r="N51" s="107"/>
      <c r="O51" s="22"/>
      <c r="P51" s="106"/>
      <c r="Q51" s="107"/>
      <c r="R51" s="107"/>
      <c r="S51" s="23"/>
      <c r="T51" s="106"/>
      <c r="U51" s="107"/>
      <c r="V51" s="107"/>
      <c r="W51" s="23"/>
      <c r="X51" s="106"/>
      <c r="Y51" s="107"/>
      <c r="Z51" s="107"/>
      <c r="AA51" s="23"/>
      <c r="AB51" s="106"/>
      <c r="AC51" s="107"/>
      <c r="AD51" s="107"/>
      <c r="AE51" s="23"/>
      <c r="AF51" s="106"/>
      <c r="AG51" s="107"/>
      <c r="AH51" s="107"/>
      <c r="AI51" s="23"/>
      <c r="AJ51" s="106"/>
      <c r="AK51" s="107"/>
      <c r="AL51" s="107"/>
      <c r="AM51" s="23"/>
      <c r="AN51" s="106"/>
      <c r="AO51" s="107"/>
      <c r="AP51" s="107"/>
      <c r="AQ51" s="23"/>
      <c r="AR51" s="106"/>
      <c r="AS51" s="107"/>
      <c r="AT51" s="107"/>
      <c r="AU51" s="23"/>
      <c r="AV51" s="106"/>
      <c r="AW51" s="107"/>
      <c r="AX51" s="107"/>
      <c r="AY51" s="23"/>
      <c r="AZ51" s="106"/>
      <c r="BA51" s="107"/>
      <c r="BB51" s="107"/>
      <c r="BC51" s="23"/>
      <c r="BD51" s="106"/>
      <c r="BE51" s="107"/>
      <c r="BF51" s="107"/>
      <c r="BG51" s="23"/>
      <c r="BH51" s="106"/>
      <c r="BI51" s="107"/>
      <c r="BJ51" s="107"/>
      <c r="BK51" s="23"/>
      <c r="BL51" s="106"/>
      <c r="BM51" s="107"/>
      <c r="BN51" s="107"/>
      <c r="BO51" s="23"/>
      <c r="BP51" s="108">
        <v>5.1692631599999999</v>
      </c>
      <c r="BQ51" s="108">
        <v>8.2929881699999992</v>
      </c>
      <c r="BR51" s="108">
        <v>3.1237250099999998</v>
      </c>
      <c r="BS51" s="26"/>
      <c r="BT51" s="106"/>
      <c r="BU51" s="107"/>
      <c r="BV51" s="107"/>
      <c r="BW51" s="23"/>
      <c r="BX51" s="106"/>
      <c r="BY51" s="107"/>
      <c r="BZ51" s="107"/>
      <c r="CA51" s="23"/>
      <c r="CB51" s="106"/>
      <c r="CC51" s="107"/>
      <c r="CD51" s="107"/>
      <c r="CE51" s="23"/>
      <c r="CF51" s="106"/>
      <c r="CG51" s="107"/>
      <c r="CH51" s="107"/>
      <c r="CI51" s="23"/>
      <c r="CJ51" s="106"/>
      <c r="CK51" s="107"/>
      <c r="CL51" s="107"/>
      <c r="CM51" s="23"/>
      <c r="CN51" s="106"/>
      <c r="CO51" s="107"/>
      <c r="CP51" s="107"/>
      <c r="CQ51" s="23"/>
      <c r="CR51" s="106"/>
      <c r="CS51" s="107"/>
      <c r="CT51" s="107"/>
      <c r="CU51" s="23"/>
    </row>
    <row r="52" spans="2:99" x14ac:dyDescent="0.3">
      <c r="B52" s="94" t="s">
        <v>10</v>
      </c>
      <c r="C52" s="95"/>
      <c r="D52" s="120"/>
      <c r="E52" s="121"/>
      <c r="F52" s="121"/>
      <c r="G52" s="122"/>
      <c r="H52" s="120"/>
      <c r="I52" s="121"/>
      <c r="J52" s="121"/>
      <c r="K52" s="123"/>
      <c r="L52" s="106"/>
      <c r="M52" s="107"/>
      <c r="N52" s="107"/>
      <c r="O52" s="22"/>
      <c r="P52" s="106"/>
      <c r="Q52" s="107"/>
      <c r="R52" s="107"/>
      <c r="S52" s="23"/>
      <c r="T52" s="106"/>
      <c r="U52" s="107"/>
      <c r="V52" s="107"/>
      <c r="W52" s="23"/>
      <c r="X52" s="106"/>
      <c r="Y52" s="107"/>
      <c r="Z52" s="107"/>
      <c r="AA52" s="23"/>
      <c r="AB52" s="106"/>
      <c r="AC52" s="107"/>
      <c r="AD52" s="107"/>
      <c r="AE52" s="23"/>
      <c r="AF52" s="106"/>
      <c r="AG52" s="107"/>
      <c r="AH52" s="107"/>
      <c r="AI52" s="23"/>
      <c r="AJ52" s="106"/>
      <c r="AK52" s="107"/>
      <c r="AL52" s="107"/>
      <c r="AM52" s="23"/>
      <c r="AN52" s="106"/>
      <c r="AO52" s="107"/>
      <c r="AP52" s="107"/>
      <c r="AQ52" s="23"/>
      <c r="AR52" s="106"/>
      <c r="AS52" s="107"/>
      <c r="AT52" s="107"/>
      <c r="AU52" s="23"/>
      <c r="AV52" s="106"/>
      <c r="AW52" s="107"/>
      <c r="AX52" s="107"/>
      <c r="AY52" s="23"/>
      <c r="AZ52" s="106"/>
      <c r="BA52" s="107"/>
      <c r="BB52" s="107"/>
      <c r="BC52" s="23"/>
      <c r="BD52" s="106"/>
      <c r="BE52" s="107"/>
      <c r="BF52" s="107"/>
      <c r="BG52" s="23"/>
      <c r="BH52" s="106"/>
      <c r="BI52" s="107"/>
      <c r="BJ52" s="107"/>
      <c r="BK52" s="23"/>
      <c r="BL52" s="106"/>
      <c r="BM52" s="107"/>
      <c r="BN52" s="107"/>
      <c r="BO52" s="23"/>
      <c r="BP52" s="108">
        <v>1.48771276</v>
      </c>
      <c r="BQ52" s="108">
        <v>1.8115307599999999</v>
      </c>
      <c r="BR52" s="108">
        <v>0.32381799999999999</v>
      </c>
      <c r="BS52" s="26"/>
      <c r="BT52" s="106"/>
      <c r="BU52" s="107"/>
      <c r="BV52" s="107"/>
      <c r="BW52" s="23"/>
      <c r="BX52" s="106"/>
      <c r="BY52" s="107"/>
      <c r="BZ52" s="107"/>
      <c r="CA52" s="23"/>
      <c r="CB52" s="106"/>
      <c r="CC52" s="107"/>
      <c r="CD52" s="107"/>
      <c r="CE52" s="23"/>
      <c r="CF52" s="106"/>
      <c r="CG52" s="107"/>
      <c r="CH52" s="107"/>
      <c r="CI52" s="23"/>
      <c r="CJ52" s="106"/>
      <c r="CK52" s="107"/>
      <c r="CL52" s="107"/>
      <c r="CM52" s="23"/>
      <c r="CN52" s="106"/>
      <c r="CO52" s="107"/>
      <c r="CP52" s="107"/>
      <c r="CQ52" s="23"/>
      <c r="CR52" s="106"/>
      <c r="CS52" s="107"/>
      <c r="CT52" s="107"/>
      <c r="CU52" s="23"/>
    </row>
    <row r="53" spans="2:99" x14ac:dyDescent="0.3">
      <c r="B53" s="94" t="s">
        <v>11</v>
      </c>
      <c r="C53" s="95"/>
      <c r="D53" s="120"/>
      <c r="E53" s="121"/>
      <c r="F53" s="121"/>
      <c r="G53" s="122"/>
      <c r="H53" s="120"/>
      <c r="I53" s="121"/>
      <c r="J53" s="121"/>
      <c r="K53" s="123"/>
      <c r="L53" s="106"/>
      <c r="M53" s="107"/>
      <c r="N53" s="107"/>
      <c r="O53" s="22"/>
      <c r="P53" s="106"/>
      <c r="Q53" s="107"/>
      <c r="R53" s="107"/>
      <c r="S53" s="23"/>
      <c r="T53" s="106"/>
      <c r="U53" s="107"/>
      <c r="V53" s="107"/>
      <c r="W53" s="23"/>
      <c r="X53" s="106"/>
      <c r="Y53" s="107"/>
      <c r="Z53" s="107"/>
      <c r="AA53" s="23"/>
      <c r="AB53" s="106"/>
      <c r="AC53" s="107"/>
      <c r="AD53" s="107"/>
      <c r="AE53" s="23"/>
      <c r="AF53" s="106"/>
      <c r="AG53" s="107"/>
      <c r="AH53" s="107"/>
      <c r="AI53" s="23"/>
      <c r="AJ53" s="106"/>
      <c r="AK53" s="107"/>
      <c r="AL53" s="107"/>
      <c r="AM53" s="23"/>
      <c r="AN53" s="106"/>
      <c r="AO53" s="107"/>
      <c r="AP53" s="107"/>
      <c r="AQ53" s="23"/>
      <c r="AR53" s="106"/>
      <c r="AS53" s="107"/>
      <c r="AT53" s="107"/>
      <c r="AU53" s="23"/>
      <c r="AV53" s="106"/>
      <c r="AW53" s="107"/>
      <c r="AX53" s="107"/>
      <c r="AY53" s="23"/>
      <c r="AZ53" s="106"/>
      <c r="BA53" s="107"/>
      <c r="BB53" s="107"/>
      <c r="BC53" s="23"/>
      <c r="BD53" s="106"/>
      <c r="BE53" s="107"/>
      <c r="BF53" s="107"/>
      <c r="BG53" s="23"/>
      <c r="BH53" s="106"/>
      <c r="BI53" s="107"/>
      <c r="BJ53" s="107"/>
      <c r="BK53" s="23"/>
      <c r="BL53" s="106"/>
      <c r="BM53" s="107"/>
      <c r="BN53" s="107"/>
      <c r="BO53" s="23"/>
      <c r="BP53" s="37">
        <v>3.8590406499999999</v>
      </c>
      <c r="BQ53" s="108">
        <v>3.8590406499999999</v>
      </c>
      <c r="BR53" s="108">
        <v>0</v>
      </c>
      <c r="BS53" s="26"/>
      <c r="BT53" s="106"/>
      <c r="BU53" s="107"/>
      <c r="BV53" s="107"/>
      <c r="BW53" s="23"/>
      <c r="BX53" s="106"/>
      <c r="BY53" s="107"/>
      <c r="BZ53" s="107"/>
      <c r="CA53" s="23"/>
      <c r="CB53" s="106"/>
      <c r="CC53" s="107"/>
      <c r="CD53" s="107"/>
      <c r="CE53" s="23"/>
      <c r="CF53" s="106"/>
      <c r="CG53" s="107"/>
      <c r="CH53" s="107"/>
      <c r="CI53" s="23"/>
      <c r="CJ53" s="106"/>
      <c r="CK53" s="107"/>
      <c r="CL53" s="107"/>
      <c r="CM53" s="23"/>
      <c r="CN53" s="106"/>
      <c r="CO53" s="107"/>
      <c r="CP53" s="107"/>
      <c r="CQ53" s="23"/>
      <c r="CR53" s="106"/>
      <c r="CS53" s="107"/>
      <c r="CT53" s="107"/>
      <c r="CU53" s="23"/>
    </row>
    <row r="54" spans="2:99" x14ac:dyDescent="0.3">
      <c r="B54" s="124" t="s">
        <v>8</v>
      </c>
      <c r="C54" s="125"/>
      <c r="D54" s="126">
        <v>781.86032375000002</v>
      </c>
      <c r="E54" s="127">
        <v>310.39429440999999</v>
      </c>
      <c r="F54" s="127">
        <v>287.68622123</v>
      </c>
      <c r="G54" s="128">
        <v>84.250368101127847</v>
      </c>
      <c r="H54" s="126">
        <v>802.50320208999995</v>
      </c>
      <c r="I54" s="127">
        <v>305.83102867999997</v>
      </c>
      <c r="J54" s="127">
        <v>285.18815033999999</v>
      </c>
      <c r="K54" s="129">
        <v>78.790404270763915</v>
      </c>
      <c r="L54" s="126">
        <v>850.71253845000001</v>
      </c>
      <c r="M54" s="127">
        <v>355.16753146999997</v>
      </c>
      <c r="N54" s="127">
        <v>306.95819511000002</v>
      </c>
      <c r="O54" s="129">
        <v>83.142840165431281</v>
      </c>
      <c r="P54" s="126">
        <v>856.28454522000004</v>
      </c>
      <c r="Q54" s="127">
        <v>354.73178610000002</v>
      </c>
      <c r="R54" s="127">
        <v>349.15977932999999</v>
      </c>
      <c r="S54" s="128">
        <v>73.572438400246256</v>
      </c>
      <c r="T54" s="126">
        <v>903.65205255000001</v>
      </c>
      <c r="U54" s="127">
        <v>396.99506407000001</v>
      </c>
      <c r="V54" s="127">
        <v>349.62755673999999</v>
      </c>
      <c r="W54" s="128">
        <v>77.538400660620653</v>
      </c>
      <c r="X54" s="126">
        <v>1033.6152336600001</v>
      </c>
      <c r="Y54" s="127">
        <v>439.52005027000001</v>
      </c>
      <c r="Z54" s="127">
        <v>309.55686916000002</v>
      </c>
      <c r="AA54" s="128">
        <v>100.17046978780731</v>
      </c>
      <c r="AB54" s="126">
        <v>989.84970880000003</v>
      </c>
      <c r="AC54" s="127">
        <v>335.60291046999998</v>
      </c>
      <c r="AD54" s="127">
        <v>379.36843533000001</v>
      </c>
      <c r="AE54" s="128">
        <v>78.276125524699694</v>
      </c>
      <c r="AF54" s="126">
        <v>965.30173437999997</v>
      </c>
      <c r="AG54" s="127">
        <v>335.39489431999999</v>
      </c>
      <c r="AH54" s="127">
        <v>359.94286873999999</v>
      </c>
      <c r="AI54" s="128">
        <v>80.45457917466949</v>
      </c>
      <c r="AJ54" s="126">
        <v>1072.5548733600001</v>
      </c>
      <c r="AK54" s="127">
        <v>509.82297448000003</v>
      </c>
      <c r="AL54" s="127">
        <v>402.56983550000001</v>
      </c>
      <c r="AM54" s="128">
        <v>79.928110263989225</v>
      </c>
      <c r="AN54" s="126">
        <v>1098.7123911199999</v>
      </c>
      <c r="AO54" s="127">
        <v>390.6781684</v>
      </c>
      <c r="AP54" s="127">
        <v>364.53831004</v>
      </c>
      <c r="AQ54" s="128">
        <v>90.41950002451928</v>
      </c>
      <c r="AR54" s="126">
        <v>1003.47850179</v>
      </c>
      <c r="AS54" s="127">
        <v>362.75121422000001</v>
      </c>
      <c r="AT54" s="127">
        <v>457.98510355000002</v>
      </c>
      <c r="AU54" s="128">
        <v>65.732170807196113</v>
      </c>
      <c r="AV54" s="126">
        <v>1039.8612483300001</v>
      </c>
      <c r="AW54" s="127">
        <v>453.81489648000002</v>
      </c>
      <c r="AX54" s="127">
        <v>417.43214993999999</v>
      </c>
      <c r="AY54" s="128">
        <v>74.732713937783572</v>
      </c>
      <c r="AZ54" s="126">
        <v>1080.67670228</v>
      </c>
      <c r="BA54" s="127">
        <v>382.79464846000002</v>
      </c>
      <c r="BB54" s="127">
        <v>341.97919451000001</v>
      </c>
      <c r="BC54" s="128">
        <v>94.801969210006959</v>
      </c>
      <c r="BD54" s="126">
        <v>920.02771174999998</v>
      </c>
      <c r="BE54" s="127">
        <v>290.73225839999998</v>
      </c>
      <c r="BF54" s="127">
        <v>451.38124895999999</v>
      </c>
      <c r="BG54" s="128">
        <v>61.147492094750042</v>
      </c>
      <c r="BH54" s="126">
        <v>1017.41854418</v>
      </c>
      <c r="BI54" s="127">
        <v>457.23477380999998</v>
      </c>
      <c r="BJ54" s="127">
        <v>359.84394137999999</v>
      </c>
      <c r="BK54" s="128">
        <v>84.821648541159604</v>
      </c>
      <c r="BL54" s="126">
        <v>930.82569480999996</v>
      </c>
      <c r="BM54" s="127">
        <v>292.64045779000003</v>
      </c>
      <c r="BN54" s="127">
        <v>379.21663668999997</v>
      </c>
      <c r="BO54" s="128">
        <v>73.638042592334344</v>
      </c>
      <c r="BP54" s="130">
        <v>942.62584029000004</v>
      </c>
      <c r="BQ54" s="127">
        <v>378.26325852999997</v>
      </c>
      <c r="BR54" s="127">
        <v>366.46311305</v>
      </c>
      <c r="BS54" s="128">
        <v>77.166771229282404</v>
      </c>
      <c r="BT54" s="126"/>
      <c r="BU54" s="127"/>
      <c r="BV54" s="127"/>
      <c r="BW54" s="128"/>
      <c r="BX54" s="126"/>
      <c r="BY54" s="127"/>
      <c r="BZ54" s="127"/>
      <c r="CA54" s="128"/>
      <c r="CB54" s="126"/>
      <c r="CC54" s="127"/>
      <c r="CD54" s="127"/>
      <c r="CE54" s="128"/>
      <c r="CF54" s="126"/>
      <c r="CG54" s="127"/>
      <c r="CH54" s="127"/>
      <c r="CI54" s="128"/>
      <c r="CJ54" s="126"/>
      <c r="CK54" s="127"/>
      <c r="CL54" s="127"/>
      <c r="CM54" s="128"/>
      <c r="CN54" s="126"/>
      <c r="CO54" s="127"/>
      <c r="CP54" s="127"/>
      <c r="CQ54" s="128"/>
      <c r="CR54" s="126"/>
      <c r="CS54" s="127"/>
      <c r="CT54" s="127"/>
      <c r="CU54" s="128"/>
    </row>
    <row r="55" spans="2:99" x14ac:dyDescent="0.3">
      <c r="B55" s="124" t="s">
        <v>12</v>
      </c>
      <c r="C55" s="125"/>
      <c r="D55" s="126">
        <v>83.833925719999996</v>
      </c>
      <c r="E55" s="127"/>
      <c r="F55" s="127"/>
      <c r="G55" s="129"/>
      <c r="H55" s="126">
        <v>63.171060699999998</v>
      </c>
      <c r="I55" s="127"/>
      <c r="J55" s="127"/>
      <c r="K55" s="129"/>
      <c r="L55" s="131">
        <v>63.737783880000002</v>
      </c>
      <c r="M55" s="127"/>
      <c r="N55" s="127"/>
      <c r="O55" s="129"/>
      <c r="P55" s="131">
        <v>89.030653209999997</v>
      </c>
      <c r="Q55" s="127"/>
      <c r="R55" s="127"/>
      <c r="S55" s="128"/>
      <c r="T55" s="131">
        <v>103.27645974000001</v>
      </c>
      <c r="U55" s="127"/>
      <c r="V55" s="127"/>
      <c r="W55" s="129"/>
      <c r="X55" s="131">
        <v>99.829827890000004</v>
      </c>
      <c r="Y55" s="127"/>
      <c r="Z55" s="127"/>
      <c r="AA55" s="128"/>
      <c r="AB55" s="131">
        <v>135.24711823999999</v>
      </c>
      <c r="AC55" s="127"/>
      <c r="AD55" s="127"/>
      <c r="AE55" s="128"/>
      <c r="AF55" s="131">
        <v>89.976395120000007</v>
      </c>
      <c r="AG55" s="127"/>
      <c r="AH55" s="127"/>
      <c r="AI55" s="128"/>
      <c r="AJ55" s="131">
        <v>84.095985200000001</v>
      </c>
      <c r="AK55" s="127"/>
      <c r="AL55" s="127"/>
      <c r="AM55" s="128"/>
      <c r="AN55" s="131">
        <v>86.454785490000006</v>
      </c>
      <c r="AO55" s="127"/>
      <c r="AP55" s="127"/>
      <c r="AQ55" s="129"/>
      <c r="AR55" s="131">
        <v>60.212703419999997</v>
      </c>
      <c r="AS55" s="127"/>
      <c r="AT55" s="127"/>
      <c r="AU55" s="129"/>
      <c r="AV55" s="131">
        <v>88.794621000000006</v>
      </c>
      <c r="AW55" s="127"/>
      <c r="AX55" s="127"/>
      <c r="AY55" s="129"/>
      <c r="AZ55" s="131">
        <v>85.989407020000002</v>
      </c>
      <c r="BA55" s="127"/>
      <c r="BB55" s="127"/>
      <c r="BC55" s="129"/>
      <c r="BD55" s="131">
        <v>81.861224280000002</v>
      </c>
      <c r="BE55" s="127"/>
      <c r="BF55" s="127"/>
      <c r="BG55" s="129"/>
      <c r="BH55" s="131">
        <v>83.489012579999994</v>
      </c>
      <c r="BI55" s="127"/>
      <c r="BJ55" s="127"/>
      <c r="BK55" s="129"/>
      <c r="BL55" s="131">
        <v>85.838080849999997</v>
      </c>
      <c r="BM55" s="127"/>
      <c r="BN55" s="127"/>
      <c r="BO55" s="129"/>
      <c r="BP55" s="132">
        <v>54.889426129999997</v>
      </c>
      <c r="BQ55" s="127"/>
      <c r="BR55" s="127"/>
      <c r="BS55" s="128"/>
      <c r="BT55" s="131"/>
      <c r="BU55" s="127"/>
      <c r="BV55" s="127"/>
      <c r="BW55" s="129"/>
      <c r="BX55" s="131"/>
      <c r="BY55" s="127"/>
      <c r="BZ55" s="127"/>
      <c r="CA55" s="129"/>
      <c r="CB55" s="131"/>
      <c r="CC55" s="127"/>
      <c r="CD55" s="127"/>
      <c r="CE55" s="129"/>
      <c r="CF55" s="131"/>
      <c r="CG55" s="127"/>
      <c r="CH55" s="127"/>
      <c r="CI55" s="129"/>
      <c r="CJ55" s="131"/>
      <c r="CK55" s="127"/>
      <c r="CL55" s="127"/>
      <c r="CM55" s="129"/>
      <c r="CN55" s="131"/>
      <c r="CO55" s="127"/>
      <c r="CP55" s="127"/>
      <c r="CQ55" s="129"/>
      <c r="CR55" s="131"/>
      <c r="CS55" s="127"/>
      <c r="CT55" s="127"/>
      <c r="CU55" s="129"/>
    </row>
    <row r="56" spans="2:99" ht="17.25" thickBot="1" x14ac:dyDescent="0.35">
      <c r="B56" s="133" t="s">
        <v>21</v>
      </c>
      <c r="C56" s="134"/>
      <c r="D56" s="135">
        <v>-129.55632903</v>
      </c>
      <c r="E56" s="136"/>
      <c r="F56" s="136"/>
      <c r="G56" s="137"/>
      <c r="H56" s="135">
        <v>-146.77985451000001</v>
      </c>
      <c r="I56" s="136"/>
      <c r="J56" s="136"/>
      <c r="K56" s="138"/>
      <c r="L56" s="135">
        <v>-147.52617805</v>
      </c>
      <c r="M56" s="136"/>
      <c r="N56" s="136"/>
      <c r="O56" s="138"/>
      <c r="P56" s="89">
        <v>-148.53991227</v>
      </c>
      <c r="Q56" s="136"/>
      <c r="R56" s="136"/>
      <c r="S56" s="137"/>
      <c r="T56" s="89">
        <v>-153.7317635</v>
      </c>
      <c r="U56" s="136"/>
      <c r="V56" s="136"/>
      <c r="W56" s="138"/>
      <c r="X56" s="89">
        <v>-142.07748079999999</v>
      </c>
      <c r="Y56" s="136"/>
      <c r="Z56" s="136"/>
      <c r="AA56" s="137"/>
      <c r="AB56" s="89">
        <v>-120.52404279000001</v>
      </c>
      <c r="AC56" s="136"/>
      <c r="AD56" s="136"/>
      <c r="AE56" s="137"/>
      <c r="AF56" s="89">
        <v>-112.05279503000001</v>
      </c>
      <c r="AG56" s="136"/>
      <c r="AH56" s="136"/>
      <c r="AI56" s="137"/>
      <c r="AJ56" s="89">
        <v>-112.64730270999999</v>
      </c>
      <c r="AK56" s="136"/>
      <c r="AL56" s="136"/>
      <c r="AM56" s="137"/>
      <c r="AN56" s="89">
        <v>-120.39480818</v>
      </c>
      <c r="AO56" s="136"/>
      <c r="AP56" s="136"/>
      <c r="AQ56" s="138"/>
      <c r="AR56" s="89">
        <v>-109.44482164</v>
      </c>
      <c r="AS56" s="136"/>
      <c r="AT56" s="136"/>
      <c r="AU56" s="138"/>
      <c r="AV56" s="89">
        <v>-102.49772947999999</v>
      </c>
      <c r="AW56" s="136"/>
      <c r="AX56" s="136"/>
      <c r="AY56" s="138"/>
      <c r="AZ56" s="89">
        <v>-107.36814091000001</v>
      </c>
      <c r="BA56" s="136"/>
      <c r="BB56" s="136"/>
      <c r="BC56" s="138"/>
      <c r="BD56" s="89">
        <v>-125.17307724000001</v>
      </c>
      <c r="BE56" s="136"/>
      <c r="BF56" s="136"/>
      <c r="BG56" s="138"/>
      <c r="BH56" s="89">
        <v>-121.24808658000001</v>
      </c>
      <c r="BI56" s="136"/>
      <c r="BJ56" s="136"/>
      <c r="BK56" s="138"/>
      <c r="BL56" s="89">
        <v>-112.94105487</v>
      </c>
      <c r="BM56" s="136"/>
      <c r="BN56" s="136"/>
      <c r="BO56" s="138"/>
      <c r="BP56" s="93">
        <v>-109.11743219</v>
      </c>
      <c r="BQ56" s="136"/>
      <c r="BR56" s="136"/>
      <c r="BS56" s="137"/>
      <c r="BT56" s="89"/>
      <c r="BU56" s="136"/>
      <c r="BV56" s="136"/>
      <c r="BW56" s="138"/>
      <c r="BX56" s="89"/>
      <c r="BY56" s="136"/>
      <c r="BZ56" s="136"/>
      <c r="CA56" s="138"/>
      <c r="CB56" s="89"/>
      <c r="CC56" s="136"/>
      <c r="CD56" s="136"/>
      <c r="CE56" s="138"/>
      <c r="CF56" s="89"/>
      <c r="CG56" s="136"/>
      <c r="CH56" s="136"/>
      <c r="CI56" s="138"/>
      <c r="CJ56" s="89"/>
      <c r="CK56" s="136"/>
      <c r="CL56" s="136"/>
      <c r="CM56" s="138"/>
      <c r="CN56" s="89"/>
      <c r="CO56" s="136"/>
      <c r="CP56" s="136"/>
      <c r="CQ56" s="138"/>
      <c r="CR56" s="89"/>
      <c r="CS56" s="136"/>
      <c r="CT56" s="136"/>
      <c r="CU56" s="138"/>
    </row>
    <row r="57" spans="2:99" ht="18" thickTop="1" thickBot="1" x14ac:dyDescent="0.35">
      <c r="B57" s="139" t="s">
        <v>20</v>
      </c>
      <c r="C57" s="140"/>
      <c r="D57" s="141">
        <v>2182.1423774999998</v>
      </c>
      <c r="E57" s="142">
        <v>1032.6980502299998</v>
      </c>
      <c r="F57" s="142">
        <v>951.67506812999989</v>
      </c>
      <c r="G57" s="143">
        <v>71.081418404101157</v>
      </c>
      <c r="H57" s="141">
        <v>2213.4527038000001</v>
      </c>
      <c r="I57" s="142">
        <v>1095.7453344400001</v>
      </c>
      <c r="J57" s="142">
        <v>1026.8063121800001</v>
      </c>
      <c r="K57" s="144">
        <v>60.35868203304873</v>
      </c>
      <c r="L57" s="145">
        <v>2265.0145162699996</v>
      </c>
      <c r="M57" s="140">
        <v>1120.0563621400001</v>
      </c>
      <c r="N57" s="140">
        <v>1068.3088437599999</v>
      </c>
      <c r="O57" s="146">
        <v>63.605609824349017</v>
      </c>
      <c r="P57" s="145">
        <v>2315.4653097099999</v>
      </c>
      <c r="Q57" s="140">
        <v>1169.3302662900001</v>
      </c>
      <c r="R57" s="140">
        <v>1143.1621265100002</v>
      </c>
      <c r="S57" s="147">
        <v>60.764748656753497</v>
      </c>
      <c r="T57" s="145">
        <v>2435.3761595599999</v>
      </c>
      <c r="U57" s="140">
        <v>1235.3003788599999</v>
      </c>
      <c r="V57" s="140">
        <v>1124.44733905</v>
      </c>
      <c r="W57" s="147">
        <v>64.975283634471054</v>
      </c>
      <c r="X57" s="145">
        <v>2553.3474615499999</v>
      </c>
      <c r="Y57" s="140">
        <v>1181.2706256900001</v>
      </c>
      <c r="Z57" s="140">
        <v>1071.7986776500002</v>
      </c>
      <c r="AA57" s="147">
        <v>71.469041195732984</v>
      </c>
      <c r="AB57" s="145">
        <v>2570.8798880900003</v>
      </c>
      <c r="AC57" s="140">
        <v>1106.6019147699999</v>
      </c>
      <c r="AD57" s="140">
        <v>1146.0577959</v>
      </c>
      <c r="AE57" s="147">
        <v>67.297126653313853</v>
      </c>
      <c r="AF57" s="145">
        <v>2604.0570344799999</v>
      </c>
      <c r="AG57" s="140">
        <v>996.7059925399999</v>
      </c>
      <c r="AH57" s="140">
        <v>926.72711523999988</v>
      </c>
      <c r="AI57" s="147">
        <v>84.298505730209868</v>
      </c>
      <c r="AJ57" s="145">
        <v>2683.4906922600003</v>
      </c>
      <c r="AK57" s="140">
        <v>1317.9293745300001</v>
      </c>
      <c r="AL57" s="140">
        <v>1232.01999062</v>
      </c>
      <c r="AM57" s="147">
        <v>65.343680606421756</v>
      </c>
      <c r="AN57" s="145">
        <v>2676.8217049000004</v>
      </c>
      <c r="AO57" s="140">
        <v>1049.2268246199999</v>
      </c>
      <c r="AP57" s="140">
        <v>1051.8872231700002</v>
      </c>
      <c r="AQ57" s="146">
        <v>76.343403910726664</v>
      </c>
      <c r="AR57" s="145">
        <v>2552.8043015399999</v>
      </c>
      <c r="AS57" s="140">
        <v>1114.1539666200001</v>
      </c>
      <c r="AT57" s="140">
        <v>1223.04903885</v>
      </c>
      <c r="AU57" s="146">
        <v>62.617382143736428</v>
      </c>
      <c r="AV57" s="145">
        <v>2664.0182460599999</v>
      </c>
      <c r="AW57" s="140">
        <v>1204.3091652800001</v>
      </c>
      <c r="AX57" s="140">
        <v>1128.6261595200001</v>
      </c>
      <c r="AY57" s="146">
        <v>70.812240800611846</v>
      </c>
      <c r="AZ57" s="145">
        <v>2667.4372712199997</v>
      </c>
      <c r="BA57" s="140">
        <v>1144.14926513</v>
      </c>
      <c r="BB57" s="140">
        <v>1133.1893987600001</v>
      </c>
      <c r="BC57" s="146">
        <v>70.617602162679788</v>
      </c>
      <c r="BD57" s="145">
        <v>2472.37952047</v>
      </c>
      <c r="BE57" s="140">
        <v>912.10671036999997</v>
      </c>
      <c r="BF57" s="140">
        <v>1086.2900323899999</v>
      </c>
      <c r="BG57" s="146">
        <v>68.279541745321836</v>
      </c>
      <c r="BH57" s="145">
        <v>2612.4443860800002</v>
      </c>
      <c r="BI57" s="140">
        <v>1246.8685304000001</v>
      </c>
      <c r="BJ57" s="140">
        <v>1112.35930902</v>
      </c>
      <c r="BK57" s="146">
        <v>70.456848742019986</v>
      </c>
      <c r="BL57" s="145">
        <v>2526.76023949</v>
      </c>
      <c r="BM57" s="140">
        <v>1037.48469651</v>
      </c>
      <c r="BN57" s="140">
        <v>1133.8195868799999</v>
      </c>
      <c r="BO57" s="146">
        <v>66.856145423709947</v>
      </c>
      <c r="BP57" s="148">
        <v>2531.0828502900004</v>
      </c>
      <c r="BQ57" s="149">
        <v>1103.2344040199998</v>
      </c>
      <c r="BR57" s="149">
        <v>1071.78586666</v>
      </c>
      <c r="BS57" s="150">
        <v>70.84669416786393</v>
      </c>
      <c r="BT57" s="145"/>
      <c r="BU57" s="140"/>
      <c r="BV57" s="140"/>
      <c r="BW57" s="146"/>
      <c r="BX57" s="145"/>
      <c r="BY57" s="140"/>
      <c r="BZ57" s="140"/>
      <c r="CA57" s="146"/>
      <c r="CB57" s="145"/>
      <c r="CC57" s="140"/>
      <c r="CD57" s="140"/>
      <c r="CE57" s="146"/>
      <c r="CF57" s="145"/>
      <c r="CG57" s="140"/>
      <c r="CH57" s="140"/>
      <c r="CI57" s="146"/>
      <c r="CJ57" s="145"/>
      <c r="CK57" s="140"/>
      <c r="CL57" s="140"/>
      <c r="CM57" s="146"/>
      <c r="CN57" s="145"/>
      <c r="CO57" s="140"/>
      <c r="CP57" s="140"/>
      <c r="CQ57" s="146"/>
      <c r="CR57" s="145"/>
      <c r="CS57" s="140"/>
      <c r="CT57" s="140"/>
      <c r="CU57" s="146"/>
    </row>
    <row r="58" spans="2:99" ht="17.25" thickTop="1" x14ac:dyDescent="0.3"/>
  </sheetData>
  <mergeCells count="3">
    <mergeCell ref="C19:C20"/>
    <mergeCell ref="B19:B20"/>
    <mergeCell ref="B3:B4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2026-06-26T07:08:25Z</dcterms:created>
  <dcterms:modified xsi:type="dcterms:W3CDTF">2026-06-26T07:23:15Z</dcterms:modified>
</cp:coreProperties>
</file>