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8685" yWindow="0" windowWidth="17220" windowHeight="9435"/>
  </bookViews>
  <sheets>
    <sheet name="완제품상품" sheetId="1" r:id="rId1"/>
    <sheet name="원부자재" sheetId="2" r:id="rId2"/>
  </sheets>
  <externalReferences>
    <externalReference r:id="rId3"/>
  </externalReferences>
  <definedNames>
    <definedName name="_xlnm._FilterDatabase" localSheetId="0" hidden="1">완제품상품!$A$3:$AI$617</definedName>
    <definedName name="_xlnm._FilterDatabase" localSheetId="1" hidden="1">원부자재!$A$3:$U$372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617" i="1" l="1"/>
  <c r="AI616" i="1"/>
  <c r="AI615" i="1"/>
  <c r="AI614" i="1"/>
  <c r="AI613" i="1"/>
  <c r="AI612" i="1"/>
  <c r="AI611" i="1"/>
  <c r="AI610" i="1"/>
  <c r="AI609" i="1"/>
  <c r="AI608" i="1"/>
  <c r="AI607" i="1"/>
  <c r="AI606" i="1"/>
  <c r="AI605" i="1"/>
  <c r="AI604" i="1"/>
  <c r="AI603" i="1"/>
  <c r="AI602" i="1"/>
  <c r="AI601" i="1"/>
  <c r="AI600" i="1"/>
  <c r="AI599" i="1"/>
  <c r="AI598" i="1"/>
  <c r="AI597" i="1"/>
  <c r="AI596" i="1"/>
  <c r="AI595" i="1"/>
  <c r="AI594" i="1"/>
  <c r="AI593" i="1"/>
  <c r="AI592" i="1"/>
  <c r="AI591" i="1"/>
  <c r="AI590" i="1"/>
  <c r="AI589" i="1"/>
  <c r="AI588" i="1"/>
  <c r="AI587" i="1"/>
  <c r="AI586" i="1"/>
  <c r="AI585" i="1"/>
  <c r="AI584" i="1"/>
  <c r="AI583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I533" i="1"/>
  <c r="AI532" i="1"/>
  <c r="AI531" i="1"/>
  <c r="AI530" i="1"/>
  <c r="AI529" i="1"/>
  <c r="AI528" i="1"/>
  <c r="AI527" i="1"/>
  <c r="AI526" i="1"/>
  <c r="AI525" i="1"/>
  <c r="AI524" i="1"/>
  <c r="AI523" i="1"/>
  <c r="AI522" i="1"/>
  <c r="AI521" i="1"/>
  <c r="AI520" i="1"/>
  <c r="AI519" i="1"/>
  <c r="AI518" i="1"/>
  <c r="AI517" i="1"/>
  <c r="AI516" i="1"/>
  <c r="AI515" i="1"/>
  <c r="AI514" i="1"/>
  <c r="AI513" i="1"/>
  <c r="AI512" i="1"/>
  <c r="AI511" i="1"/>
  <c r="AI510" i="1"/>
  <c r="AI509" i="1"/>
  <c r="AI508" i="1"/>
  <c r="AI507" i="1"/>
  <c r="AI506" i="1"/>
  <c r="AI505" i="1"/>
  <c r="AI504" i="1"/>
  <c r="AI503" i="1"/>
  <c r="AI502" i="1"/>
  <c r="AI501" i="1"/>
  <c r="AI500" i="1"/>
  <c r="AI499" i="1"/>
  <c r="AI498" i="1"/>
  <c r="AI497" i="1"/>
  <c r="AI496" i="1"/>
  <c r="AI495" i="1"/>
  <c r="AI494" i="1"/>
  <c r="AI493" i="1"/>
  <c r="AI492" i="1"/>
  <c r="AI491" i="1"/>
  <c r="AI490" i="1"/>
  <c r="AI489" i="1"/>
  <c r="AI488" i="1"/>
  <c r="B475" i="1" l="1"/>
  <c r="B471" i="1"/>
  <c r="B465" i="1"/>
  <c r="B464" i="1"/>
  <c r="B463" i="1"/>
  <c r="B462" i="1"/>
  <c r="B461" i="1"/>
  <c r="B454" i="1"/>
  <c r="B453" i="1"/>
  <c r="B452" i="1"/>
  <c r="B450" i="1"/>
  <c r="B449" i="1"/>
  <c r="B444" i="1"/>
  <c r="B442" i="1"/>
  <c r="B438" i="1"/>
  <c r="B437" i="1"/>
  <c r="B436" i="1"/>
  <c r="B433" i="1"/>
  <c r="B432" i="1"/>
  <c r="B429" i="1"/>
  <c r="B428" i="1"/>
  <c r="B427" i="1"/>
  <c r="B424" i="1"/>
  <c r="B420" i="1"/>
  <c r="B419" i="1"/>
  <c r="B412" i="1"/>
  <c r="B411" i="1"/>
  <c r="B410" i="1"/>
  <c r="B409" i="1"/>
  <c r="B408" i="1"/>
  <c r="B403" i="1"/>
  <c r="B402" i="1"/>
  <c r="B401" i="1"/>
  <c r="B400" i="1"/>
  <c r="B399" i="1"/>
  <c r="B397" i="1"/>
  <c r="B396" i="1"/>
  <c r="B395" i="1"/>
  <c r="B394" i="1"/>
  <c r="B393" i="1"/>
  <c r="B392" i="1"/>
  <c r="B378" i="1"/>
  <c r="B377" i="1"/>
  <c r="B374" i="1"/>
  <c r="B373" i="1"/>
  <c r="B372" i="1"/>
  <c r="B371" i="1"/>
  <c r="B369" i="1"/>
  <c r="B367" i="1"/>
  <c r="B366" i="1"/>
  <c r="B365" i="1"/>
  <c r="B362" i="1"/>
  <c r="B340" i="1"/>
  <c r="B337" i="1"/>
  <c r="B314" i="1"/>
  <c r="B313" i="1"/>
  <c r="B311" i="1"/>
  <c r="B310" i="1"/>
  <c r="B292" i="1"/>
  <c r="B291" i="1"/>
  <c r="B283" i="1"/>
  <c r="B277" i="1"/>
  <c r="B268" i="1"/>
  <c r="B258" i="1"/>
  <c r="B254" i="1"/>
  <c r="B253" i="1"/>
  <c r="B252" i="1"/>
  <c r="B251" i="1"/>
  <c r="B248" i="1"/>
  <c r="B246" i="1"/>
  <c r="B245" i="1"/>
  <c r="B243" i="1"/>
  <c r="B242" i="1"/>
  <c r="B239" i="1"/>
  <c r="B238" i="1"/>
  <c r="B237" i="1"/>
  <c r="B236" i="1"/>
  <c r="B234" i="1"/>
  <c r="B233" i="1"/>
  <c r="B225" i="1"/>
  <c r="U487" i="1" l="1"/>
  <c r="AI487" i="1" s="1"/>
  <c r="U258" i="1" l="1"/>
  <c r="AI258" i="1" s="1"/>
  <c r="U273" i="1"/>
  <c r="AI273" i="1" s="1"/>
  <c r="U291" i="1"/>
  <c r="AI291" i="1" s="1"/>
  <c r="U306" i="1"/>
  <c r="AI306" i="1" s="1"/>
  <c r="U338" i="1"/>
  <c r="AI338" i="1" s="1"/>
  <c r="U355" i="1"/>
  <c r="AI355" i="1" s="1"/>
  <c r="U371" i="1"/>
  <c r="AI371" i="1" s="1"/>
  <c r="U389" i="1"/>
  <c r="AI389" i="1" s="1"/>
  <c r="U390" i="1"/>
  <c r="AI390" i="1" s="1"/>
  <c r="U406" i="1"/>
  <c r="AI406" i="1" s="1"/>
  <c r="U423" i="1"/>
  <c r="AI423" i="1" s="1"/>
  <c r="U424" i="1"/>
  <c r="AI424" i="1" s="1"/>
  <c r="U441" i="1"/>
  <c r="AI441" i="1" s="1"/>
  <c r="U442" i="1"/>
  <c r="AI442" i="1" s="1"/>
  <c r="U6" i="1"/>
  <c r="AI6" i="1" s="1"/>
  <c r="U7" i="1"/>
  <c r="AI7" i="1" s="1"/>
  <c r="U24" i="1"/>
  <c r="AI24" i="1" s="1"/>
  <c r="U25" i="1"/>
  <c r="AI25" i="1" s="1"/>
  <c r="U29" i="1"/>
  <c r="AI29" i="1" s="1"/>
  <c r="U42" i="1"/>
  <c r="AI42" i="1" s="1"/>
  <c r="U59" i="1"/>
  <c r="AI59" i="1" s="1"/>
  <c r="U60" i="1"/>
  <c r="AI60" i="1" s="1"/>
  <c r="U75" i="1"/>
  <c r="AI75" i="1" s="1"/>
  <c r="U76" i="1"/>
  <c r="AI76" i="1" s="1"/>
  <c r="U77" i="1"/>
  <c r="AI77" i="1" s="1"/>
  <c r="U94" i="1"/>
  <c r="AI94" i="1" s="1"/>
  <c r="U95" i="1"/>
  <c r="AI95" i="1" s="1"/>
  <c r="U121" i="1"/>
  <c r="AI121" i="1" s="1"/>
  <c r="U122" i="1"/>
  <c r="AI122" i="1" s="1"/>
  <c r="U147" i="1"/>
  <c r="AI147" i="1" s="1"/>
  <c r="U148" i="1"/>
  <c r="AI148" i="1" s="1"/>
  <c r="U160" i="1"/>
  <c r="AI160" i="1" s="1"/>
  <c r="U177" i="1"/>
  <c r="AI177" i="1" s="1"/>
  <c r="U193" i="1"/>
  <c r="AI193" i="1" s="1"/>
  <c r="U209" i="1"/>
  <c r="AI209" i="1" s="1"/>
  <c r="U211" i="1"/>
  <c r="AI211" i="1" s="1"/>
  <c r="U222" i="1"/>
  <c r="AI222" i="1" s="1"/>
  <c r="U240" i="1"/>
  <c r="AI240" i="1" s="1"/>
  <c r="U241" i="1"/>
  <c r="AI241" i="1" s="1"/>
  <c r="U274" i="1"/>
  <c r="AI274" i="1" s="1"/>
  <c r="U292" i="1"/>
  <c r="AI292" i="1" s="1"/>
  <c r="U307" i="1"/>
  <c r="AI307" i="1" s="1"/>
  <c r="U323" i="1"/>
  <c r="AI323" i="1" s="1"/>
  <c r="U339" i="1"/>
  <c r="AI339" i="1" s="1"/>
  <c r="U356" i="1"/>
  <c r="AI356" i="1" s="1"/>
  <c r="U391" i="1"/>
  <c r="AI391" i="1" s="1"/>
  <c r="U443" i="1"/>
  <c r="AI443" i="1" s="1"/>
  <c r="U259" i="1" l="1"/>
  <c r="AI259" i="1" s="1"/>
  <c r="U485" i="1"/>
  <c r="AI485" i="1" s="1"/>
  <c r="U32" i="1"/>
  <c r="AI32" i="1" s="1"/>
  <c r="U377" i="1"/>
  <c r="AI377" i="1" s="1"/>
  <c r="U359" i="1"/>
  <c r="AI359" i="1" s="1"/>
  <c r="U310" i="1"/>
  <c r="AI310" i="1" s="1"/>
  <c r="U278" i="1"/>
  <c r="AI278" i="1" s="1"/>
  <c r="U245" i="1"/>
  <c r="AI245" i="1" s="1"/>
  <c r="U227" i="1"/>
  <c r="AI227" i="1" s="1"/>
  <c r="U197" i="1"/>
  <c r="AI197" i="1" s="1"/>
  <c r="U164" i="1"/>
  <c r="AI164" i="1" s="1"/>
  <c r="U152" i="1"/>
  <c r="AI152" i="1" s="1"/>
  <c r="U108" i="1"/>
  <c r="AI108" i="1" s="1"/>
  <c r="U96" i="1"/>
  <c r="AI96" i="1" s="1"/>
  <c r="U81" i="1"/>
  <c r="AI81" i="1" s="1"/>
  <c r="U46" i="1"/>
  <c r="AI46" i="1" s="1"/>
  <c r="U11" i="1"/>
  <c r="AI11" i="1" s="1"/>
  <c r="U186" i="1"/>
  <c r="AI186" i="1" s="1"/>
  <c r="U33" i="1"/>
  <c r="AI33" i="1" s="1"/>
  <c r="U473" i="1"/>
  <c r="AI473" i="1" s="1"/>
  <c r="U428" i="1"/>
  <c r="AI428" i="1" s="1"/>
  <c r="U376" i="1"/>
  <c r="AI376" i="1" s="1"/>
  <c r="U358" i="1"/>
  <c r="AI358" i="1" s="1"/>
  <c r="U341" i="1"/>
  <c r="AI341" i="1" s="1"/>
  <c r="U326" i="1"/>
  <c r="AI326" i="1" s="1"/>
  <c r="U277" i="1"/>
  <c r="AI277" i="1" s="1"/>
  <c r="U262" i="1"/>
  <c r="AI262" i="1" s="1"/>
  <c r="U226" i="1"/>
  <c r="AI226" i="1" s="1"/>
  <c r="U212" i="1"/>
  <c r="AI212" i="1" s="1"/>
  <c r="U196" i="1"/>
  <c r="AI196" i="1" s="1"/>
  <c r="U181" i="1"/>
  <c r="AI181" i="1" s="1"/>
  <c r="U163" i="1"/>
  <c r="AI163" i="1" s="1"/>
  <c r="U107" i="1"/>
  <c r="AI107" i="1" s="1"/>
  <c r="U80" i="1"/>
  <c r="AI80" i="1" s="1"/>
  <c r="U63" i="1"/>
  <c r="AI63" i="1" s="1"/>
  <c r="U45" i="1"/>
  <c r="AI45" i="1" s="1"/>
  <c r="U28" i="1"/>
  <c r="AI28" i="1" s="1"/>
  <c r="U475" i="1"/>
  <c r="AI475" i="1" s="1"/>
  <c r="U328" i="1"/>
  <c r="AI328" i="1" s="1"/>
  <c r="U280" i="1"/>
  <c r="AI280" i="1" s="1"/>
  <c r="U199" i="1"/>
  <c r="AI199" i="1" s="1"/>
  <c r="U110" i="1"/>
  <c r="AI110" i="1" s="1"/>
  <c r="U97" i="1"/>
  <c r="AI97" i="1" s="1"/>
  <c r="U31" i="1"/>
  <c r="AI31" i="1" s="1"/>
  <c r="U364" i="1"/>
  <c r="AI364" i="1" s="1"/>
  <c r="U347" i="1"/>
  <c r="AI347" i="1" s="1"/>
  <c r="U202" i="1"/>
  <c r="AI202" i="1" s="1"/>
  <c r="U130" i="1"/>
  <c r="AI130" i="1" s="1"/>
  <c r="U113" i="1"/>
  <c r="AI113" i="1" s="1"/>
  <c r="U34" i="1"/>
  <c r="AI34" i="1" s="1"/>
  <c r="U16" i="1"/>
  <c r="AI16" i="1" s="1"/>
  <c r="U325" i="1"/>
  <c r="AI325" i="1" s="1"/>
  <c r="U276" i="1"/>
  <c r="AI276" i="1" s="1"/>
  <c r="U150" i="1"/>
  <c r="AI150" i="1" s="1"/>
  <c r="U124" i="1"/>
  <c r="AI124" i="1" s="1"/>
  <c r="U79" i="1"/>
  <c r="AI79" i="1" s="1"/>
  <c r="U213" i="1"/>
  <c r="AI213" i="1" s="1"/>
  <c r="U183" i="1"/>
  <c r="AI183" i="1" s="1"/>
  <c r="U282" i="1"/>
  <c r="AI282" i="1" s="1"/>
  <c r="U129" i="1"/>
  <c r="AI129" i="1" s="1"/>
  <c r="U99" i="1"/>
  <c r="AI99" i="1" s="1"/>
  <c r="U394" i="1"/>
  <c r="AI394" i="1" s="1"/>
  <c r="U354" i="1"/>
  <c r="AI354" i="1" s="1"/>
  <c r="U210" i="1"/>
  <c r="AI210" i="1" s="1"/>
  <c r="U149" i="1"/>
  <c r="AI149" i="1" s="1"/>
  <c r="U123" i="1"/>
  <c r="AI123" i="1" s="1"/>
  <c r="U182" i="1"/>
  <c r="AI182" i="1" s="1"/>
  <c r="U64" i="1"/>
  <c r="AI64" i="1" s="1"/>
  <c r="U98" i="1"/>
  <c r="AI98" i="1" s="1"/>
  <c r="U322" i="1"/>
  <c r="AI322" i="1" s="1"/>
  <c r="U275" i="1"/>
  <c r="AI275" i="1" s="1"/>
  <c r="U195" i="1"/>
  <c r="AI195" i="1" s="1"/>
  <c r="U198" i="1"/>
  <c r="AI198" i="1" s="1"/>
  <c r="U112" i="1"/>
  <c r="AI112" i="1" s="1"/>
  <c r="U78" i="1"/>
  <c r="AI78" i="1" s="1"/>
  <c r="U416" i="1"/>
  <c r="AI416" i="1" s="1"/>
  <c r="U399" i="1"/>
  <c r="AI399" i="1" s="1"/>
  <c r="U382" i="1"/>
  <c r="AI382" i="1" s="1"/>
  <c r="U331" i="1"/>
  <c r="AI331" i="1" s="1"/>
  <c r="U315" i="1"/>
  <c r="AI315" i="1" s="1"/>
  <c r="U300" i="1"/>
  <c r="AI300" i="1" s="1"/>
  <c r="U268" i="1"/>
  <c r="AI268" i="1" s="1"/>
  <c r="U250" i="1"/>
  <c r="AI250" i="1" s="1"/>
  <c r="U232" i="1"/>
  <c r="AI232" i="1" s="1"/>
  <c r="U187" i="1"/>
  <c r="AI187" i="1" s="1"/>
  <c r="U169" i="1"/>
  <c r="AI169" i="1" s="1"/>
  <c r="U153" i="1"/>
  <c r="AI153" i="1" s="1"/>
  <c r="U140" i="1"/>
  <c r="AI140" i="1" s="1"/>
  <c r="U100" i="1"/>
  <c r="AI100" i="1" s="1"/>
  <c r="U86" i="1"/>
  <c r="AI86" i="1" s="1"/>
  <c r="U69" i="1"/>
  <c r="AI69" i="1" s="1"/>
  <c r="U51" i="1"/>
  <c r="AI51" i="1" s="1"/>
  <c r="U481" i="1"/>
  <c r="AI481" i="1" s="1"/>
  <c r="U437" i="1"/>
  <c r="AI437" i="1" s="1"/>
  <c r="U367" i="1"/>
  <c r="AI367" i="1" s="1"/>
  <c r="U205" i="1"/>
  <c r="AI205" i="1" s="1"/>
  <c r="U116" i="1"/>
  <c r="AI116" i="1" s="1"/>
  <c r="U446" i="1"/>
  <c r="AI446" i="1" s="1"/>
  <c r="U244" i="1"/>
  <c r="AI244" i="1" s="1"/>
  <c r="U151" i="1"/>
  <c r="AI151" i="1" s="1"/>
  <c r="U125" i="1"/>
  <c r="AI125" i="1" s="1"/>
  <c r="U10" i="1"/>
  <c r="AI10" i="1" s="1"/>
  <c r="U225" i="1"/>
  <c r="AI225" i="1" s="1"/>
  <c r="U136" i="1"/>
  <c r="AI136" i="1" s="1"/>
  <c r="U204" i="1"/>
  <c r="AI204" i="1" s="1"/>
  <c r="U224" i="1"/>
  <c r="AI224" i="1" s="1"/>
  <c r="U425" i="1"/>
  <c r="AI425" i="1" s="1"/>
  <c r="U373" i="1"/>
  <c r="AI373" i="1" s="1"/>
  <c r="U223" i="1"/>
  <c r="AI223" i="1" s="1"/>
  <c r="U178" i="1"/>
  <c r="AI178" i="1" s="1"/>
  <c r="U264" i="1"/>
  <c r="AI264" i="1" s="1"/>
  <c r="U47" i="1"/>
  <c r="AI47" i="1" s="1"/>
  <c r="U215" i="1"/>
  <c r="AI215" i="1" s="1"/>
  <c r="U429" i="1"/>
  <c r="AI429" i="1" s="1"/>
  <c r="U290" i="1"/>
  <c r="AI290" i="1" s="1"/>
  <c r="U272" i="1"/>
  <c r="AI272" i="1" s="1"/>
  <c r="U257" i="1"/>
  <c r="AI257" i="1" s="1"/>
  <c r="U239" i="1"/>
  <c r="AI239" i="1" s="1"/>
  <c r="U221" i="1"/>
  <c r="AI221" i="1" s="1"/>
  <c r="U208" i="1"/>
  <c r="AI208" i="1" s="1"/>
  <c r="U176" i="1"/>
  <c r="AI176" i="1" s="1"/>
  <c r="U159" i="1"/>
  <c r="AI159" i="1" s="1"/>
  <c r="U146" i="1"/>
  <c r="AI146" i="1" s="1"/>
  <c r="U135" i="1"/>
  <c r="AI135" i="1" s="1"/>
  <c r="U120" i="1"/>
  <c r="AI120" i="1" s="1"/>
  <c r="U93" i="1"/>
  <c r="AI93" i="1" s="1"/>
  <c r="U58" i="1"/>
  <c r="AI58" i="1" s="1"/>
  <c r="U41" i="1"/>
  <c r="AI41" i="1" s="1"/>
  <c r="U23" i="1"/>
  <c r="AI23" i="1" s="1"/>
  <c r="U5" i="1"/>
  <c r="AI5" i="1" s="1"/>
  <c r="U375" i="1"/>
  <c r="AI375" i="1" s="1"/>
  <c r="U294" i="1"/>
  <c r="AI294" i="1" s="1"/>
  <c r="U261" i="1"/>
  <c r="AI261" i="1" s="1"/>
  <c r="U44" i="1"/>
  <c r="AI44" i="1" s="1"/>
  <c r="U228" i="1"/>
  <c r="AI228" i="1" s="1"/>
  <c r="U30" i="1"/>
  <c r="AI30" i="1" s="1"/>
  <c r="U61" i="1"/>
  <c r="AI61" i="1" s="1"/>
  <c r="U243" i="1"/>
  <c r="AI243" i="1" s="1"/>
  <c r="U9" i="1"/>
  <c r="AI9" i="1" s="1"/>
  <c r="U346" i="1"/>
  <c r="AI346" i="1" s="1"/>
  <c r="U115" i="1"/>
  <c r="AI115" i="1" s="1"/>
  <c r="U161" i="1"/>
  <c r="AI161" i="1" s="1"/>
  <c r="U15" i="1"/>
  <c r="AI15" i="1" s="1"/>
  <c r="U357" i="1"/>
  <c r="AI357" i="1" s="1"/>
  <c r="U445" i="1"/>
  <c r="AI445" i="1" s="1"/>
  <c r="U132" i="1"/>
  <c r="AI132" i="1" s="1"/>
  <c r="U179" i="1"/>
  <c r="AI179" i="1" s="1"/>
  <c r="U82" i="1"/>
  <c r="AI82" i="1" s="1"/>
  <c r="U366" i="1"/>
  <c r="AI366" i="1" s="1"/>
  <c r="U444" i="1"/>
  <c r="AI444" i="1" s="1"/>
  <c r="U340" i="1"/>
  <c r="AI340" i="1" s="1"/>
  <c r="U308" i="1"/>
  <c r="AI308" i="1" s="1"/>
  <c r="U260" i="1"/>
  <c r="AI260" i="1" s="1"/>
  <c r="U8" i="1"/>
  <c r="AI8" i="1" s="1"/>
  <c r="U392" i="1"/>
  <c r="AI392" i="1" s="1"/>
  <c r="U413" i="1"/>
  <c r="AI413" i="1" s="1"/>
  <c r="U165" i="1"/>
  <c r="AI165" i="1" s="1"/>
  <c r="U194" i="1"/>
  <c r="AI194" i="1" s="1"/>
  <c r="U43" i="1"/>
  <c r="AI43" i="1" s="1"/>
  <c r="U472" i="1"/>
  <c r="AI472" i="1" s="1"/>
  <c r="U180" i="1"/>
  <c r="AI180" i="1" s="1"/>
  <c r="U126" i="1"/>
  <c r="AI126" i="1" s="1"/>
  <c r="U363" i="1"/>
  <c r="AI363" i="1" s="1"/>
  <c r="U27" i="1"/>
  <c r="AI27" i="1" s="1"/>
  <c r="U360" i="1"/>
  <c r="AI360" i="1" s="1"/>
  <c r="U327" i="1"/>
  <c r="AI327" i="1" s="1"/>
  <c r="U433" i="1"/>
  <c r="AI433" i="1" s="1"/>
  <c r="U201" i="1"/>
  <c r="AI201" i="1" s="1"/>
  <c r="U436" i="1"/>
  <c r="AI436" i="1" s="1"/>
  <c r="U285" i="1"/>
  <c r="AI285" i="1" s="1"/>
  <c r="U426" i="1"/>
  <c r="AI426" i="1" s="1"/>
  <c r="U242" i="1"/>
  <c r="AI242" i="1" s="1"/>
  <c r="U474" i="1"/>
  <c r="AI474" i="1" s="1"/>
  <c r="U295" i="1"/>
  <c r="AI295" i="1" s="1"/>
  <c r="U263" i="1"/>
  <c r="AI263" i="1" s="1"/>
  <c r="U214" i="1"/>
  <c r="AI214" i="1" s="1"/>
  <c r="U200" i="1"/>
  <c r="AI200" i="1" s="1"/>
  <c r="U111" i="1"/>
  <c r="AI111" i="1" s="1"/>
  <c r="U162" i="1"/>
  <c r="AI162" i="1" s="1"/>
  <c r="U62" i="1"/>
  <c r="AI62" i="1" s="1"/>
  <c r="U109" i="1"/>
  <c r="AI109" i="1" s="1"/>
  <c r="U12" i="1"/>
  <c r="AI12" i="1" s="1"/>
  <c r="U349" i="1"/>
  <c r="AI349" i="1" s="1"/>
  <c r="U216" i="1"/>
  <c r="AI216" i="1" s="1"/>
  <c r="U374" i="1"/>
  <c r="AI374" i="1" s="1"/>
  <c r="U324" i="1"/>
  <c r="AI324" i="1" s="1"/>
  <c r="U293" i="1"/>
  <c r="AI293" i="1" s="1"/>
  <c r="U26" i="1"/>
  <c r="AI26" i="1" s="1"/>
  <c r="U476" i="1"/>
  <c r="AI476" i="1" s="1"/>
  <c r="U432" i="1"/>
  <c r="AI432" i="1" s="1"/>
  <c r="U65" i="1"/>
  <c r="AI65" i="1" s="1"/>
  <c r="U463" i="1"/>
  <c r="AI463" i="1" s="1"/>
  <c r="U450" i="1"/>
  <c r="AI450" i="1" s="1"/>
  <c r="U398" i="1"/>
  <c r="AI398" i="1" s="1"/>
  <c r="U381" i="1"/>
  <c r="AI381" i="1" s="1"/>
  <c r="U330" i="1"/>
  <c r="AI330" i="1" s="1"/>
  <c r="U314" i="1"/>
  <c r="AI314" i="1" s="1"/>
  <c r="U299" i="1"/>
  <c r="AI299" i="1" s="1"/>
  <c r="U267" i="1"/>
  <c r="AI267" i="1" s="1"/>
  <c r="U249" i="1"/>
  <c r="AI249" i="1" s="1"/>
  <c r="U231" i="1"/>
  <c r="AI231" i="1" s="1"/>
  <c r="U168" i="1"/>
  <c r="AI168" i="1" s="1"/>
  <c r="U139" i="1"/>
  <c r="AI139" i="1" s="1"/>
  <c r="U85" i="1"/>
  <c r="AI85" i="1" s="1"/>
  <c r="U68" i="1"/>
  <c r="AI68" i="1" s="1"/>
  <c r="U50" i="1"/>
  <c r="AI50" i="1" s="1"/>
  <c r="U462" i="1"/>
  <c r="AI462" i="1" s="1"/>
  <c r="U449" i="1"/>
  <c r="AI449" i="1" s="1"/>
  <c r="U397" i="1"/>
  <c r="AI397" i="1" s="1"/>
  <c r="U380" i="1"/>
  <c r="AI380" i="1" s="1"/>
  <c r="U329" i="1"/>
  <c r="AI329" i="1" s="1"/>
  <c r="U313" i="1"/>
  <c r="AI313" i="1" s="1"/>
  <c r="U298" i="1"/>
  <c r="AI298" i="1" s="1"/>
  <c r="U248" i="1"/>
  <c r="AI248" i="1" s="1"/>
  <c r="U230" i="1"/>
  <c r="AI230" i="1" s="1"/>
  <c r="U167" i="1"/>
  <c r="AI167" i="1" s="1"/>
  <c r="U138" i="1"/>
  <c r="AI138" i="1" s="1"/>
  <c r="U84" i="1"/>
  <c r="AI84" i="1" s="1"/>
  <c r="U67" i="1"/>
  <c r="AI67" i="1" s="1"/>
  <c r="U49" i="1"/>
  <c r="AI49" i="1" s="1"/>
  <c r="U38" i="1"/>
  <c r="AI38" i="1" s="1"/>
  <c r="U448" i="1"/>
  <c r="AI448" i="1" s="1"/>
  <c r="U166" i="1"/>
  <c r="AI166" i="1" s="1"/>
  <c r="U379" i="1"/>
  <c r="AI379" i="1" s="1"/>
  <c r="U48" i="1"/>
  <c r="AI48" i="1" s="1"/>
  <c r="U430" i="1"/>
  <c r="AI430" i="1" s="1"/>
  <c r="U343" i="1"/>
  <c r="AI343" i="1" s="1"/>
  <c r="U279" i="1"/>
  <c r="AI279" i="1" s="1"/>
  <c r="U477" i="1"/>
  <c r="AI477" i="1" s="1"/>
  <c r="U396" i="1"/>
  <c r="AI396" i="1" s="1"/>
  <c r="U297" i="1"/>
  <c r="AI297" i="1" s="1"/>
  <c r="U229" i="1"/>
  <c r="AI229" i="1" s="1"/>
  <c r="U66" i="1"/>
  <c r="AI66" i="1" s="1"/>
  <c r="U286" i="1"/>
  <c r="AI286" i="1" s="1"/>
  <c r="U459" i="1"/>
  <c r="AI459" i="1" s="1"/>
  <c r="U342" i="1"/>
  <c r="AI342" i="1" s="1"/>
  <c r="U415" i="1"/>
  <c r="AI415" i="1" s="1"/>
  <c r="U362" i="1"/>
  <c r="AI362" i="1" s="1"/>
  <c r="U345" i="1"/>
  <c r="AI345" i="1" s="1"/>
  <c r="U281" i="1"/>
  <c r="AI281" i="1" s="1"/>
  <c r="U266" i="1"/>
  <c r="AI266" i="1" s="1"/>
  <c r="U185" i="1"/>
  <c r="AI185" i="1" s="1"/>
  <c r="U128" i="1"/>
  <c r="AI128" i="1" s="1"/>
  <c r="U14" i="1"/>
  <c r="AI14" i="1" s="1"/>
  <c r="U312" i="1"/>
  <c r="AI312" i="1" s="1"/>
  <c r="U414" i="1"/>
  <c r="AI414" i="1" s="1"/>
  <c r="U361" i="1"/>
  <c r="AI361" i="1" s="1"/>
  <c r="U344" i="1"/>
  <c r="AI344" i="1" s="1"/>
  <c r="U265" i="1"/>
  <c r="AI265" i="1" s="1"/>
  <c r="U184" i="1"/>
  <c r="AI184" i="1" s="1"/>
  <c r="U127" i="1"/>
  <c r="AI127" i="1" s="1"/>
  <c r="U13" i="1"/>
  <c r="AI13" i="1" s="1"/>
  <c r="U83" i="1"/>
  <c r="AI83" i="1" s="1"/>
  <c r="U471" i="1"/>
  <c r="AI471" i="1" s="1"/>
  <c r="U458" i="1"/>
  <c r="AI458" i="1" s="1"/>
  <c r="U409" i="1"/>
  <c r="AI409" i="1" s="1"/>
  <c r="U447" i="1"/>
  <c r="AI447" i="1" s="1"/>
  <c r="U412" i="1"/>
  <c r="AI412" i="1" s="1"/>
  <c r="U461" i="1"/>
  <c r="AI461" i="1" s="1"/>
  <c r="U137" i="1"/>
  <c r="AI137" i="1" s="1"/>
  <c r="U37" i="1"/>
  <c r="AI37" i="1" s="1"/>
  <c r="U470" i="1"/>
  <c r="AI470" i="1" s="1"/>
  <c r="U408" i="1"/>
  <c r="AI408" i="1" s="1"/>
  <c r="U411" i="1"/>
  <c r="AI411" i="1" s="1"/>
  <c r="U393" i="1"/>
  <c r="AI393" i="1" s="1"/>
  <c r="U36" i="1"/>
  <c r="AI36" i="1" s="1"/>
  <c r="U486" i="1"/>
  <c r="AI486" i="1" s="1"/>
  <c r="U469" i="1"/>
  <c r="AI469" i="1" s="1"/>
  <c r="U407" i="1"/>
  <c r="AI407" i="1" s="1"/>
  <c r="U365" i="1"/>
  <c r="AI365" i="1" s="1"/>
  <c r="U348" i="1"/>
  <c r="AI348" i="1" s="1"/>
  <c r="U332" i="1"/>
  <c r="AI332" i="1" s="1"/>
  <c r="U316" i="1"/>
  <c r="AI316" i="1" s="1"/>
  <c r="U301" i="1"/>
  <c r="AI301" i="1" s="1"/>
  <c r="U284" i="1"/>
  <c r="AI284" i="1" s="1"/>
  <c r="U251" i="1"/>
  <c r="AI251" i="1" s="1"/>
  <c r="U233" i="1"/>
  <c r="AI233" i="1" s="1"/>
  <c r="U203" i="1"/>
  <c r="AI203" i="1" s="1"/>
  <c r="U188" i="1"/>
  <c r="AI188" i="1" s="1"/>
  <c r="U170" i="1"/>
  <c r="AI170" i="1" s="1"/>
  <c r="U154" i="1"/>
  <c r="AI154" i="1" s="1"/>
  <c r="U141" i="1"/>
  <c r="AI141" i="1" s="1"/>
  <c r="U131" i="1"/>
  <c r="AI131" i="1" s="1"/>
  <c r="U114" i="1"/>
  <c r="AI114" i="1" s="1"/>
  <c r="U101" i="1"/>
  <c r="AI101" i="1" s="1"/>
  <c r="U87" i="1"/>
  <c r="AI87" i="1" s="1"/>
  <c r="U70" i="1"/>
  <c r="AI70" i="1" s="1"/>
  <c r="U52" i="1"/>
  <c r="AI52" i="1" s="1"/>
  <c r="U35" i="1"/>
  <c r="AI35" i="1" s="1"/>
  <c r="U17" i="1"/>
  <c r="AI17" i="1" s="1"/>
  <c r="U217" i="1"/>
  <c r="AI217" i="1" s="1"/>
  <c r="U283" i="1"/>
  <c r="AI283" i="1" s="1"/>
  <c r="U333" i="1"/>
  <c r="AI333" i="1" s="1"/>
  <c r="U317" i="1"/>
  <c r="AI317" i="1" s="1"/>
  <c r="U252" i="1"/>
  <c r="AI252" i="1" s="1"/>
  <c r="U234" i="1"/>
  <c r="AI234" i="1" s="1"/>
  <c r="U189" i="1"/>
  <c r="AI189" i="1" s="1"/>
  <c r="U171" i="1"/>
  <c r="AI171" i="1" s="1"/>
  <c r="U155" i="1"/>
  <c r="AI155" i="1" s="1"/>
  <c r="U142" i="1"/>
  <c r="AI142" i="1" s="1"/>
  <c r="U102" i="1"/>
  <c r="AI102" i="1" s="1"/>
  <c r="U88" i="1"/>
  <c r="AI88" i="1" s="1"/>
  <c r="U71" i="1"/>
  <c r="AI71" i="1" s="1"/>
  <c r="U53" i="1"/>
  <c r="AI53" i="1" s="1"/>
  <c r="U18" i="1"/>
  <c r="AI18" i="1" s="1"/>
  <c r="U372" i="1"/>
  <c r="AI372" i="1" s="1"/>
  <c r="U247" i="1"/>
  <c r="AI247" i="1" s="1"/>
  <c r="U431" i="1"/>
  <c r="AI431" i="1" s="1"/>
  <c r="U427" i="1"/>
  <c r="AI427" i="1" s="1"/>
  <c r="U410" i="1"/>
  <c r="AI410" i="1" s="1"/>
  <c r="U309" i="1"/>
  <c r="AI309" i="1" s="1"/>
  <c r="U417" i="1"/>
  <c r="AI417" i="1" s="1"/>
  <c r="U480" i="1"/>
  <c r="AI480" i="1" s="1"/>
  <c r="U465" i="1"/>
  <c r="AI465" i="1" s="1"/>
  <c r="U479" i="1"/>
  <c r="AI479" i="1" s="1"/>
  <c r="U464" i="1"/>
  <c r="AI464" i="1" s="1"/>
  <c r="U452" i="1"/>
  <c r="AI452" i="1" s="1"/>
  <c r="U435" i="1"/>
  <c r="AI435" i="1" s="1"/>
  <c r="U400" i="1"/>
  <c r="AI400" i="1" s="1"/>
  <c r="U383" i="1"/>
  <c r="AI383" i="1" s="1"/>
  <c r="U478" i="1"/>
  <c r="AI478" i="1" s="1"/>
  <c r="U451" i="1"/>
  <c r="AI451" i="1" s="1"/>
  <c r="U434" i="1"/>
  <c r="AI434" i="1" s="1"/>
  <c r="U454" i="1"/>
  <c r="AI454" i="1" s="1"/>
  <c r="U419" i="1"/>
  <c r="AI419" i="1" s="1"/>
  <c r="U402" i="1"/>
  <c r="AI402" i="1" s="1"/>
  <c r="U385" i="1"/>
  <c r="AI385" i="1" s="1"/>
  <c r="U350" i="1"/>
  <c r="AI350" i="1" s="1"/>
  <c r="U334" i="1"/>
  <c r="AI334" i="1" s="1"/>
  <c r="U318" i="1"/>
  <c r="AI318" i="1" s="1"/>
  <c r="U302" i="1"/>
  <c r="AI302" i="1" s="1"/>
  <c r="U253" i="1"/>
  <c r="AI253" i="1" s="1"/>
  <c r="U235" i="1"/>
  <c r="AI235" i="1" s="1"/>
  <c r="U190" i="1"/>
  <c r="AI190" i="1" s="1"/>
  <c r="U172" i="1"/>
  <c r="AI172" i="1" s="1"/>
  <c r="U156" i="1"/>
  <c r="AI156" i="1" s="1"/>
  <c r="U143" i="1"/>
  <c r="AI143" i="1" s="1"/>
  <c r="U103" i="1"/>
  <c r="AI103" i="1" s="1"/>
  <c r="U89" i="1"/>
  <c r="AI89" i="1" s="1"/>
  <c r="U72" i="1"/>
  <c r="AI72" i="1" s="1"/>
  <c r="U54" i="1"/>
  <c r="AI54" i="1" s="1"/>
  <c r="U19" i="1"/>
  <c r="AI19" i="1" s="1"/>
  <c r="U453" i="1"/>
  <c r="AI453" i="1" s="1"/>
  <c r="U418" i="1"/>
  <c r="AI418" i="1" s="1"/>
  <c r="U401" i="1"/>
  <c r="AI401" i="1" s="1"/>
  <c r="U384" i="1"/>
  <c r="AI384" i="1" s="1"/>
  <c r="U460" i="1"/>
  <c r="AI460" i="1" s="1"/>
  <c r="U395" i="1"/>
  <c r="AI395" i="1" s="1"/>
  <c r="U378" i="1"/>
  <c r="AI378" i="1" s="1"/>
  <c r="U311" i="1"/>
  <c r="AI311" i="1" s="1"/>
  <c r="U296" i="1"/>
  <c r="AI296" i="1" s="1"/>
  <c r="U246" i="1"/>
  <c r="AI246" i="1" s="1"/>
  <c r="U236" i="1"/>
  <c r="AI236" i="1" s="1"/>
  <c r="U206" i="1"/>
  <c r="AI206" i="1" s="1"/>
  <c r="U191" i="1"/>
  <c r="AI191" i="1" s="1"/>
  <c r="U173" i="1"/>
  <c r="AI173" i="1" s="1"/>
  <c r="U144" i="1"/>
  <c r="AI144" i="1" s="1"/>
  <c r="U117" i="1"/>
  <c r="AI117" i="1" s="1"/>
  <c r="U104" i="1"/>
  <c r="AI104" i="1" s="1"/>
  <c r="U90" i="1"/>
  <c r="AI90" i="1" s="1"/>
  <c r="U73" i="1"/>
  <c r="AI73" i="1" s="1"/>
  <c r="U55" i="1"/>
  <c r="AI55" i="1" s="1"/>
  <c r="U20" i="1"/>
  <c r="AI20" i="1" s="1"/>
  <c r="U484" i="1"/>
  <c r="AI484" i="1" s="1"/>
  <c r="U468" i="1"/>
  <c r="AI468" i="1" s="1"/>
  <c r="U457" i="1"/>
  <c r="AI457" i="1" s="1"/>
  <c r="U440" i="1"/>
  <c r="AI440" i="1" s="1"/>
  <c r="U422" i="1"/>
  <c r="AI422" i="1" s="1"/>
  <c r="U405" i="1"/>
  <c r="AI405" i="1" s="1"/>
  <c r="U388" i="1"/>
  <c r="AI388" i="1" s="1"/>
  <c r="U370" i="1"/>
  <c r="AI370" i="1" s="1"/>
  <c r="U353" i="1"/>
  <c r="AI353" i="1" s="1"/>
  <c r="U337" i="1"/>
  <c r="AI337" i="1" s="1"/>
  <c r="U321" i="1"/>
  <c r="AI321" i="1" s="1"/>
  <c r="U305" i="1"/>
  <c r="AI305" i="1" s="1"/>
  <c r="U289" i="1"/>
  <c r="AI289" i="1" s="1"/>
  <c r="U271" i="1"/>
  <c r="AI271" i="1" s="1"/>
  <c r="U256" i="1"/>
  <c r="AI256" i="1" s="1"/>
  <c r="U238" i="1"/>
  <c r="AI238" i="1" s="1"/>
  <c r="U220" i="1"/>
  <c r="AI220" i="1" s="1"/>
  <c r="U175" i="1"/>
  <c r="AI175" i="1" s="1"/>
  <c r="U158" i="1"/>
  <c r="AI158" i="1" s="1"/>
  <c r="U145" i="1"/>
  <c r="AI145" i="1" s="1"/>
  <c r="U134" i="1"/>
  <c r="AI134" i="1" s="1"/>
  <c r="U119" i="1"/>
  <c r="AI119" i="1" s="1"/>
  <c r="U106" i="1"/>
  <c r="AI106" i="1" s="1"/>
  <c r="U92" i="1"/>
  <c r="AI92" i="1" s="1"/>
  <c r="U57" i="1"/>
  <c r="AI57" i="1" s="1"/>
  <c r="U40" i="1"/>
  <c r="AI40" i="1" s="1"/>
  <c r="U22" i="1"/>
  <c r="AI22" i="1" s="1"/>
  <c r="U483" i="1"/>
  <c r="AI483" i="1" s="1"/>
  <c r="U467" i="1"/>
  <c r="AI467" i="1" s="1"/>
  <c r="U456" i="1"/>
  <c r="AI456" i="1" s="1"/>
  <c r="U439" i="1"/>
  <c r="AI439" i="1" s="1"/>
  <c r="U421" i="1"/>
  <c r="AI421" i="1" s="1"/>
  <c r="U404" i="1"/>
  <c r="AI404" i="1" s="1"/>
  <c r="U387" i="1"/>
  <c r="AI387" i="1" s="1"/>
  <c r="U369" i="1"/>
  <c r="AI369" i="1" s="1"/>
  <c r="U352" i="1"/>
  <c r="AI352" i="1" s="1"/>
  <c r="U336" i="1"/>
  <c r="AI336" i="1" s="1"/>
  <c r="U320" i="1"/>
  <c r="AI320" i="1" s="1"/>
  <c r="U304" i="1"/>
  <c r="AI304" i="1" s="1"/>
  <c r="U288" i="1"/>
  <c r="AI288" i="1" s="1"/>
  <c r="U270" i="1"/>
  <c r="AI270" i="1" s="1"/>
  <c r="U255" i="1"/>
  <c r="AI255" i="1" s="1"/>
  <c r="U237" i="1"/>
  <c r="AI237" i="1" s="1"/>
  <c r="U219" i="1"/>
  <c r="AI219" i="1" s="1"/>
  <c r="U207" i="1"/>
  <c r="AI207" i="1" s="1"/>
  <c r="U192" i="1"/>
  <c r="AI192" i="1" s="1"/>
  <c r="U174" i="1"/>
  <c r="AI174" i="1" s="1"/>
  <c r="U157" i="1"/>
  <c r="AI157" i="1" s="1"/>
  <c r="U133" i="1"/>
  <c r="AI133" i="1" s="1"/>
  <c r="U118" i="1"/>
  <c r="AI118" i="1" s="1"/>
  <c r="U105" i="1"/>
  <c r="AI105" i="1" s="1"/>
  <c r="U91" i="1"/>
  <c r="AI91" i="1" s="1"/>
  <c r="U74" i="1"/>
  <c r="AI74" i="1" s="1"/>
  <c r="U56" i="1"/>
  <c r="AI56" i="1" s="1"/>
  <c r="U39" i="1"/>
  <c r="AI39" i="1" s="1"/>
  <c r="U21" i="1"/>
  <c r="AI21" i="1" s="1"/>
  <c r="U482" i="1"/>
  <c r="AI482" i="1" s="1"/>
  <c r="U466" i="1"/>
  <c r="AI466" i="1" s="1"/>
  <c r="U455" i="1"/>
  <c r="AI455" i="1" s="1"/>
  <c r="U438" i="1"/>
  <c r="AI438" i="1" s="1"/>
  <c r="U420" i="1"/>
  <c r="AI420" i="1" s="1"/>
  <c r="U403" i="1"/>
  <c r="AI403" i="1" s="1"/>
  <c r="U386" i="1"/>
  <c r="AI386" i="1" s="1"/>
  <c r="U368" i="1"/>
  <c r="AI368" i="1" s="1"/>
  <c r="U351" i="1"/>
  <c r="AI351" i="1" s="1"/>
  <c r="U335" i="1"/>
  <c r="AI335" i="1" s="1"/>
  <c r="U319" i="1"/>
  <c r="AI319" i="1" s="1"/>
  <c r="U303" i="1"/>
  <c r="AI303" i="1" s="1"/>
  <c r="U287" i="1"/>
  <c r="AI287" i="1" s="1"/>
  <c r="U269" i="1"/>
  <c r="AI269" i="1" s="1"/>
  <c r="U254" i="1"/>
  <c r="AI254" i="1" s="1"/>
  <c r="U218" i="1"/>
  <c r="AI218" i="1" s="1"/>
  <c r="U4" i="1"/>
  <c r="AI4" i="1" s="1"/>
  <c r="U4" i="2" l="1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</calcChain>
</file>

<file path=xl/sharedStrings.xml><?xml version="1.0" encoding="utf-8"?>
<sst xmlns="http://schemas.openxmlformats.org/spreadsheetml/2006/main" count="4900" uniqueCount="1048">
  <si>
    <t>자재</t>
  </si>
  <si>
    <t>자재 내역</t>
  </si>
  <si>
    <t>Unit</t>
  </si>
  <si>
    <t>EA</t>
  </si>
  <si>
    <t>내역</t>
  </si>
  <si>
    <t>완제품</t>
  </si>
  <si>
    <t>플랜트</t>
  </si>
  <si>
    <t>2026-07_판매계획</t>
    <phoneticPr fontId="2" type="noConversion"/>
  </si>
  <si>
    <t>2026-08_판매계획</t>
    <phoneticPr fontId="2" type="noConversion"/>
  </si>
  <si>
    <t>2026-09_판매계획</t>
    <phoneticPr fontId="2" type="noConversion"/>
  </si>
  <si>
    <t>2026-10_판매계획</t>
    <phoneticPr fontId="2" type="noConversion"/>
  </si>
  <si>
    <t>2026-11_판매계획</t>
    <phoneticPr fontId="2" type="noConversion"/>
  </si>
  <si>
    <t>2026-12_판매계획</t>
    <phoneticPr fontId="2" type="noConversion"/>
  </si>
  <si>
    <t>담당자</t>
    <phoneticPr fontId="2" type="noConversion"/>
  </si>
  <si>
    <t>Lactose Monohydrate(Flowlac 100)</t>
  </si>
  <si>
    <t>Corn Starch(ROQUETTE)</t>
  </si>
  <si>
    <t>Magnesium stearate(KP)(FACI)</t>
  </si>
  <si>
    <t>Lactose monohydrate(Supertab30GR)(DFE)</t>
  </si>
  <si>
    <t>Silicified Microcrystalline Cellulose</t>
  </si>
  <si>
    <t>Dibasic Ca Phosphate Hydrate(Innophos)</t>
  </si>
  <si>
    <t>Croscarmellose Sodium(DISOLCEL)</t>
  </si>
  <si>
    <t>Pregelatinized Starch(Colorcon Limited)</t>
  </si>
  <si>
    <t>Hydroxypropylcellulose(Nippon,JP)</t>
  </si>
  <si>
    <t>Hypromellose(2910,5mPa.s)(LOTTE FINE)</t>
  </si>
  <si>
    <t>TitaniumOxide(KP,Venator,수용성)</t>
  </si>
  <si>
    <t>Ethanol(95)(발효)(KP,DUKSAN)</t>
  </si>
  <si>
    <t>Hypromellose(4000mPas)(IFF N&amp;H)</t>
  </si>
  <si>
    <t>Magnesium stearate(NF)(FACI)</t>
  </si>
  <si>
    <t>펙수프라잔염산염(PROCESS 3-2)</t>
  </si>
  <si>
    <t>Microcrystalline cellulose(Vivapur12)</t>
  </si>
  <si>
    <t>OPADRY 흰색 03B28796(Colorcon)</t>
  </si>
  <si>
    <t>30mL HDPE 용기(원터치 1호) - 2</t>
  </si>
  <si>
    <t>LDPE 캡 (원터치 1호, 0.5g) - 2</t>
  </si>
  <si>
    <t>KG</t>
  </si>
  <si>
    <t>G</t>
  </si>
  <si>
    <t>SH</t>
  </si>
  <si>
    <t>ROL</t>
  </si>
  <si>
    <t>TB</t>
  </si>
  <si>
    <t>오송</t>
  </si>
  <si>
    <t>Mosapride Citrate hydrate(JP,SUMITOMO)</t>
  </si>
  <si>
    <t>Opadry AMB2 88A180040 White(Colorcon)</t>
  </si>
  <si>
    <t>엘도스 3 capsule(서흥)</t>
  </si>
  <si>
    <t>Light AnhydrousSilicic Acid(CABOT,KP)</t>
  </si>
  <si>
    <t>SILICA, COLLOIDAL ANHYDROUS(EP)(EVONIK)</t>
  </si>
  <si>
    <t>Metformin hydrochloride(Merck)</t>
  </si>
  <si>
    <t>AmlodipineBesilate (EP, Cadila)</t>
  </si>
  <si>
    <t>Polyethylene Glycol(6000)(Sanyo)</t>
  </si>
  <si>
    <t>Hypromellose(2910,6cps)(LOTTES FINE)</t>
  </si>
  <si>
    <t>Polyethylene Glycol(400)(Dow)</t>
  </si>
  <si>
    <t>D-MANNITOL(ROQUETTE,KP)(160C)</t>
  </si>
  <si>
    <t>Colloidal SiliconDioxide(CABOT,EP)</t>
  </si>
  <si>
    <t>Lactose Monohydrate(SuperTab11SD)(DFE,KP</t>
  </si>
  <si>
    <t>Povidone(K-90)(BASF)</t>
  </si>
  <si>
    <t>Ferric Oxide(Red)(OXERRA)</t>
  </si>
  <si>
    <t>Dibasic Ca Phosphate Dihydrate(Innophos)</t>
  </si>
  <si>
    <t>Hydroxypropylcellulose (H.P.C.-L)</t>
  </si>
  <si>
    <t>Alcohol(USP,Greenfield)</t>
  </si>
  <si>
    <t>Isopropanol(DUKSAN)</t>
  </si>
  <si>
    <t>Lactose Hydrate(KP)(DFE)</t>
  </si>
  <si>
    <t>Sod. Starch Glycolate(DFE)</t>
  </si>
  <si>
    <t>Microcrystalline Cellulose (102)(JRS)</t>
  </si>
  <si>
    <t>Microcrystalline Cellulose (JRS-101)(NF)</t>
  </si>
  <si>
    <t>Hypromellose(2208,4000cps)(ShinEtsu)</t>
  </si>
  <si>
    <t>Opadry White (OY.C 7000A)(Colorcon)</t>
  </si>
  <si>
    <t>Hypromellose 2208(100,000mPas)(IFF N&amp;H )</t>
  </si>
  <si>
    <t>Anhydrous dibasic ca phosphate(F-C)</t>
  </si>
  <si>
    <t>오파드라이 03F640045 분홍색</t>
  </si>
  <si>
    <t>Carboxymethylcellulose calcium(보락)</t>
  </si>
  <si>
    <t>Ursodeoxycholic Acid(대웅바이오)</t>
  </si>
  <si>
    <t>Acetone(DUKSAN)</t>
  </si>
  <si>
    <t>Cellacefate(EASTMAN)</t>
  </si>
  <si>
    <t>Diethyl Phthalate(Spectrum)</t>
  </si>
  <si>
    <t>Opadry 03B54445 Pink(Colorcon)</t>
  </si>
  <si>
    <t>Rebamipide(KP, 폴라리스에이아이파마)</t>
  </si>
  <si>
    <t>Ethanol 99.5 %</t>
  </si>
  <si>
    <t>Hypromellose 90SH-100SR</t>
  </si>
  <si>
    <t>PLGA (Resomer RG502H)</t>
  </si>
  <si>
    <t>PLGA (Resomer RG503H)</t>
  </si>
  <si>
    <t>Ammonio Methacrylate Copolymer, Type B</t>
  </si>
  <si>
    <t>Sod C.M.C.(7LF PH)</t>
  </si>
  <si>
    <t>오파드라이 노란색 (03B62323)</t>
  </si>
  <si>
    <t>Hydroxypropyl cellulose,Low-substituted</t>
  </si>
  <si>
    <t>Clopidogrel Bisulfate(USP,삼진)</t>
  </si>
  <si>
    <t>Opadry 03B630036 orange</t>
  </si>
  <si>
    <t>펙수프라잔염산염(Fexuprazan HCl) In-house</t>
  </si>
  <si>
    <t>Lactose Hydrate(EP,DFE)</t>
  </si>
  <si>
    <t>Croscarmellose Sodium(EP,DISOLCEL)</t>
  </si>
  <si>
    <t>Hydroxypropylcellulose(EP,Nippon Soda)</t>
  </si>
  <si>
    <t>Lactose Monohydrate(EP, Meggle)</t>
  </si>
  <si>
    <t>Calcium Carbonate(Light)(USP,SHANGHAI)</t>
  </si>
  <si>
    <t>Ethanol(USP,MERCK)</t>
  </si>
  <si>
    <t>Rosuvastatin Calcium(Micronized,USP,I/H)</t>
  </si>
  <si>
    <t>펙수프라잔염산염(Fexuprazan HCl)Global</t>
  </si>
  <si>
    <t>Sarpogrelate Hydrochloride (KP,MFC)</t>
  </si>
  <si>
    <t>Microcrystalline cellulose(Pharmacel102)</t>
  </si>
  <si>
    <t>Ezetimibe(Micronized)</t>
  </si>
  <si>
    <t>Atorvastatin Calcium Trihydrate(별규)</t>
  </si>
  <si>
    <t>Ursodeoxycholic Acid(DMF)</t>
  </si>
  <si>
    <t>Opadry White (OY.C 7000A)(MYR)</t>
  </si>
  <si>
    <t>0.05×90×120 비닐</t>
  </si>
  <si>
    <t>0.9g 방습탈취제(롤)</t>
  </si>
  <si>
    <t>1호 BOX</t>
  </si>
  <si>
    <t>다이아벡스 250mg 설명서</t>
  </si>
  <si>
    <t>대웅우루사연질캡슐 30C CASE</t>
  </si>
  <si>
    <t>대웅우루사연질캡슐 330C CASE</t>
  </si>
  <si>
    <t>대웅우루사연질캡슐 CASE (싸바리)</t>
  </si>
  <si>
    <t>2호 BOX (발송용)</t>
  </si>
  <si>
    <t>크레젯정 10/5MG 100T 라벨 (용기)</t>
  </si>
  <si>
    <t>클로아트 300T LABEL</t>
  </si>
  <si>
    <t>루피어데포주 3.75mg 프리필드용 1VI CASE(삼면)</t>
  </si>
  <si>
    <t>수축필름(260x0.06)</t>
  </si>
  <si>
    <t>우루사정200mg 107mm  AL-FOIL</t>
  </si>
  <si>
    <t>PVC-FOIL (112X0.35)</t>
  </si>
  <si>
    <t>우루사정 200mg 100T CASE</t>
  </si>
  <si>
    <t>올메텍정 20MG 30T LABEL</t>
  </si>
  <si>
    <t>올메텍정 20MG 300T LABEL</t>
  </si>
  <si>
    <t>올메텍정 40mg 30T LABEL</t>
  </si>
  <si>
    <t>올메텍플러스정 30T LABEL</t>
  </si>
  <si>
    <t>올메텍플러스정 300T LABEL</t>
  </si>
  <si>
    <t>복합우루사연질캡슐  설명서</t>
  </si>
  <si>
    <t>복합우루사연질캡슐 80C LABEL</t>
  </si>
  <si>
    <t>복합우루사연질캡슐 80C CASE</t>
  </si>
  <si>
    <t>복합우루사연질캅셀 80C 10EA CASE(삼면)</t>
  </si>
  <si>
    <t>대웅우루사연질캅셀  설명서</t>
  </si>
  <si>
    <t>대웅우루사연질캡슐 120C CASE</t>
  </si>
  <si>
    <t>대웅우루사연질캡슐 120C 10EA CASE(삼면)</t>
  </si>
  <si>
    <t>대웅우루사연질캡슐 120C LABEL</t>
  </si>
  <si>
    <t>다이아벡스1000mg 30T LABEL</t>
  </si>
  <si>
    <t>올메텍정 20MG 설명서</t>
  </si>
  <si>
    <t>올메텍정 40mg 설명서</t>
  </si>
  <si>
    <t>올메텍플러스정 설명서</t>
  </si>
  <si>
    <t>우루사정 200mg 설명서(PTP)</t>
  </si>
  <si>
    <t>우루사정 200mg 설명서(용기)</t>
  </si>
  <si>
    <t>다이아벡스 250mg 1000T LABEL</t>
  </si>
  <si>
    <t>다이아벡스 250mg 100T LABEL</t>
  </si>
  <si>
    <t>다이아벡스 500mg 설명서</t>
  </si>
  <si>
    <t>다이아벡스 500mg 500T LABEL</t>
  </si>
  <si>
    <t>다이아벡스 500mg 30T LABEL</t>
  </si>
  <si>
    <t>다이아벡스1000mg 100T LABEL</t>
  </si>
  <si>
    <t>다이아벡스1000mg 설명서</t>
  </si>
  <si>
    <t>2.5g 방습탈취제</t>
  </si>
  <si>
    <t>루피어데포주 3.75mg 1V X 10개입 CASE(국내용)</t>
  </si>
  <si>
    <t>가스모틴정 5mg 30T LABEL</t>
  </si>
  <si>
    <t>가스모틴정 5mg 100T LABEL</t>
  </si>
  <si>
    <t>가스모틴정 5mg 설명서</t>
  </si>
  <si>
    <t>에어탈정 500T LABEL(오송)</t>
  </si>
  <si>
    <t>에어탈정 EXP(오송)</t>
  </si>
  <si>
    <t>안플원 서방정 300mg 30T LABEL (오송)</t>
  </si>
  <si>
    <t>안플원 서방정 300mg 100T LABEL (오송)</t>
  </si>
  <si>
    <t>안플원 서방정 300mg EXP (오송)</t>
  </si>
  <si>
    <t>글리아스타연질캡슐 CASE</t>
  </si>
  <si>
    <t>크레젯정10/5mg 30정 라벨 (용기)</t>
  </si>
  <si>
    <t>크레젯정 10/5mg 설명서</t>
  </si>
  <si>
    <t>크레젯정 10/20MG 30T 라벨(용기)</t>
  </si>
  <si>
    <t>크레젯정 10/20mg 설명서</t>
  </si>
  <si>
    <t>크레젯정 10/10mg 설명서</t>
  </si>
  <si>
    <t>LDPE 캡(원터치2호, 1g)</t>
  </si>
  <si>
    <t>120ml HDPE 용기(원터치 3호)</t>
  </si>
  <si>
    <t>200ml HDPE 용기(원터치 4호)</t>
  </si>
  <si>
    <t>350ml HDPE 용기(원터치 5호)</t>
  </si>
  <si>
    <t>550ml HDPE 용기(원터치 6호)</t>
  </si>
  <si>
    <t>뮤코트라정 500T LABEL (용기)</t>
  </si>
  <si>
    <t>3호-BOX (ETC 신용기)</t>
  </si>
  <si>
    <t>글리아타민정 90정 케이스</t>
  </si>
  <si>
    <t>무지연질 AL-FOIL (빌케어Venus)(127*0.14)</t>
  </si>
  <si>
    <t>루피어데포주 3.75mg 분말 테프론 고무전 (20mmTBStopper)</t>
  </si>
  <si>
    <t>150mL HDPE 용기 (원터치/스크류 3호)</t>
  </si>
  <si>
    <t>펙수클루정 40mg 설명서</t>
  </si>
  <si>
    <t>펙수클루정 40mg 28T LABEL</t>
  </si>
  <si>
    <t>펙수클루정 40mg 100T LABEL</t>
  </si>
  <si>
    <t>40, 75ml PP 스크류캡 (실리카겔 내장)</t>
  </si>
  <si>
    <t>크레젯정 10/2.5mg 설명서</t>
  </si>
  <si>
    <t>크레젯정 10/2.5mg 30정 라벨</t>
  </si>
  <si>
    <t>크레젯정 10/2.5mg 100정 라벨</t>
  </si>
  <si>
    <t>펙수클루정 10mg 100T LABEL</t>
  </si>
  <si>
    <t>펙수클루정 10mg 300T LABEL</t>
  </si>
  <si>
    <t>엔블로정 0.3mg 설명서(병포장)(전문의약품)</t>
  </si>
  <si>
    <t>60mL HDPE 용기(원터치 2호) - 2</t>
  </si>
  <si>
    <t>Fexuclue 40mg(EC) EXP</t>
  </si>
  <si>
    <t>Fexuclue 40mg(CL) EXP</t>
  </si>
  <si>
    <t>Fexuclue 40mg(MX) EXP</t>
  </si>
  <si>
    <t>Fexuclue 40mg(MX) 28T Case</t>
  </si>
  <si>
    <t>Fexuclue 40mg(MX) 14T Case</t>
  </si>
  <si>
    <t>Fexuclue 40mg(MX) 7T Case</t>
  </si>
  <si>
    <t>Fexuclue 40mg(MX) AL-Foil(Hard)</t>
  </si>
  <si>
    <t>Fexuclue 40mg(MX) 7T AL-Foil(Hard)</t>
  </si>
  <si>
    <t>ENVLO 0.3mg(TH) EXP_in</t>
  </si>
  <si>
    <t>PVDC-FOIL (132mm X 0.33mm) (이원화)</t>
  </si>
  <si>
    <t>CREZET(PH) EXP</t>
  </si>
  <si>
    <t>리토바젯정 10/40mg 설명서(자사)</t>
  </si>
  <si>
    <t>리토바젯정 10/20mg 설명서(자사)</t>
  </si>
  <si>
    <t>리토바젯정 10/20mg 100T LABEL(자사)</t>
  </si>
  <si>
    <t>Fexuclue 40mg(CO) EXP</t>
  </si>
  <si>
    <t>Fexuclue 40mg (CA) EXP</t>
  </si>
  <si>
    <t>Fexuclue 40mg (CA) AL-Foil(Hard)</t>
  </si>
  <si>
    <t>브리바탑정 50mg AL-Foil(Hard)</t>
  </si>
  <si>
    <t>Multilayer PVC film(투명)(143, 0.35)</t>
  </si>
  <si>
    <t>바로에젯정 1/10밀리그램 설명서</t>
  </si>
  <si>
    <t>바로에젯정 1/10밀리그램 30T 라벨</t>
  </si>
  <si>
    <t>올메텍플러스정 반제품</t>
  </si>
  <si>
    <t>올메텍정 40mg 반제품</t>
  </si>
  <si>
    <t>뮤코트라서방정 150밀리그램 (레바미피드)</t>
  </si>
  <si>
    <t>에어탈정(아세클로페낙) 500TT</t>
  </si>
  <si>
    <t>가스모틴정 5밀리그램 100TT</t>
  </si>
  <si>
    <t>가스모틴정 5밀리그램 500TT</t>
  </si>
  <si>
    <t>다이아벡스 250밀리그램 100T</t>
  </si>
  <si>
    <t>다이아벡스정 500밀리그램 100T</t>
  </si>
  <si>
    <t>다이아벡스정 500밀리그램 500T</t>
  </si>
  <si>
    <t>다이아벡스 250밀리그램 1000T</t>
  </si>
  <si>
    <t>올메텍정 20MG 30T</t>
  </si>
  <si>
    <t>올메텍정 20MG 300T</t>
  </si>
  <si>
    <t>올메텍플러스정 20/12.5MG 30T</t>
  </si>
  <si>
    <t>올메텍플러스정 20/12.5MG 300T</t>
  </si>
  <si>
    <t>다이아벡스정 1000밀리그램(메트포르민염산염) 100T</t>
  </si>
  <si>
    <t>다이아벡스 250밀리그램 30T(소포장)</t>
  </si>
  <si>
    <t>다이아벡스정 500밀리그램 30TT</t>
  </si>
  <si>
    <t>다이아벡스정 1000밀리그램(메트포르민염산염) 30T(소포장)</t>
  </si>
  <si>
    <t>우루사정 200밀리그램(우르소데옥시콜산) 100TT (PTP소포장)</t>
  </si>
  <si>
    <t>가스모틴정 5밀리그램 30TT(소포장)</t>
  </si>
  <si>
    <t>올메텍정 40MG 30T</t>
  </si>
  <si>
    <t>루피어데포주3.75MG(류프로렐린아세트산염) 완제품</t>
  </si>
  <si>
    <t>에어탈정(아세클로페낙) 30TT</t>
  </si>
  <si>
    <t>복합우루사 연질캡슐 80CP (NEW)</t>
  </si>
  <si>
    <t>대웅우루사 연질캡슐 120CP (NEW)</t>
  </si>
  <si>
    <t>안플원서방정300밀리그램 30T</t>
  </si>
  <si>
    <t>안플원서방정 300밀리그램 100T</t>
  </si>
  <si>
    <t>클로아트정 30T(클로피도그렐황산염)</t>
  </si>
  <si>
    <t>클로아트정 300T(클로피도그렐황산염)</t>
  </si>
  <si>
    <t>크레젯정10/5밀리그램(에제티미브,로수바스타틴) 100T(용기)</t>
  </si>
  <si>
    <t>대웅우루사 연질캡슐 360CP</t>
  </si>
  <si>
    <t>우루사정 200밀리그램 500TT</t>
  </si>
  <si>
    <t>글리아스타(콜린알포세레이트 연질캡슐) 90CP</t>
  </si>
  <si>
    <t>뮤코트라정 100mg 30TT(용기)</t>
  </si>
  <si>
    <t>뮤코트라정 100mg 500TT</t>
  </si>
  <si>
    <t>크레젯정10/5밀리그램(에제티미브,로수바스타틴) 30T(용기)</t>
  </si>
  <si>
    <t>크레젯정10/20밀리그램(에제티미브,로수바스타틴) 30T(용기)</t>
  </si>
  <si>
    <t>크레젯정10/20밀리그램(에제티미브,로수바스타틴) 100T(용기)</t>
  </si>
  <si>
    <t>크레젯정10/10밀리그램(에제티미브,로수바스타틴) 30T(용기)</t>
  </si>
  <si>
    <t>크레젯정10/10밀리그램(에제티미브,로수바스타틴) 100T(용기)</t>
  </si>
  <si>
    <t>뮤코트라서방정 150밀리그램 (레바미피드) 30TB</t>
  </si>
  <si>
    <t>뮤코트라서방정 150밀리그램 (레바미피드) 300TB</t>
  </si>
  <si>
    <t>리토바젯정 10/10mg 병_30T</t>
  </si>
  <si>
    <t>리토바젯정 10/10mg 병_100T</t>
  </si>
  <si>
    <t>리토바젯정 10/20mg 병_30T</t>
  </si>
  <si>
    <t>리토바젯정 10/20mg 병_100T</t>
  </si>
  <si>
    <t>리토바젯정 10/40mg 병_30T</t>
  </si>
  <si>
    <t>리토바젯정 10/40mg 병_100T</t>
  </si>
  <si>
    <t>아셀콕스2mg(폴마콕시브) 30CP_병</t>
  </si>
  <si>
    <t>아셀콕스2mg(폴마콕시브) 100CP_병</t>
  </si>
  <si>
    <t>펙수클루정 40밀리그램 28T</t>
  </si>
  <si>
    <t>펙수클루정 40밀리그램 100T</t>
  </si>
  <si>
    <t>펙수클루정 40밀리그램 300T</t>
  </si>
  <si>
    <t>크레젯정 10/2.5밀리그램(에제티미브, 로수바스타틴) 100T(용기)</t>
  </si>
  <si>
    <t>크레젯정 10/2.5밀리그램(에제티미브, 로수바스타틴) 30T(용기)</t>
  </si>
  <si>
    <t>펙수클루정 10밀리그램 28T</t>
  </si>
  <si>
    <t>펙수클루정 10밀리그램 100T</t>
  </si>
  <si>
    <t>펙수클루정 10밀리그램 300T</t>
  </si>
  <si>
    <t>엔블로정 0.3밀리그램 300T(용기)</t>
  </si>
  <si>
    <t>엔블로정 0.3밀리그램 30T(용기)</t>
  </si>
  <si>
    <t>엔블로멧서방정0.3/1000mg(이나보글리플로진,메트포르민염산염)30T</t>
  </si>
  <si>
    <t>세벨머정(세벨라머탄산염) 30T</t>
  </si>
  <si>
    <t>세벨머정(세벨라머탄산염) 180T</t>
  </si>
  <si>
    <t>리토바젯정10/5mg(에제티미브,아토르바스타틴칼슘삼수화물) 30T_PTP</t>
  </si>
  <si>
    <t>ABCITO 40mg Film-Coated Tab.(MX) 28T</t>
  </si>
  <si>
    <t>ABCITO 40mg Film-Coated Tab.(MX) 14T</t>
  </si>
  <si>
    <t>ABCITO 40mg Film-Coated Tab.(MX) 7T</t>
  </si>
  <si>
    <t>대웅니세르골린정30밀리그램(니세르골린) 100T</t>
  </si>
  <si>
    <t>포시로멧서방정10/1000밀리그램(다파글리플로진,메트포르민) 30T</t>
  </si>
  <si>
    <t>라베가드정10/600밀리그램(라베프라졸나트륨,침강탄산칼슘) 28T/병</t>
  </si>
  <si>
    <t>라베가드정20/600밀리그램(라베프라졸나트륨,침강탄산칼슘) 28T/병</t>
  </si>
  <si>
    <t>압솔라정 스타터팩</t>
  </si>
  <si>
    <t>압솔라정30밀리그램 28T</t>
  </si>
  <si>
    <t>압솔라정30밀리그램 56T</t>
  </si>
  <si>
    <t>펙수클루정 20밀리그램 28T</t>
  </si>
  <si>
    <t>펙수클루정 20밀리그램 100T</t>
  </si>
  <si>
    <t>펙수클루정 20밀리그램 300T</t>
  </si>
  <si>
    <t>CP</t>
  </si>
  <si>
    <t>2026-07_공급계획</t>
    <phoneticPr fontId="2" type="noConversion"/>
  </si>
  <si>
    <t>2026-08_공급계획</t>
    <phoneticPr fontId="2" type="noConversion"/>
  </si>
  <si>
    <t>2026-09_공급계획</t>
    <phoneticPr fontId="2" type="noConversion"/>
  </si>
  <si>
    <t>2026-10_공급계획</t>
    <phoneticPr fontId="2" type="noConversion"/>
  </si>
  <si>
    <t>2026-11_공급계획</t>
    <phoneticPr fontId="2" type="noConversion"/>
  </si>
  <si>
    <t>2026-12_공급계획</t>
    <phoneticPr fontId="2" type="noConversion"/>
  </si>
  <si>
    <t>2027-01_판매계획</t>
    <phoneticPr fontId="2" type="noConversion"/>
  </si>
  <si>
    <t>2027-01_공급계획</t>
    <phoneticPr fontId="2" type="noConversion"/>
  </si>
  <si>
    <t>Fexuclue 40mg Film-Coated Tab.(EC) 28T</t>
  </si>
  <si>
    <t>Fexuclue 40mg Film-Coated Tab.(CL) 28T</t>
  </si>
  <si>
    <t>CREZET 10/10mg(PH) 30T PTP</t>
  </si>
  <si>
    <t>CREZET 10/20mg(PH) 30T PTP</t>
  </si>
  <si>
    <t>ABCITO 40mg Film-Coated Tab.(CO) 28T</t>
  </si>
  <si>
    <t>바로에젯정 1/10밀리그램</t>
  </si>
  <si>
    <t>복합우루사연질캡슐 80C LABEL (코스맥스)</t>
  </si>
  <si>
    <t>복합우루사연질캡슐 EXP (코스)</t>
  </si>
  <si>
    <t>LDPE 캡(원터치1호, 0.5g)</t>
  </si>
  <si>
    <t>30ml HDPE 용기(원터치 1호)</t>
  </si>
  <si>
    <t>60ml HDPE 용기(원터치 2호)</t>
  </si>
  <si>
    <t>세벨머정(세벨라머탄산염) LABEL_30T</t>
  </si>
  <si>
    <t>세벨머정(세벨라머탄산염) LABEL_180T</t>
  </si>
  <si>
    <t>리토바젯정10/5밀리그램 CASE</t>
  </si>
  <si>
    <t>리토바젯정10/5밀리그램 설명서</t>
  </si>
  <si>
    <t>Fexuclue 40mg(CL) AL-Foil(Hard)</t>
  </si>
  <si>
    <t>Fexuclue 40mg(CL) 28T Case</t>
  </si>
  <si>
    <t>대웅니세르골린정30밀리그램 설명서</t>
  </si>
  <si>
    <t>대웅니세르골린정30밀리그램 100정 용기라벨</t>
  </si>
  <si>
    <t>포시로멧서방정10_1000밀리그램 설명서</t>
  </si>
  <si>
    <t>포시로멧서방정10_1000밀리그램 30T 라벨</t>
  </si>
  <si>
    <t>압솔라정30mg 28T CASE</t>
  </si>
  <si>
    <t>압솔라정30mg 56T CASE</t>
  </si>
  <si>
    <t>CREZET 10_20mg(PH) 30T CASE</t>
  </si>
  <si>
    <t>CREZET 10_10mg(PH) 30T CASE</t>
  </si>
  <si>
    <t>Fexuclue 40mg(CO) AL-Foil(Hard)</t>
  </si>
  <si>
    <t>Fexuclue 40mg(CO) 28T Case</t>
  </si>
  <si>
    <t>올메텍정 20mg 반제품</t>
  </si>
  <si>
    <t>Opaglos 2 Clear 97W19196</t>
  </si>
  <si>
    <t>Opadry QX 321A820028 Yellow(칼라콘,별규)</t>
  </si>
  <si>
    <t>Opadry AMB2 Green 88A610038(CN,Colorcon)</t>
  </si>
  <si>
    <t>복합우루사연질캡슐 80Cx10EA CASE (삼면, 코스맥스)</t>
  </si>
  <si>
    <t>복합우루사연질캡슐 80C CASE (코스맥스)</t>
  </si>
  <si>
    <t>Fexuclue 40mg(EC) 28T Case</t>
  </si>
  <si>
    <t>Fexuclue 40mg(EC) AL-Foil(Hard)</t>
  </si>
  <si>
    <t>ENVLO 0.3mg(TH) 30T Case</t>
  </si>
  <si>
    <t>ENVLO 0.3mg(TH) AL-Foil(Hard)(121x0.025)</t>
  </si>
  <si>
    <t>Fexuclue 40mg (CA) 28T Case</t>
  </si>
  <si>
    <t>우데콜정 200mg 500T 라벨 - 한올바이오파마</t>
  </si>
  <si>
    <t>우데콜정 200mg 500T 설명서 - 한올바이오파마</t>
  </si>
  <si>
    <t>사포렐서방정 300밀리그램 100T LABEL (동국제약)</t>
  </si>
  <si>
    <t>사포렐서방정 300밀리그램 설명서 (동국제약)</t>
  </si>
  <si>
    <t>사포렐서방정 300밀리그램 30T LABEL (동국제약)</t>
  </si>
  <si>
    <t>토브라 점안액 1EA</t>
  </si>
  <si>
    <t>씨프러스정250밀리그램(시프로플록사신염산염) 100T</t>
  </si>
  <si>
    <t>엘도스캡슐 (에르도스테인) 500CP</t>
  </si>
  <si>
    <t>곰실린500mg 캅셀 500CP(아목시실린수화물)</t>
  </si>
  <si>
    <t>베아제정 500TT</t>
  </si>
  <si>
    <t>티로파정 500TT</t>
  </si>
  <si>
    <t>푸루나졸캡슐 50밀리그램(플루코나졸) 100CP</t>
  </si>
  <si>
    <t>이지에프외용액 0.005% (0.5mg/10ml)</t>
  </si>
  <si>
    <t>엘도스시럽 50ml</t>
  </si>
  <si>
    <t>베아제정 100TT (조제용)</t>
  </si>
  <si>
    <t>티로파정 30TT</t>
  </si>
  <si>
    <t>액시드 캡슐 150밀리그람 100CP</t>
  </si>
  <si>
    <t>유글렉스정2밀리그램(글리메피리드) 100TT</t>
  </si>
  <si>
    <t>아사콜디알정 400밀리그람(메살라진) 100T PTP</t>
  </si>
  <si>
    <t>디에타민정 (펜터민염산염) 100TT</t>
  </si>
  <si>
    <t>베아베린정(프로피베린염산염) 100T</t>
  </si>
  <si>
    <t>우루사정 100밀리그램(우르소데옥시콜산) 100T 베트남</t>
  </si>
  <si>
    <t>베아베린정(프로피베린염산염) 30T 소포장</t>
  </si>
  <si>
    <t>엘도스캡슐 (에르도스테인) 30CP(소포장)</t>
  </si>
  <si>
    <t>푸루나졸캡슐 50밀리그램 (플루코나졸) 30CP</t>
  </si>
  <si>
    <t>씨프러스정250밀리그램(시프로플록사신염산염) 30T (소포장)</t>
  </si>
  <si>
    <t>트리마포트(미란타투액 20P) 수출용-베트남</t>
  </si>
  <si>
    <t>대웅푸루나졸정 150MG(플루코나졸) 30T</t>
  </si>
  <si>
    <t>베아리모정 (피나스테리드 1mg) 30T</t>
  </si>
  <si>
    <t>임팩타민 정 12 T</t>
  </si>
  <si>
    <t>베아디핀정 (암로디핀니코틴산염) 30T</t>
  </si>
  <si>
    <t>베아디핀정 (암로디핀니코틴산염) 300T</t>
  </si>
  <si>
    <t>올메텍정10밀리그램(올메사르탄메독소밀) 30T</t>
  </si>
  <si>
    <t>우루사정300밀리그램(우르소데옥시콜산) 500TT</t>
  </si>
  <si>
    <t>우루사정300밀리그램(우르소데옥시콜산) 30TT 용기</t>
  </si>
  <si>
    <t>라미아트정25밀리그램(라모트라진) 30T</t>
  </si>
  <si>
    <t>라미아트정 50밀리그램(라모트리진) 30TT</t>
  </si>
  <si>
    <t>라미아트정 100밀리그램(라모트리진) 30TT</t>
  </si>
  <si>
    <t>우루사정300밀리그램 30T (수출용-베트남) PTP</t>
  </si>
  <si>
    <t>베아자트엑스엘정(알푸조신염산염10mg)30T 용기</t>
  </si>
  <si>
    <t>헤모큐플러스캡슐 120C (60CP*2EA)</t>
  </si>
  <si>
    <t>대웅 이부펜시럽(이부프로펜) 100ML 수출용-베트남</t>
  </si>
  <si>
    <t>에포시스프리필드시린지주10000IU/mL(4000IU/0.4mL) 6개입</t>
  </si>
  <si>
    <t>곰실린 500mg 30CP</t>
  </si>
  <si>
    <t>목시클정 625mg 40T</t>
  </si>
  <si>
    <t>목시클정 375mg 80T</t>
  </si>
  <si>
    <t>에포시스프리필드시린지주10000IU/ML  6개입 태국</t>
  </si>
  <si>
    <t>대웅메로페넴 주 500mg 10vial</t>
  </si>
  <si>
    <t>가스모틴산제(모사프리드시트르산염수화물) 30포(0.5g*30P)</t>
  </si>
  <si>
    <t>대웅팜시클로비르정 250밀리그램(팜시클로비르) 21T</t>
  </si>
  <si>
    <t>스피틴정40밀리그램(아토르바스타틴칼슘) 30T</t>
  </si>
  <si>
    <t>대웅우루사연질캡슐 60CP(PTP) (NEW)</t>
  </si>
  <si>
    <t>복합우루사 연질캡슐 60CP(PTP) (NEW)</t>
  </si>
  <si>
    <t>복합우루사 연질캡슐 120CP (NEW)</t>
  </si>
  <si>
    <t>대웅우루사연질캡슐 10CP*20EA (NEW)</t>
  </si>
  <si>
    <t>뉴란타액 12P (NEWLANTA) 중국수출</t>
  </si>
  <si>
    <t>대웅프리미돈정 30T</t>
  </si>
  <si>
    <t>호이스타정100mg 30T</t>
  </si>
  <si>
    <t>엘도스캡슐300mg 100CP-태국</t>
  </si>
  <si>
    <t>호이스타정(카모스타트메실산염) 100T</t>
  </si>
  <si>
    <t>닥터베아제정  3T 슈퍼판매용</t>
  </si>
  <si>
    <t>에포시스프리필드시린지주 10000IU/mL(3000IU/0.3mL) 6개</t>
  </si>
  <si>
    <t>에포시스프리필드시린지주10000IU/mL(5000IU/0.5mL)6개태국</t>
  </si>
  <si>
    <t>대웅 레보플록사신 점안액 0.5%(25mg/5ml) 1EA</t>
  </si>
  <si>
    <t>임팩타민 파워 정 30T (보건소용)</t>
  </si>
  <si>
    <t>우루사 300mg 30T(UDCACID 필리핀)</t>
  </si>
  <si>
    <t>임팩타민 파워 정 30T (조제용)</t>
  </si>
  <si>
    <t>누리그라정25밀리그램(실데나필시트르산염) 30T</t>
  </si>
  <si>
    <t>베아제정 3T 슈퍼판매용 (NEW)</t>
  </si>
  <si>
    <t>뉴란타액 6P (NEWLANTA) 중국수출</t>
  </si>
  <si>
    <t>바라크로스정1밀리그램(엔테가비르) 30T</t>
  </si>
  <si>
    <t>바라크로스정0.5밀리그램(엔테카비르) 30T</t>
  </si>
  <si>
    <t>유글렉스정2밀리그램(글리메피리드) 30TT(용기)</t>
  </si>
  <si>
    <t>누리그라정100밀리그램(실데나필시트르산염) 8T (NEW)</t>
  </si>
  <si>
    <t>누리그라정50밀리그램(실데나필시트르산염) 8T (NEW)</t>
  </si>
  <si>
    <t>타오르정10밀리그램(타다라필) 8T</t>
  </si>
  <si>
    <t>타오르정 20밀리그램(타다라필) 8T</t>
  </si>
  <si>
    <t>타오르정5밀리그램(타다라필) 30T</t>
  </si>
  <si>
    <t>누리그라정100밀리그램(실데나필시트르산염) 40T (8T*5)</t>
  </si>
  <si>
    <t>누리그라정50밀리그램(실데나필시트르산염) 40T(8T*5)</t>
  </si>
  <si>
    <t>에포시스 10000IU/ml (에포시스 4,000IU)6개입 미얀마</t>
  </si>
  <si>
    <t>쎄레노직캡슐 100mg 30C</t>
  </si>
  <si>
    <t>쎄레노직캡슐 200밀리그램 30C</t>
  </si>
  <si>
    <t>쎄레노직캡슐100밀리그램 100C</t>
  </si>
  <si>
    <t>쎄레노직캡슐 200mg 100C</t>
  </si>
  <si>
    <t>대웅플러스본주(콜레칼시페롤) 1ml 5앰플</t>
  </si>
  <si>
    <t>오메크린크림(퍼메트린) 30g 1tube 10개입</t>
  </si>
  <si>
    <t>임팩타민프리미엄정 120정- 60TX2EA (NEW)</t>
  </si>
  <si>
    <t>대웅로수바스타틴정 10밀리그램(로수바스타틴칼슘(미분화)) 30T</t>
  </si>
  <si>
    <t>대웅로수바스타틴정 20밀리그램(로수바스타틴칼슘(미분화)) 30T</t>
  </si>
  <si>
    <t>대웅로수바스타틴정5밀리그램(로수바스타틴칼슘(미분화)) 30T</t>
  </si>
  <si>
    <t>대웅로수바스타틴정 10밀리그램(로수바스타틴칼슘(미분화)) 100T</t>
  </si>
  <si>
    <t>대웅로수바스타틴정 20밀리그램(로수바스타틴칼슘(미분화)) 100T</t>
  </si>
  <si>
    <t>대웅로수바스타틴정 5밀리그램(로수바스타틴칼슘(미분화)) 100T</t>
  </si>
  <si>
    <t>임팩타민 프리미엄 300T(150T+150T)</t>
  </si>
  <si>
    <t>헤모큐수 30T(보건소용)</t>
  </si>
  <si>
    <t>이지에프새살연고 10g (1EA*10 bundle) 병원용</t>
  </si>
  <si>
    <t>리카프리 캡슐 150MG 30CP</t>
  </si>
  <si>
    <t>리카프리 캡슐 75MG 30CP</t>
  </si>
  <si>
    <t>리카프리 캡슐 150MG 100CP</t>
  </si>
  <si>
    <t>리카프리 캡슐 75MG 100CP</t>
  </si>
  <si>
    <t>타미빅트캡슐 75mg 10CP</t>
  </si>
  <si>
    <t>임팩타민 케어정 120T정 - 60TX2EA</t>
  </si>
  <si>
    <t>비리헤파정 30T</t>
  </si>
  <si>
    <t>가스모틴에스알정 30T</t>
  </si>
  <si>
    <t>가스모틴에스알정 100T</t>
  </si>
  <si>
    <t>가스모틴에스알정 300T</t>
  </si>
  <si>
    <t>비리바정 300mg 30T</t>
  </si>
  <si>
    <t>임팩타민 파워에이플러스정 120T - 60TX2EA</t>
  </si>
  <si>
    <t>임팩타민 파워 500T(조제용)</t>
  </si>
  <si>
    <t>올로맥스20/5/10mg(올메사르탄메독소밀_암로디핀_로수바스타틴) 30T</t>
  </si>
  <si>
    <t>올로맥스20/5/5mg(올메사르탄메독소밀_암로디핀_로수바스타틴) 30T</t>
  </si>
  <si>
    <t>올로맥스40/5/5밀리그램(올메사르탄메독소밀_암로디핀_로수바스타틴)30T</t>
  </si>
  <si>
    <t>알리가연질캡슐10밀리그램 30C</t>
  </si>
  <si>
    <t>알리가연질캡슐30밀리그램 30CP</t>
  </si>
  <si>
    <t>베아제정 10T</t>
  </si>
  <si>
    <t>닥터베아제정 10T</t>
  </si>
  <si>
    <t>우루사정 100mg 500T (병포장)</t>
  </si>
  <si>
    <t>올메텍정10밀리그램(올메사르탄메독소밀) 150T 용기</t>
  </si>
  <si>
    <t>올로맥스40/5/10mg(올메사르탄메독소밀_암로디핀_로수바스타틴) 30T</t>
  </si>
  <si>
    <t>우루사정 100밀리그램 30T-병</t>
  </si>
  <si>
    <t>대웅 졸레드론산 주사액 5MG/100ML</t>
  </si>
  <si>
    <t>이지엔6이브 연질캡슐 10cp(2020년형)</t>
  </si>
  <si>
    <t>우루사정100밀리그램 10T PTP</t>
  </si>
  <si>
    <t>우루사정 100밀리그램 300T-병</t>
  </si>
  <si>
    <t>액시드캡슐 150밀리그람(니자티딘)30C</t>
  </si>
  <si>
    <t>우루샷정 2T</t>
  </si>
  <si>
    <t>우루샷정 20T</t>
  </si>
  <si>
    <t>에비맥스디정(라록시펜45mg,콜레칼시페롤8mg) 30T</t>
  </si>
  <si>
    <t>올로스타정 20/10밀리그램 완제품 30T (정제축소)</t>
  </si>
  <si>
    <t>올로스타정 20/5밀리그램 완제품 30T (정제축소)</t>
  </si>
  <si>
    <t>올로스타정 10/10밀리그램 완제품 30T (정제축소)</t>
  </si>
  <si>
    <t>올로스타정 10/5밀리그램 완제품 30T (정제축소)</t>
  </si>
  <si>
    <t>올로스타정 20/20밀리그램 완제품 30T (정제축소)</t>
  </si>
  <si>
    <t>올로스타정 40/10밀리그램 완제품 30T (리뉴얼)</t>
  </si>
  <si>
    <t>올로스타정 40/20밀리그램 완제품 30T (리뉴얼)</t>
  </si>
  <si>
    <t>임팩타민원스정 120T(60T*2EA) - 리뉴얼</t>
  </si>
  <si>
    <t>리필펜 160밀리그램 30C 병포장 (New)</t>
  </si>
  <si>
    <t>대웅로수바스타틴 2.5밀리그램(로수바스타틴칼슘(미분화))- 30T</t>
  </si>
  <si>
    <t>대웅로수바스타틴정 2.5밀리그램(로수바스타틴칼슘(미분화)) 100T</t>
  </si>
  <si>
    <t>임팩타민프리미엄정 60T (NEW)</t>
  </si>
  <si>
    <t>임팩타민 원스 정 30T (조제용)</t>
  </si>
  <si>
    <t>임팩타뮨정 84T(의약외품)-코스트코</t>
  </si>
  <si>
    <t>우루샷정 30T (쿠팡)</t>
  </si>
  <si>
    <t>베믈리버정(테노포비르알라페나미드헤미타르타르산염) 25MG 30T</t>
  </si>
  <si>
    <t>우루사정 100밀리그램(우르소데옥시콜산) 100T (PTP) - NEW</t>
  </si>
  <si>
    <t>우루샷정 2T (약국)</t>
  </si>
  <si>
    <t>Fexuclue 40mg Film-Coated Tab.(PH) 28T</t>
  </si>
  <si>
    <t>콜드엔정 - 10T</t>
  </si>
  <si>
    <t>디에타민정(펜터민염산염)28TT</t>
  </si>
  <si>
    <t>두타리모정0.2밀리그램(두타스테리드) 30T (PTP소포장)</t>
  </si>
  <si>
    <t>임팩타민 시그니처정 120T- 60TX2EA</t>
  </si>
  <si>
    <t>엘도스캡슐10CP*20EA</t>
  </si>
  <si>
    <t>코메키나캡슐 10C 완제품 (NEW)</t>
  </si>
  <si>
    <t>이지에프새살연고 5g (1EA*10 bundle) 약국용</t>
  </si>
  <si>
    <t>우루샷 이브정 2T</t>
  </si>
  <si>
    <t>우루샷 이브정 30T</t>
  </si>
  <si>
    <t>우루샷 이브정 20T</t>
  </si>
  <si>
    <t>우루샷 플러스정 80T (코스트코)</t>
  </si>
  <si>
    <t>우루샷 플러스정 2T</t>
  </si>
  <si>
    <t>임팩타뮨정 30T (온라인) - 의약외품</t>
  </si>
  <si>
    <t>임팩타뮨정 2T (CVS) - 의약외품</t>
  </si>
  <si>
    <t>이리콜정 5마이크로그램(라모세트론) 30T(PTP)</t>
  </si>
  <si>
    <t>글루타에스정 10T(PTP)</t>
  </si>
  <si>
    <t>글루타에스정 120정 (병)</t>
  </si>
  <si>
    <t>이리콜정 2.5마이크로그램(라모세트론) 30정(PTP)</t>
  </si>
  <si>
    <t>클린콜정 20T</t>
  </si>
  <si>
    <t>코메키나 스프레이(15mL)</t>
  </si>
  <si>
    <t>이지덤뷰티 피디알엔 주름패치 700샷 4매 (파우치, 온라인)</t>
  </si>
  <si>
    <t>우루샷 2T (군납용)</t>
  </si>
  <si>
    <t>씨콜드프리미엄정 10T(PTP)</t>
  </si>
  <si>
    <t>오필드정 150MG(닌테다닙에실산염) 60정 (병)</t>
  </si>
  <si>
    <t>임팩타민프리미엄 60T (T1에디션)</t>
  </si>
  <si>
    <t>오필드정 100MG(닌테다닙에실산염) 60정 (병)</t>
  </si>
  <si>
    <t>브이올렛주 20mg/2mL(데옥시콜산) 5vial/box(대웅바이오)</t>
  </si>
  <si>
    <t>안플원정 100mg 30T</t>
  </si>
  <si>
    <t>안플원정 100mg 100T</t>
  </si>
  <si>
    <t>아사콜관장액 4그람/100밀리리터 7병(메살라진)</t>
  </si>
  <si>
    <t>아사콜좌약500밀리그람(메살라진) 20 Supp.</t>
  </si>
  <si>
    <t>아지로신정 250MG 30정(10T*3EA)</t>
  </si>
  <si>
    <t>아지로신정 250MG 100T</t>
  </si>
  <si>
    <t>대웅 아지트로마이신 건조시럽(600MG/15ML)</t>
  </si>
  <si>
    <t>씨프러스주 400mg/200ml 10PACK</t>
  </si>
  <si>
    <t>씨프러스주 200mg/100ml 50PACK</t>
  </si>
  <si>
    <t>크레스토정 10mg / 30T</t>
  </si>
  <si>
    <t>크레스토정 20mg / 30T</t>
  </si>
  <si>
    <t>크레스토정 5mg / 30T</t>
  </si>
  <si>
    <t>다이아벡스XR 서방정 500mg 60T</t>
  </si>
  <si>
    <t>다이아벡스XR 서방정 1000MG 60T</t>
  </si>
  <si>
    <t>디옥타현탁액20ml(베트남수출용) 20PP(제약)</t>
  </si>
  <si>
    <t>엔토코트(Budesonide 2.3mg) 7정</t>
  </si>
  <si>
    <t>피블라스트 스프레이 500㎍ 1EA</t>
  </si>
  <si>
    <t>글루리아드정 500/2.5mg 60TT(소포장)</t>
  </si>
  <si>
    <t>글루리아드정 500/2.5mg 120TT</t>
  </si>
  <si>
    <t>글루리아드정 500/5mg 60TT(소포장)</t>
  </si>
  <si>
    <t>글루리아드정 500/5mg 120TT</t>
  </si>
  <si>
    <t>인스타닐나잘스프레이 100㎍ 1병(펜타닐시트르산염)</t>
  </si>
  <si>
    <t>인스타닐나잘스프레이 200㎍ 1병(펜타닐시트르산염)</t>
  </si>
  <si>
    <t>인스타닐나잘스프레이 50㎍ 1병(펜타닐시트르산염)</t>
  </si>
  <si>
    <t>릭시아나정 15mg (Edoxaban Toxylate) 14T PPT</t>
  </si>
  <si>
    <t>릭시아나정 30mg (Edoxaban Toxylate) 28T PPT</t>
  </si>
  <si>
    <t>릭시아나정 60mg (Edoxaban Toxylate) 28T PPT</t>
  </si>
  <si>
    <t>나조메가나잘스프레이 18g 140does</t>
  </si>
  <si>
    <t>리센플러스 정 4T</t>
  </si>
  <si>
    <t>세비카 HCT(5/20/12.5mg) 28T</t>
  </si>
  <si>
    <t>세비카 HCT(10/40/12.5mg) 28T</t>
  </si>
  <si>
    <t>세비카 HCT(5/40/12.5mg) 28T</t>
  </si>
  <si>
    <t>스피틴정 10밀리그램(아토르바스타틴칼슘 삼수화물) 30TT</t>
  </si>
  <si>
    <t>스피틴정 10밀리그램(아토르바스타틴칼슘 삼수화물) 100TT</t>
  </si>
  <si>
    <t>스피틴정 20밀리그램(아토르바스타틴칼슘 삼수화물) 30TT</t>
  </si>
  <si>
    <t>스피틴정 20밀리그램(아토르바스타틴칼슘 삼수화물) 100TT</t>
  </si>
  <si>
    <t>세비카정 5/20MG 28T</t>
  </si>
  <si>
    <t>세비카정 10/40MG 28T</t>
  </si>
  <si>
    <t>세비카정 5/40MG 28T</t>
  </si>
  <si>
    <t>두타겟연질캡슐0.5밀리그램(두타스테리드) 30cp</t>
  </si>
  <si>
    <t>반코마이신 (MERSA) 1g 필리핀 수출</t>
  </si>
  <si>
    <t>타이코신 주 200MG 1 VIAL</t>
  </si>
  <si>
    <t>반코마이신 (MERSA) 500mg 10바이알 수출</t>
  </si>
  <si>
    <t>목시클 듀오시럽 50ml X 10병</t>
  </si>
  <si>
    <t>대웅알벤다졸정 400mg 200T (2T*100EA) 한국파비스제약</t>
  </si>
  <si>
    <t>알레나온 20MG 30T</t>
  </si>
  <si>
    <t>알레나온 20MG 100T</t>
  </si>
  <si>
    <t>타리포정 10mg 30T</t>
  </si>
  <si>
    <t>타리포정 10mg 300T</t>
  </si>
  <si>
    <t>디페리손서방정 75mg 30T</t>
  </si>
  <si>
    <t>알레나온정10mg(에피나스틴염산염) 30T</t>
  </si>
  <si>
    <t>알레나온정10mg(에피나스틴염산염) 100T</t>
  </si>
  <si>
    <t>하루로신서방캡슐 0.2MG(탐스로신염산염) 30CP</t>
  </si>
  <si>
    <t>트라세타세미정 162.5/18.75 mg 30T</t>
  </si>
  <si>
    <t>트라세타세미정 162.5/18.75 mg 500T</t>
  </si>
  <si>
    <t>트라세타정 325/37.5 mg 30T</t>
  </si>
  <si>
    <t>트라세타정 325/37.5 mg 500T</t>
  </si>
  <si>
    <t>트라세타세미서방정 30T</t>
  </si>
  <si>
    <t>트라세타세미서방정 100T</t>
  </si>
  <si>
    <t>트라세타서방정 30T</t>
  </si>
  <si>
    <t>트라세타서방정 100T</t>
  </si>
  <si>
    <t>오파로스트정 5㎍ 84T</t>
  </si>
  <si>
    <t>시타빅 (Acyclovir 50mg) 2T</t>
  </si>
  <si>
    <t>콩코르정 2.5mg (Bisoprolol) 30T</t>
  </si>
  <si>
    <t>콩코르정 5mg (Bisoprolol) 100T</t>
  </si>
  <si>
    <t>스타빅현탁액 20mL 100PP(20포X5EA)</t>
  </si>
  <si>
    <t>스타빅현탁액 20mL 72PP(6포X12EA)</t>
  </si>
  <si>
    <t>스타빅현탁액 500ML</t>
  </si>
  <si>
    <t>하루로신서방캡슐 0.4MG(탐스로신염산염) 30CP</t>
  </si>
  <si>
    <t>이지덤뷰티 뷰티 42매*3번들 (파우치, 쿠팡)</t>
  </si>
  <si>
    <t>이지덤뷰티 뷰티 42매 (파우치, 온라인)</t>
  </si>
  <si>
    <t>덱사하이정(덱사메타손4mg)(100정/병)</t>
  </si>
  <si>
    <t>이지덤뷰티 뷰티 15매 (파우치, 편의점)</t>
  </si>
  <si>
    <t>이지덤뷰티 뷰티 57매 (파우치, 약국)</t>
  </si>
  <si>
    <t>이지덤뷰티 뷰티 69매 (파우치, H&amp;B)</t>
  </si>
  <si>
    <t>이지덤 씬 2매 (파우치, 약국)_가위부착</t>
  </si>
  <si>
    <t>스피틴정 80밀리그램(아토르바스타틴칼슘 삼수화물) 30TT</t>
  </si>
  <si>
    <t>넥시어드정/Esomeprazole 20mg/28T</t>
  </si>
  <si>
    <t>넥시어드정/Esomeprazole 40mg/28T</t>
  </si>
  <si>
    <t>이지덤뷰티 뷰티 42매 (파우치, 군납)</t>
  </si>
  <si>
    <t>브리덱스주(슈가마덱스나트륨) 2ml/vial(10ea)</t>
  </si>
  <si>
    <t>Daewoong COVID-19 Ag</t>
  </si>
  <si>
    <t>마그온맥스비 연질캡슐 120C (60Cx2EA)</t>
  </si>
  <si>
    <t>마그온플러스 연질캡슐 120C (60Cx2EA)</t>
  </si>
  <si>
    <t>마그온플러스 연질캡슐 10C</t>
  </si>
  <si>
    <t>이지덤뷰티 퀵카밍 4매 (파우치, 온라인)</t>
  </si>
  <si>
    <t>이지덤뷰티 퀵카밍 4매*3번들 (파우치, 쿠팡)</t>
  </si>
  <si>
    <t>이지엔6 스트롱 연질캡슐 10cp</t>
  </si>
  <si>
    <t>아림시스주 100mg(베바시주맙)</t>
  </si>
  <si>
    <t>아림시스주 400mg(베바시주맙)</t>
  </si>
  <si>
    <t>Woongflu A&amp;B</t>
  </si>
  <si>
    <t>리버골드파워 350mg 연질캡슐 60CP*2EA (NEW)</t>
  </si>
  <si>
    <t>이지엔6 나이트 연질캡슐 10cp</t>
  </si>
  <si>
    <t>이지덤뷰티 릴리프 15매 (파우치, 편의점)</t>
  </si>
  <si>
    <t>이지덤뷰티 릴리프 42매 (파우치, 온라인)</t>
  </si>
  <si>
    <t>이지덤뷰티 릴리프 42매*3번들 (파우치, 쿠팡)</t>
  </si>
  <si>
    <t>이지덤뷰티 릴리프 69매 (파우치, H&amp;B)</t>
  </si>
  <si>
    <t>이지덤뷰티 릴리프 57매 (파우치, 약국)</t>
  </si>
  <si>
    <t>모비케어 일반 분석서비스권(100회)</t>
  </si>
  <si>
    <t>모비케어 일반 분석서비스권(50회)</t>
  </si>
  <si>
    <t>모비케어 프리미엄 분석서비스권(50회)</t>
  </si>
  <si>
    <t>모비케어 프리미엄 분석서비스권(100회)</t>
  </si>
  <si>
    <t>모비케어 검진5H 프리미엄 분석서비스권(50회)</t>
  </si>
  <si>
    <t>모비케어 일회용 프리미엄 1일(30회)</t>
  </si>
  <si>
    <t>모비케어 일회용 프리미엄 2일(30회)</t>
  </si>
  <si>
    <t>모비케어 일회용 프리미엄 3일(30회)</t>
  </si>
  <si>
    <t>모비케어 일회용 프리미엄 7일(30회)</t>
  </si>
  <si>
    <t>대웅징코샷정240MG(은행엽건조엑스) 300T(조제용)</t>
  </si>
  <si>
    <t>이지덤뷰티 퀵카밍 10매*2번들 (단상자, 수출_영문)</t>
  </si>
  <si>
    <t>이지덤뷰티 퀵카밍 10매 (단상자, 수출_영문)</t>
  </si>
  <si>
    <t>카트 비피 프로 8호 1EA (SL-MRD1K08)</t>
  </si>
  <si>
    <t>카트 비피 프로 9호 1EA (SL-MRD1K09)</t>
  </si>
  <si>
    <t>카트 비피 프로 10호 1EA (SL-MRD1K10)</t>
  </si>
  <si>
    <t>카트 비피 프로 11호 1EA (SL-MRD1K11)</t>
  </si>
  <si>
    <t>이지덤뷰티 리얼카밍 6매 (파우치, 약국)</t>
  </si>
  <si>
    <t>이지덤 씬 2매 (파우치, 수출_영문/라벨부착)</t>
  </si>
  <si>
    <t>이지덤 씬 2매*2번들 (파우치, 수출_영문/라벨부착)</t>
  </si>
  <si>
    <t>시너지아정 500mg(시트룰린말산염) 500TB(조제용)</t>
  </si>
  <si>
    <t>시너지아정 500mg(시트룰린말산염) 42TB</t>
  </si>
  <si>
    <t>시너지아정 500mg(시트룰린말산염) 180TB(조제용)</t>
  </si>
  <si>
    <t>대웅징코샷240MG(은행엽건조엑스) 60T</t>
  </si>
  <si>
    <t>리포타손주(덱사메타손팔미테이트) 1mL Inj (10Amp)</t>
  </si>
  <si>
    <t>이지덤뷰티 릴리프 42매 (단상자, 수출_영문)</t>
  </si>
  <si>
    <t>이지덤뷰티 뷰티 42매 (단상자, 수출_영문)</t>
  </si>
  <si>
    <t>이지덤뷰티 세트(뷰티 42매+릴리프 42매, 쿠팡)</t>
  </si>
  <si>
    <t>포시로정10밀리그램(다파글리플로진프로판디올수화물) 28T</t>
  </si>
  <si>
    <t>포시로정5밀리그램(다파글리플로진프로판디올수화물) 28T</t>
  </si>
  <si>
    <t>thynC MP100W</t>
  </si>
  <si>
    <t>thynC mobiCARE-MC200M-T</t>
  </si>
  <si>
    <t>thynC MP1000F(펄스옥시미터-센서)</t>
  </si>
  <si>
    <t>thynC MGW1000(Gateway)</t>
  </si>
  <si>
    <t>페라미빅트프리믹스주(페라미비르수화물) 1bag</t>
  </si>
  <si>
    <t>페라미빅트주(페라미비르수화물) 10vial</t>
  </si>
  <si>
    <t>포시로멧서방정10/500밀리그램(다파글리플로진.메트포르민염산염) 30T</t>
  </si>
  <si>
    <t>포시로멧서방정5/500밀리그램(다파글리플로진.메트포르민염산염) 30T</t>
  </si>
  <si>
    <t>젤렌카프리필드시린지주40mg/0.4mL(아달리무맙.유전자재조합)</t>
  </si>
  <si>
    <t>젤렌카오토인젝터주40mg/0.4mL(아달리무맙.유전자재조합)</t>
  </si>
  <si>
    <t>프리스타일리브레2 연속 당 측정 시스템 1EA</t>
  </si>
  <si>
    <t>OPTiNA</t>
  </si>
  <si>
    <t>이지덤뷰티 리얼카밍 6매 (단상자, 수출_영문)</t>
  </si>
  <si>
    <t>이지덤뷰티 리얼카밍 12매 (단상자, 수출_영문)</t>
  </si>
  <si>
    <t>모비케어 일회용 프리미엄 1일 md</t>
  </si>
  <si>
    <t>이지엔6이브 연질캡슐 30CP(알피바이오)</t>
  </si>
  <si>
    <t xml:space="preserve">이지엔6 크레딧Q COVID-19 Antigen Self-Test	</t>
  </si>
  <si>
    <t>타오르구강붕해필름10밀리그램(타다라필) 10매</t>
  </si>
  <si>
    <t>타오르구강붕해필름20밀리그램(타다라필) 10매</t>
  </si>
  <si>
    <t>브리덱스프리필드시린지주(슈가마덱스나트륨) 3PFS/상자</t>
  </si>
  <si>
    <t>마그온샷액 30P (5P*6)</t>
  </si>
  <si>
    <t>마그온샷맥스액 30P (5P*6)</t>
  </si>
  <si>
    <t>이지엔6프로 연질캡슐 10CP(알피바이오)</t>
  </si>
  <si>
    <t>이지엔6애니 연질캡슐 10CP(알피바이오)</t>
  </si>
  <si>
    <t>대웅징코샷정80mg(은행엽건조엑스) 30T (조제용)</t>
  </si>
  <si>
    <t>대웅징코샷정80mg(은행엽건조엑스) 500T (조제용)</t>
  </si>
  <si>
    <t>올로윈정 5MG 300T</t>
  </si>
  <si>
    <t>올로윈정 5MG 30T</t>
  </si>
  <si>
    <t>모바렌5%폼에어로솔(미녹시딜) 60g</t>
  </si>
  <si>
    <t>노즈가드스프레이(15mL)</t>
  </si>
  <si>
    <t>노즈가드스프레이(20mL)</t>
  </si>
  <si>
    <t>이지엔6에이스정 500mg 10T(한국파비스제약)</t>
  </si>
  <si>
    <t>이지엔6프로 연질캡슐 30CP(알피바이오)</t>
  </si>
  <si>
    <t>이지엔6아랫배온열패치(하트형) 7P</t>
  </si>
  <si>
    <t>이지엔6아랫배온열패치(날개형) 5P</t>
  </si>
  <si>
    <t>이지엔6아랫배온열패치(하트형) 3P</t>
  </si>
  <si>
    <t>이지덤 씬 2매*3번들 (파우치, 수출_영문/라벨부착)</t>
  </si>
  <si>
    <t>스토보클로프리필드시린지(데노수맙)</t>
  </si>
  <si>
    <t>이지덤뷰티 리얼카밍 6매 (파우치, 온라인)</t>
  </si>
  <si>
    <t>모비케어 프리미엄N</t>
  </si>
  <si>
    <t>대웅글루타치온정100밀리그램 30T</t>
  </si>
  <si>
    <t>이지덤뷰티 세트(뷰티 42매+릴리프 42매+퀵카밍4매, 쿠팡)</t>
  </si>
  <si>
    <t>썬비타민연질캡슐 60C (PTP)</t>
  </si>
  <si>
    <t>카트 비피 프로 12호 1EA (SL-MRD1K12)</t>
  </si>
  <si>
    <t>카트 비피 프로 7호 1EA (SL-MRD1K07)</t>
  </si>
  <si>
    <t>이지덤뷰티 퀵카밍 와이드패치 2매 (단상자, 수출_영문)</t>
  </si>
  <si>
    <t>간편듀얼원샷_12병</t>
  </si>
  <si>
    <t>베아듀얼원샷</t>
  </si>
  <si>
    <t>이지판테놀연고(D-판테놀) 30g/튜브</t>
  </si>
  <si>
    <t>이지클리어크림 20g/튜브</t>
  </si>
  <si>
    <t>이지덤뷰티 퀵카밍 2매 (파우치, 편의점)</t>
  </si>
  <si>
    <t>이지덤뷰티 퀵카밍 6매 (파우치, 약국)_알콜스왑 동봉</t>
  </si>
  <si>
    <t>바로페노정 30T</t>
  </si>
  <si>
    <t>이마벡 100mg</t>
  </si>
  <si>
    <t>이마벡 400mg</t>
  </si>
  <si>
    <t>이지듀쓰리엑스멜라비토닝원데이앰플15ml</t>
  </si>
  <si>
    <t>이지듀쓰리엑스이지에프10리페어크림20ml</t>
  </si>
  <si>
    <t>이지듀쓰리엑스멜라비토닝패치3g*6ea</t>
  </si>
  <si>
    <t>이지덤뷰티 퀵카밍 8매 (파우치, H&amp;B)_앰플 5ml 동봉</t>
  </si>
  <si>
    <t>실리스칸정 175밀리그램 300정</t>
  </si>
  <si>
    <t>젤토파정10밀리그램(토파시티닙시트르산염) 30T</t>
  </si>
  <si>
    <t>젤토파정5밀리그램(토파시티닙시트르산염) 30T</t>
  </si>
  <si>
    <t>이지덤뷰티 뷰티 15매 (파우치, 수출_인니)</t>
  </si>
  <si>
    <t>이지덤뷰티 리얼카밍 6매 (파우치, 수출_인니)</t>
  </si>
  <si>
    <t>이지덤뷰티 릴리프 15매 (파우치, 수출_인니)</t>
  </si>
  <si>
    <t>임팩타임 A+ 스틱젤리 7포</t>
  </si>
  <si>
    <t>임팩타임 에너지젤 12포 (CVS)</t>
  </si>
  <si>
    <t>대웅이지스카오프겔 20g</t>
  </si>
  <si>
    <t>대웅이지토닝크림 30g</t>
  </si>
  <si>
    <t>렛잇브이프로정 120T</t>
  </si>
  <si>
    <t>렛잇브이프로정 180T(90T*2EA)</t>
  </si>
  <si>
    <t>이지엔6이브 연질캡슐 10CP(알피바이오)</t>
  </si>
  <si>
    <t>알지엔스피드 연질캡슐 10밀리그램 10CP (알피바이오)</t>
  </si>
  <si>
    <t>모바렌캡슐 180C(90C*2EA)</t>
  </si>
  <si>
    <t>이지덤뷰티 퀵카밍 8매 (파우치, 수출_동남아(쇼피))_앰플 5ml동봉</t>
  </si>
  <si>
    <t>이지덤뷰티 뷰티 15매 (파우치, 수출_동남아(쇼피))</t>
  </si>
  <si>
    <t>이지덤뷰티 퀵카밍 와이드패치 2매 (단상자, 수출_동남아(쇼피))</t>
  </si>
  <si>
    <t>이지덤뷰티 릴리프 15매 (파우치, 수출_동남아(쇼피))</t>
  </si>
  <si>
    <t>이지덤뷰티 리얼카밍 6매 (파우치, 수출_동남아(쇼피))</t>
  </si>
  <si>
    <t>이지덤 씬 2매 (파우치, 수출_동남아(쇼피))_가위 부착</t>
  </si>
  <si>
    <t>Woongcoflu COMBO</t>
  </si>
  <si>
    <t>간편듀얼원샷_5병</t>
  </si>
  <si>
    <t>일회용 모비케어 스마트 1일 (MD)</t>
  </si>
  <si>
    <t>실리스칸정 350mg 300정</t>
  </si>
  <si>
    <t>보니카디정 30T</t>
  </si>
  <si>
    <t>보니카디정 90T</t>
  </si>
  <si>
    <t>팜케어 마이프로신 6캡슐</t>
  </si>
  <si>
    <t>닥터베아제정  30T</t>
  </si>
  <si>
    <t>이지듀 이지에프엑스 다운타임 앰플 포스트 엘써마 10ml</t>
  </si>
  <si>
    <t>이지듀 이지에프엑스 다운타임 앰플 포스트 스킨부스터 10ml</t>
  </si>
  <si>
    <t>이지듀 이지에프엑스 다운타임 앰플 포스트 레이저 10ml</t>
  </si>
  <si>
    <t>이지덤뷰티 릴리프 42매 (파우치, 수출_동남아(쇼피))</t>
  </si>
  <si>
    <t>이지덤뷰티 뷰티 42매 (파우치, 수출_동남아(쇼피))</t>
  </si>
  <si>
    <t>이지덤뷰티 퀵카밍 10매 (파우치, 수출_영문)</t>
  </si>
  <si>
    <t>이지덤뷰티 퀵카밍 4매 (파우치, 수출_인니)</t>
  </si>
  <si>
    <t>이지덤뷰티 퀵카밍 와이드패치 2매 (단상자, H&amp;B)</t>
  </si>
  <si>
    <t>더스피로킷 기기 SET</t>
  </si>
  <si>
    <t>더스피로킷 필터(100EA/BOX)</t>
  </si>
  <si>
    <t>디옥타현탁액20ml 20PP(수출용-베트남)-대웅바이오</t>
  </si>
  <si>
    <t>임팩타임 A+ 스틱젤리 7포 (리뉴얼)</t>
  </si>
  <si>
    <t>임팩타임 A+ 스틱젤리 30포 (리뉴얼)</t>
  </si>
  <si>
    <t>임팩타임 에너지젤 5포</t>
  </si>
  <si>
    <t>임팩타민 시그니처정 60T</t>
  </si>
  <si>
    <t>(건기식)에너씨슬 콜레다운 (30캡슐)</t>
  </si>
  <si>
    <t>에너씨슬 콜레다운+ 30캡슐</t>
  </si>
  <si>
    <t>(건기식)에너씨슬 (30캡슐)</t>
  </si>
  <si>
    <t>에너씨슬 번들 30*2EA (60캡슐)</t>
  </si>
  <si>
    <t>에너씨슬 콜레다운 번들 30*2EA (60캡슐)</t>
  </si>
  <si>
    <t>에너씨슬 퍼펙트샷 이뮨+ 4개입</t>
  </si>
  <si>
    <t>에너씨슬 퍼펙트샷 이뮨+ 10개입</t>
  </si>
  <si>
    <t>에너씨슬 퍼펙트샷 이뮨+ (올리브영전용, 8개입)</t>
  </si>
  <si>
    <t>에너씨슬 퍼펙트샷 실속팩 테이크아웃 10개입</t>
  </si>
  <si>
    <t>에너씨슬 집중샷 10개입</t>
  </si>
  <si>
    <t>에너씨슬 집중샷 샤인머스캣 10개입</t>
  </si>
  <si>
    <t>에너씨슬 집중샷 PLUS+ 10개입</t>
  </si>
  <si>
    <t>에너씨슬 플래티넘 60캡(30일분)</t>
  </si>
  <si>
    <t>에너씨슬 플래티넘 360캡슐</t>
  </si>
  <si>
    <t>에너씨슬 글루타민+ 10병</t>
  </si>
  <si>
    <t>에너씨슬 회복샷 10개입</t>
  </si>
  <si>
    <t>에너씨슬 혈당케어 150캡슐</t>
  </si>
  <si>
    <t>에너씨슬 플래티넘 메가 60캡슐</t>
  </si>
  <si>
    <t>에너씨슬 플래티넘 K2</t>
  </si>
  <si>
    <t>에너씨슬 플래티넘 K2 60캡슐 (트레이더스 전용)</t>
  </si>
  <si>
    <t>에너씨슬 퓨어골드 30캡</t>
  </si>
  <si>
    <t>합쎈 6 IN 1 60캡슐</t>
  </si>
  <si>
    <t>[선물세트] 합쎈 20c 3개입 세트</t>
  </si>
  <si>
    <t>직영몰_루테인아스타잔틴_30캡슐_네추럴웨이</t>
  </si>
  <si>
    <t>직영몰 비타민B_30정_코스맥스바이오</t>
  </si>
  <si>
    <t>직영몰 비타민D 4000IU_30정_코스맥스바이오</t>
  </si>
  <si>
    <t>직영몰 바나바잎추출물_30정_코스맥스바이오</t>
  </si>
  <si>
    <t>직영몰_프로바이오틱스_30포_알피바이오</t>
  </si>
  <si>
    <t>직영몰 비타민C_30정_이앤에스</t>
  </si>
  <si>
    <t>직영몰_rTG오메가3_30캡슐_한국코스모</t>
  </si>
  <si>
    <t>직영몰_녹차카테킨_30정_한국코스모</t>
  </si>
  <si>
    <t>직영몰_코엔자임Q10_30캡슐_이앤에스</t>
  </si>
  <si>
    <t>직영몰_마그네슘_30정_한국코스모</t>
  </si>
  <si>
    <t>직영몰_쏘팔메토_30캡슐_한국코스모</t>
  </si>
  <si>
    <t>직영몰_쏘팔메토옥타코사놀_30캡슐_이앤에스</t>
  </si>
  <si>
    <t>직영몰_콘드로이친_30정_코스맥스엔비티</t>
  </si>
  <si>
    <t>세븐일레븐 투윅스 근육 건강 마그네슘(14정)</t>
  </si>
  <si>
    <t>세븐일레븐 투윅스 rTG 오메가3(14캡)</t>
  </si>
  <si>
    <t>세븐일레븐 투윅스 간 건강 밀크씨슬(14정)</t>
  </si>
  <si>
    <t>세븐일레븐 투윅스 식후혈당 컷 바나바잎추출물(14정)</t>
  </si>
  <si>
    <t>세븐일레븐 투윅스 눈 건강 루테인(14캡)</t>
  </si>
  <si>
    <t>세븐일레븐 투윅스 다이어트 녹차카테킨(14정)</t>
  </si>
  <si>
    <t>세븐일레븐 투윅스 혈압 감소 코엔자임Q10(14캡)</t>
  </si>
  <si>
    <t>세븐일레븐 투윅스 활력 충전 비타민B 컴플렉스(14정)</t>
  </si>
  <si>
    <t>세븐일레븐 투윅스 종합건강 멀티비타민&amp;미네랄(14정)</t>
  </si>
  <si>
    <t>세븐일레븐 투윅스 항산화 비타민C(14정)</t>
  </si>
  <si>
    <t>세븐일레븐 투윅스 기억력 개선 은행잎추출물(14정)</t>
  </si>
  <si>
    <t>세븐일레븐 투윅스 장 건강 프로바이오틱스(14포)</t>
  </si>
  <si>
    <t>볼빅 골프공 3구 SET</t>
  </si>
  <si>
    <t>닥터베어RX 리포좀 글루타치온 맥스 3매</t>
  </si>
  <si>
    <t>직영몰_코엔자임Q10_30캡슐_한국코스모</t>
  </si>
  <si>
    <t>닥터베어 EX 비타민D 60캡슐</t>
  </si>
  <si>
    <t>덴티가드 시린이 100g*10EA (리뉴얼)</t>
  </si>
  <si>
    <t>덴티가드 랩 키즈치약 (80g)</t>
  </si>
  <si>
    <t>덴티가드클리닉 시린이케어 레귤러 칫솔 4개입</t>
  </si>
  <si>
    <t>덴티가드클리닉 안티프라그 컴팩트 칫솔 4개입</t>
  </si>
  <si>
    <t>덴티가드클리닉 안티프라그 레귤러 칫솔 4개입</t>
  </si>
  <si>
    <t>에너씨슬 집중샷 8개입(올리브영)</t>
  </si>
  <si>
    <t>다이소 닥터베어 루테인 (30캡슐)_이앤에스</t>
  </si>
  <si>
    <t>다이소 닥터베어 루테인 (30캡슐)_한국코스모</t>
  </si>
  <si>
    <t>다이소 닥터베어 프로폴리스 츄어블 (30정)_이앤에스</t>
  </si>
  <si>
    <t>다이소 닥터베어 프로폴리스 츄어블 (30정)_뉴트리케어</t>
  </si>
  <si>
    <t>다이소 닥터베어 콜라겐 (60정)_이앤에스</t>
  </si>
  <si>
    <t>다이소 닥터베어 콘드로이친 (30정)_코스맥스엔비티</t>
  </si>
  <si>
    <t>다이소 닥터베어 코엔자임Q10 (30캡슐)_한국코스모</t>
  </si>
  <si>
    <t>다이소 닥터베어 코엔자임Q10 (30캡슐)_이앤에스</t>
  </si>
  <si>
    <t>다이소 닥터베어 칼슘 마그네슘D 츄어블 (60정)_이앤에스</t>
  </si>
  <si>
    <t>다이소 닥터베어 칼슘마그네슘D 츄어블 (60정)_뉴트리케어</t>
  </si>
  <si>
    <t>다이소 닥터베어 칼슘 마그네슘 비타민D (60정)_이앤에스</t>
  </si>
  <si>
    <t>다이소 닥터베어 칼슘 마그네슘 비타민D (60정)_한국코스모</t>
  </si>
  <si>
    <t>다이소 닥터베어 칼슘 마그네슘 비타민D (60정)</t>
  </si>
  <si>
    <t>다이소 닥터베어 칼슘 (120정)_이앤에스</t>
  </si>
  <si>
    <t>다이소 닥터베어 철분 (30정)_한국코스모</t>
  </si>
  <si>
    <t>다이소 닥터베어 철분 (30정)_이앤에스</t>
  </si>
  <si>
    <t>다이소 닥터베어 철분 (30정)</t>
  </si>
  <si>
    <t>다이소 닥터베어 쏘팔메토 옥타코사놀 (30캡슐)_한국코스모</t>
  </si>
  <si>
    <t>다이소 닥터베어 쏘팔메토 옥타코사놀 (30캡슐)_이앤에스</t>
  </si>
  <si>
    <t>다이소 닥터베어 숙취해소 노니샷 (5포)_코스맥스엔비티</t>
  </si>
  <si>
    <t>다이소 닥터베어 비타민D 4000IU (30정)_코스맥스바이오</t>
  </si>
  <si>
    <t>다이소 닥터베어 비타민C (30정)_이앤에스</t>
  </si>
  <si>
    <t>다이소 닥터베어 비타민B (30정)_코스맥스바이오</t>
  </si>
  <si>
    <t>다이소 닥터베어 블랙마카 (60정)_네추럴웨이</t>
  </si>
  <si>
    <t>다이소 닥터베어 블랙마카 (60정)_이앤에스</t>
  </si>
  <si>
    <t>다이소 닥터베어 블랙마카 (60정)</t>
  </si>
  <si>
    <t>다이소 닥터베어 바나바잎 추출물 (30정)_코스맥스바이오</t>
  </si>
  <si>
    <t>다이소 닥터베어 바나바잎 추출물 (30정)</t>
  </si>
  <si>
    <t>다이소 닥터베어 밀크씨슬 (30정)_한국코스모</t>
  </si>
  <si>
    <t>다이소 닥터베어 밀크씨슬 (30정)_이앤에스</t>
  </si>
  <si>
    <t>다이소 닥터베어 밀크씨슬 (30정)</t>
  </si>
  <si>
    <t>다이소 닥터베어 멀티비타민미네랄 츄어블 (60정)_네추럴웨이</t>
  </si>
  <si>
    <t>다이소 닥터베어 멀티비타민 미네랄 (30정)_코스맥스바이오</t>
  </si>
  <si>
    <t>다이소 닥터베어 멀티비타민 미네랄 (30정)_이앤에스</t>
  </si>
  <si>
    <t>다이소 닥터베어 멀티비타민 미네랄 (30정)</t>
  </si>
  <si>
    <t>다이소 닥터베어 맥주효모비오틴 (30정)_네추럴웨이</t>
  </si>
  <si>
    <t>다이소 닥터베어 맥주효모 비오틴 (30정)_이앤에스</t>
  </si>
  <si>
    <t>다이소 닥터베어 마그네슘 (30정)_한국코스모</t>
  </si>
  <si>
    <t>다이소 닥터베어 마그네슘 (30정)_이앤에스</t>
  </si>
  <si>
    <t>다이소 닥터베어 마그네슘 (30정)</t>
  </si>
  <si>
    <t>다이소 닥터베어 녹차카테킨 (30정)_한국코스모</t>
  </si>
  <si>
    <t>다이소 닥터베어 녹차카테킨 (30정)</t>
  </si>
  <si>
    <t>다이소 닥터베어 글루타치온 (30정)_코스맥스엔비티</t>
  </si>
  <si>
    <t>다이소 닥터베어 rTG오메가3 (30캡슐)_한국코스모</t>
  </si>
  <si>
    <t>다이소 닥터베어 MSM (90정)_한국코스모</t>
  </si>
  <si>
    <t>다이소 닥터베어 밀크씨슬 에너지샷 (5포)_케이지이</t>
  </si>
  <si>
    <t>다이소 닥터베어 활성엽산 400 (30정)_이앤에스</t>
  </si>
  <si>
    <t>다이소 닥터베어 활성엽산 400 (30정)</t>
  </si>
  <si>
    <t>다이소 닥터베어 식물성 뉴티지 오메가3 (30캡슐)_노바렉스</t>
  </si>
  <si>
    <t>다이소 닥터베어 베르베린 (30정)_노바렉스</t>
  </si>
  <si>
    <t>다이소 닥터베어 알파CD ZERO (15포)_노바렉스</t>
  </si>
  <si>
    <t>다이소 닥터베어 마그네슘샷 (5병)_네추럴웨이</t>
  </si>
  <si>
    <t>다이소 닥터베어 바나바잎추출물 (10정)_코스맥스엔비티</t>
  </si>
  <si>
    <t>다이소 닥터베어 비타민D 4000IU (10정)_코스맥스엔비티</t>
  </si>
  <si>
    <t>다이소 닥터베어 마그네슘 (10정)_코스맥스엔비티</t>
  </si>
  <si>
    <t>다이소 닥터베어 rTG오메가3 (6캡슐)_코스맥스엔비티</t>
  </si>
  <si>
    <t>다이소 닥터베어 녹차카테킨 (6정)_코스맥스엔비티</t>
  </si>
  <si>
    <t>다이소 닥터베어 멀티비타민미네랄 (6정)_코스맥스엔비티</t>
  </si>
  <si>
    <t>다이소 닥터베어 코엔자임Q10 (6캡슐)_코스맥스엔비티</t>
  </si>
  <si>
    <t>다이소 닥터베어 밀크씨슬 (6정)_코스맥스엔비티</t>
  </si>
  <si>
    <t>검증</t>
    <phoneticPr fontId="2" type="noConversion"/>
  </si>
  <si>
    <t>우루샷 플러스정 64T (트레이더스)</t>
  </si>
  <si>
    <t>타이코닌주 400MG 10 VIAL</t>
  </si>
  <si>
    <t>2026-06_판매계획</t>
    <phoneticPr fontId="2" type="noConversion"/>
  </si>
  <si>
    <t>2026-01_판매계획</t>
    <phoneticPr fontId="2" type="noConversion"/>
  </si>
  <si>
    <t>2026-01_실적</t>
    <phoneticPr fontId="2" type="noConversion"/>
  </si>
  <si>
    <t>2026-02_판매계획</t>
    <phoneticPr fontId="2" type="noConversion"/>
  </si>
  <si>
    <t>2026-02_실적</t>
    <phoneticPr fontId="2" type="noConversion"/>
  </si>
  <si>
    <t>2026-03_판매계획</t>
    <phoneticPr fontId="2" type="noConversion"/>
  </si>
  <si>
    <t>2026-03_실적</t>
    <phoneticPr fontId="2" type="noConversion"/>
  </si>
  <si>
    <t>2026-04_판매계획</t>
    <phoneticPr fontId="2" type="noConversion"/>
  </si>
  <si>
    <t>2026-04_실적</t>
    <phoneticPr fontId="2" type="noConversion"/>
  </si>
  <si>
    <t>2026-05_판매계획</t>
    <phoneticPr fontId="2" type="noConversion"/>
  </si>
  <si>
    <t>2026-05_실적</t>
    <phoneticPr fontId="2" type="noConversion"/>
  </si>
  <si>
    <t>2026-06_실적</t>
    <phoneticPr fontId="2" type="noConversion"/>
  </si>
  <si>
    <t/>
  </si>
  <si>
    <t>공급합계</t>
    <phoneticPr fontId="2" type="noConversion"/>
  </si>
  <si>
    <t>향남</t>
  </si>
  <si>
    <t>향남</t>
    <phoneticPr fontId="2" type="noConversion"/>
  </si>
  <si>
    <t>이병구</t>
  </si>
  <si>
    <t>이병구</t>
    <phoneticPr fontId="2" type="noConversion"/>
  </si>
  <si>
    <t>완제품</t>
    <phoneticPr fontId="2" type="noConversion"/>
  </si>
  <si>
    <t>최한정</t>
    <phoneticPr fontId="2" type="noConversion"/>
  </si>
  <si>
    <t>Erdosteine(Edmond)</t>
  </si>
  <si>
    <t>D-MANNITOL(ROQUETTE,USP)(PF)</t>
  </si>
  <si>
    <t>Olmesartan medoxomil(Micro)(DAEBONG)</t>
  </si>
  <si>
    <t>Light Anhydrous Silicic Acid(KP,FUJI)</t>
  </si>
  <si>
    <t>Light Liquid Paraffin(Sonneborn)</t>
  </si>
  <si>
    <t>Sodium Lauryl Sulfate(BASF)</t>
  </si>
  <si>
    <t>Cholecalciferol Concentrate Powder Form</t>
  </si>
  <si>
    <t>Aluminium Hydroxide  Gel</t>
  </si>
  <si>
    <t>Avicel-RC581</t>
  </si>
  <si>
    <t>Acetic acid glacial(USP)</t>
  </si>
  <si>
    <t>Biotin(DSM)</t>
  </si>
  <si>
    <t>BETATAB 20% S</t>
  </si>
  <si>
    <t>Benfotiamine(국전약품)</t>
  </si>
  <si>
    <t>Ciprofloxacin HCl</t>
  </si>
  <si>
    <t>CHES(생제)</t>
  </si>
  <si>
    <t>Chromium in Dried Yeast(별규, Lesaffre))</t>
  </si>
  <si>
    <t>Ca - Pantothenate</t>
  </si>
  <si>
    <t>Citric Acid hydrate</t>
  </si>
  <si>
    <t>Crospovidone(Ashland)</t>
  </si>
  <si>
    <t>0.1% Cyanocobalamin(Ningxia)</t>
  </si>
  <si>
    <t>시아노코발라민 100배산(DSM)</t>
  </si>
  <si>
    <t>0.1% Cyanocobalamine Powder(DSM)</t>
  </si>
  <si>
    <t>Chlorhexidine Acetate</t>
  </si>
  <si>
    <t>Carrageenan (CST #7632)</t>
  </si>
  <si>
    <t>셀레늄함유 건조효모(Lesaffre)</t>
  </si>
  <si>
    <t>D-Sorbitol Solution</t>
  </si>
  <si>
    <t>GLUCOSE(USP,MERCK)</t>
  </si>
  <si>
    <t>Dipotassium Glycyrrhizinate</t>
  </si>
  <si>
    <t>Dioctahedral Smectite(Simcere)</t>
  </si>
  <si>
    <t>α-Tocopheryl Acetate Concentrate (CWS/S)</t>
  </si>
  <si>
    <t>Entecavir</t>
  </si>
  <si>
    <t>Edetate Sodium(EDTA)</t>
  </si>
  <si>
    <t>Folic Acid</t>
  </si>
  <si>
    <t>Ferrous Fumarate</t>
  </si>
  <si>
    <t>Concentrated Glycerin(P&amp;G Chemicals)</t>
  </si>
  <si>
    <t>Gabapentin(Chiral)</t>
  </si>
  <si>
    <t>Gabapentin(Hikal)-USP</t>
  </si>
  <si>
    <t>HPC LXF</t>
  </si>
  <si>
    <t>Inositol</t>
  </si>
  <si>
    <t>L-Cysteine HCl(,JP,USP)</t>
  </si>
  <si>
    <t>저치환도히드록시프로필셀룰로오스,LH-21</t>
  </si>
  <si>
    <t>Nicotinamide(KP,AMSAL)</t>
  </si>
  <si>
    <t>Nizatidine(Dr.Reddy)</t>
  </si>
  <si>
    <t>오파드라이노란색II(32K620005)</t>
  </si>
  <si>
    <t>Orange Flavor ZKF-02433</t>
  </si>
  <si>
    <t>Opadry 80W68912</t>
  </si>
  <si>
    <t>Opadry AMB2 yellow 88A220003</t>
  </si>
  <si>
    <t>오파드라이 KB 흰색 310A180023</t>
  </si>
  <si>
    <t>오파드라이 KB 노란색 310A120019</t>
  </si>
  <si>
    <t>Opadry AMB yellow 80W22608</t>
  </si>
  <si>
    <t>Opadry II orange 85G630018</t>
  </si>
  <si>
    <t>Opadry II green 85F41079</t>
  </si>
  <si>
    <t>Phentermine Hydrochloride</t>
  </si>
  <si>
    <t>Primidone</t>
  </si>
  <si>
    <t>Pseudoephedrine HCl(Malladi)</t>
  </si>
  <si>
    <t>Sucrose</t>
  </si>
  <si>
    <t>Pyridoxine HCl (Jiangxi Tianxin)</t>
  </si>
  <si>
    <t>Pyridoxine HCl(Vit-B6)</t>
  </si>
  <si>
    <t>voglibose</t>
  </si>
  <si>
    <t>Phosphoric Acid(85%)(NF)</t>
  </si>
  <si>
    <t>벨라돈나총알칼로이드</t>
  </si>
  <si>
    <t>Potassium Phosphate Monobasic(생제)</t>
  </si>
  <si>
    <t>Riboflavine (VIT-B2)</t>
  </si>
  <si>
    <t>Simethicone 30% Emulsion(DDP)</t>
  </si>
  <si>
    <t>Strawberry Essence</t>
  </si>
  <si>
    <t>Sodium Phosphate Dibasic, Anhydrous</t>
  </si>
  <si>
    <t>Tetracycline HCI(USP)</t>
  </si>
  <si>
    <t>Urea(생제)</t>
  </si>
  <si>
    <t>Ursodeoxycholic Acid (EP)</t>
  </si>
  <si>
    <t>Vanilla Flavour A</t>
  </si>
  <si>
    <t>White Petrolatum</t>
  </si>
  <si>
    <t>Xanthan Gum</t>
  </si>
  <si>
    <t>Zinc Oxide(Hakusui)</t>
  </si>
  <si>
    <t>Zinc sulfate heptahydrate(생제)</t>
  </si>
  <si>
    <t>코메키나 캡슐</t>
  </si>
  <si>
    <t>리리베아 150mg Capsule</t>
  </si>
  <si>
    <t>리리베아 75mg Capsule</t>
  </si>
  <si>
    <t>푸루나졸 CAPSULE</t>
  </si>
  <si>
    <t>미노씬 Capsule(SK)</t>
  </si>
  <si>
    <t>우루사250mg  Capsule</t>
  </si>
  <si>
    <t>액시드 Capsule</t>
  </si>
  <si>
    <t>Red #3(Erythrosine)(KIRIYA)</t>
  </si>
  <si>
    <t>Blue #2 Al-Lake(KIRIYA)</t>
  </si>
  <si>
    <t>Sodium hydroxide</t>
  </si>
  <si>
    <t>Ca-D-Pantothenate</t>
  </si>
  <si>
    <t>Pregabalin</t>
  </si>
  <si>
    <t>Sildenafil Citrate(Hetero,USP)</t>
  </si>
  <si>
    <t>Xylitol(EP)</t>
  </si>
  <si>
    <t>Opadry EZ 253U190007Clear(별규,Colorcon)</t>
  </si>
  <si>
    <t>Rosuvastatin Calcium (EP, I/H MSN)</t>
  </si>
  <si>
    <t>Polysorbate 20</t>
  </si>
  <si>
    <t>Benfotiamine(KP,Bioxera)</t>
  </si>
  <si>
    <t>Manganese chloride tetrahydrate</t>
  </si>
  <si>
    <t>Tenofovir alafenamide hemitartrate</t>
  </si>
  <si>
    <t>Tadalafil(EP,파마코스텍)</t>
  </si>
  <si>
    <t>네버펜틴캡슐100mg 4호캡슐</t>
  </si>
  <si>
    <t>리보플라빈부티레이트(KP,일동제약)</t>
  </si>
  <si>
    <t>에포시스 원액(인도네시아) NEW</t>
  </si>
  <si>
    <t>Pot. Citrate (USP,삼전순약)</t>
  </si>
  <si>
    <t>Erdosteine(Aurore Life Sciences)</t>
  </si>
  <si>
    <t>Simethicone(USP,RioCare)</t>
  </si>
  <si>
    <t>Bisbentiamine (KP,Prince)</t>
  </si>
  <si>
    <t>Magnesium oxide(USP, ICL(DSP))</t>
  </si>
  <si>
    <t>Crospovidone(NF, TypeA, Boai NKY)</t>
  </si>
  <si>
    <t>Fluconazole(USP, VIRUPAKSHA)</t>
  </si>
  <si>
    <t>Ascorbic Acid C-97(Northeast,별규)</t>
  </si>
  <si>
    <t>Choline Hydrogen Tartrate(별규(USP))</t>
  </si>
  <si>
    <t>Caffeine Anhyd Pwd (KP, Siegfried)</t>
  </si>
  <si>
    <t>Mecobalamin (KP, Supriya)</t>
  </si>
  <si>
    <t>Microcrystalline cellulose(Comprecel212)</t>
  </si>
  <si>
    <t>L-Cysteine(DAB,Nippon)</t>
  </si>
  <si>
    <t>Potassium sulphate(BP,Sujata)</t>
  </si>
  <si>
    <t>Magnesium sulphate anhydrous_USP_Sujata</t>
  </si>
  <si>
    <t>Sodium sulphate anhydrous_USP_Sujata</t>
  </si>
  <si>
    <t>Opadry EZ Clear 254U590005(별규,칼라콘)</t>
  </si>
  <si>
    <t>OPADRY amb ll 88A640031 PINK(별규,칼라콘)</t>
  </si>
  <si>
    <t>L-arginine(Ajinomoto)</t>
  </si>
  <si>
    <t>Minocycline HCL(KP, Zhejiang)</t>
  </si>
  <si>
    <t>스테아르산마그네슘(NF)</t>
  </si>
  <si>
    <t>Tiropramide HCl(별규,삼오)</t>
  </si>
  <si>
    <t>Sodium Propyl hydroxybenzoate(Alpha)</t>
  </si>
  <si>
    <t>Sodium Methyl Hydroxybenzoate(Alpha)</t>
  </si>
  <si>
    <t>Glucose(Dextrose Anhydrous)</t>
  </si>
  <si>
    <t>경질무수규산CABOT,KP)</t>
  </si>
  <si>
    <t>Dithiothreitol(DTT)(Goldbio)</t>
  </si>
  <si>
    <t>Biotin(Zhejiang Shengda)</t>
  </si>
  <si>
    <t>Ursodeoxycholic Acid (EP, 수출용, M법)</t>
  </si>
  <si>
    <t>Lactose Hydrate(KP,Kerry)</t>
  </si>
  <si>
    <t>Pyridoxal Phosphate Hydrate(KP, 한서켐)</t>
  </si>
  <si>
    <t>Steviten fresh(별규, 대평)</t>
  </si>
  <si>
    <t>D-Sorbitol solution(BP, 백광, 캔)</t>
  </si>
  <si>
    <t>Ruxolitinib hemifumarate(별규, Dr. Reddy)</t>
  </si>
  <si>
    <t>Diastase·Protease·Cellulase(KP,advanced)</t>
  </si>
  <si>
    <t>Crease-PEG(별규, Aoli Biopharm)</t>
  </si>
  <si>
    <t>Lipase(KP, advanced)</t>
  </si>
  <si>
    <t>Bromelain(별규, advanced)</t>
  </si>
  <si>
    <t>Diastase·Protease·100(KP, advanced)</t>
  </si>
  <si>
    <t>박준영</t>
    <phoneticPr fontId="2" type="noConversion"/>
  </si>
  <si>
    <t>L</t>
  </si>
  <si>
    <t>MG</t>
  </si>
  <si>
    <t>ML</t>
  </si>
  <si>
    <t>곽혜주</t>
  </si>
  <si>
    <t>이지원</t>
  </si>
  <si>
    <t>상품</t>
  </si>
  <si>
    <t>서정은</t>
  </si>
  <si>
    <t>김예지</t>
  </si>
  <si>
    <t>박지원</t>
  </si>
  <si>
    <t>횡성</t>
  </si>
  <si>
    <t>일회용 모비케어 프리미엄 3일 md</t>
  </si>
  <si>
    <t>카트비피(소비자용) 7호</t>
  </si>
  <si>
    <t>카트비피(소비자용) 8호</t>
  </si>
  <si>
    <t>카트비피(소비자용) 9호</t>
  </si>
  <si>
    <t>카트비피(소비자용) 10호</t>
  </si>
  <si>
    <t>카트비피(소비자용) 11호</t>
  </si>
  <si>
    <t>카트비피(소비자용) 12호</t>
  </si>
  <si>
    <t>카트비피(소비자용) 13호</t>
  </si>
  <si>
    <t>박지원</t>
    <phoneticPr fontId="2" type="noConversion"/>
  </si>
  <si>
    <t>서정은</t>
    <phoneticPr fontId="2" type="noConversion"/>
  </si>
  <si>
    <t>이지원</t>
    <phoneticPr fontId="2" type="noConversion"/>
  </si>
  <si>
    <t>자재</t>
    <phoneticPr fontId="2" type="noConversion"/>
  </si>
  <si>
    <t>원료</t>
  </si>
  <si>
    <t>원료</t>
    <phoneticPr fontId="2" type="noConversion"/>
  </si>
  <si>
    <t>반제품</t>
  </si>
  <si>
    <t>반제품</t>
    <phoneticPr fontId="2" type="noConversion"/>
  </si>
  <si>
    <t>구매반제품</t>
  </si>
  <si>
    <t>최지우</t>
  </si>
  <si>
    <t>최지우</t>
    <phoneticPr fontId="2" type="noConversion"/>
  </si>
  <si>
    <t>최지우</t>
    <phoneticPr fontId="2" type="noConversion"/>
  </si>
  <si>
    <t>이지덤뷰티 레티날 모공패치 6매 (파우치, 온라인)</t>
    <phoneticPr fontId="2" type="noConversion"/>
  </si>
  <si>
    <t>목시클정 375mg 100T</t>
  </si>
  <si>
    <t>상품</t>
    <phoneticPr fontId="2" type="noConversion"/>
  </si>
  <si>
    <t>ENVLO 0.3mg film-coated tab.(TH) 30T</t>
    <phoneticPr fontId="2" type="noConversion"/>
  </si>
  <si>
    <t>오송</t>
    <phoneticPr fontId="2" type="noConversion"/>
  </si>
  <si>
    <t>강주영</t>
  </si>
  <si>
    <t>강주영</t>
    <phoneticPr fontId="2" type="noConversion"/>
  </si>
  <si>
    <t>강충구</t>
  </si>
  <si>
    <t>강충구</t>
    <phoneticPr fontId="2" type="noConversion"/>
  </si>
  <si>
    <t>강충구</t>
    <phoneticPr fontId="2" type="noConversion"/>
  </si>
  <si>
    <t>향남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</si>
</sst>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1"/>
      <color theme="1"/>
      <name val="조선일보명조"/>
      <family val="1"/>
      <charset val="129"/>
    </font>
    <font>
      <sz val="11"/>
      <color theme="1"/>
      <name val="나눔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shrinkToFit="1"/>
    </xf>
    <xf numFmtId="0" fontId="3" fillId="2" borderId="0" xfId="0" applyNumberFormat="1" applyFont="1" applyFill="1" applyAlignment="1">
      <alignment horizontal="center" vertical="top" shrinkToFit="1"/>
    </xf>
    <xf numFmtId="41" fontId="0" fillId="0" borderId="0" xfId="1" applyFont="1" applyAlignment="1"/>
    <xf numFmtId="41" fontId="0" fillId="0" borderId="0" xfId="1" applyFont="1" applyAlignment="1">
      <alignment shrinkToFit="1"/>
    </xf>
    <xf numFmtId="41" fontId="3" fillId="2" borderId="0" xfId="1" applyFont="1" applyFill="1" applyAlignment="1">
      <alignment horizontal="center" vertical="top" shrinkToFit="1"/>
    </xf>
    <xf numFmtId="41" fontId="3" fillId="4" borderId="0" xfId="1" applyFont="1" applyFill="1" applyAlignment="1">
      <alignment horizontal="center" vertical="top" shrinkToFit="1"/>
    </xf>
    <xf numFmtId="41" fontId="0" fillId="0" borderId="0" xfId="0" applyNumberFormat="1" applyAlignment="1">
      <alignment shrinkToFit="1"/>
    </xf>
    <xf numFmtId="14" fontId="4" fillId="3" borderId="1" xfId="0" applyNumberFormat="1" applyFont="1" applyFill="1" applyBorder="1" applyAlignment="1">
      <alignment horizontal="center" vertical="center" shrinkToFit="1"/>
    </xf>
    <xf numFmtId="41" fontId="0" fillId="0" borderId="2" xfId="1" applyFont="1" applyBorder="1" applyAlignment="1">
      <alignment shrinkToFit="1"/>
    </xf>
    <xf numFmtId="41" fontId="5" fillId="6" borderId="2" xfId="1" applyFont="1" applyFill="1" applyBorder="1" applyAlignment="1">
      <alignment shrinkToFit="1"/>
    </xf>
    <xf numFmtId="0" fontId="0" fillId="5" borderId="2" xfId="0" applyNumberFormat="1" applyFill="1" applyBorder="1"/>
    <xf numFmtId="41" fontId="0" fillId="0" borderId="2" xfId="1" applyFont="1" applyBorder="1" applyAlignment="1">
      <alignment horizontal="left" shrinkToFit="1"/>
    </xf>
    <xf numFmtId="0" fontId="0" fillId="0" borderId="2" xfId="1" applyNumberFormat="1" applyFont="1" applyBorder="1" applyAlignment="1">
      <alignment horizontal="left" shrinkToFit="1"/>
    </xf>
    <xf numFmtId="0" fontId="0" fillId="0" borderId="2" xfId="0" applyNumberFormat="1" applyBorder="1" applyAlignment="1">
      <alignment horizontal="left"/>
    </xf>
    <xf numFmtId="0" fontId="0" fillId="4" borderId="2" xfId="1" applyNumberFormat="1" applyFont="1" applyFill="1" applyBorder="1" applyAlignment="1">
      <alignment horizontal="left" shrinkToFit="1"/>
    </xf>
    <xf numFmtId="41" fontId="0" fillId="4" borderId="2" xfId="1" applyFont="1" applyFill="1" applyBorder="1" applyAlignment="1">
      <alignment horizontal="left" shrinkToFit="1"/>
    </xf>
    <xf numFmtId="0" fontId="5" fillId="5" borderId="2" xfId="0" applyFont="1" applyFill="1" applyBorder="1" applyAlignment="1">
      <alignment horizontal="left" shrinkToFit="1"/>
    </xf>
    <xf numFmtId="41" fontId="5" fillId="5" borderId="2" xfId="1" applyFont="1" applyFill="1" applyBorder="1" applyAlignment="1">
      <alignment horizontal="left" shrinkToFit="1"/>
    </xf>
    <xf numFmtId="0" fontId="5" fillId="5" borderId="2" xfId="0" applyNumberFormat="1" applyFont="1" applyFill="1" applyBorder="1" applyAlignment="1">
      <alignment horizontal="left" shrinkToFit="1"/>
    </xf>
    <xf numFmtId="0" fontId="0" fillId="5" borderId="2" xfId="0" applyNumberFormat="1" applyFill="1" applyBorder="1" applyAlignment="1">
      <alignment horizontal="left"/>
    </xf>
    <xf numFmtId="0" fontId="0" fillId="0" borderId="0" xfId="0" applyAlignment="1">
      <alignment horizontal="left" shrinkToFit="1"/>
    </xf>
    <xf numFmtId="41" fontId="3" fillId="2" borderId="0" xfId="1" applyFont="1" applyFill="1" applyAlignment="1">
      <alignment horizontal="left" vertical="top" shrinkToFit="1"/>
    </xf>
    <xf numFmtId="41" fontId="0" fillId="0" borderId="0" xfId="1" applyFont="1" applyAlignment="1">
      <alignment horizontal="left" shrinkToFit="1"/>
    </xf>
    <xf numFmtId="41" fontId="0" fillId="0" borderId="2" xfId="1" applyFont="1" applyFill="1" applyBorder="1" applyAlignment="1">
      <alignment shrinkToFit="1"/>
    </xf>
  </cellXfs>
  <cellStyles count="2">
    <cellStyle name="쉼표 [0]" xfId="1" builtinId="6"/>
    <cellStyle name="표준" xfId="0" builtinId="0"/>
  </cellStyles>
  <dxfs count="7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ocuments\&#9733;JMK\8.7&#50900;%20&#54617;&#49548;v1\&#52712;&#54633;&#51088;&#47308;\260703%207&#50900;%20&#54617;&#49548;&#51088;&#47308;%20&#50836;&#52397;(&#50756;&#51228;&#54408;%20&#49373;&#49328;&#44228;&#54925;)_&#50808;&#51452;&#44032;&#44277;_&#52572;&#51648;&#50864;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안내"/>
      <sheetName val="향남"/>
      <sheetName val="오송"/>
    </sheetNames>
    <sheetDataSet>
      <sheetData sheetId="0" refreshError="1"/>
      <sheetData sheetId="1"/>
      <sheetData sheetId="2">
        <row r="4">
          <cell r="C4" t="str">
            <v>플랜트</v>
          </cell>
          <cell r="D4" t="str">
            <v>품목코드</v>
          </cell>
        </row>
        <row r="5">
          <cell r="C5" t="str">
            <v>오송</v>
          </cell>
          <cell r="D5">
            <v>9000008</v>
          </cell>
        </row>
        <row r="6">
          <cell r="C6" t="str">
            <v>오송</v>
          </cell>
          <cell r="D6">
            <v>9000044</v>
          </cell>
        </row>
        <row r="7">
          <cell r="C7" t="str">
            <v>오송</v>
          </cell>
          <cell r="D7">
            <v>9000045</v>
          </cell>
        </row>
        <row r="8">
          <cell r="C8" t="str">
            <v>오송</v>
          </cell>
          <cell r="D8">
            <v>9000057</v>
          </cell>
        </row>
        <row r="9">
          <cell r="C9" t="str">
            <v>오송</v>
          </cell>
          <cell r="D9">
            <v>9000058</v>
          </cell>
        </row>
        <row r="10">
          <cell r="C10" t="str">
            <v>오송</v>
          </cell>
          <cell r="D10">
            <v>9000059</v>
          </cell>
        </row>
        <row r="11">
          <cell r="C11" t="str">
            <v>오송</v>
          </cell>
          <cell r="D11">
            <v>9000060</v>
          </cell>
        </row>
        <row r="12">
          <cell r="C12" t="str">
            <v>오송</v>
          </cell>
          <cell r="D12">
            <v>9000065</v>
          </cell>
        </row>
        <row r="13">
          <cell r="C13" t="str">
            <v>오송</v>
          </cell>
          <cell r="D13">
            <v>9000066</v>
          </cell>
        </row>
        <row r="14">
          <cell r="C14" t="str">
            <v>오송</v>
          </cell>
          <cell r="D14">
            <v>9000072</v>
          </cell>
        </row>
        <row r="15">
          <cell r="C15" t="str">
            <v>오송</v>
          </cell>
          <cell r="D15">
            <v>9000073</v>
          </cell>
        </row>
        <row r="16">
          <cell r="C16" t="str">
            <v>오송</v>
          </cell>
          <cell r="D16">
            <v>9000080</v>
          </cell>
        </row>
        <row r="17">
          <cell r="C17" t="str">
            <v>오송</v>
          </cell>
          <cell r="D17">
            <v>9000097</v>
          </cell>
        </row>
        <row r="18">
          <cell r="C18" t="str">
            <v>오송</v>
          </cell>
          <cell r="D18">
            <v>9000098</v>
          </cell>
        </row>
        <row r="19">
          <cell r="C19" t="str">
            <v>오송</v>
          </cell>
          <cell r="D19">
            <v>9000099</v>
          </cell>
        </row>
        <row r="20">
          <cell r="C20" t="str">
            <v>오송</v>
          </cell>
          <cell r="D20">
            <v>9000100</v>
          </cell>
        </row>
        <row r="21">
          <cell r="C21" t="str">
            <v>오송</v>
          </cell>
          <cell r="D21">
            <v>9000105</v>
          </cell>
        </row>
        <row r="22">
          <cell r="C22" t="str">
            <v>오송</v>
          </cell>
          <cell r="D22">
            <v>9000146</v>
          </cell>
        </row>
        <row r="23">
          <cell r="C23" t="str">
            <v>오송</v>
          </cell>
          <cell r="D23">
            <v>9000226</v>
          </cell>
        </row>
        <row r="24">
          <cell r="C24" t="str">
            <v>오송</v>
          </cell>
          <cell r="D24">
            <v>9000261</v>
          </cell>
        </row>
        <row r="25">
          <cell r="C25" t="str">
            <v>오송</v>
          </cell>
          <cell r="D25">
            <v>9000287</v>
          </cell>
        </row>
        <row r="26">
          <cell r="C26" t="str">
            <v>오송</v>
          </cell>
          <cell r="D26">
            <v>9000288</v>
          </cell>
        </row>
        <row r="27">
          <cell r="C27" t="str">
            <v>오송</v>
          </cell>
          <cell r="D27">
            <v>9000857</v>
          </cell>
        </row>
        <row r="28">
          <cell r="C28" t="str">
            <v>오송</v>
          </cell>
          <cell r="D28">
            <v>9000858</v>
          </cell>
        </row>
        <row r="29">
          <cell r="C29" t="str">
            <v>오송</v>
          </cell>
          <cell r="D29">
            <v>9000883</v>
          </cell>
        </row>
        <row r="30">
          <cell r="C30" t="str">
            <v>오송</v>
          </cell>
          <cell r="D30">
            <v>9000884</v>
          </cell>
        </row>
        <row r="31">
          <cell r="C31" t="str">
            <v>오송</v>
          </cell>
          <cell r="D31">
            <v>9001134</v>
          </cell>
        </row>
        <row r="32">
          <cell r="C32" t="str">
            <v>오송</v>
          </cell>
          <cell r="D32">
            <v>9001218</v>
          </cell>
        </row>
        <row r="33">
          <cell r="C33" t="str">
            <v>오송</v>
          </cell>
          <cell r="D33">
            <v>9300097</v>
          </cell>
        </row>
        <row r="34">
          <cell r="C34" t="str">
            <v>오송</v>
          </cell>
          <cell r="D34">
            <v>9300303</v>
          </cell>
        </row>
        <row r="35">
          <cell r="C35" t="str">
            <v>오송</v>
          </cell>
          <cell r="D35">
            <v>9300319</v>
          </cell>
        </row>
        <row r="36">
          <cell r="C36" t="str">
            <v>오송</v>
          </cell>
          <cell r="D36">
            <v>9300320</v>
          </cell>
        </row>
        <row r="37">
          <cell r="C37" t="str">
            <v>오송</v>
          </cell>
          <cell r="D37">
            <v>9300661</v>
          </cell>
        </row>
        <row r="38">
          <cell r="C38" t="str">
            <v>오송</v>
          </cell>
          <cell r="D38">
            <v>9300768</v>
          </cell>
        </row>
        <row r="39">
          <cell r="C39" t="str">
            <v>오송</v>
          </cell>
          <cell r="D39">
            <v>9300769</v>
          </cell>
        </row>
        <row r="40">
          <cell r="C40" t="str">
            <v>오송</v>
          </cell>
          <cell r="D40">
            <v>9300770</v>
          </cell>
        </row>
        <row r="41">
          <cell r="C41" t="str">
            <v>오송</v>
          </cell>
          <cell r="D41">
            <v>9300771</v>
          </cell>
        </row>
        <row r="42">
          <cell r="C42" t="str">
            <v>오송</v>
          </cell>
          <cell r="D42">
            <v>9301212</v>
          </cell>
        </row>
        <row r="43">
          <cell r="C43" t="str">
            <v>오송</v>
          </cell>
          <cell r="D43">
            <v>9301214</v>
          </cell>
        </row>
        <row r="44">
          <cell r="C44" t="str">
            <v>오송</v>
          </cell>
          <cell r="D44">
            <v>9301909</v>
          </cell>
        </row>
        <row r="45">
          <cell r="C45" t="str">
            <v>오송</v>
          </cell>
          <cell r="D45">
            <v>9301920</v>
          </cell>
        </row>
        <row r="46">
          <cell r="C46" t="str">
            <v>오송</v>
          </cell>
          <cell r="D46">
            <v>9301921</v>
          </cell>
        </row>
        <row r="47">
          <cell r="C47" t="str">
            <v>오송</v>
          </cell>
          <cell r="D47">
            <v>9301922</v>
          </cell>
        </row>
        <row r="48">
          <cell r="C48" t="str">
            <v>오송</v>
          </cell>
          <cell r="D48">
            <v>9301923</v>
          </cell>
        </row>
        <row r="49">
          <cell r="C49" t="str">
            <v>오송</v>
          </cell>
          <cell r="D49">
            <v>9301924</v>
          </cell>
        </row>
        <row r="50">
          <cell r="C50" t="str">
            <v>오송</v>
          </cell>
          <cell r="D50">
            <v>9303027</v>
          </cell>
        </row>
        <row r="51">
          <cell r="C51" t="str">
            <v>오송</v>
          </cell>
          <cell r="D51">
            <v>9303028</v>
          </cell>
        </row>
        <row r="52">
          <cell r="C52" t="str">
            <v>오송</v>
          </cell>
          <cell r="D52">
            <v>9303062</v>
          </cell>
        </row>
        <row r="53">
          <cell r="C53" t="str">
            <v>오송</v>
          </cell>
          <cell r="D53">
            <v>9303063</v>
          </cell>
        </row>
        <row r="54">
          <cell r="C54" t="str">
            <v>오송</v>
          </cell>
          <cell r="D54">
            <v>9303064</v>
          </cell>
        </row>
        <row r="55">
          <cell r="C55" t="str">
            <v>오송</v>
          </cell>
          <cell r="D55">
            <v>9303999</v>
          </cell>
        </row>
        <row r="56">
          <cell r="C56" t="str">
            <v>오송</v>
          </cell>
          <cell r="D56">
            <v>9304080</v>
          </cell>
        </row>
        <row r="57">
          <cell r="C57" t="str">
            <v>오송</v>
          </cell>
          <cell r="D57">
            <v>9304301</v>
          </cell>
        </row>
        <row r="58">
          <cell r="C58" t="str">
            <v>오송</v>
          </cell>
          <cell r="D58">
            <v>9304302</v>
          </cell>
        </row>
        <row r="59">
          <cell r="C59" t="str">
            <v>오송</v>
          </cell>
          <cell r="D59">
            <v>9304303</v>
          </cell>
        </row>
        <row r="60">
          <cell r="C60" t="str">
            <v>오송</v>
          </cell>
          <cell r="D60">
            <v>9304996</v>
          </cell>
        </row>
        <row r="61">
          <cell r="C61" t="str">
            <v>오송</v>
          </cell>
          <cell r="D61">
            <v>9304997</v>
          </cell>
        </row>
        <row r="62">
          <cell r="C62" t="str">
            <v>오송</v>
          </cell>
          <cell r="D62">
            <v>9305367</v>
          </cell>
        </row>
        <row r="63">
          <cell r="C63" t="str">
            <v>오송</v>
          </cell>
          <cell r="D63">
            <v>9305914</v>
          </cell>
        </row>
        <row r="64">
          <cell r="C64" t="str">
            <v>오송</v>
          </cell>
          <cell r="D64">
            <v>9305915</v>
          </cell>
        </row>
        <row r="65">
          <cell r="C65" t="str">
            <v>오송</v>
          </cell>
          <cell r="D65">
            <v>9306240</v>
          </cell>
        </row>
        <row r="66">
          <cell r="C66" t="str">
            <v>오송</v>
          </cell>
          <cell r="D66">
            <v>9306659</v>
          </cell>
        </row>
        <row r="67">
          <cell r="C67" t="str">
            <v>오송</v>
          </cell>
          <cell r="D67">
            <v>9306660</v>
          </cell>
        </row>
        <row r="68">
          <cell r="C68" t="str">
            <v>오송</v>
          </cell>
          <cell r="D68">
            <v>9306859</v>
          </cell>
        </row>
        <row r="69">
          <cell r="C69" t="str">
            <v>오송</v>
          </cell>
          <cell r="D69">
            <v>9306860</v>
          </cell>
        </row>
        <row r="70">
          <cell r="C70" t="str">
            <v>오송</v>
          </cell>
          <cell r="D70">
            <v>9306861</v>
          </cell>
        </row>
        <row r="71">
          <cell r="C71" t="str">
            <v>오송</v>
          </cell>
          <cell r="D71">
            <v>9307266</v>
          </cell>
        </row>
        <row r="72">
          <cell r="C72" t="str">
            <v>오송</v>
          </cell>
          <cell r="D72">
            <v>9307592</v>
          </cell>
        </row>
        <row r="73">
          <cell r="C73" t="str">
            <v>오송</v>
          </cell>
          <cell r="D73">
            <v>9308681</v>
          </cell>
        </row>
        <row r="74">
          <cell r="C74" t="str">
            <v>오송</v>
          </cell>
          <cell r="D74">
            <v>9308682</v>
          </cell>
        </row>
        <row r="75">
          <cell r="C75" t="str">
            <v>오송</v>
          </cell>
          <cell r="D75">
            <v>9308830</v>
          </cell>
        </row>
        <row r="76">
          <cell r="C76" t="str">
            <v>오송</v>
          </cell>
          <cell r="D76">
            <v>9308831</v>
          </cell>
        </row>
        <row r="77">
          <cell r="C77" t="str">
            <v>오송</v>
          </cell>
          <cell r="D77">
            <v>9308832</v>
          </cell>
        </row>
        <row r="78">
          <cell r="C78" t="str">
            <v>오송</v>
          </cell>
          <cell r="D78">
            <v>9311337</v>
          </cell>
        </row>
        <row r="79">
          <cell r="C79" t="str">
            <v>오송</v>
          </cell>
          <cell r="D79">
            <v>9311338</v>
          </cell>
        </row>
        <row r="80">
          <cell r="C80" t="str">
            <v>오송</v>
          </cell>
          <cell r="D80">
            <v>9311339</v>
          </cell>
        </row>
        <row r="81">
          <cell r="C81" t="str">
            <v>오송</v>
          </cell>
          <cell r="D81">
            <v>9311378</v>
          </cell>
        </row>
        <row r="82">
          <cell r="C82" t="str">
            <v>오송</v>
          </cell>
          <cell r="D82">
            <v>9311379</v>
          </cell>
        </row>
        <row r="83">
          <cell r="C83" t="str">
            <v>오송</v>
          </cell>
          <cell r="D83">
            <v>9313108</v>
          </cell>
        </row>
        <row r="84">
          <cell r="C84" t="str">
            <v>오송</v>
          </cell>
          <cell r="D84">
            <v>9400256</v>
          </cell>
        </row>
        <row r="88">
          <cell r="C88" t="str">
            <v>플랜트</v>
          </cell>
          <cell r="D88" t="str">
            <v>자재코드</v>
          </cell>
        </row>
        <row r="89">
          <cell r="C89" t="str">
            <v>오송</v>
          </cell>
          <cell r="D89" t="str">
            <v>1000003</v>
          </cell>
        </row>
        <row r="90">
          <cell r="C90" t="str">
            <v>오송</v>
          </cell>
          <cell r="D90" t="str">
            <v>1000004</v>
          </cell>
        </row>
        <row r="91">
          <cell r="C91" t="str">
            <v>오송</v>
          </cell>
          <cell r="D91" t="str">
            <v>1000005</v>
          </cell>
        </row>
        <row r="92">
          <cell r="C92" t="str">
            <v>오송</v>
          </cell>
          <cell r="D92" t="str">
            <v>1000006</v>
          </cell>
        </row>
        <row r="93">
          <cell r="C93" t="str">
            <v>오송</v>
          </cell>
          <cell r="D93" t="str">
            <v>1000007</v>
          </cell>
        </row>
        <row r="94">
          <cell r="C94" t="str">
            <v>오송</v>
          </cell>
          <cell r="D94" t="str">
            <v>1000008</v>
          </cell>
        </row>
        <row r="95">
          <cell r="C95" t="str">
            <v>오송</v>
          </cell>
          <cell r="D95" t="str">
            <v>1000009</v>
          </cell>
        </row>
        <row r="96">
          <cell r="C96" t="str">
            <v>오송</v>
          </cell>
          <cell r="D96" t="str">
            <v>1000010</v>
          </cell>
        </row>
        <row r="97">
          <cell r="C97" t="str">
            <v>오송</v>
          </cell>
          <cell r="D97" t="str">
            <v>1000011</v>
          </cell>
        </row>
        <row r="98">
          <cell r="C98" t="str">
            <v>오송</v>
          </cell>
          <cell r="D98" t="str">
            <v>1000013</v>
          </cell>
        </row>
        <row r="99">
          <cell r="C99" t="str">
            <v>오송</v>
          </cell>
          <cell r="D99" t="str">
            <v>1000014</v>
          </cell>
        </row>
        <row r="100">
          <cell r="C100" t="str">
            <v>오송</v>
          </cell>
          <cell r="D100" t="str">
            <v>1000015</v>
          </cell>
        </row>
        <row r="101">
          <cell r="C101" t="str">
            <v>오송</v>
          </cell>
          <cell r="D101" t="str">
            <v>1000016</v>
          </cell>
        </row>
        <row r="102">
          <cell r="C102" t="str">
            <v>오송</v>
          </cell>
          <cell r="D102" t="str">
            <v>1000017</v>
          </cell>
        </row>
        <row r="103">
          <cell r="C103" t="str">
            <v>오송</v>
          </cell>
          <cell r="D103" t="str">
            <v>1000018</v>
          </cell>
        </row>
        <row r="104">
          <cell r="C104" t="str">
            <v>오송</v>
          </cell>
          <cell r="D104" t="str">
            <v>1000019</v>
          </cell>
        </row>
        <row r="105">
          <cell r="C105" t="str">
            <v>오송</v>
          </cell>
          <cell r="D105" t="str">
            <v>1000021</v>
          </cell>
        </row>
        <row r="106">
          <cell r="C106" t="str">
            <v>오송</v>
          </cell>
          <cell r="D106" t="str">
            <v>1000022</v>
          </cell>
        </row>
        <row r="107">
          <cell r="C107" t="str">
            <v>오송</v>
          </cell>
          <cell r="D107" t="str">
            <v>1000023</v>
          </cell>
        </row>
        <row r="108">
          <cell r="C108" t="str">
            <v>오송</v>
          </cell>
          <cell r="D108" t="str">
            <v>1000024</v>
          </cell>
        </row>
        <row r="109">
          <cell r="C109" t="str">
            <v>오송</v>
          </cell>
          <cell r="D109" t="str">
            <v>1000026</v>
          </cell>
        </row>
        <row r="110">
          <cell r="C110" t="str">
            <v>오송</v>
          </cell>
          <cell r="D110" t="str">
            <v>1000027</v>
          </cell>
        </row>
        <row r="111">
          <cell r="C111" t="str">
            <v>오송</v>
          </cell>
          <cell r="D111" t="str">
            <v>1000028</v>
          </cell>
        </row>
        <row r="112">
          <cell r="C112" t="str">
            <v>오송</v>
          </cell>
          <cell r="D112" t="str">
            <v>1000030</v>
          </cell>
        </row>
        <row r="113">
          <cell r="C113" t="str">
            <v>오송</v>
          </cell>
          <cell r="D113" t="str">
            <v>1000031</v>
          </cell>
        </row>
        <row r="114">
          <cell r="C114" t="str">
            <v>오송</v>
          </cell>
          <cell r="D114" t="str">
            <v>1000032</v>
          </cell>
        </row>
        <row r="115">
          <cell r="C115" t="str">
            <v>오송</v>
          </cell>
          <cell r="D115" t="str">
            <v>1000033</v>
          </cell>
        </row>
        <row r="116">
          <cell r="C116" t="str">
            <v>오송</v>
          </cell>
          <cell r="D116" t="str">
            <v>1000036</v>
          </cell>
        </row>
        <row r="117">
          <cell r="C117" t="str">
            <v>오송</v>
          </cell>
          <cell r="D117" t="str">
            <v>1000037</v>
          </cell>
        </row>
        <row r="118">
          <cell r="C118" t="str">
            <v>오송</v>
          </cell>
          <cell r="D118" t="str">
            <v>1000038</v>
          </cell>
        </row>
        <row r="119">
          <cell r="C119" t="str">
            <v>오송</v>
          </cell>
          <cell r="D119" t="str">
            <v>1000040</v>
          </cell>
        </row>
        <row r="120">
          <cell r="C120" t="str">
            <v>오송</v>
          </cell>
          <cell r="D120" t="str">
            <v>1000041</v>
          </cell>
        </row>
        <row r="121">
          <cell r="C121" t="str">
            <v>오송</v>
          </cell>
          <cell r="D121" t="str">
            <v>1000043</v>
          </cell>
        </row>
        <row r="122">
          <cell r="C122" t="str">
            <v>오송</v>
          </cell>
          <cell r="D122" t="str">
            <v>1000044</v>
          </cell>
        </row>
        <row r="123">
          <cell r="C123" t="str">
            <v>오송</v>
          </cell>
          <cell r="D123" t="str">
            <v>1000045</v>
          </cell>
        </row>
        <row r="124">
          <cell r="C124" t="str">
            <v>오송</v>
          </cell>
          <cell r="D124" t="str">
            <v>1000046</v>
          </cell>
        </row>
        <row r="125">
          <cell r="C125" t="str">
            <v>오송</v>
          </cell>
          <cell r="D125" t="str">
            <v>1000047</v>
          </cell>
        </row>
        <row r="126">
          <cell r="C126" t="str">
            <v>오송</v>
          </cell>
          <cell r="D126" t="str">
            <v>1000048</v>
          </cell>
        </row>
        <row r="127">
          <cell r="C127" t="str">
            <v>오송</v>
          </cell>
          <cell r="D127" t="str">
            <v>1000050</v>
          </cell>
        </row>
        <row r="128">
          <cell r="C128" t="str">
            <v>오송</v>
          </cell>
          <cell r="D128" t="str">
            <v>1000051</v>
          </cell>
        </row>
        <row r="129">
          <cell r="C129" t="str">
            <v>오송</v>
          </cell>
          <cell r="D129" t="str">
            <v>1000052</v>
          </cell>
        </row>
        <row r="130">
          <cell r="C130" t="str">
            <v>오송</v>
          </cell>
          <cell r="D130" t="str">
            <v>1000053</v>
          </cell>
        </row>
        <row r="131">
          <cell r="C131" t="str">
            <v>오송</v>
          </cell>
          <cell r="D131" t="str">
            <v>1000055</v>
          </cell>
        </row>
        <row r="132">
          <cell r="C132" t="str">
            <v>오송</v>
          </cell>
          <cell r="D132" t="str">
            <v>1000056</v>
          </cell>
        </row>
        <row r="133">
          <cell r="C133" t="str">
            <v>오송</v>
          </cell>
          <cell r="D133" t="str">
            <v>1000058</v>
          </cell>
        </row>
        <row r="134">
          <cell r="C134" t="str">
            <v>오송</v>
          </cell>
          <cell r="D134" t="str">
            <v>1000059</v>
          </cell>
        </row>
        <row r="135">
          <cell r="C135" t="str">
            <v>오송</v>
          </cell>
          <cell r="D135" t="str">
            <v>1000060</v>
          </cell>
        </row>
        <row r="136">
          <cell r="C136" t="str">
            <v>오송</v>
          </cell>
          <cell r="D136" t="str">
            <v>1000061</v>
          </cell>
        </row>
        <row r="137">
          <cell r="C137" t="str">
            <v>오송</v>
          </cell>
          <cell r="D137" t="str">
            <v>1000062</v>
          </cell>
        </row>
        <row r="138">
          <cell r="C138" t="str">
            <v>오송</v>
          </cell>
          <cell r="D138" t="str">
            <v>1000063</v>
          </cell>
        </row>
        <row r="139">
          <cell r="C139" t="str">
            <v>오송</v>
          </cell>
          <cell r="D139" t="str">
            <v>1000064</v>
          </cell>
        </row>
        <row r="140">
          <cell r="C140" t="str">
            <v>오송</v>
          </cell>
          <cell r="D140" t="str">
            <v>1000065</v>
          </cell>
        </row>
        <row r="141">
          <cell r="C141" t="str">
            <v>오송</v>
          </cell>
          <cell r="D141" t="str">
            <v>1000066</v>
          </cell>
        </row>
        <row r="142">
          <cell r="C142" t="str">
            <v>오송</v>
          </cell>
          <cell r="D142" t="str">
            <v>1000067</v>
          </cell>
        </row>
        <row r="143">
          <cell r="C143" t="str">
            <v>오송</v>
          </cell>
          <cell r="D143" t="str">
            <v>1000068</v>
          </cell>
        </row>
        <row r="144">
          <cell r="C144" t="str">
            <v>오송</v>
          </cell>
          <cell r="D144" t="str">
            <v>1000069</v>
          </cell>
        </row>
        <row r="145">
          <cell r="C145" t="str">
            <v>오송</v>
          </cell>
          <cell r="D145" t="str">
            <v>1000070</v>
          </cell>
        </row>
        <row r="146">
          <cell r="C146" t="str">
            <v>오송</v>
          </cell>
          <cell r="D146" t="str">
            <v>1000073</v>
          </cell>
        </row>
        <row r="147">
          <cell r="C147" t="str">
            <v>오송</v>
          </cell>
          <cell r="D147" t="str">
            <v>1000075</v>
          </cell>
        </row>
        <row r="148">
          <cell r="C148" t="str">
            <v>오송</v>
          </cell>
          <cell r="D148" t="str">
            <v>1000076</v>
          </cell>
        </row>
        <row r="149">
          <cell r="C149" t="str">
            <v>오송</v>
          </cell>
          <cell r="D149" t="str">
            <v>1000079</v>
          </cell>
        </row>
        <row r="150">
          <cell r="C150" t="str">
            <v>오송</v>
          </cell>
          <cell r="D150" t="str">
            <v>1000080</v>
          </cell>
        </row>
        <row r="151">
          <cell r="C151" t="str">
            <v>오송</v>
          </cell>
          <cell r="D151" t="str">
            <v>1000082</v>
          </cell>
        </row>
        <row r="152">
          <cell r="C152" t="str">
            <v>오송</v>
          </cell>
          <cell r="D152" t="str">
            <v>1000083</v>
          </cell>
        </row>
        <row r="153">
          <cell r="C153" t="str">
            <v>오송</v>
          </cell>
          <cell r="D153" t="str">
            <v>1000084</v>
          </cell>
        </row>
        <row r="154">
          <cell r="C154" t="str">
            <v>오송</v>
          </cell>
          <cell r="D154" t="str">
            <v>1000087</v>
          </cell>
        </row>
        <row r="155">
          <cell r="C155" t="str">
            <v>오송</v>
          </cell>
          <cell r="D155" t="str">
            <v>1000088</v>
          </cell>
        </row>
        <row r="156">
          <cell r="C156" t="str">
            <v>오송</v>
          </cell>
          <cell r="D156" t="str">
            <v>1000090</v>
          </cell>
        </row>
        <row r="157">
          <cell r="C157" t="str">
            <v>오송</v>
          </cell>
          <cell r="D157" t="str">
            <v>1000092</v>
          </cell>
        </row>
        <row r="158">
          <cell r="C158" t="str">
            <v>오송</v>
          </cell>
          <cell r="D158" t="str">
            <v>1000093</v>
          </cell>
        </row>
        <row r="159">
          <cell r="C159" t="str">
            <v>오송</v>
          </cell>
          <cell r="D159" t="str">
            <v>1000094</v>
          </cell>
        </row>
        <row r="160">
          <cell r="C160" t="str">
            <v>오송</v>
          </cell>
          <cell r="D160" t="str">
            <v>1000100</v>
          </cell>
        </row>
        <row r="161">
          <cell r="C161" t="str">
            <v>오송</v>
          </cell>
          <cell r="D161" t="str">
            <v>1000101</v>
          </cell>
        </row>
        <row r="162">
          <cell r="C162" t="str">
            <v>오송</v>
          </cell>
          <cell r="D162" t="str">
            <v>1000104</v>
          </cell>
        </row>
        <row r="163">
          <cell r="C163" t="str">
            <v>오송</v>
          </cell>
          <cell r="D163" t="str">
            <v>1000105</v>
          </cell>
        </row>
        <row r="164">
          <cell r="C164" t="str">
            <v>오송</v>
          </cell>
          <cell r="D164" t="str">
            <v>1000109</v>
          </cell>
        </row>
        <row r="165">
          <cell r="C165" t="str">
            <v>오송</v>
          </cell>
          <cell r="D165" t="str">
            <v>1000111</v>
          </cell>
        </row>
        <row r="166">
          <cell r="C166" t="str">
            <v>오송</v>
          </cell>
          <cell r="D166" t="str">
            <v>1000112</v>
          </cell>
        </row>
        <row r="167">
          <cell r="C167" t="str">
            <v>오송</v>
          </cell>
          <cell r="D167" t="str">
            <v>1000113</v>
          </cell>
        </row>
        <row r="168">
          <cell r="C168" t="str">
            <v>오송</v>
          </cell>
          <cell r="D168" t="str">
            <v>1000114</v>
          </cell>
        </row>
        <row r="169">
          <cell r="C169" t="str">
            <v>오송</v>
          </cell>
          <cell r="D169" t="str">
            <v>1000116</v>
          </cell>
        </row>
        <row r="170">
          <cell r="C170" t="str">
            <v>오송</v>
          </cell>
          <cell r="D170" t="str">
            <v>1000121</v>
          </cell>
        </row>
        <row r="171">
          <cell r="C171" t="str">
            <v>오송</v>
          </cell>
          <cell r="D171" t="str">
            <v>1000161</v>
          </cell>
        </row>
        <row r="172">
          <cell r="C172" t="str">
            <v>오송</v>
          </cell>
          <cell r="D172" t="str">
            <v>1000166</v>
          </cell>
        </row>
        <row r="173">
          <cell r="C173" t="str">
            <v>오송</v>
          </cell>
          <cell r="D173" t="str">
            <v>1000199</v>
          </cell>
        </row>
        <row r="174">
          <cell r="C174" t="str">
            <v>오송</v>
          </cell>
          <cell r="D174" t="str">
            <v>1000249</v>
          </cell>
        </row>
        <row r="175">
          <cell r="C175" t="str">
            <v>오송</v>
          </cell>
          <cell r="D175" t="str">
            <v>1000257</v>
          </cell>
        </row>
        <row r="176">
          <cell r="C176" t="str">
            <v>오송</v>
          </cell>
          <cell r="D176" t="str">
            <v>1000280</v>
          </cell>
        </row>
        <row r="177">
          <cell r="C177" t="str">
            <v>오송</v>
          </cell>
          <cell r="D177" t="str">
            <v>1000281</v>
          </cell>
        </row>
        <row r="178">
          <cell r="C178" t="str">
            <v>오송</v>
          </cell>
          <cell r="D178" t="str">
            <v>1000286</v>
          </cell>
        </row>
        <row r="179">
          <cell r="C179" t="str">
            <v>오송</v>
          </cell>
          <cell r="D179" t="str">
            <v>1000297</v>
          </cell>
        </row>
        <row r="180">
          <cell r="C180" t="str">
            <v>오송</v>
          </cell>
          <cell r="D180" t="str">
            <v>1000312</v>
          </cell>
        </row>
        <row r="181">
          <cell r="C181" t="str">
            <v>오송</v>
          </cell>
          <cell r="D181" t="str">
            <v>1000325</v>
          </cell>
        </row>
        <row r="182">
          <cell r="C182" t="str">
            <v>오송</v>
          </cell>
          <cell r="D182" t="str">
            <v>1000333</v>
          </cell>
        </row>
        <row r="183">
          <cell r="C183" t="str">
            <v>오송</v>
          </cell>
          <cell r="D183" t="str">
            <v>1000334</v>
          </cell>
        </row>
        <row r="184">
          <cell r="C184" t="str">
            <v>오송</v>
          </cell>
          <cell r="D184" t="str">
            <v>1000375</v>
          </cell>
        </row>
        <row r="185">
          <cell r="C185" t="str">
            <v>오송</v>
          </cell>
          <cell r="D185" t="str">
            <v>1000400</v>
          </cell>
        </row>
        <row r="186">
          <cell r="C186" t="str">
            <v>오송</v>
          </cell>
          <cell r="D186" t="str">
            <v>1000404</v>
          </cell>
        </row>
        <row r="187">
          <cell r="C187" t="str">
            <v>오송</v>
          </cell>
          <cell r="D187" t="str">
            <v>1000408</v>
          </cell>
        </row>
        <row r="188">
          <cell r="C188" t="str">
            <v>오송</v>
          </cell>
          <cell r="D188" t="str">
            <v>1000421</v>
          </cell>
        </row>
        <row r="189">
          <cell r="C189" t="str">
            <v>오송</v>
          </cell>
          <cell r="D189" t="str">
            <v>1000446</v>
          </cell>
        </row>
        <row r="190">
          <cell r="C190" t="str">
            <v>오송</v>
          </cell>
          <cell r="D190" t="str">
            <v>1000447</v>
          </cell>
        </row>
        <row r="191">
          <cell r="C191" t="str">
            <v>오송</v>
          </cell>
          <cell r="D191" t="str">
            <v>1000448</v>
          </cell>
        </row>
        <row r="192">
          <cell r="C192" t="str">
            <v>오송</v>
          </cell>
          <cell r="D192" t="str">
            <v>1000479</v>
          </cell>
        </row>
        <row r="193">
          <cell r="C193" t="str">
            <v>오송</v>
          </cell>
          <cell r="D193" t="str">
            <v>1000486</v>
          </cell>
        </row>
        <row r="194">
          <cell r="C194" t="str">
            <v>오송</v>
          </cell>
          <cell r="D194" t="str">
            <v>1000487</v>
          </cell>
        </row>
        <row r="195">
          <cell r="C195" t="str">
            <v>오송</v>
          </cell>
          <cell r="D195" t="str">
            <v>1000497</v>
          </cell>
        </row>
        <row r="196">
          <cell r="C196" t="str">
            <v>오송</v>
          </cell>
          <cell r="D196" t="str">
            <v>1000499</v>
          </cell>
        </row>
        <row r="197">
          <cell r="C197" t="str">
            <v>오송</v>
          </cell>
          <cell r="D197" t="str">
            <v>1000500</v>
          </cell>
        </row>
        <row r="198">
          <cell r="C198" t="str">
            <v>오송</v>
          </cell>
          <cell r="D198" t="str">
            <v>1000501</v>
          </cell>
        </row>
        <row r="199">
          <cell r="C199" t="str">
            <v>오송</v>
          </cell>
          <cell r="D199" t="str">
            <v>1000503</v>
          </cell>
        </row>
        <row r="200">
          <cell r="C200" t="str">
            <v>오송</v>
          </cell>
          <cell r="D200" t="str">
            <v>1000505</v>
          </cell>
        </row>
        <row r="201">
          <cell r="C201" t="str">
            <v>오송</v>
          </cell>
          <cell r="D201" t="str">
            <v>1000513</v>
          </cell>
        </row>
        <row r="202">
          <cell r="C202" t="str">
            <v>오송</v>
          </cell>
          <cell r="D202" t="str">
            <v>1000618</v>
          </cell>
        </row>
        <row r="203">
          <cell r="C203" t="str">
            <v>오송</v>
          </cell>
          <cell r="D203" t="str">
            <v>1000619</v>
          </cell>
        </row>
        <row r="204">
          <cell r="C204" t="str">
            <v>오송</v>
          </cell>
          <cell r="D204" t="str">
            <v>1001088</v>
          </cell>
        </row>
        <row r="205">
          <cell r="C205" t="str">
            <v>오송</v>
          </cell>
          <cell r="D205" t="str">
            <v>1001109</v>
          </cell>
        </row>
        <row r="206">
          <cell r="C206" t="str">
            <v>오송</v>
          </cell>
          <cell r="D206" t="str">
            <v>1001164</v>
          </cell>
        </row>
        <row r="207">
          <cell r="C207" t="str">
            <v>오송</v>
          </cell>
          <cell r="D207" t="str">
            <v>1001165</v>
          </cell>
        </row>
        <row r="208">
          <cell r="C208" t="str">
            <v>오송</v>
          </cell>
          <cell r="D208" t="str">
            <v>1001170</v>
          </cell>
        </row>
        <row r="209">
          <cell r="C209" t="str">
            <v>오송</v>
          </cell>
          <cell r="D209" t="str">
            <v>1001172</v>
          </cell>
        </row>
        <row r="210">
          <cell r="C210" t="str">
            <v>오송</v>
          </cell>
          <cell r="D210" t="str">
            <v>1001173</v>
          </cell>
        </row>
        <row r="211">
          <cell r="C211" t="str">
            <v>오송</v>
          </cell>
          <cell r="D211" t="str">
            <v>1001174</v>
          </cell>
        </row>
        <row r="212">
          <cell r="C212" t="str">
            <v>오송</v>
          </cell>
          <cell r="D212" t="str">
            <v>1001176</v>
          </cell>
        </row>
        <row r="213">
          <cell r="C213" t="str">
            <v>오송</v>
          </cell>
          <cell r="D213" t="str">
            <v>1001190</v>
          </cell>
        </row>
        <row r="214">
          <cell r="C214" t="str">
            <v>오송</v>
          </cell>
          <cell r="D214" t="str">
            <v>1001191</v>
          </cell>
        </row>
        <row r="215">
          <cell r="C215" t="str">
            <v>오송</v>
          </cell>
          <cell r="D215" t="str">
            <v>1001236</v>
          </cell>
        </row>
        <row r="216">
          <cell r="C216" t="str">
            <v>오송</v>
          </cell>
          <cell r="D216" t="str">
            <v>1001270</v>
          </cell>
        </row>
        <row r="217">
          <cell r="C217" t="str">
            <v>오송</v>
          </cell>
          <cell r="D217" t="str">
            <v>1001321</v>
          </cell>
        </row>
        <row r="218">
          <cell r="C218" t="str">
            <v>오송</v>
          </cell>
          <cell r="D218" t="str">
            <v>1300103</v>
          </cell>
        </row>
        <row r="219">
          <cell r="C219" t="str">
            <v>오송</v>
          </cell>
          <cell r="D219" t="str">
            <v>1300112</v>
          </cell>
        </row>
        <row r="220">
          <cell r="C220" t="str">
            <v>오송</v>
          </cell>
          <cell r="D220" t="str">
            <v>1300146</v>
          </cell>
        </row>
        <row r="221">
          <cell r="C221" t="str">
            <v>오송</v>
          </cell>
          <cell r="D221" t="str">
            <v>1300147</v>
          </cell>
        </row>
        <row r="222">
          <cell r="C222" t="str">
            <v>오송</v>
          </cell>
          <cell r="D222" t="str">
            <v>1300151</v>
          </cell>
        </row>
        <row r="223">
          <cell r="C223" t="str">
            <v>오송</v>
          </cell>
          <cell r="D223" t="str">
            <v>1300156</v>
          </cell>
        </row>
        <row r="224">
          <cell r="C224" t="str">
            <v>오송</v>
          </cell>
          <cell r="D224" t="str">
            <v>1300161</v>
          </cell>
        </row>
        <row r="225">
          <cell r="C225" t="str">
            <v>오송</v>
          </cell>
          <cell r="D225" t="str">
            <v>1300162</v>
          </cell>
        </row>
        <row r="226">
          <cell r="C226" t="str">
            <v>오송</v>
          </cell>
          <cell r="D226" t="str">
            <v>1300165</v>
          </cell>
        </row>
        <row r="227">
          <cell r="C227" t="str">
            <v>오송</v>
          </cell>
          <cell r="D227" t="str">
            <v>1300168</v>
          </cell>
        </row>
        <row r="228">
          <cell r="C228" t="str">
            <v>오송</v>
          </cell>
          <cell r="D228" t="str">
            <v>1300173</v>
          </cell>
        </row>
        <row r="229">
          <cell r="C229" t="str">
            <v>오송</v>
          </cell>
          <cell r="D229" t="str">
            <v>1300176</v>
          </cell>
        </row>
        <row r="230">
          <cell r="C230" t="str">
            <v>오송</v>
          </cell>
          <cell r="D230" t="str">
            <v>1300178</v>
          </cell>
        </row>
        <row r="231">
          <cell r="C231" t="str">
            <v>오송</v>
          </cell>
          <cell r="D231" t="str">
            <v>1300180</v>
          </cell>
        </row>
        <row r="232">
          <cell r="C232" t="str">
            <v>오송</v>
          </cell>
          <cell r="D232" t="str">
            <v>1300181</v>
          </cell>
        </row>
        <row r="233">
          <cell r="C233" t="str">
            <v>오송</v>
          </cell>
          <cell r="D233" t="str">
            <v>1300182</v>
          </cell>
        </row>
        <row r="234">
          <cell r="C234" t="str">
            <v>오송</v>
          </cell>
          <cell r="D234" t="str">
            <v>1300184</v>
          </cell>
        </row>
        <row r="235">
          <cell r="C235" t="str">
            <v>오송</v>
          </cell>
          <cell r="D235" t="str">
            <v>1300193</v>
          </cell>
        </row>
        <row r="236">
          <cell r="C236" t="str">
            <v>오송</v>
          </cell>
          <cell r="D236" t="str">
            <v>1300201</v>
          </cell>
        </row>
        <row r="237">
          <cell r="C237" t="str">
            <v>오송</v>
          </cell>
          <cell r="D237" t="str">
            <v>1300250</v>
          </cell>
        </row>
        <row r="238">
          <cell r="C238" t="str">
            <v>오송</v>
          </cell>
          <cell r="D238" t="str">
            <v>1300263</v>
          </cell>
        </row>
        <row r="239">
          <cell r="C239" t="str">
            <v>오송</v>
          </cell>
          <cell r="D239" t="str">
            <v>1300301</v>
          </cell>
        </row>
        <row r="240">
          <cell r="C240" t="str">
            <v>오송</v>
          </cell>
          <cell r="D240" t="str">
            <v>1300303</v>
          </cell>
        </row>
        <row r="241">
          <cell r="C241" t="str">
            <v>오송</v>
          </cell>
          <cell r="D241" t="str">
            <v>1300304</v>
          </cell>
        </row>
        <row r="242">
          <cell r="C242" t="str">
            <v>오송</v>
          </cell>
          <cell r="D242" t="str">
            <v>1300309</v>
          </cell>
        </row>
        <row r="243">
          <cell r="C243" t="str">
            <v>오송</v>
          </cell>
          <cell r="D243" t="str">
            <v>1300339</v>
          </cell>
        </row>
        <row r="244">
          <cell r="C244" t="str">
            <v>오송</v>
          </cell>
          <cell r="D244" t="str">
            <v>1300340</v>
          </cell>
        </row>
        <row r="245">
          <cell r="C245" t="str">
            <v>오송</v>
          </cell>
          <cell r="D245" t="str">
            <v>1300348</v>
          </cell>
        </row>
        <row r="246">
          <cell r="C246" t="str">
            <v>오송</v>
          </cell>
          <cell r="D246" t="str">
            <v>1300374</v>
          </cell>
        </row>
        <row r="247">
          <cell r="C247" t="str">
            <v>오송</v>
          </cell>
          <cell r="D247" t="str">
            <v>1300375</v>
          </cell>
        </row>
        <row r="248">
          <cell r="C248" t="str">
            <v>오송</v>
          </cell>
          <cell r="D248" t="str">
            <v>1300391</v>
          </cell>
        </row>
        <row r="249">
          <cell r="C249" t="str">
            <v>오송</v>
          </cell>
          <cell r="D249" t="str">
            <v>1300392</v>
          </cell>
        </row>
        <row r="250">
          <cell r="C250" t="str">
            <v>오송</v>
          </cell>
          <cell r="D250" t="str">
            <v>1300394</v>
          </cell>
        </row>
        <row r="251">
          <cell r="C251" t="str">
            <v>오송</v>
          </cell>
          <cell r="D251" t="str">
            <v>1300397</v>
          </cell>
        </row>
        <row r="252">
          <cell r="C252" t="str">
            <v>오송</v>
          </cell>
          <cell r="D252" t="str">
            <v>1300407</v>
          </cell>
        </row>
        <row r="253">
          <cell r="C253" t="str">
            <v>오송</v>
          </cell>
          <cell r="D253" t="str">
            <v>1300410</v>
          </cell>
        </row>
        <row r="254">
          <cell r="C254" t="str">
            <v>오송</v>
          </cell>
          <cell r="D254" t="str">
            <v>1300411</v>
          </cell>
        </row>
        <row r="255">
          <cell r="C255" t="str">
            <v>오송</v>
          </cell>
          <cell r="D255" t="str">
            <v>1300413</v>
          </cell>
        </row>
        <row r="256">
          <cell r="C256" t="str">
            <v>오송</v>
          </cell>
          <cell r="D256" t="str">
            <v>1300436</v>
          </cell>
        </row>
        <row r="257">
          <cell r="C257" t="str">
            <v>오송</v>
          </cell>
          <cell r="D257" t="str">
            <v>1300437</v>
          </cell>
        </row>
        <row r="258">
          <cell r="C258" t="str">
            <v>오송</v>
          </cell>
          <cell r="D258" t="str">
            <v>1300438</v>
          </cell>
        </row>
        <row r="259">
          <cell r="C259" t="str">
            <v>오송</v>
          </cell>
          <cell r="D259" t="str">
            <v>1300440</v>
          </cell>
        </row>
        <row r="260">
          <cell r="C260" t="str">
            <v>오송</v>
          </cell>
          <cell r="D260" t="str">
            <v>1300465</v>
          </cell>
        </row>
        <row r="261">
          <cell r="C261" t="str">
            <v>오송</v>
          </cell>
          <cell r="D261" t="str">
            <v>1300466</v>
          </cell>
        </row>
        <row r="262">
          <cell r="C262" t="str">
            <v>오송</v>
          </cell>
          <cell r="D262" t="str">
            <v>1300468</v>
          </cell>
        </row>
        <row r="263">
          <cell r="C263" t="str">
            <v>오송</v>
          </cell>
          <cell r="D263" t="str">
            <v>1300474</v>
          </cell>
        </row>
        <row r="264">
          <cell r="C264" t="str">
            <v>오송</v>
          </cell>
          <cell r="D264" t="str">
            <v>1300476</v>
          </cell>
        </row>
        <row r="265">
          <cell r="C265" t="str">
            <v>오송</v>
          </cell>
          <cell r="D265" t="str">
            <v>1300490</v>
          </cell>
        </row>
        <row r="266">
          <cell r="C266" t="str">
            <v>오송</v>
          </cell>
          <cell r="D266" t="str">
            <v>1300491</v>
          </cell>
        </row>
        <row r="267">
          <cell r="C267" t="str">
            <v>오송</v>
          </cell>
          <cell r="D267" t="str">
            <v>1300502</v>
          </cell>
        </row>
        <row r="268">
          <cell r="C268" t="str">
            <v>오송</v>
          </cell>
          <cell r="D268" t="str">
            <v>1300511</v>
          </cell>
        </row>
        <row r="269">
          <cell r="C269" t="str">
            <v>오송</v>
          </cell>
          <cell r="D269" t="str">
            <v>1300532</v>
          </cell>
        </row>
        <row r="270">
          <cell r="C270" t="str">
            <v>오송</v>
          </cell>
          <cell r="D270" t="str">
            <v>1300539</v>
          </cell>
        </row>
        <row r="271">
          <cell r="C271" t="str">
            <v>오송</v>
          </cell>
          <cell r="D271" t="str">
            <v>1300545</v>
          </cell>
        </row>
        <row r="272">
          <cell r="C272" t="str">
            <v>오송</v>
          </cell>
          <cell r="D272" t="str">
            <v>1300550</v>
          </cell>
        </row>
        <row r="273">
          <cell r="C273" t="str">
            <v>오송</v>
          </cell>
          <cell r="D273" t="str">
            <v>1300551</v>
          </cell>
        </row>
        <row r="274">
          <cell r="C274" t="str">
            <v>오송</v>
          </cell>
          <cell r="D274" t="str">
            <v>1300552</v>
          </cell>
        </row>
        <row r="275">
          <cell r="C275" t="str">
            <v>오송</v>
          </cell>
          <cell r="D275" t="str">
            <v>1300553</v>
          </cell>
        </row>
        <row r="276">
          <cell r="C276" t="str">
            <v>오송</v>
          </cell>
          <cell r="D276" t="str">
            <v>1300555</v>
          </cell>
        </row>
        <row r="277">
          <cell r="C277" t="str">
            <v>오송</v>
          </cell>
          <cell r="D277" t="str">
            <v>1300556</v>
          </cell>
        </row>
        <row r="278">
          <cell r="C278" t="str">
            <v>오송</v>
          </cell>
          <cell r="D278" t="str">
            <v>1300572</v>
          </cell>
        </row>
        <row r="279">
          <cell r="C279" t="str">
            <v>오송</v>
          </cell>
          <cell r="D279" t="str">
            <v>1300592</v>
          </cell>
        </row>
        <row r="280">
          <cell r="C280" t="str">
            <v>오송</v>
          </cell>
          <cell r="D280" t="str">
            <v>1300593</v>
          </cell>
        </row>
        <row r="281">
          <cell r="C281" t="str">
            <v>오송</v>
          </cell>
          <cell r="D281" t="str">
            <v>1300599</v>
          </cell>
        </row>
        <row r="282">
          <cell r="C282" t="str">
            <v>오송</v>
          </cell>
          <cell r="D282" t="str">
            <v>1300610</v>
          </cell>
        </row>
        <row r="283">
          <cell r="C283" t="str">
            <v>오송</v>
          </cell>
          <cell r="D283" t="str">
            <v>1300620</v>
          </cell>
        </row>
        <row r="284">
          <cell r="C284" t="str">
            <v>오송</v>
          </cell>
          <cell r="D284" t="str">
            <v>1300681</v>
          </cell>
        </row>
        <row r="285">
          <cell r="C285" t="str">
            <v>오송</v>
          </cell>
          <cell r="D285" t="str">
            <v>1300690</v>
          </cell>
        </row>
        <row r="286">
          <cell r="C286" t="str">
            <v>오송</v>
          </cell>
          <cell r="D286" t="str">
            <v>1300716</v>
          </cell>
        </row>
        <row r="287">
          <cell r="C287" t="str">
            <v>오송</v>
          </cell>
          <cell r="D287" t="str">
            <v>1300735</v>
          </cell>
        </row>
        <row r="288">
          <cell r="C288" t="str">
            <v>오송</v>
          </cell>
          <cell r="D288" t="str">
            <v>1300753</v>
          </cell>
        </row>
        <row r="289">
          <cell r="C289" t="str">
            <v>오송</v>
          </cell>
          <cell r="D289" t="str">
            <v>1300755</v>
          </cell>
        </row>
        <row r="290">
          <cell r="C290" t="str">
            <v>오송</v>
          </cell>
          <cell r="D290" t="str">
            <v>1300782</v>
          </cell>
        </row>
        <row r="291">
          <cell r="C291" t="str">
            <v>오송</v>
          </cell>
          <cell r="D291" t="str">
            <v>1300890</v>
          </cell>
        </row>
        <row r="292">
          <cell r="C292" t="str">
            <v>오송</v>
          </cell>
          <cell r="D292" t="str">
            <v>1300891</v>
          </cell>
        </row>
        <row r="293">
          <cell r="C293" t="str">
            <v>오송</v>
          </cell>
          <cell r="D293" t="str">
            <v>1300894</v>
          </cell>
        </row>
        <row r="294">
          <cell r="C294" t="str">
            <v>오송</v>
          </cell>
          <cell r="D294" t="str">
            <v>1300895</v>
          </cell>
        </row>
        <row r="295">
          <cell r="C295" t="str">
            <v>오송</v>
          </cell>
          <cell r="D295" t="str">
            <v>1300897</v>
          </cell>
        </row>
        <row r="296">
          <cell r="C296" t="str">
            <v>오송</v>
          </cell>
          <cell r="D296" t="str">
            <v>1300902</v>
          </cell>
        </row>
        <row r="297">
          <cell r="C297" t="str">
            <v>오송</v>
          </cell>
          <cell r="D297" t="str">
            <v>1300903</v>
          </cell>
        </row>
        <row r="298">
          <cell r="C298" t="str">
            <v>오송</v>
          </cell>
          <cell r="D298" t="str">
            <v>1300905</v>
          </cell>
        </row>
        <row r="299">
          <cell r="C299" t="str">
            <v>오송</v>
          </cell>
          <cell r="D299" t="str">
            <v>1300956</v>
          </cell>
        </row>
        <row r="300">
          <cell r="C300" t="str">
            <v>오송</v>
          </cell>
          <cell r="D300" t="str">
            <v>1300967</v>
          </cell>
        </row>
        <row r="301">
          <cell r="C301" t="str">
            <v>오송</v>
          </cell>
          <cell r="D301" t="str">
            <v>1300998</v>
          </cell>
        </row>
        <row r="302">
          <cell r="C302" t="str">
            <v>오송</v>
          </cell>
          <cell r="D302" t="str">
            <v>1301180</v>
          </cell>
        </row>
        <row r="303">
          <cell r="C303" t="str">
            <v>오송</v>
          </cell>
          <cell r="D303" t="str">
            <v>1301206</v>
          </cell>
        </row>
        <row r="304">
          <cell r="C304" t="str">
            <v>오송</v>
          </cell>
          <cell r="D304" t="str">
            <v>1301207</v>
          </cell>
        </row>
        <row r="305">
          <cell r="C305" t="str">
            <v>오송</v>
          </cell>
          <cell r="D305" t="str">
            <v>1301209</v>
          </cell>
        </row>
        <row r="306">
          <cell r="C306" t="str">
            <v>오송</v>
          </cell>
          <cell r="D306" t="str">
            <v>1301222</v>
          </cell>
        </row>
        <row r="307">
          <cell r="C307" t="str">
            <v>오송</v>
          </cell>
          <cell r="D307" t="str">
            <v>1301223</v>
          </cell>
        </row>
        <row r="308">
          <cell r="C308" t="str">
            <v>오송</v>
          </cell>
          <cell r="D308" t="str">
            <v>1301224</v>
          </cell>
        </row>
        <row r="309">
          <cell r="C309" t="str">
            <v>오송</v>
          </cell>
          <cell r="D309" t="str">
            <v>1301241</v>
          </cell>
        </row>
        <row r="310">
          <cell r="C310" t="str">
            <v>오송</v>
          </cell>
          <cell r="D310" t="str">
            <v>1301242</v>
          </cell>
        </row>
        <row r="311">
          <cell r="C311" t="str">
            <v>오송</v>
          </cell>
          <cell r="D311" t="str">
            <v>1301277</v>
          </cell>
        </row>
        <row r="312">
          <cell r="C312" t="str">
            <v>오송</v>
          </cell>
          <cell r="D312" t="str">
            <v>1301281</v>
          </cell>
        </row>
        <row r="313">
          <cell r="C313" t="str">
            <v>오송</v>
          </cell>
          <cell r="D313" t="str">
            <v>1301282</v>
          </cell>
        </row>
        <row r="314">
          <cell r="C314" t="str">
            <v>오송</v>
          </cell>
          <cell r="D314" t="str">
            <v>1301288</v>
          </cell>
        </row>
        <row r="315">
          <cell r="C315" t="str">
            <v>오송</v>
          </cell>
          <cell r="D315" t="str">
            <v>1301313</v>
          </cell>
        </row>
        <row r="316">
          <cell r="C316" t="str">
            <v>오송</v>
          </cell>
          <cell r="D316" t="str">
            <v>1301314</v>
          </cell>
        </row>
        <row r="317">
          <cell r="C317" t="str">
            <v>오송</v>
          </cell>
          <cell r="D317" t="str">
            <v>1301344</v>
          </cell>
        </row>
        <row r="318">
          <cell r="C318" t="str">
            <v>오송</v>
          </cell>
          <cell r="D318" t="str">
            <v>1301364</v>
          </cell>
        </row>
        <row r="319">
          <cell r="C319" t="str">
            <v>오송</v>
          </cell>
          <cell r="D319" t="str">
            <v>1301365</v>
          </cell>
        </row>
        <row r="320">
          <cell r="C320" t="str">
            <v>오송</v>
          </cell>
          <cell r="D320" t="str">
            <v>1301374</v>
          </cell>
        </row>
        <row r="321">
          <cell r="C321" t="str">
            <v>오송</v>
          </cell>
          <cell r="D321" t="str">
            <v>1301405</v>
          </cell>
        </row>
        <row r="322">
          <cell r="C322" t="str">
            <v>오송</v>
          </cell>
          <cell r="D322" t="str">
            <v>1301406</v>
          </cell>
        </row>
        <row r="323">
          <cell r="C323" t="str">
            <v>오송</v>
          </cell>
          <cell r="D323" t="str">
            <v>1301416</v>
          </cell>
        </row>
        <row r="324">
          <cell r="C324" t="str">
            <v>오송</v>
          </cell>
          <cell r="D324" t="str">
            <v>1301440</v>
          </cell>
        </row>
        <row r="325">
          <cell r="C325" t="str">
            <v>오송</v>
          </cell>
          <cell r="D325" t="str">
            <v>1301789</v>
          </cell>
        </row>
        <row r="326">
          <cell r="C326" t="str">
            <v>오송</v>
          </cell>
          <cell r="D326" t="str">
            <v>1301790</v>
          </cell>
        </row>
        <row r="327">
          <cell r="C327" t="str">
            <v>오송</v>
          </cell>
          <cell r="D327" t="str">
            <v>1301791</v>
          </cell>
        </row>
        <row r="328">
          <cell r="C328" t="str">
            <v>오송</v>
          </cell>
          <cell r="D328" t="str">
            <v>1301796</v>
          </cell>
        </row>
        <row r="329">
          <cell r="C329" t="str">
            <v>오송</v>
          </cell>
          <cell r="D329" t="str">
            <v>1301814</v>
          </cell>
        </row>
        <row r="330">
          <cell r="C330" t="str">
            <v>오송</v>
          </cell>
          <cell r="D330" t="str">
            <v>1301815</v>
          </cell>
        </row>
        <row r="331">
          <cell r="C331" t="str">
            <v>오송</v>
          </cell>
          <cell r="D331" t="str">
            <v>1301836</v>
          </cell>
        </row>
        <row r="332">
          <cell r="C332" t="str">
            <v>오송</v>
          </cell>
          <cell r="D332" t="str">
            <v>1301838</v>
          </cell>
        </row>
        <row r="333">
          <cell r="C333" t="str">
            <v>오송</v>
          </cell>
          <cell r="D333" t="str">
            <v>1301869</v>
          </cell>
        </row>
        <row r="334">
          <cell r="C334" t="str">
            <v>오송</v>
          </cell>
          <cell r="D334" t="str">
            <v>1301870</v>
          </cell>
        </row>
        <row r="335">
          <cell r="C335" t="str">
            <v>오송</v>
          </cell>
          <cell r="D335" t="str">
            <v>1301872</v>
          </cell>
        </row>
        <row r="336">
          <cell r="C336" t="str">
            <v>오송</v>
          </cell>
          <cell r="D336" t="str">
            <v>1301879</v>
          </cell>
        </row>
        <row r="337">
          <cell r="C337" t="str">
            <v>오송</v>
          </cell>
          <cell r="D337" t="str">
            <v>1301882</v>
          </cell>
        </row>
        <row r="338">
          <cell r="C338" t="str">
            <v>오송</v>
          </cell>
          <cell r="D338" t="str">
            <v>1301886</v>
          </cell>
        </row>
        <row r="339">
          <cell r="C339" t="str">
            <v>오송</v>
          </cell>
          <cell r="D339" t="str">
            <v>1301887</v>
          </cell>
        </row>
        <row r="340">
          <cell r="C340" t="str">
            <v>오송</v>
          </cell>
          <cell r="D340" t="str">
            <v>1301965</v>
          </cell>
        </row>
        <row r="341">
          <cell r="C341" t="str">
            <v>오송</v>
          </cell>
          <cell r="D341" t="str">
            <v>1301966</v>
          </cell>
        </row>
        <row r="342">
          <cell r="C342" t="str">
            <v>오송</v>
          </cell>
          <cell r="D342" t="str">
            <v>1301967</v>
          </cell>
        </row>
        <row r="343">
          <cell r="C343" t="str">
            <v>오송</v>
          </cell>
          <cell r="D343" t="str">
            <v>1302010</v>
          </cell>
        </row>
        <row r="344">
          <cell r="C344" t="str">
            <v>오송</v>
          </cell>
          <cell r="D344" t="str">
            <v>1400370</v>
          </cell>
        </row>
        <row r="345">
          <cell r="C345" t="str">
            <v>오송</v>
          </cell>
          <cell r="D345" t="str">
            <v>1400561</v>
          </cell>
        </row>
        <row r="346">
          <cell r="C346" t="str">
            <v>오송</v>
          </cell>
          <cell r="D346" t="str">
            <v>2000000</v>
          </cell>
        </row>
        <row r="347">
          <cell r="C347" t="str">
            <v>오송</v>
          </cell>
          <cell r="D347" t="str">
            <v>2000004</v>
          </cell>
        </row>
        <row r="348">
          <cell r="C348" t="str">
            <v>오송</v>
          </cell>
          <cell r="D348" t="str">
            <v>2000007</v>
          </cell>
        </row>
        <row r="349">
          <cell r="C349" t="str">
            <v>오송</v>
          </cell>
          <cell r="D349" t="str">
            <v>2000009</v>
          </cell>
        </row>
        <row r="350">
          <cell r="C350" t="str">
            <v>오송</v>
          </cell>
          <cell r="D350" t="str">
            <v>2000010</v>
          </cell>
        </row>
        <row r="351">
          <cell r="C351" t="str">
            <v>오송</v>
          </cell>
          <cell r="D351" t="str">
            <v>2000011</v>
          </cell>
        </row>
        <row r="352">
          <cell r="C352" t="str">
            <v>오송</v>
          </cell>
          <cell r="D352" t="str">
            <v>2000012</v>
          </cell>
        </row>
        <row r="353">
          <cell r="C353" t="str">
            <v>오송</v>
          </cell>
          <cell r="D353" t="str">
            <v>2000013</v>
          </cell>
        </row>
        <row r="354">
          <cell r="C354" t="str">
            <v>오송</v>
          </cell>
          <cell r="D354" t="str">
            <v>2000014</v>
          </cell>
        </row>
        <row r="355">
          <cell r="C355" t="str">
            <v>오송</v>
          </cell>
          <cell r="D355" t="str">
            <v>2000015</v>
          </cell>
        </row>
        <row r="356">
          <cell r="C356" t="str">
            <v>오송</v>
          </cell>
          <cell r="D356" t="str">
            <v>2000016</v>
          </cell>
        </row>
        <row r="357">
          <cell r="C357" t="str">
            <v>오송</v>
          </cell>
          <cell r="D357" t="str">
            <v>2000018</v>
          </cell>
        </row>
        <row r="358">
          <cell r="C358" t="str">
            <v>오송</v>
          </cell>
          <cell r="D358" t="str">
            <v>2000027</v>
          </cell>
        </row>
        <row r="359">
          <cell r="C359" t="str">
            <v>오송</v>
          </cell>
          <cell r="D359" t="str">
            <v>2000028</v>
          </cell>
        </row>
        <row r="360">
          <cell r="C360" t="str">
            <v>오송</v>
          </cell>
          <cell r="D360" t="str">
            <v>2000029</v>
          </cell>
        </row>
        <row r="361">
          <cell r="C361" t="str">
            <v>오송</v>
          </cell>
          <cell r="D361" t="str">
            <v>2000030</v>
          </cell>
        </row>
        <row r="362">
          <cell r="C362" t="str">
            <v>오송</v>
          </cell>
          <cell r="D362" t="str">
            <v>2000031</v>
          </cell>
        </row>
        <row r="363">
          <cell r="C363" t="str">
            <v>오송</v>
          </cell>
          <cell r="D363" t="str">
            <v>2000032</v>
          </cell>
        </row>
        <row r="364">
          <cell r="C364" t="str">
            <v>오송</v>
          </cell>
          <cell r="D364" t="str">
            <v>2000033</v>
          </cell>
        </row>
        <row r="365">
          <cell r="C365" t="str">
            <v>오송</v>
          </cell>
          <cell r="D365" t="str">
            <v>2000037</v>
          </cell>
        </row>
        <row r="366">
          <cell r="C366" t="str">
            <v>오송</v>
          </cell>
          <cell r="D366" t="str">
            <v>2000038</v>
          </cell>
        </row>
        <row r="367">
          <cell r="C367" t="str">
            <v>오송</v>
          </cell>
          <cell r="D367" t="str">
            <v>2000039</v>
          </cell>
        </row>
        <row r="368">
          <cell r="C368" t="str">
            <v>오송</v>
          </cell>
          <cell r="D368" t="str">
            <v>2000040</v>
          </cell>
        </row>
        <row r="369">
          <cell r="C369" t="str">
            <v>오송</v>
          </cell>
          <cell r="D369" t="str">
            <v>2000042</v>
          </cell>
        </row>
        <row r="370">
          <cell r="C370" t="str">
            <v>오송</v>
          </cell>
          <cell r="D370" t="str">
            <v>2000044</v>
          </cell>
        </row>
        <row r="371">
          <cell r="C371" t="str">
            <v>오송</v>
          </cell>
          <cell r="D371" t="str">
            <v>2000050</v>
          </cell>
        </row>
        <row r="372">
          <cell r="C372" t="str">
            <v>오송</v>
          </cell>
          <cell r="D372" t="str">
            <v>2000053</v>
          </cell>
        </row>
        <row r="373">
          <cell r="C373" t="str">
            <v>오송</v>
          </cell>
          <cell r="D373" t="str">
            <v>2000054</v>
          </cell>
        </row>
        <row r="374">
          <cell r="C374" t="str">
            <v>오송</v>
          </cell>
          <cell r="D374" t="str">
            <v>2000055</v>
          </cell>
        </row>
        <row r="375">
          <cell r="C375" t="str">
            <v>오송</v>
          </cell>
          <cell r="D375" t="str">
            <v>2000065</v>
          </cell>
        </row>
        <row r="376">
          <cell r="C376" t="str">
            <v>오송</v>
          </cell>
          <cell r="D376" t="str">
            <v>2000066</v>
          </cell>
        </row>
        <row r="377">
          <cell r="C377" t="str">
            <v>오송</v>
          </cell>
          <cell r="D377" t="str">
            <v>2000075</v>
          </cell>
        </row>
        <row r="378">
          <cell r="C378" t="str">
            <v>오송</v>
          </cell>
          <cell r="D378" t="str">
            <v>2000083</v>
          </cell>
        </row>
        <row r="379">
          <cell r="C379" t="str">
            <v>오송</v>
          </cell>
          <cell r="D379" t="str">
            <v>2000084</v>
          </cell>
        </row>
        <row r="380">
          <cell r="C380" t="str">
            <v>오송</v>
          </cell>
          <cell r="D380" t="str">
            <v>2000085</v>
          </cell>
        </row>
        <row r="381">
          <cell r="C381" t="str">
            <v>오송</v>
          </cell>
          <cell r="D381" t="str">
            <v>2000086</v>
          </cell>
        </row>
        <row r="382">
          <cell r="C382" t="str">
            <v>오송</v>
          </cell>
          <cell r="D382" t="str">
            <v>2000523</v>
          </cell>
        </row>
        <row r="383">
          <cell r="C383" t="str">
            <v>오송</v>
          </cell>
          <cell r="D383" t="str">
            <v>2000526</v>
          </cell>
        </row>
        <row r="384">
          <cell r="C384" t="str">
            <v>오송</v>
          </cell>
          <cell r="D384" t="str">
            <v>2000528</v>
          </cell>
        </row>
        <row r="385">
          <cell r="C385" t="str">
            <v>오송</v>
          </cell>
          <cell r="D385" t="str">
            <v>2000570</v>
          </cell>
        </row>
        <row r="386">
          <cell r="C386" t="str">
            <v>오송</v>
          </cell>
          <cell r="D386" t="str">
            <v>2000575</v>
          </cell>
        </row>
        <row r="387">
          <cell r="C387" t="str">
            <v>오송</v>
          </cell>
          <cell r="D387" t="str">
            <v>2000611</v>
          </cell>
        </row>
        <row r="388">
          <cell r="C388" t="str">
            <v>오송</v>
          </cell>
          <cell r="D388" t="str">
            <v>2000625</v>
          </cell>
        </row>
        <row r="389">
          <cell r="C389" t="str">
            <v>오송</v>
          </cell>
          <cell r="D389" t="str">
            <v>2000626</v>
          </cell>
        </row>
        <row r="390">
          <cell r="C390" t="str">
            <v>오송</v>
          </cell>
          <cell r="D390" t="str">
            <v>2000670</v>
          </cell>
        </row>
        <row r="391">
          <cell r="C391" t="str">
            <v>오송</v>
          </cell>
          <cell r="D391" t="str">
            <v>2000671</v>
          </cell>
        </row>
        <row r="392">
          <cell r="C392" t="str">
            <v>오송</v>
          </cell>
          <cell r="D392" t="str">
            <v>2000672</v>
          </cell>
        </row>
        <row r="393">
          <cell r="C393" t="str">
            <v>오송</v>
          </cell>
          <cell r="D393" t="str">
            <v>2000673</v>
          </cell>
        </row>
        <row r="394">
          <cell r="C394" t="str">
            <v>오송</v>
          </cell>
          <cell r="D394" t="str">
            <v>2000674</v>
          </cell>
        </row>
        <row r="395">
          <cell r="C395" t="str">
            <v>오송</v>
          </cell>
          <cell r="D395" t="str">
            <v>2000675</v>
          </cell>
        </row>
        <row r="396">
          <cell r="C396" t="str">
            <v>오송</v>
          </cell>
          <cell r="D396" t="str">
            <v>2000676</v>
          </cell>
        </row>
        <row r="397">
          <cell r="C397" t="str">
            <v>오송</v>
          </cell>
          <cell r="D397" t="str">
            <v>2000677</v>
          </cell>
        </row>
        <row r="398">
          <cell r="C398" t="str">
            <v>오송</v>
          </cell>
          <cell r="D398" t="str">
            <v>2000680</v>
          </cell>
        </row>
        <row r="399">
          <cell r="C399" t="str">
            <v>오송</v>
          </cell>
          <cell r="D399" t="str">
            <v>2000697</v>
          </cell>
        </row>
        <row r="400">
          <cell r="C400" t="str">
            <v>오송</v>
          </cell>
          <cell r="D400" t="str">
            <v>2000704</v>
          </cell>
        </row>
        <row r="401">
          <cell r="C401" t="str">
            <v>오송</v>
          </cell>
          <cell r="D401" t="str">
            <v>2000712</v>
          </cell>
        </row>
        <row r="402">
          <cell r="C402" t="str">
            <v>오송</v>
          </cell>
          <cell r="D402" t="str">
            <v>2000737</v>
          </cell>
        </row>
        <row r="403">
          <cell r="C403" t="str">
            <v>오송</v>
          </cell>
          <cell r="D403" t="str">
            <v>2000747</v>
          </cell>
        </row>
        <row r="404">
          <cell r="C404" t="str">
            <v>오송</v>
          </cell>
          <cell r="D404" t="str">
            <v>2000750</v>
          </cell>
        </row>
        <row r="405">
          <cell r="C405" t="str">
            <v>오송</v>
          </cell>
          <cell r="D405" t="str">
            <v>2000752</v>
          </cell>
        </row>
        <row r="406">
          <cell r="C406" t="str">
            <v>오송</v>
          </cell>
          <cell r="D406" t="str">
            <v>2000753</v>
          </cell>
        </row>
        <row r="407">
          <cell r="C407" t="str">
            <v>오송</v>
          </cell>
          <cell r="D407" t="str">
            <v>2000758</v>
          </cell>
        </row>
        <row r="408">
          <cell r="C408" t="str">
            <v>오송</v>
          </cell>
          <cell r="D408" t="str">
            <v>2000759</v>
          </cell>
        </row>
        <row r="409">
          <cell r="C409" t="str">
            <v>오송</v>
          </cell>
          <cell r="D409" t="str">
            <v>2000760</v>
          </cell>
        </row>
        <row r="410">
          <cell r="C410" t="str">
            <v>오송</v>
          </cell>
          <cell r="D410" t="str">
            <v>2000761</v>
          </cell>
        </row>
        <row r="411">
          <cell r="C411" t="str">
            <v>오송</v>
          </cell>
          <cell r="D411" t="str">
            <v>2000763</v>
          </cell>
        </row>
        <row r="412">
          <cell r="C412" t="str">
            <v>오송</v>
          </cell>
          <cell r="D412" t="str">
            <v>2000764</v>
          </cell>
        </row>
        <row r="413">
          <cell r="C413" t="str">
            <v>오송</v>
          </cell>
          <cell r="D413" t="str">
            <v>2000765</v>
          </cell>
        </row>
        <row r="414">
          <cell r="C414" t="str">
            <v>오송</v>
          </cell>
          <cell r="D414" t="str">
            <v>2000766</v>
          </cell>
        </row>
        <row r="415">
          <cell r="C415" t="str">
            <v>오송</v>
          </cell>
          <cell r="D415" t="str">
            <v>2000767</v>
          </cell>
        </row>
        <row r="416">
          <cell r="C416" t="str">
            <v>오송</v>
          </cell>
          <cell r="D416" t="str">
            <v>2000768</v>
          </cell>
        </row>
        <row r="417">
          <cell r="C417" t="str">
            <v>오송</v>
          </cell>
          <cell r="D417" t="str">
            <v>2000769</v>
          </cell>
        </row>
        <row r="418">
          <cell r="C418" t="str">
            <v>오송</v>
          </cell>
          <cell r="D418" t="str">
            <v>2000770</v>
          </cell>
        </row>
        <row r="419">
          <cell r="C419" t="str">
            <v>오송</v>
          </cell>
          <cell r="D419" t="str">
            <v>2000774</v>
          </cell>
        </row>
        <row r="420">
          <cell r="C420" t="str">
            <v>오송</v>
          </cell>
          <cell r="D420" t="str">
            <v>2000775</v>
          </cell>
        </row>
        <row r="421">
          <cell r="C421" t="str">
            <v>오송</v>
          </cell>
          <cell r="D421" t="str">
            <v>2000776</v>
          </cell>
        </row>
        <row r="422">
          <cell r="C422" t="str">
            <v>오송</v>
          </cell>
          <cell r="D422" t="str">
            <v>2000777</v>
          </cell>
        </row>
        <row r="423">
          <cell r="C423" t="str">
            <v>오송</v>
          </cell>
          <cell r="D423" t="str">
            <v>2000779</v>
          </cell>
        </row>
        <row r="424">
          <cell r="C424" t="str">
            <v>오송</v>
          </cell>
          <cell r="D424" t="str">
            <v>2000780</v>
          </cell>
        </row>
        <row r="425">
          <cell r="C425" t="str">
            <v>오송</v>
          </cell>
          <cell r="D425" t="str">
            <v>2000781</v>
          </cell>
        </row>
        <row r="426">
          <cell r="C426" t="str">
            <v>오송</v>
          </cell>
          <cell r="D426" t="str">
            <v>2000782</v>
          </cell>
        </row>
        <row r="427">
          <cell r="C427" t="str">
            <v>오송</v>
          </cell>
          <cell r="D427" t="str">
            <v>2000973</v>
          </cell>
        </row>
        <row r="428">
          <cell r="C428" t="str">
            <v>오송</v>
          </cell>
          <cell r="D428" t="str">
            <v>2000986</v>
          </cell>
        </row>
        <row r="429">
          <cell r="C429" t="str">
            <v>오송</v>
          </cell>
          <cell r="D429" t="str">
            <v>2000987</v>
          </cell>
        </row>
        <row r="430">
          <cell r="C430" t="str">
            <v>오송</v>
          </cell>
          <cell r="D430" t="str">
            <v>2000994</v>
          </cell>
        </row>
        <row r="431">
          <cell r="C431" t="str">
            <v>오송</v>
          </cell>
          <cell r="D431" t="str">
            <v>2000995</v>
          </cell>
        </row>
        <row r="432">
          <cell r="C432" t="str">
            <v>오송</v>
          </cell>
          <cell r="D432" t="str">
            <v>2000996</v>
          </cell>
        </row>
        <row r="433">
          <cell r="C433" t="str">
            <v>오송</v>
          </cell>
          <cell r="D433" t="str">
            <v>2001258</v>
          </cell>
        </row>
        <row r="434">
          <cell r="C434" t="str">
            <v>오송</v>
          </cell>
          <cell r="D434" t="str">
            <v>2001267</v>
          </cell>
        </row>
        <row r="435">
          <cell r="C435" t="str">
            <v>오송</v>
          </cell>
          <cell r="D435" t="str">
            <v>2001268</v>
          </cell>
        </row>
        <row r="436">
          <cell r="C436" t="str">
            <v>오송</v>
          </cell>
          <cell r="D436" t="str">
            <v>2001271</v>
          </cell>
        </row>
        <row r="437">
          <cell r="C437" t="str">
            <v>오송</v>
          </cell>
          <cell r="D437" t="str">
            <v>2001272</v>
          </cell>
        </row>
        <row r="438">
          <cell r="C438" t="str">
            <v>오송</v>
          </cell>
          <cell r="D438" t="str">
            <v>2001273</v>
          </cell>
        </row>
        <row r="439">
          <cell r="C439" t="str">
            <v>오송</v>
          </cell>
          <cell r="D439" t="str">
            <v>2001274</v>
          </cell>
        </row>
        <row r="440">
          <cell r="C440" t="str">
            <v>오송</v>
          </cell>
          <cell r="D440" t="str">
            <v>2001275</v>
          </cell>
        </row>
        <row r="441">
          <cell r="C441" t="str">
            <v>오송</v>
          </cell>
          <cell r="D441" t="str">
            <v>2001276</v>
          </cell>
        </row>
        <row r="442">
          <cell r="C442" t="str">
            <v>오송</v>
          </cell>
          <cell r="D442" t="str">
            <v>2001278</v>
          </cell>
        </row>
        <row r="443">
          <cell r="C443" t="str">
            <v>오송</v>
          </cell>
          <cell r="D443" t="str">
            <v>2001279</v>
          </cell>
        </row>
        <row r="444">
          <cell r="C444" t="str">
            <v>오송</v>
          </cell>
          <cell r="D444" t="str">
            <v>2001295</v>
          </cell>
        </row>
        <row r="445">
          <cell r="C445" t="str">
            <v>오송</v>
          </cell>
          <cell r="D445" t="str">
            <v>2001296</v>
          </cell>
        </row>
        <row r="446">
          <cell r="C446" t="str">
            <v>오송</v>
          </cell>
          <cell r="D446" t="str">
            <v>2001297</v>
          </cell>
        </row>
        <row r="447">
          <cell r="C447" t="str">
            <v>오송</v>
          </cell>
          <cell r="D447" t="str">
            <v>2001298</v>
          </cell>
        </row>
        <row r="448">
          <cell r="C448" t="str">
            <v>오송</v>
          </cell>
          <cell r="D448" t="str">
            <v>2001303</v>
          </cell>
        </row>
        <row r="449">
          <cell r="C449" t="str">
            <v>오송</v>
          </cell>
          <cell r="D449" t="str">
            <v>2001304</v>
          </cell>
        </row>
        <row r="450">
          <cell r="C450" t="str">
            <v>오송</v>
          </cell>
          <cell r="D450" t="str">
            <v>2001322</v>
          </cell>
        </row>
        <row r="451">
          <cell r="C451" t="str">
            <v>오송</v>
          </cell>
          <cell r="D451" t="str">
            <v>2001323</v>
          </cell>
        </row>
        <row r="452">
          <cell r="C452" t="str">
            <v>오송</v>
          </cell>
          <cell r="D452" t="str">
            <v>2001324</v>
          </cell>
        </row>
        <row r="453">
          <cell r="C453" t="str">
            <v>오송</v>
          </cell>
          <cell r="D453" t="str">
            <v>2001386</v>
          </cell>
        </row>
        <row r="454">
          <cell r="C454" t="str">
            <v>오송</v>
          </cell>
          <cell r="D454" t="str">
            <v>2001387</v>
          </cell>
        </row>
        <row r="455">
          <cell r="C455" t="str">
            <v>오송</v>
          </cell>
          <cell r="D455" t="str">
            <v>2001388</v>
          </cell>
        </row>
        <row r="456">
          <cell r="C456" t="str">
            <v>오송</v>
          </cell>
          <cell r="D456" t="str">
            <v>2001398</v>
          </cell>
        </row>
        <row r="457">
          <cell r="C457" t="str">
            <v>오송</v>
          </cell>
          <cell r="D457" t="str">
            <v>2001399</v>
          </cell>
        </row>
        <row r="458">
          <cell r="C458" t="str">
            <v>오송</v>
          </cell>
          <cell r="D458" t="str">
            <v>2001400</v>
          </cell>
        </row>
        <row r="459">
          <cell r="C459" t="str">
            <v>오송</v>
          </cell>
          <cell r="D459" t="str">
            <v>2001401</v>
          </cell>
        </row>
        <row r="460">
          <cell r="C460" t="str">
            <v>오송</v>
          </cell>
          <cell r="D460" t="str">
            <v>2001402</v>
          </cell>
        </row>
        <row r="461">
          <cell r="C461" t="str">
            <v>오송</v>
          </cell>
          <cell r="D461" t="str">
            <v>2001403</v>
          </cell>
        </row>
        <row r="462">
          <cell r="C462" t="str">
            <v>오송</v>
          </cell>
          <cell r="D462" t="str">
            <v>2001404</v>
          </cell>
        </row>
        <row r="463">
          <cell r="C463" t="str">
            <v>오송</v>
          </cell>
          <cell r="D463" t="str">
            <v>2001405</v>
          </cell>
        </row>
        <row r="464">
          <cell r="C464" t="str">
            <v>오송</v>
          </cell>
          <cell r="D464" t="str">
            <v>2001428</v>
          </cell>
        </row>
        <row r="465">
          <cell r="C465" t="str">
            <v>오송</v>
          </cell>
          <cell r="D465" t="str">
            <v>2001435</v>
          </cell>
        </row>
        <row r="466">
          <cell r="C466" t="str">
            <v>오송</v>
          </cell>
          <cell r="D466" t="str">
            <v>2001442</v>
          </cell>
        </row>
        <row r="467">
          <cell r="C467" t="str">
            <v>오송</v>
          </cell>
          <cell r="D467" t="str">
            <v>2001445</v>
          </cell>
        </row>
        <row r="468">
          <cell r="C468" t="str">
            <v>오송</v>
          </cell>
          <cell r="D468" t="str">
            <v>2001446</v>
          </cell>
        </row>
        <row r="469">
          <cell r="C469" t="str">
            <v>오송</v>
          </cell>
          <cell r="D469" t="str">
            <v>2001448</v>
          </cell>
        </row>
        <row r="470">
          <cell r="C470" t="str">
            <v>오송</v>
          </cell>
          <cell r="D470" t="str">
            <v>2001473</v>
          </cell>
        </row>
        <row r="471">
          <cell r="C471" t="str">
            <v>오송</v>
          </cell>
          <cell r="D471" t="str">
            <v>2002878</v>
          </cell>
        </row>
        <row r="472">
          <cell r="C472" t="str">
            <v>오송</v>
          </cell>
          <cell r="D472" t="str">
            <v>2002879</v>
          </cell>
        </row>
        <row r="473">
          <cell r="C473" t="str">
            <v>오송</v>
          </cell>
          <cell r="D473" t="str">
            <v>2003035</v>
          </cell>
        </row>
        <row r="474">
          <cell r="C474" t="str">
            <v>오송</v>
          </cell>
          <cell r="D474" t="str">
            <v>2003082</v>
          </cell>
        </row>
        <row r="475">
          <cell r="C475" t="str">
            <v>오송</v>
          </cell>
          <cell r="D475" t="str">
            <v>2003083</v>
          </cell>
        </row>
        <row r="476">
          <cell r="C476" t="str">
            <v>오송</v>
          </cell>
          <cell r="D476" t="str">
            <v>2003084</v>
          </cell>
        </row>
        <row r="477">
          <cell r="C477" t="str">
            <v>오송</v>
          </cell>
          <cell r="D477" t="str">
            <v>2003085</v>
          </cell>
        </row>
        <row r="478">
          <cell r="C478" t="str">
            <v>오송</v>
          </cell>
          <cell r="D478" t="str">
            <v>2003086</v>
          </cell>
        </row>
        <row r="479">
          <cell r="C479" t="str">
            <v>오송</v>
          </cell>
          <cell r="D479" t="str">
            <v>2003087</v>
          </cell>
        </row>
        <row r="480">
          <cell r="C480" t="str">
            <v>오송</v>
          </cell>
          <cell r="D480" t="str">
            <v>2003092</v>
          </cell>
        </row>
        <row r="481">
          <cell r="C481" t="str">
            <v>오송</v>
          </cell>
          <cell r="D481" t="str">
            <v>2003105</v>
          </cell>
        </row>
        <row r="482">
          <cell r="C482" t="str">
            <v>오송</v>
          </cell>
          <cell r="D482" t="str">
            <v>2003106</v>
          </cell>
        </row>
        <row r="483">
          <cell r="C483" t="str">
            <v>오송</v>
          </cell>
          <cell r="D483" t="str">
            <v>2003223</v>
          </cell>
        </row>
        <row r="484">
          <cell r="C484" t="str">
            <v>오송</v>
          </cell>
          <cell r="D484" t="str">
            <v>2003226</v>
          </cell>
        </row>
        <row r="485">
          <cell r="C485" t="str">
            <v>오송</v>
          </cell>
          <cell r="D485" t="str">
            <v>2003238</v>
          </cell>
        </row>
        <row r="486">
          <cell r="C486" t="str">
            <v>오송</v>
          </cell>
          <cell r="D486" t="str">
            <v>2003239</v>
          </cell>
        </row>
        <row r="487">
          <cell r="C487" t="str">
            <v>오송</v>
          </cell>
          <cell r="D487" t="str">
            <v>2003406</v>
          </cell>
        </row>
        <row r="488">
          <cell r="C488" t="str">
            <v>오송</v>
          </cell>
          <cell r="D488" t="str">
            <v>2004027</v>
          </cell>
        </row>
        <row r="489">
          <cell r="C489" t="str">
            <v>오송</v>
          </cell>
          <cell r="D489" t="str">
            <v>2004028</v>
          </cell>
        </row>
        <row r="490">
          <cell r="C490" t="str">
            <v>오송</v>
          </cell>
          <cell r="D490" t="str">
            <v>2004029</v>
          </cell>
        </row>
        <row r="491">
          <cell r="C491" t="str">
            <v>오송</v>
          </cell>
          <cell r="D491" t="str">
            <v>2004030</v>
          </cell>
        </row>
        <row r="492">
          <cell r="C492" t="str">
            <v>오송</v>
          </cell>
          <cell r="D492" t="str">
            <v>2004031</v>
          </cell>
        </row>
        <row r="493">
          <cell r="C493" t="str">
            <v>오송</v>
          </cell>
          <cell r="D493" t="str">
            <v>2004032</v>
          </cell>
        </row>
        <row r="494">
          <cell r="C494" t="str">
            <v>오송</v>
          </cell>
          <cell r="D494" t="str">
            <v>2004033</v>
          </cell>
        </row>
        <row r="495">
          <cell r="C495" t="str">
            <v>오송</v>
          </cell>
          <cell r="D495" t="str">
            <v>2004034</v>
          </cell>
        </row>
        <row r="496">
          <cell r="C496" t="str">
            <v>오송</v>
          </cell>
          <cell r="D496" t="str">
            <v>2004107</v>
          </cell>
        </row>
        <row r="497">
          <cell r="C497" t="str">
            <v>오송</v>
          </cell>
          <cell r="D497" t="str">
            <v>2004108</v>
          </cell>
        </row>
        <row r="498">
          <cell r="C498" t="str">
            <v>오송</v>
          </cell>
          <cell r="D498" t="str">
            <v>2004109</v>
          </cell>
        </row>
        <row r="499">
          <cell r="C499" t="str">
            <v>오송</v>
          </cell>
          <cell r="D499" t="str">
            <v>2004110</v>
          </cell>
        </row>
        <row r="500">
          <cell r="C500" t="str">
            <v>오송</v>
          </cell>
          <cell r="D500" t="str">
            <v>2004111</v>
          </cell>
        </row>
        <row r="501">
          <cell r="C501" t="str">
            <v>오송</v>
          </cell>
          <cell r="D501" t="str">
            <v>2300003</v>
          </cell>
        </row>
        <row r="502">
          <cell r="C502" t="str">
            <v>오송</v>
          </cell>
          <cell r="D502" t="str">
            <v>2300004</v>
          </cell>
        </row>
        <row r="503">
          <cell r="C503" t="str">
            <v>오송</v>
          </cell>
          <cell r="D503" t="str">
            <v>2300007</v>
          </cell>
        </row>
        <row r="504">
          <cell r="C504" t="str">
            <v>오송</v>
          </cell>
          <cell r="D504" t="str">
            <v>2300025</v>
          </cell>
        </row>
        <row r="505">
          <cell r="C505" t="str">
            <v>오송</v>
          </cell>
          <cell r="D505" t="str">
            <v>2300034</v>
          </cell>
        </row>
        <row r="506">
          <cell r="C506" t="str">
            <v>오송</v>
          </cell>
          <cell r="D506" t="str">
            <v>2300035</v>
          </cell>
        </row>
        <row r="507">
          <cell r="C507" t="str">
            <v>오송</v>
          </cell>
          <cell r="D507" t="str">
            <v>2300036</v>
          </cell>
        </row>
        <row r="508">
          <cell r="C508" t="str">
            <v>오송</v>
          </cell>
          <cell r="D508" t="str">
            <v>2300037</v>
          </cell>
        </row>
        <row r="509">
          <cell r="C509" t="str">
            <v>오송</v>
          </cell>
          <cell r="D509" t="str">
            <v>2300038</v>
          </cell>
        </row>
        <row r="510">
          <cell r="C510" t="str">
            <v>오송</v>
          </cell>
          <cell r="D510" t="str">
            <v>2300051</v>
          </cell>
        </row>
        <row r="511">
          <cell r="C511" t="str">
            <v>오송</v>
          </cell>
          <cell r="D511" t="str">
            <v>2300052</v>
          </cell>
        </row>
        <row r="512">
          <cell r="C512" t="str">
            <v>오송</v>
          </cell>
          <cell r="D512" t="str">
            <v>2300053</v>
          </cell>
        </row>
        <row r="513">
          <cell r="C513" t="str">
            <v>오송</v>
          </cell>
          <cell r="D513" t="str">
            <v>2300092</v>
          </cell>
        </row>
        <row r="514">
          <cell r="C514" t="str">
            <v>오송</v>
          </cell>
          <cell r="D514" t="str">
            <v>2300102</v>
          </cell>
        </row>
        <row r="515">
          <cell r="C515" t="str">
            <v>오송</v>
          </cell>
          <cell r="D515" t="str">
            <v>2300103</v>
          </cell>
        </row>
        <row r="516">
          <cell r="C516" t="str">
            <v>오송</v>
          </cell>
          <cell r="D516" t="str">
            <v>2300104</v>
          </cell>
        </row>
        <row r="517">
          <cell r="C517" t="str">
            <v>오송</v>
          </cell>
          <cell r="D517" t="str">
            <v>2300105</v>
          </cell>
        </row>
        <row r="518">
          <cell r="C518" t="str">
            <v>오송</v>
          </cell>
          <cell r="D518" t="str">
            <v>2300106</v>
          </cell>
        </row>
        <row r="519">
          <cell r="C519" t="str">
            <v>오송</v>
          </cell>
          <cell r="D519" t="str">
            <v>2300107</v>
          </cell>
        </row>
        <row r="520">
          <cell r="C520" t="str">
            <v>오송</v>
          </cell>
          <cell r="D520" t="str">
            <v>2300200</v>
          </cell>
        </row>
        <row r="521">
          <cell r="C521" t="str">
            <v>오송</v>
          </cell>
          <cell r="D521" t="str">
            <v>2300201</v>
          </cell>
        </row>
        <row r="522">
          <cell r="C522" t="str">
            <v>오송</v>
          </cell>
          <cell r="D522" t="str">
            <v>2300221</v>
          </cell>
        </row>
        <row r="523">
          <cell r="C523" t="str">
            <v>오송</v>
          </cell>
          <cell r="D523" t="str">
            <v>2300223</v>
          </cell>
        </row>
        <row r="524">
          <cell r="C524" t="str">
            <v>오송</v>
          </cell>
          <cell r="D524" t="str">
            <v>2300224</v>
          </cell>
        </row>
        <row r="525">
          <cell r="C525" t="str">
            <v>오송</v>
          </cell>
          <cell r="D525" t="str">
            <v>2300225</v>
          </cell>
        </row>
        <row r="526">
          <cell r="C526" t="str">
            <v>오송</v>
          </cell>
          <cell r="D526" t="str">
            <v>2300310</v>
          </cell>
        </row>
        <row r="527">
          <cell r="C527" t="str">
            <v>오송</v>
          </cell>
          <cell r="D527" t="str">
            <v>2300311</v>
          </cell>
        </row>
        <row r="528">
          <cell r="C528" t="str">
            <v>오송</v>
          </cell>
          <cell r="D528" t="str">
            <v>2300312</v>
          </cell>
        </row>
        <row r="529">
          <cell r="C529" t="str">
            <v>오송</v>
          </cell>
          <cell r="D529" t="str">
            <v>2300313</v>
          </cell>
        </row>
        <row r="530">
          <cell r="C530" t="str">
            <v>오송</v>
          </cell>
          <cell r="D530" t="str">
            <v>2300360</v>
          </cell>
        </row>
        <row r="531">
          <cell r="C531" t="str">
            <v>오송</v>
          </cell>
          <cell r="D531" t="str">
            <v>2300361</v>
          </cell>
        </row>
        <row r="532">
          <cell r="C532" t="str">
            <v>오송</v>
          </cell>
          <cell r="D532" t="str">
            <v>2300414</v>
          </cell>
        </row>
        <row r="533">
          <cell r="C533" t="str">
            <v>오송</v>
          </cell>
          <cell r="D533" t="str">
            <v>2300415</v>
          </cell>
        </row>
        <row r="534">
          <cell r="C534" t="str">
            <v>오송</v>
          </cell>
          <cell r="D534" t="str">
            <v>2300416</v>
          </cell>
        </row>
        <row r="535">
          <cell r="C535" t="str">
            <v>오송</v>
          </cell>
          <cell r="D535" t="str">
            <v>2300417</v>
          </cell>
        </row>
        <row r="536">
          <cell r="C536" t="str">
            <v>오송</v>
          </cell>
          <cell r="D536" t="str">
            <v>2300418</v>
          </cell>
        </row>
        <row r="537">
          <cell r="C537" t="str">
            <v>오송</v>
          </cell>
          <cell r="D537" t="str">
            <v>2300419</v>
          </cell>
        </row>
        <row r="538">
          <cell r="C538" t="str">
            <v>오송</v>
          </cell>
          <cell r="D538" t="str">
            <v>2300420</v>
          </cell>
        </row>
        <row r="539">
          <cell r="C539" t="str">
            <v>오송</v>
          </cell>
          <cell r="D539" t="str">
            <v>2300421</v>
          </cell>
        </row>
        <row r="540">
          <cell r="C540" t="str">
            <v>오송</v>
          </cell>
          <cell r="D540" t="str">
            <v>2300422</v>
          </cell>
        </row>
        <row r="541">
          <cell r="C541" t="str">
            <v>오송</v>
          </cell>
          <cell r="D541" t="str">
            <v>2300423</v>
          </cell>
        </row>
        <row r="542">
          <cell r="C542" t="str">
            <v>오송</v>
          </cell>
          <cell r="D542" t="str">
            <v>2300424</v>
          </cell>
        </row>
        <row r="543">
          <cell r="C543" t="str">
            <v>오송</v>
          </cell>
          <cell r="D543" t="str">
            <v>2300425</v>
          </cell>
        </row>
        <row r="544">
          <cell r="C544" t="str">
            <v>오송</v>
          </cell>
          <cell r="D544" t="str">
            <v>2300426</v>
          </cell>
        </row>
        <row r="545">
          <cell r="C545" t="str">
            <v>오송</v>
          </cell>
          <cell r="D545" t="str">
            <v>2300427</v>
          </cell>
        </row>
        <row r="546">
          <cell r="C546" t="str">
            <v>오송</v>
          </cell>
          <cell r="D546" t="str">
            <v>2300428</v>
          </cell>
        </row>
        <row r="547">
          <cell r="C547" t="str">
            <v>오송</v>
          </cell>
          <cell r="D547" t="str">
            <v>2300429</v>
          </cell>
        </row>
        <row r="548">
          <cell r="C548" t="str">
            <v>오송</v>
          </cell>
          <cell r="D548" t="str">
            <v>2300430</v>
          </cell>
        </row>
        <row r="549">
          <cell r="C549" t="str">
            <v>오송</v>
          </cell>
          <cell r="D549" t="str">
            <v>2300431</v>
          </cell>
        </row>
        <row r="550">
          <cell r="C550" t="str">
            <v>오송</v>
          </cell>
          <cell r="D550" t="str">
            <v>2300458</v>
          </cell>
        </row>
        <row r="551">
          <cell r="C551" t="str">
            <v>오송</v>
          </cell>
          <cell r="D551" t="str">
            <v>2300459</v>
          </cell>
        </row>
        <row r="552">
          <cell r="C552" t="str">
            <v>오송</v>
          </cell>
          <cell r="D552" t="str">
            <v>2300489</v>
          </cell>
        </row>
        <row r="553">
          <cell r="C553" t="str">
            <v>오송</v>
          </cell>
          <cell r="D553" t="str">
            <v>2300490</v>
          </cell>
        </row>
        <row r="554">
          <cell r="C554" t="str">
            <v>오송</v>
          </cell>
          <cell r="D554" t="str">
            <v>2300491</v>
          </cell>
        </row>
        <row r="555">
          <cell r="C555" t="str">
            <v>오송</v>
          </cell>
          <cell r="D555" t="str">
            <v>2300493</v>
          </cell>
        </row>
        <row r="556">
          <cell r="C556" t="str">
            <v>오송</v>
          </cell>
          <cell r="D556" t="str">
            <v>2300554</v>
          </cell>
        </row>
        <row r="557">
          <cell r="C557" t="str">
            <v>오송</v>
          </cell>
          <cell r="D557" t="str">
            <v>2300556</v>
          </cell>
        </row>
        <row r="558">
          <cell r="C558" t="str">
            <v>오송</v>
          </cell>
          <cell r="D558" t="str">
            <v>2300557</v>
          </cell>
        </row>
        <row r="559">
          <cell r="C559" t="str">
            <v>오송</v>
          </cell>
          <cell r="D559" t="str">
            <v>2300558</v>
          </cell>
        </row>
        <row r="560">
          <cell r="C560" t="str">
            <v>오송</v>
          </cell>
          <cell r="D560" t="str">
            <v>2300559</v>
          </cell>
        </row>
        <row r="561">
          <cell r="C561" t="str">
            <v>오송</v>
          </cell>
          <cell r="D561" t="str">
            <v>2300560</v>
          </cell>
        </row>
        <row r="562">
          <cell r="C562" t="str">
            <v>오송</v>
          </cell>
          <cell r="D562" t="str">
            <v>2300569</v>
          </cell>
        </row>
        <row r="563">
          <cell r="C563" t="str">
            <v>오송</v>
          </cell>
          <cell r="D563" t="str">
            <v>2300613</v>
          </cell>
        </row>
        <row r="564">
          <cell r="C564" t="str">
            <v>오송</v>
          </cell>
          <cell r="D564" t="str">
            <v>2300614</v>
          </cell>
        </row>
        <row r="565">
          <cell r="C565" t="str">
            <v>오송</v>
          </cell>
          <cell r="D565" t="str">
            <v>2300615</v>
          </cell>
        </row>
        <row r="566">
          <cell r="C566" t="str">
            <v>오송</v>
          </cell>
          <cell r="D566" t="str">
            <v>2300651</v>
          </cell>
        </row>
        <row r="567">
          <cell r="C567" t="str">
            <v>오송</v>
          </cell>
          <cell r="D567" t="str">
            <v>2300652</v>
          </cell>
        </row>
        <row r="568">
          <cell r="C568" t="str">
            <v>오송</v>
          </cell>
          <cell r="D568" t="str">
            <v>2300653</v>
          </cell>
        </row>
        <row r="569">
          <cell r="C569" t="str">
            <v>오송</v>
          </cell>
          <cell r="D569" t="str">
            <v>2300654</v>
          </cell>
        </row>
        <row r="570">
          <cell r="C570" t="str">
            <v>오송</v>
          </cell>
          <cell r="D570" t="str">
            <v>2300655</v>
          </cell>
        </row>
        <row r="571">
          <cell r="C571" t="str">
            <v>오송</v>
          </cell>
          <cell r="D571" t="str">
            <v>2300656</v>
          </cell>
        </row>
        <row r="572">
          <cell r="C572" t="str">
            <v>오송</v>
          </cell>
          <cell r="D572" t="str">
            <v>2300657</v>
          </cell>
        </row>
        <row r="573">
          <cell r="C573" t="str">
            <v>오송</v>
          </cell>
          <cell r="D573" t="str">
            <v>2300726</v>
          </cell>
        </row>
        <row r="574">
          <cell r="C574" t="str">
            <v>오송</v>
          </cell>
          <cell r="D574" t="str">
            <v>2300727</v>
          </cell>
        </row>
        <row r="575">
          <cell r="C575" t="str">
            <v>오송</v>
          </cell>
          <cell r="D575" t="str">
            <v>2300728</v>
          </cell>
        </row>
        <row r="576">
          <cell r="C576" t="str">
            <v>오송</v>
          </cell>
          <cell r="D576" t="str">
            <v>2300743</v>
          </cell>
        </row>
        <row r="577">
          <cell r="C577" t="str">
            <v>오송</v>
          </cell>
          <cell r="D577" t="str">
            <v>2300751</v>
          </cell>
        </row>
        <row r="578">
          <cell r="C578" t="str">
            <v>오송</v>
          </cell>
          <cell r="D578" t="str">
            <v>2300752</v>
          </cell>
        </row>
        <row r="579">
          <cell r="C579" t="str">
            <v>오송</v>
          </cell>
          <cell r="D579" t="str">
            <v>2300763</v>
          </cell>
        </row>
        <row r="580">
          <cell r="C580" t="str">
            <v>오송</v>
          </cell>
          <cell r="D580" t="str">
            <v>2300773</v>
          </cell>
        </row>
        <row r="581">
          <cell r="C581" t="str">
            <v>오송</v>
          </cell>
          <cell r="D581" t="str">
            <v>2300774</v>
          </cell>
        </row>
        <row r="582">
          <cell r="C582" t="str">
            <v>오송</v>
          </cell>
          <cell r="D582" t="str">
            <v>2300826</v>
          </cell>
        </row>
        <row r="583">
          <cell r="C583" t="str">
            <v>오송</v>
          </cell>
          <cell r="D583" t="str">
            <v>2300839</v>
          </cell>
        </row>
        <row r="584">
          <cell r="C584" t="str">
            <v>오송</v>
          </cell>
          <cell r="D584" t="str">
            <v>2300860</v>
          </cell>
        </row>
        <row r="585">
          <cell r="C585" t="str">
            <v>오송</v>
          </cell>
          <cell r="D585" t="str">
            <v>2300892</v>
          </cell>
        </row>
        <row r="586">
          <cell r="C586" t="str">
            <v>오송</v>
          </cell>
          <cell r="D586" t="str">
            <v>2300893</v>
          </cell>
        </row>
        <row r="587">
          <cell r="C587" t="str">
            <v>오송</v>
          </cell>
          <cell r="D587" t="str">
            <v>2300911</v>
          </cell>
        </row>
        <row r="588">
          <cell r="C588" t="str">
            <v>오송</v>
          </cell>
          <cell r="D588" t="str">
            <v>2300912</v>
          </cell>
        </row>
        <row r="589">
          <cell r="C589" t="str">
            <v>오송</v>
          </cell>
          <cell r="D589" t="str">
            <v>2300927</v>
          </cell>
        </row>
        <row r="590">
          <cell r="C590" t="str">
            <v>오송</v>
          </cell>
          <cell r="D590" t="str">
            <v>2300956</v>
          </cell>
        </row>
        <row r="591">
          <cell r="C591" t="str">
            <v>오송</v>
          </cell>
          <cell r="D591" t="str">
            <v>2301001</v>
          </cell>
        </row>
        <row r="592">
          <cell r="C592" t="str">
            <v>오송</v>
          </cell>
          <cell r="D592" t="str">
            <v>2301002</v>
          </cell>
        </row>
        <row r="593">
          <cell r="C593" t="str">
            <v>오송</v>
          </cell>
          <cell r="D593" t="str">
            <v>2301004</v>
          </cell>
        </row>
        <row r="594">
          <cell r="C594" t="str">
            <v>오송</v>
          </cell>
          <cell r="D594" t="str">
            <v>2301006</v>
          </cell>
        </row>
        <row r="595">
          <cell r="C595" t="str">
            <v>오송</v>
          </cell>
          <cell r="D595" t="str">
            <v>2301007</v>
          </cell>
        </row>
        <row r="596">
          <cell r="C596" t="str">
            <v>오송</v>
          </cell>
          <cell r="D596" t="str">
            <v>2301046</v>
          </cell>
        </row>
        <row r="597">
          <cell r="C597" t="str">
            <v>오송</v>
          </cell>
          <cell r="D597" t="str">
            <v>2301047</v>
          </cell>
        </row>
        <row r="598">
          <cell r="C598" t="str">
            <v>오송</v>
          </cell>
          <cell r="D598" t="str">
            <v>2301048</v>
          </cell>
        </row>
        <row r="599">
          <cell r="C599" t="str">
            <v>오송</v>
          </cell>
          <cell r="D599" t="str">
            <v>2301049</v>
          </cell>
        </row>
        <row r="600">
          <cell r="C600" t="str">
            <v>오송</v>
          </cell>
          <cell r="D600" t="str">
            <v>2301080</v>
          </cell>
        </row>
        <row r="601">
          <cell r="C601" t="str">
            <v>오송</v>
          </cell>
          <cell r="D601" t="str">
            <v>2301081</v>
          </cell>
        </row>
        <row r="602">
          <cell r="C602" t="str">
            <v>오송</v>
          </cell>
          <cell r="D602" t="str">
            <v>2301260</v>
          </cell>
        </row>
        <row r="603">
          <cell r="C603" t="str">
            <v>오송</v>
          </cell>
          <cell r="D603" t="str">
            <v>2301267</v>
          </cell>
        </row>
        <row r="604">
          <cell r="C604" t="str">
            <v>오송</v>
          </cell>
          <cell r="D604" t="str">
            <v>2301268</v>
          </cell>
        </row>
        <row r="605">
          <cell r="C605" t="str">
            <v>오송</v>
          </cell>
          <cell r="D605" t="str">
            <v>2301269</v>
          </cell>
        </row>
        <row r="606">
          <cell r="C606" t="str">
            <v>오송</v>
          </cell>
          <cell r="D606" t="str">
            <v>2301344</v>
          </cell>
        </row>
        <row r="607">
          <cell r="C607" t="str">
            <v>오송</v>
          </cell>
          <cell r="D607" t="str">
            <v>2301345</v>
          </cell>
        </row>
        <row r="608">
          <cell r="C608" t="str">
            <v>오송</v>
          </cell>
          <cell r="D608" t="str">
            <v>2301346</v>
          </cell>
        </row>
        <row r="609">
          <cell r="C609" t="str">
            <v>오송</v>
          </cell>
          <cell r="D609" t="str">
            <v>2301354</v>
          </cell>
        </row>
        <row r="610">
          <cell r="C610" t="str">
            <v>오송</v>
          </cell>
          <cell r="D610" t="str">
            <v>2301369</v>
          </cell>
        </row>
        <row r="611">
          <cell r="C611" t="str">
            <v>오송</v>
          </cell>
          <cell r="D611" t="str">
            <v>2301370</v>
          </cell>
        </row>
        <row r="612">
          <cell r="C612" t="str">
            <v>오송</v>
          </cell>
          <cell r="D612" t="str">
            <v>2301371</v>
          </cell>
        </row>
        <row r="613">
          <cell r="C613" t="str">
            <v>오송</v>
          </cell>
          <cell r="D613" t="str">
            <v>2301397</v>
          </cell>
        </row>
        <row r="614">
          <cell r="C614" t="str">
            <v>오송</v>
          </cell>
          <cell r="D614" t="str">
            <v>2301398</v>
          </cell>
        </row>
        <row r="615">
          <cell r="C615" t="str">
            <v>오송</v>
          </cell>
          <cell r="D615" t="str">
            <v>2301399</v>
          </cell>
        </row>
        <row r="616">
          <cell r="C616" t="str">
            <v>오송</v>
          </cell>
          <cell r="D616" t="str">
            <v>2301421</v>
          </cell>
        </row>
        <row r="617">
          <cell r="C617" t="str">
            <v>오송</v>
          </cell>
          <cell r="D617" t="str">
            <v>2301422</v>
          </cell>
        </row>
        <row r="618">
          <cell r="C618" t="str">
            <v>오송</v>
          </cell>
          <cell r="D618" t="str">
            <v>2301423</v>
          </cell>
        </row>
        <row r="619">
          <cell r="C619" t="str">
            <v>오송</v>
          </cell>
          <cell r="D619" t="str">
            <v>2301424</v>
          </cell>
        </row>
        <row r="620">
          <cell r="C620" t="str">
            <v>오송</v>
          </cell>
          <cell r="D620" t="str">
            <v>2301481</v>
          </cell>
        </row>
        <row r="621">
          <cell r="C621" t="str">
            <v>오송</v>
          </cell>
          <cell r="D621" t="str">
            <v>2301662</v>
          </cell>
        </row>
        <row r="622">
          <cell r="C622" t="str">
            <v>오송</v>
          </cell>
          <cell r="D622" t="str">
            <v>2301663</v>
          </cell>
        </row>
        <row r="623">
          <cell r="C623" t="str">
            <v>오송</v>
          </cell>
          <cell r="D623" t="str">
            <v>2301664</v>
          </cell>
        </row>
        <row r="624">
          <cell r="C624" t="str">
            <v>오송</v>
          </cell>
          <cell r="D624" t="str">
            <v>2301682</v>
          </cell>
        </row>
        <row r="625">
          <cell r="C625" t="str">
            <v>오송</v>
          </cell>
          <cell r="D625" t="str">
            <v>2301683</v>
          </cell>
        </row>
        <row r="626">
          <cell r="C626" t="str">
            <v>오송</v>
          </cell>
          <cell r="D626" t="str">
            <v>2301684</v>
          </cell>
        </row>
        <row r="627">
          <cell r="C627" t="str">
            <v>오송</v>
          </cell>
          <cell r="D627" t="str">
            <v>2301685</v>
          </cell>
        </row>
        <row r="628">
          <cell r="C628" t="str">
            <v>오송</v>
          </cell>
          <cell r="D628" t="str">
            <v>2301686</v>
          </cell>
        </row>
        <row r="629">
          <cell r="C629" t="str">
            <v>오송</v>
          </cell>
          <cell r="D629" t="str">
            <v>2301687</v>
          </cell>
        </row>
        <row r="630">
          <cell r="C630" t="str">
            <v>오송</v>
          </cell>
          <cell r="D630" t="str">
            <v>2301692</v>
          </cell>
        </row>
        <row r="631">
          <cell r="C631" t="str">
            <v>오송</v>
          </cell>
          <cell r="D631" t="str">
            <v>2301759</v>
          </cell>
        </row>
        <row r="632">
          <cell r="C632" t="str">
            <v>오송</v>
          </cell>
          <cell r="D632" t="str">
            <v>2301763</v>
          </cell>
        </row>
        <row r="633">
          <cell r="C633" t="str">
            <v>오송</v>
          </cell>
          <cell r="D633" t="str">
            <v>2301764</v>
          </cell>
        </row>
        <row r="634">
          <cell r="C634" t="str">
            <v>오송</v>
          </cell>
          <cell r="D634" t="str">
            <v>2301765</v>
          </cell>
        </row>
        <row r="635">
          <cell r="C635" t="str">
            <v>오송</v>
          </cell>
          <cell r="D635" t="str">
            <v>2301970</v>
          </cell>
        </row>
        <row r="636">
          <cell r="C636" t="str">
            <v>오송</v>
          </cell>
          <cell r="D636" t="str">
            <v>2301971</v>
          </cell>
        </row>
        <row r="637">
          <cell r="C637" t="str">
            <v>오송</v>
          </cell>
          <cell r="D637" t="str">
            <v>2301972</v>
          </cell>
        </row>
        <row r="638">
          <cell r="C638" t="str">
            <v>오송</v>
          </cell>
          <cell r="D638" t="str">
            <v>2301973</v>
          </cell>
        </row>
        <row r="639">
          <cell r="C639" t="str">
            <v>오송</v>
          </cell>
          <cell r="D639" t="str">
            <v>2302070</v>
          </cell>
        </row>
        <row r="640">
          <cell r="C640" t="str">
            <v>오송</v>
          </cell>
          <cell r="D640" t="str">
            <v>2302071</v>
          </cell>
        </row>
        <row r="641">
          <cell r="C641" t="str">
            <v>오송</v>
          </cell>
          <cell r="D641" t="str">
            <v>2302140</v>
          </cell>
        </row>
        <row r="642">
          <cell r="C642" t="str">
            <v>오송</v>
          </cell>
          <cell r="D642" t="str">
            <v>2302141</v>
          </cell>
        </row>
        <row r="643">
          <cell r="C643" t="str">
            <v>오송</v>
          </cell>
          <cell r="D643" t="str">
            <v>2302142</v>
          </cell>
        </row>
        <row r="644">
          <cell r="C644" t="str">
            <v>오송</v>
          </cell>
          <cell r="D644" t="str">
            <v>2302183</v>
          </cell>
        </row>
        <row r="645">
          <cell r="C645" t="str">
            <v>오송</v>
          </cell>
          <cell r="D645" t="str">
            <v>2302184</v>
          </cell>
        </row>
        <row r="646">
          <cell r="C646" t="str">
            <v>오송</v>
          </cell>
          <cell r="D646" t="str">
            <v>2302185</v>
          </cell>
        </row>
        <row r="647">
          <cell r="C647" t="str">
            <v>오송</v>
          </cell>
          <cell r="D647" t="str">
            <v>2302186</v>
          </cell>
        </row>
        <row r="648">
          <cell r="C648" t="str">
            <v>오송</v>
          </cell>
          <cell r="D648" t="str">
            <v>2302187</v>
          </cell>
        </row>
        <row r="649">
          <cell r="C649" t="str">
            <v>오송</v>
          </cell>
          <cell r="D649" t="str">
            <v>2302188</v>
          </cell>
        </row>
        <row r="650">
          <cell r="C650" t="str">
            <v>오송</v>
          </cell>
          <cell r="D650" t="str">
            <v>2302189</v>
          </cell>
        </row>
        <row r="651">
          <cell r="C651" t="str">
            <v>오송</v>
          </cell>
          <cell r="D651" t="str">
            <v>2302190</v>
          </cell>
        </row>
        <row r="652">
          <cell r="C652" t="str">
            <v>오송</v>
          </cell>
          <cell r="D652" t="str">
            <v>2302201</v>
          </cell>
        </row>
        <row r="653">
          <cell r="C653" t="str">
            <v>오송</v>
          </cell>
          <cell r="D653" t="str">
            <v>2302202</v>
          </cell>
        </row>
        <row r="654">
          <cell r="C654" t="str">
            <v>오송</v>
          </cell>
          <cell r="D654" t="str">
            <v>2302203</v>
          </cell>
        </row>
        <row r="655">
          <cell r="C655" t="str">
            <v>오송</v>
          </cell>
          <cell r="D655" t="str">
            <v>2302209</v>
          </cell>
        </row>
        <row r="656">
          <cell r="C656" t="str">
            <v>오송</v>
          </cell>
          <cell r="D656" t="str">
            <v>2302210</v>
          </cell>
        </row>
        <row r="657">
          <cell r="C657" t="str">
            <v>오송</v>
          </cell>
          <cell r="D657" t="str">
            <v>2302211</v>
          </cell>
        </row>
        <row r="658">
          <cell r="C658" t="str">
            <v>오송</v>
          </cell>
          <cell r="D658" t="str">
            <v>2302212</v>
          </cell>
        </row>
        <row r="659">
          <cell r="C659" t="str">
            <v>오송</v>
          </cell>
          <cell r="D659" t="str">
            <v>2302213</v>
          </cell>
        </row>
        <row r="660">
          <cell r="C660" t="str">
            <v>오송</v>
          </cell>
          <cell r="D660" t="str">
            <v>2302275</v>
          </cell>
        </row>
        <row r="661">
          <cell r="C661" t="str">
            <v>오송</v>
          </cell>
          <cell r="D661" t="str">
            <v>2302276</v>
          </cell>
        </row>
        <row r="662">
          <cell r="C662" t="str">
            <v>오송</v>
          </cell>
          <cell r="D662" t="str">
            <v>2302277</v>
          </cell>
        </row>
        <row r="663">
          <cell r="C663" t="str">
            <v>오송</v>
          </cell>
          <cell r="D663" t="str">
            <v>2302280</v>
          </cell>
        </row>
        <row r="664">
          <cell r="C664" t="str">
            <v>오송</v>
          </cell>
          <cell r="D664" t="str">
            <v>2302337</v>
          </cell>
        </row>
        <row r="665">
          <cell r="C665" t="str">
            <v>오송</v>
          </cell>
          <cell r="D665" t="str">
            <v>2302338</v>
          </cell>
        </row>
        <row r="666">
          <cell r="C666" t="str">
            <v>오송</v>
          </cell>
          <cell r="D666" t="str">
            <v>2302371</v>
          </cell>
        </row>
        <row r="667">
          <cell r="C667" t="str">
            <v>오송</v>
          </cell>
          <cell r="D667" t="str">
            <v>2302372</v>
          </cell>
        </row>
        <row r="668">
          <cell r="C668" t="str">
            <v>오송</v>
          </cell>
          <cell r="D668" t="str">
            <v>2302373</v>
          </cell>
        </row>
        <row r="669">
          <cell r="C669" t="str">
            <v>오송</v>
          </cell>
          <cell r="D669" t="str">
            <v>2302429</v>
          </cell>
        </row>
        <row r="670">
          <cell r="C670" t="str">
            <v>오송</v>
          </cell>
          <cell r="D670" t="str">
            <v>2302430</v>
          </cell>
        </row>
        <row r="671">
          <cell r="C671" t="str">
            <v>오송</v>
          </cell>
          <cell r="D671" t="str">
            <v>2302431</v>
          </cell>
        </row>
        <row r="672">
          <cell r="C672" t="str">
            <v>오송</v>
          </cell>
          <cell r="D672" t="str">
            <v>2302519</v>
          </cell>
        </row>
        <row r="673">
          <cell r="C673" t="str">
            <v>오송</v>
          </cell>
          <cell r="D673" t="str">
            <v>2302520</v>
          </cell>
        </row>
        <row r="674">
          <cell r="C674" t="str">
            <v>오송</v>
          </cell>
          <cell r="D674" t="str">
            <v>2302523</v>
          </cell>
        </row>
        <row r="675">
          <cell r="C675" t="str">
            <v>오송</v>
          </cell>
          <cell r="D675" t="str">
            <v>2302573</v>
          </cell>
        </row>
        <row r="676">
          <cell r="C676" t="str">
            <v>오송</v>
          </cell>
          <cell r="D676" t="str">
            <v>2302574</v>
          </cell>
        </row>
        <row r="677">
          <cell r="C677" t="str">
            <v>오송</v>
          </cell>
          <cell r="D677" t="str">
            <v>2302591</v>
          </cell>
        </row>
        <row r="678">
          <cell r="C678" t="str">
            <v>오송</v>
          </cell>
          <cell r="D678" t="str">
            <v>2302593</v>
          </cell>
        </row>
        <row r="679">
          <cell r="C679" t="str">
            <v>오송</v>
          </cell>
          <cell r="D679" t="str">
            <v>2302594</v>
          </cell>
        </row>
        <row r="680">
          <cell r="C680" t="str">
            <v>오송</v>
          </cell>
          <cell r="D680" t="str">
            <v>2302596</v>
          </cell>
        </row>
        <row r="681">
          <cell r="C681" t="str">
            <v>오송</v>
          </cell>
          <cell r="D681" t="str">
            <v>2302631</v>
          </cell>
        </row>
        <row r="682">
          <cell r="C682" t="str">
            <v>오송</v>
          </cell>
          <cell r="D682" t="str">
            <v>2302632</v>
          </cell>
        </row>
        <row r="683">
          <cell r="C683" t="str">
            <v>오송</v>
          </cell>
          <cell r="D683" t="str">
            <v>2302633</v>
          </cell>
        </row>
        <row r="684">
          <cell r="C684" t="str">
            <v>오송</v>
          </cell>
          <cell r="D684" t="str">
            <v>2302634</v>
          </cell>
        </row>
        <row r="685">
          <cell r="C685" t="str">
            <v>오송</v>
          </cell>
          <cell r="D685" t="str">
            <v>2302635</v>
          </cell>
        </row>
        <row r="686">
          <cell r="C686" t="str">
            <v>오송</v>
          </cell>
          <cell r="D686" t="str">
            <v>2302638</v>
          </cell>
        </row>
        <row r="687">
          <cell r="C687" t="str">
            <v>오송</v>
          </cell>
          <cell r="D687" t="str">
            <v>2302642</v>
          </cell>
        </row>
        <row r="688">
          <cell r="C688" t="str">
            <v>오송</v>
          </cell>
          <cell r="D688" t="str">
            <v>2302645</v>
          </cell>
        </row>
        <row r="689">
          <cell r="C689" t="str">
            <v>오송</v>
          </cell>
          <cell r="D689" t="str">
            <v>2302646</v>
          </cell>
        </row>
        <row r="690">
          <cell r="C690" t="str">
            <v>오송</v>
          </cell>
          <cell r="D690" t="str">
            <v>2302696</v>
          </cell>
        </row>
        <row r="691">
          <cell r="C691" t="str">
            <v>오송</v>
          </cell>
          <cell r="D691" t="str">
            <v>2303070</v>
          </cell>
        </row>
        <row r="692">
          <cell r="C692" t="str">
            <v>오송</v>
          </cell>
          <cell r="D692" t="str">
            <v>2303071</v>
          </cell>
        </row>
        <row r="693">
          <cell r="C693" t="str">
            <v>오송</v>
          </cell>
          <cell r="D693" t="str">
            <v>2303072</v>
          </cell>
        </row>
        <row r="694">
          <cell r="C694" t="str">
            <v>오송</v>
          </cell>
          <cell r="D694" t="str">
            <v>2303074</v>
          </cell>
        </row>
        <row r="695">
          <cell r="C695" t="str">
            <v>오송</v>
          </cell>
          <cell r="D695" t="str">
            <v>2303076</v>
          </cell>
        </row>
        <row r="696">
          <cell r="C696" t="str">
            <v>오송</v>
          </cell>
          <cell r="D696" t="str">
            <v>2303077</v>
          </cell>
        </row>
        <row r="697">
          <cell r="C697" t="str">
            <v>오송</v>
          </cell>
          <cell r="D697" t="str">
            <v>2303078</v>
          </cell>
        </row>
        <row r="698">
          <cell r="C698" t="str">
            <v>오송</v>
          </cell>
          <cell r="D698" t="str">
            <v>2303079</v>
          </cell>
        </row>
        <row r="699">
          <cell r="C699" t="str">
            <v>오송</v>
          </cell>
          <cell r="D699" t="str">
            <v>2303129</v>
          </cell>
        </row>
        <row r="700">
          <cell r="C700" t="str">
            <v>오송</v>
          </cell>
          <cell r="D700" t="str">
            <v>2303230</v>
          </cell>
        </row>
        <row r="701">
          <cell r="C701" t="str">
            <v>오송</v>
          </cell>
          <cell r="D701" t="str">
            <v>2303234</v>
          </cell>
        </row>
        <row r="702">
          <cell r="C702" t="str">
            <v>오송</v>
          </cell>
          <cell r="D702" t="str">
            <v>2303261</v>
          </cell>
        </row>
        <row r="703">
          <cell r="C703" t="str">
            <v>오송</v>
          </cell>
          <cell r="D703" t="str">
            <v>2303325</v>
          </cell>
        </row>
        <row r="704">
          <cell r="C704" t="str">
            <v>오송</v>
          </cell>
          <cell r="D704" t="str">
            <v>2303326</v>
          </cell>
        </row>
        <row r="705">
          <cell r="C705" t="str">
            <v>오송</v>
          </cell>
          <cell r="D705" t="str">
            <v>2303327</v>
          </cell>
        </row>
        <row r="706">
          <cell r="C706" t="str">
            <v>오송</v>
          </cell>
          <cell r="D706" t="str">
            <v>2303328</v>
          </cell>
        </row>
        <row r="707">
          <cell r="C707" t="str">
            <v>오송</v>
          </cell>
          <cell r="D707" t="str">
            <v>2303338</v>
          </cell>
        </row>
        <row r="708">
          <cell r="C708" t="str">
            <v>오송</v>
          </cell>
          <cell r="D708" t="str">
            <v>2303339</v>
          </cell>
        </row>
        <row r="709">
          <cell r="C709" t="str">
            <v>오송</v>
          </cell>
          <cell r="D709" t="str">
            <v>2303360</v>
          </cell>
        </row>
        <row r="710">
          <cell r="C710" t="str">
            <v>오송</v>
          </cell>
          <cell r="D710" t="str">
            <v>2303361</v>
          </cell>
        </row>
        <row r="711">
          <cell r="C711" t="str">
            <v>오송</v>
          </cell>
          <cell r="D711" t="str">
            <v>2303362</v>
          </cell>
        </row>
        <row r="712">
          <cell r="C712" t="str">
            <v>오송</v>
          </cell>
          <cell r="D712" t="str">
            <v>2303363</v>
          </cell>
        </row>
        <row r="713">
          <cell r="C713" t="str">
            <v>오송</v>
          </cell>
          <cell r="D713" t="str">
            <v>2303364</v>
          </cell>
        </row>
        <row r="714">
          <cell r="C714" t="str">
            <v>오송</v>
          </cell>
          <cell r="D714" t="str">
            <v>2303386</v>
          </cell>
        </row>
        <row r="715">
          <cell r="C715" t="str">
            <v>오송</v>
          </cell>
          <cell r="D715" t="str">
            <v>2303387</v>
          </cell>
        </row>
        <row r="716">
          <cell r="C716" t="str">
            <v>오송</v>
          </cell>
          <cell r="D716" t="str">
            <v>2303535</v>
          </cell>
        </row>
        <row r="717">
          <cell r="C717" t="str">
            <v>오송</v>
          </cell>
          <cell r="D717" t="str">
            <v>2303536</v>
          </cell>
        </row>
        <row r="718">
          <cell r="C718" t="str">
            <v>오송</v>
          </cell>
          <cell r="D718" t="str">
            <v>2303537</v>
          </cell>
        </row>
        <row r="719">
          <cell r="C719" t="str">
            <v>오송</v>
          </cell>
          <cell r="D719" t="str">
            <v>2303538</v>
          </cell>
        </row>
        <row r="720">
          <cell r="C720" t="str">
            <v>오송</v>
          </cell>
          <cell r="D720" t="str">
            <v>2303539</v>
          </cell>
        </row>
        <row r="721">
          <cell r="C721" t="str">
            <v>오송</v>
          </cell>
          <cell r="D721" t="str">
            <v>2303550</v>
          </cell>
        </row>
        <row r="722">
          <cell r="C722" t="str">
            <v>오송</v>
          </cell>
          <cell r="D722" t="str">
            <v>2303551</v>
          </cell>
        </row>
        <row r="723">
          <cell r="C723" t="str">
            <v>오송</v>
          </cell>
          <cell r="D723" t="str">
            <v>2303552</v>
          </cell>
        </row>
        <row r="724">
          <cell r="C724" t="str">
            <v>오송</v>
          </cell>
          <cell r="D724" t="str">
            <v>2303553</v>
          </cell>
        </row>
        <row r="725">
          <cell r="C725" t="str">
            <v>오송</v>
          </cell>
          <cell r="D725" t="str">
            <v>2303711</v>
          </cell>
        </row>
        <row r="726">
          <cell r="C726" t="str">
            <v>오송</v>
          </cell>
          <cell r="D726" t="str">
            <v>2303712</v>
          </cell>
        </row>
        <row r="727">
          <cell r="C727" t="str">
            <v>오송</v>
          </cell>
          <cell r="D727" t="str">
            <v>2303713</v>
          </cell>
        </row>
        <row r="728">
          <cell r="C728" t="str">
            <v>오송</v>
          </cell>
          <cell r="D728" t="str">
            <v>2303739</v>
          </cell>
        </row>
        <row r="729">
          <cell r="C729" t="str">
            <v>오송</v>
          </cell>
          <cell r="D729" t="str">
            <v>2303750</v>
          </cell>
        </row>
        <row r="730">
          <cell r="C730" t="str">
            <v>오송</v>
          </cell>
          <cell r="D730" t="str">
            <v>2303751</v>
          </cell>
        </row>
        <row r="731">
          <cell r="C731" t="str">
            <v>오송</v>
          </cell>
          <cell r="D731" t="str">
            <v>2303752</v>
          </cell>
        </row>
        <row r="732">
          <cell r="C732" t="str">
            <v>오송</v>
          </cell>
          <cell r="D732" t="str">
            <v>2303753</v>
          </cell>
        </row>
        <row r="733">
          <cell r="C733" t="str">
            <v>오송</v>
          </cell>
          <cell r="D733" t="str">
            <v>2303754</v>
          </cell>
        </row>
        <row r="734">
          <cell r="C734" t="str">
            <v>오송</v>
          </cell>
          <cell r="D734" t="str">
            <v>2303755</v>
          </cell>
        </row>
        <row r="735">
          <cell r="C735" t="str">
            <v>오송</v>
          </cell>
          <cell r="D735" t="str">
            <v>2303756</v>
          </cell>
        </row>
        <row r="736">
          <cell r="C736" t="str">
            <v>오송</v>
          </cell>
          <cell r="D736" t="str">
            <v>2303757</v>
          </cell>
        </row>
        <row r="737">
          <cell r="C737" t="str">
            <v>오송</v>
          </cell>
          <cell r="D737" t="str">
            <v>2303758</v>
          </cell>
        </row>
        <row r="738">
          <cell r="C738" t="str">
            <v>오송</v>
          </cell>
          <cell r="D738" t="str">
            <v>2303759</v>
          </cell>
        </row>
        <row r="739">
          <cell r="C739" t="str">
            <v>오송</v>
          </cell>
          <cell r="D739" t="str">
            <v>2303760</v>
          </cell>
        </row>
        <row r="740">
          <cell r="C740" t="str">
            <v>오송</v>
          </cell>
          <cell r="D740" t="str">
            <v>2303761</v>
          </cell>
        </row>
        <row r="741">
          <cell r="C741" t="str">
            <v>오송</v>
          </cell>
          <cell r="D741" t="str">
            <v>2303762</v>
          </cell>
        </row>
        <row r="742">
          <cell r="C742" t="str">
            <v>오송</v>
          </cell>
          <cell r="D742" t="str">
            <v>2303763</v>
          </cell>
        </row>
        <row r="743">
          <cell r="C743" t="str">
            <v>오송</v>
          </cell>
          <cell r="D743" t="str">
            <v>2303764</v>
          </cell>
        </row>
        <row r="744">
          <cell r="C744" t="str">
            <v>오송</v>
          </cell>
          <cell r="D744" t="str">
            <v>2303765</v>
          </cell>
        </row>
        <row r="745">
          <cell r="C745" t="str">
            <v>오송</v>
          </cell>
          <cell r="D745" t="str">
            <v>2303774</v>
          </cell>
        </row>
        <row r="746">
          <cell r="C746" t="str">
            <v>오송</v>
          </cell>
          <cell r="D746" t="str">
            <v>2303790</v>
          </cell>
        </row>
        <row r="747">
          <cell r="C747" t="str">
            <v>오송</v>
          </cell>
          <cell r="D747" t="str">
            <v>2303801</v>
          </cell>
        </row>
        <row r="748">
          <cell r="C748" t="str">
            <v>오송</v>
          </cell>
          <cell r="D748" t="str">
            <v>2303802</v>
          </cell>
        </row>
        <row r="749">
          <cell r="C749" t="str">
            <v>오송</v>
          </cell>
          <cell r="D749" t="str">
            <v>2303803</v>
          </cell>
        </row>
        <row r="750">
          <cell r="C750" t="str">
            <v>오송</v>
          </cell>
          <cell r="D750" t="str">
            <v>2303804</v>
          </cell>
        </row>
        <row r="751">
          <cell r="C751" t="str">
            <v>오송</v>
          </cell>
          <cell r="D751" t="str">
            <v>2400062</v>
          </cell>
        </row>
        <row r="752">
          <cell r="C752" t="str">
            <v>오송</v>
          </cell>
          <cell r="D752" t="str">
            <v>2400063</v>
          </cell>
        </row>
        <row r="753">
          <cell r="C753" t="str">
            <v>오송</v>
          </cell>
          <cell r="D753" t="str">
            <v>2400084</v>
          </cell>
        </row>
        <row r="754">
          <cell r="C754" t="str">
            <v>오송</v>
          </cell>
          <cell r="D754" t="str">
            <v>2400085</v>
          </cell>
        </row>
        <row r="755">
          <cell r="C755" t="str">
            <v>오송</v>
          </cell>
          <cell r="D755" t="str">
            <v>2400151</v>
          </cell>
        </row>
        <row r="756">
          <cell r="C756" t="str">
            <v>오송</v>
          </cell>
          <cell r="D756" t="str">
            <v>2400152</v>
          </cell>
        </row>
        <row r="757">
          <cell r="C757" t="str">
            <v>오송</v>
          </cell>
          <cell r="D757" t="str">
            <v>2400153</v>
          </cell>
        </row>
        <row r="758">
          <cell r="C758" t="str">
            <v>오송</v>
          </cell>
          <cell r="D758" t="str">
            <v>2400329</v>
          </cell>
        </row>
        <row r="759">
          <cell r="C759" t="str">
            <v>오송</v>
          </cell>
          <cell r="D759" t="str">
            <v>2400330</v>
          </cell>
        </row>
        <row r="760">
          <cell r="C760" t="str">
            <v>오송</v>
          </cell>
          <cell r="D760" t="str">
            <v>2400331</v>
          </cell>
        </row>
        <row r="761">
          <cell r="C761" t="str">
            <v>오송</v>
          </cell>
          <cell r="D761" t="str">
            <v>2400429</v>
          </cell>
        </row>
        <row r="762">
          <cell r="C762" t="str">
            <v>오송</v>
          </cell>
          <cell r="D762" t="str">
            <v>2400430</v>
          </cell>
        </row>
        <row r="763">
          <cell r="C763" t="str">
            <v>오송</v>
          </cell>
          <cell r="D763" t="str">
            <v>2400431</v>
          </cell>
        </row>
        <row r="764">
          <cell r="C764" t="str">
            <v>오송</v>
          </cell>
          <cell r="D764" t="str">
            <v>3300304</v>
          </cell>
        </row>
        <row r="765">
          <cell r="C765" t="str">
            <v>오송</v>
          </cell>
          <cell r="D765" t="str">
            <v>3300305</v>
          </cell>
        </row>
        <row r="766">
          <cell r="C766" t="str">
            <v>오송</v>
          </cell>
          <cell r="D766" t="str">
            <v>3300306</v>
          </cell>
        </row>
        <row r="767">
          <cell r="C767" t="str">
            <v>오송</v>
          </cell>
          <cell r="D767" t="str">
            <v>3300307</v>
          </cell>
        </row>
        <row r="768">
          <cell r="C768" t="str">
            <v>오송</v>
          </cell>
          <cell r="D768" t="str">
            <v>3300311</v>
          </cell>
        </row>
        <row r="769">
          <cell r="C769" t="str">
            <v>오송</v>
          </cell>
          <cell r="D769" t="str">
            <v>3300312</v>
          </cell>
        </row>
        <row r="770">
          <cell r="C770" t="str">
            <v>오송</v>
          </cell>
          <cell r="D770" t="str">
            <v>4000148</v>
          </cell>
        </row>
        <row r="771">
          <cell r="C771" t="str">
            <v>오송</v>
          </cell>
          <cell r="D771" t="str">
            <v>4000149</v>
          </cell>
        </row>
        <row r="772">
          <cell r="C772" t="str">
            <v>오송</v>
          </cell>
          <cell r="D772" t="str">
            <v>4000150</v>
          </cell>
        </row>
        <row r="773">
          <cell r="C773" t="str">
            <v>오송</v>
          </cell>
          <cell r="D773" t="str">
            <v>4000242</v>
          </cell>
        </row>
        <row r="774">
          <cell r="C774" t="str">
            <v>오송</v>
          </cell>
          <cell r="D774" t="str">
            <v>4000243</v>
          </cell>
        </row>
        <row r="775">
          <cell r="C775" t="str">
            <v>오송</v>
          </cell>
          <cell r="D775" t="str">
            <v>4000330</v>
          </cell>
        </row>
        <row r="776">
          <cell r="C776" t="str">
            <v>오송</v>
          </cell>
          <cell r="D776" t="str">
            <v>4000331</v>
          </cell>
        </row>
        <row r="777">
          <cell r="C777" t="str">
            <v>오송</v>
          </cell>
          <cell r="D777" t="str">
            <v>4000332</v>
          </cell>
        </row>
        <row r="778">
          <cell r="C778" t="str">
            <v>오송</v>
          </cell>
          <cell r="D778" t="str">
            <v>4000336</v>
          </cell>
        </row>
        <row r="779">
          <cell r="C779" t="str">
            <v>오송</v>
          </cell>
          <cell r="D779" t="str">
            <v>4000337</v>
          </cell>
        </row>
        <row r="780">
          <cell r="C780" t="str">
            <v>오송</v>
          </cell>
          <cell r="D780" t="str">
            <v>4000338</v>
          </cell>
        </row>
        <row r="781">
          <cell r="C781" t="str">
            <v>오송</v>
          </cell>
          <cell r="D781" t="str">
            <v>4000339</v>
          </cell>
        </row>
        <row r="782">
          <cell r="C782" t="str">
            <v>오송</v>
          </cell>
          <cell r="D782" t="str">
            <v>4000340</v>
          </cell>
        </row>
        <row r="783">
          <cell r="C783" t="str">
            <v>오송</v>
          </cell>
          <cell r="D783" t="str">
            <v>4000341</v>
          </cell>
        </row>
        <row r="784">
          <cell r="C784" t="str">
            <v>오송</v>
          </cell>
          <cell r="D784" t="str">
            <v>4000342</v>
          </cell>
        </row>
        <row r="785">
          <cell r="C785" t="str">
            <v>오송</v>
          </cell>
          <cell r="D785" t="str">
            <v>4000344</v>
          </cell>
        </row>
        <row r="786">
          <cell r="C786" t="str">
            <v>오송</v>
          </cell>
          <cell r="D786" t="str">
            <v>4000345</v>
          </cell>
        </row>
        <row r="787">
          <cell r="C787" t="str">
            <v>오송</v>
          </cell>
          <cell r="D787" t="str">
            <v>4000346</v>
          </cell>
        </row>
        <row r="788">
          <cell r="C788" t="str">
            <v>오송</v>
          </cell>
          <cell r="D788" t="str">
            <v>4000347</v>
          </cell>
        </row>
        <row r="789">
          <cell r="C789" t="str">
            <v>오송</v>
          </cell>
          <cell r="D789" t="str">
            <v>4000348</v>
          </cell>
        </row>
        <row r="790">
          <cell r="C790" t="str">
            <v>오송</v>
          </cell>
          <cell r="D790" t="str">
            <v>4000350</v>
          </cell>
        </row>
        <row r="791">
          <cell r="C791" t="str">
            <v>오송</v>
          </cell>
          <cell r="D791" t="str">
            <v>4000351</v>
          </cell>
        </row>
        <row r="792">
          <cell r="C792" t="str">
            <v>오송</v>
          </cell>
          <cell r="D792" t="str">
            <v>4000352</v>
          </cell>
        </row>
        <row r="793">
          <cell r="C793" t="str">
            <v>오송</v>
          </cell>
          <cell r="D793" t="str">
            <v>4000353</v>
          </cell>
        </row>
        <row r="794">
          <cell r="C794" t="str">
            <v>오송</v>
          </cell>
          <cell r="D794" t="str">
            <v>4000354</v>
          </cell>
        </row>
        <row r="795">
          <cell r="C795" t="str">
            <v>오송</v>
          </cell>
          <cell r="D795" t="str">
            <v>4000355</v>
          </cell>
        </row>
        <row r="796">
          <cell r="C796" t="str">
            <v>오송</v>
          </cell>
          <cell r="D796" t="str">
            <v>4000411</v>
          </cell>
        </row>
        <row r="797">
          <cell r="C797" t="str">
            <v>오송</v>
          </cell>
          <cell r="D797" t="str">
            <v>4000412</v>
          </cell>
        </row>
        <row r="798">
          <cell r="C798" t="str">
            <v>오송</v>
          </cell>
          <cell r="D798" t="str">
            <v>4000413</v>
          </cell>
        </row>
        <row r="799">
          <cell r="C799" t="str">
            <v>오송</v>
          </cell>
          <cell r="D799" t="str">
            <v>4000417</v>
          </cell>
        </row>
        <row r="800">
          <cell r="C800" t="str">
            <v>오송</v>
          </cell>
          <cell r="D800" t="str">
            <v>4000418</v>
          </cell>
        </row>
        <row r="801">
          <cell r="C801" t="str">
            <v>오송</v>
          </cell>
          <cell r="D801" t="str">
            <v>4000419</v>
          </cell>
        </row>
        <row r="802">
          <cell r="C802" t="str">
            <v>오송</v>
          </cell>
          <cell r="D802" t="str">
            <v>4000435</v>
          </cell>
        </row>
        <row r="803">
          <cell r="C803" t="str">
            <v>오송</v>
          </cell>
          <cell r="D803" t="str">
            <v>4000436</v>
          </cell>
        </row>
        <row r="804">
          <cell r="C804" t="str">
            <v>오송</v>
          </cell>
          <cell r="D804" t="str">
            <v>4000437</v>
          </cell>
        </row>
        <row r="805">
          <cell r="C805" t="str">
            <v>오송</v>
          </cell>
          <cell r="D805" t="str">
            <v>4000438</v>
          </cell>
        </row>
        <row r="806">
          <cell r="C806" t="str">
            <v>오송</v>
          </cell>
          <cell r="D806" t="str">
            <v>4000439</v>
          </cell>
        </row>
        <row r="807">
          <cell r="C807" t="str">
            <v>오송</v>
          </cell>
          <cell r="D807" t="str">
            <v>4000440</v>
          </cell>
        </row>
        <row r="808">
          <cell r="C808" t="str">
            <v>오송</v>
          </cell>
          <cell r="D808" t="str">
            <v>4000441</v>
          </cell>
        </row>
        <row r="809">
          <cell r="C809" t="str">
            <v>오송</v>
          </cell>
          <cell r="D809" t="str">
            <v>4000442</v>
          </cell>
        </row>
        <row r="810">
          <cell r="C810" t="str">
            <v>오송</v>
          </cell>
          <cell r="D810" t="str">
            <v>4000443</v>
          </cell>
        </row>
        <row r="811">
          <cell r="C811" t="str">
            <v>오송</v>
          </cell>
          <cell r="D811" t="str">
            <v>4000444</v>
          </cell>
        </row>
        <row r="812">
          <cell r="C812" t="str">
            <v>오송</v>
          </cell>
          <cell r="D812" t="str">
            <v>4000445</v>
          </cell>
        </row>
        <row r="813">
          <cell r="C813" t="str">
            <v>오송</v>
          </cell>
          <cell r="D813" t="str">
            <v>4000467</v>
          </cell>
        </row>
        <row r="814">
          <cell r="C814" t="str">
            <v>오송</v>
          </cell>
          <cell r="D814" t="str">
            <v>4000468</v>
          </cell>
        </row>
        <row r="815">
          <cell r="C815" t="str">
            <v>오송</v>
          </cell>
          <cell r="D815" t="str">
            <v>4000469</v>
          </cell>
        </row>
        <row r="816">
          <cell r="C816" t="str">
            <v>오송</v>
          </cell>
          <cell r="D816" t="str">
            <v>4000532</v>
          </cell>
        </row>
        <row r="817">
          <cell r="C817" t="str">
            <v>오송</v>
          </cell>
          <cell r="D817" t="str">
            <v>4000533</v>
          </cell>
        </row>
        <row r="818">
          <cell r="C818" t="str">
            <v>오송</v>
          </cell>
          <cell r="D818" t="str">
            <v>4000534</v>
          </cell>
        </row>
        <row r="819">
          <cell r="C819" t="str">
            <v>오송</v>
          </cell>
          <cell r="D819" t="str">
            <v>4000552</v>
          </cell>
        </row>
        <row r="820">
          <cell r="C820" t="str">
            <v>오송</v>
          </cell>
          <cell r="D820" t="str">
            <v>4000553</v>
          </cell>
        </row>
        <row r="821">
          <cell r="C821" t="str">
            <v>오송</v>
          </cell>
          <cell r="D821" t="str">
            <v>4000560</v>
          </cell>
        </row>
        <row r="822">
          <cell r="C822" t="str">
            <v>오송</v>
          </cell>
          <cell r="D822" t="str">
            <v>4000561</v>
          </cell>
        </row>
        <row r="823">
          <cell r="C823" t="str">
            <v>오송</v>
          </cell>
          <cell r="D823" t="str">
            <v>4000567</v>
          </cell>
        </row>
        <row r="824">
          <cell r="C824" t="str">
            <v>오송</v>
          </cell>
          <cell r="D824" t="str">
            <v>4000568</v>
          </cell>
        </row>
        <row r="825">
          <cell r="C825" t="str">
            <v>오송</v>
          </cell>
          <cell r="D825" t="str">
            <v>4000569</v>
          </cell>
        </row>
        <row r="826">
          <cell r="C826" t="str">
            <v>오송</v>
          </cell>
          <cell r="D826" t="str">
            <v>4000593</v>
          </cell>
        </row>
        <row r="827">
          <cell r="C827" t="str">
            <v>오송</v>
          </cell>
          <cell r="D827" t="str">
            <v>4000594</v>
          </cell>
        </row>
        <row r="828">
          <cell r="C828" t="str">
            <v>오송</v>
          </cell>
          <cell r="D828" t="str">
            <v>4000603</v>
          </cell>
        </row>
        <row r="829">
          <cell r="C829" t="str">
            <v>오송</v>
          </cell>
          <cell r="D829" t="str">
            <v>4000605</v>
          </cell>
        </row>
        <row r="830">
          <cell r="C830" t="str">
            <v>오송</v>
          </cell>
          <cell r="D830" t="str">
            <v>4000606</v>
          </cell>
        </row>
        <row r="831">
          <cell r="C831" t="str">
            <v>오송</v>
          </cell>
          <cell r="D831" t="str">
            <v>4000629</v>
          </cell>
        </row>
        <row r="832">
          <cell r="C832" t="str">
            <v>오송</v>
          </cell>
          <cell r="D832" t="str">
            <v>4000630</v>
          </cell>
        </row>
        <row r="833">
          <cell r="C833" t="str">
            <v>오송</v>
          </cell>
          <cell r="D833" t="str">
            <v>4000631</v>
          </cell>
        </row>
        <row r="834">
          <cell r="C834" t="str">
            <v>오송</v>
          </cell>
          <cell r="D834" t="str">
            <v>4000642</v>
          </cell>
        </row>
        <row r="835">
          <cell r="C835" t="str">
            <v>오송</v>
          </cell>
          <cell r="D835" t="str">
            <v>4000643</v>
          </cell>
        </row>
        <row r="836">
          <cell r="C836" t="str">
            <v>오송</v>
          </cell>
          <cell r="D836" t="str">
            <v>4000644</v>
          </cell>
        </row>
        <row r="837">
          <cell r="C837" t="str">
            <v>오송</v>
          </cell>
          <cell r="D837" t="str">
            <v>4000798</v>
          </cell>
        </row>
        <row r="838">
          <cell r="C838" t="str">
            <v>오송</v>
          </cell>
          <cell r="D838" t="str">
            <v>4000799</v>
          </cell>
        </row>
        <row r="839">
          <cell r="C839" t="str">
            <v>오송</v>
          </cell>
          <cell r="D839" t="str">
            <v>4000906</v>
          </cell>
        </row>
        <row r="840">
          <cell r="C840" t="str">
            <v>오송</v>
          </cell>
          <cell r="D840" t="str">
            <v>4000990</v>
          </cell>
        </row>
        <row r="841">
          <cell r="C841" t="str">
            <v>오송</v>
          </cell>
          <cell r="D841" t="str">
            <v>4000991</v>
          </cell>
        </row>
        <row r="842">
          <cell r="C842" t="str">
            <v>오송</v>
          </cell>
          <cell r="D842" t="str">
            <v>4000992</v>
          </cell>
        </row>
        <row r="843">
          <cell r="C843" t="str">
            <v>오송</v>
          </cell>
          <cell r="D843" t="str">
            <v>4000993</v>
          </cell>
        </row>
        <row r="844">
          <cell r="C844" t="str">
            <v>오송</v>
          </cell>
          <cell r="D844" t="str">
            <v>4000994</v>
          </cell>
        </row>
        <row r="845">
          <cell r="C845" t="str">
            <v>오송</v>
          </cell>
          <cell r="D845" t="str">
            <v>4000995</v>
          </cell>
        </row>
        <row r="846">
          <cell r="C846" t="str">
            <v>오송</v>
          </cell>
          <cell r="D846" t="str">
            <v>4000996</v>
          </cell>
        </row>
        <row r="847">
          <cell r="C847" t="str">
            <v>오송</v>
          </cell>
          <cell r="D847" t="str">
            <v>4000997</v>
          </cell>
        </row>
        <row r="848">
          <cell r="C848" t="str">
            <v>오송</v>
          </cell>
          <cell r="D848" t="str">
            <v>4000998</v>
          </cell>
        </row>
        <row r="849">
          <cell r="C849" t="str">
            <v>오송</v>
          </cell>
          <cell r="D849" t="str">
            <v>4000999</v>
          </cell>
        </row>
        <row r="850">
          <cell r="C850" t="str">
            <v>오송</v>
          </cell>
          <cell r="D850" t="str">
            <v>4001000</v>
          </cell>
        </row>
        <row r="851">
          <cell r="C851" t="str">
            <v>오송</v>
          </cell>
          <cell r="D851" t="str">
            <v>4001001</v>
          </cell>
        </row>
        <row r="852">
          <cell r="C852" t="str">
            <v>오송</v>
          </cell>
          <cell r="D852" t="str">
            <v>4001002</v>
          </cell>
        </row>
        <row r="853">
          <cell r="C853" t="str">
            <v>오송</v>
          </cell>
          <cell r="D853" t="str">
            <v>4001003</v>
          </cell>
        </row>
        <row r="854">
          <cell r="C854" t="str">
            <v>오송</v>
          </cell>
          <cell r="D854" t="str">
            <v>4001004</v>
          </cell>
        </row>
        <row r="855">
          <cell r="C855" t="str">
            <v>오송</v>
          </cell>
          <cell r="D855" t="str">
            <v>4001005</v>
          </cell>
        </row>
        <row r="856">
          <cell r="C856" t="str">
            <v>오송</v>
          </cell>
          <cell r="D856" t="str">
            <v>4001006</v>
          </cell>
        </row>
        <row r="857">
          <cell r="C857" t="str">
            <v>오송</v>
          </cell>
          <cell r="D857" t="str">
            <v>4001007</v>
          </cell>
        </row>
        <row r="858">
          <cell r="C858" t="str">
            <v>오송</v>
          </cell>
          <cell r="D858" t="str">
            <v>4001008</v>
          </cell>
        </row>
        <row r="859">
          <cell r="C859" t="str">
            <v>오송</v>
          </cell>
          <cell r="D859" t="str">
            <v>4001009</v>
          </cell>
        </row>
        <row r="860">
          <cell r="C860" t="str">
            <v>오송</v>
          </cell>
          <cell r="D860" t="str">
            <v>4001010</v>
          </cell>
        </row>
        <row r="861">
          <cell r="C861" t="str">
            <v>오송</v>
          </cell>
          <cell r="D861" t="str">
            <v>4001011</v>
          </cell>
        </row>
        <row r="862">
          <cell r="C862" t="str">
            <v>오송</v>
          </cell>
          <cell r="D862" t="str">
            <v>4001012</v>
          </cell>
        </row>
        <row r="863">
          <cell r="C863" t="str">
            <v>오송</v>
          </cell>
          <cell r="D863" t="str">
            <v>4001343</v>
          </cell>
        </row>
        <row r="864">
          <cell r="C864" t="str">
            <v>오송</v>
          </cell>
          <cell r="D864" t="str">
            <v>4001344</v>
          </cell>
        </row>
        <row r="865">
          <cell r="C865" t="str">
            <v>오송</v>
          </cell>
          <cell r="D865" t="str">
            <v>4001345</v>
          </cell>
        </row>
        <row r="866">
          <cell r="C866" t="str">
            <v>오송</v>
          </cell>
          <cell r="D866" t="str">
            <v>4001346</v>
          </cell>
        </row>
        <row r="867">
          <cell r="C867" t="str">
            <v>오송</v>
          </cell>
          <cell r="D867" t="str">
            <v>4001347</v>
          </cell>
        </row>
        <row r="868">
          <cell r="C868" t="str">
            <v>오송</v>
          </cell>
          <cell r="D868" t="str">
            <v>4001348</v>
          </cell>
        </row>
        <row r="869">
          <cell r="C869" t="str">
            <v>오송</v>
          </cell>
          <cell r="D869" t="str">
            <v>4001349</v>
          </cell>
        </row>
        <row r="870">
          <cell r="C870" t="str">
            <v>오송</v>
          </cell>
          <cell r="D870" t="str">
            <v>4001350</v>
          </cell>
        </row>
        <row r="871">
          <cell r="C871" t="str">
            <v>오송</v>
          </cell>
          <cell r="D871" t="str">
            <v>4001351</v>
          </cell>
        </row>
        <row r="872">
          <cell r="C872" t="str">
            <v>오송</v>
          </cell>
          <cell r="D872" t="str">
            <v>4001352</v>
          </cell>
        </row>
        <row r="873">
          <cell r="C873" t="str">
            <v>오송</v>
          </cell>
          <cell r="D873" t="str">
            <v>4001353</v>
          </cell>
        </row>
        <row r="874">
          <cell r="C874" t="str">
            <v>오송</v>
          </cell>
          <cell r="D874" t="str">
            <v>4001354</v>
          </cell>
        </row>
        <row r="875">
          <cell r="C875" t="str">
            <v>오송</v>
          </cell>
          <cell r="D875" t="str">
            <v>4001355</v>
          </cell>
        </row>
        <row r="876">
          <cell r="C876" t="str">
            <v>오송</v>
          </cell>
          <cell r="D876" t="str">
            <v>4001356</v>
          </cell>
        </row>
        <row r="877">
          <cell r="C877" t="str">
            <v>오송</v>
          </cell>
          <cell r="D877" t="str">
            <v>4001357</v>
          </cell>
        </row>
        <row r="878">
          <cell r="C878" t="str">
            <v>오송</v>
          </cell>
          <cell r="D878" t="str">
            <v>4001358</v>
          </cell>
        </row>
        <row r="879">
          <cell r="C879" t="str">
            <v>오송</v>
          </cell>
          <cell r="D879" t="str">
            <v>4001359</v>
          </cell>
        </row>
        <row r="880">
          <cell r="C880" t="str">
            <v>오송</v>
          </cell>
          <cell r="D880" t="str">
            <v>4001360</v>
          </cell>
        </row>
        <row r="881">
          <cell r="C881" t="str">
            <v>오송</v>
          </cell>
          <cell r="D881" t="str">
            <v>4001361</v>
          </cell>
        </row>
        <row r="882">
          <cell r="C882" t="str">
            <v>오송</v>
          </cell>
          <cell r="D882" t="str">
            <v>4001362</v>
          </cell>
        </row>
        <row r="883">
          <cell r="C883" t="str">
            <v>오송</v>
          </cell>
          <cell r="D883" t="str">
            <v>4001365</v>
          </cell>
        </row>
        <row r="884">
          <cell r="C884" t="str">
            <v>오송</v>
          </cell>
          <cell r="D884" t="str">
            <v>4001366</v>
          </cell>
        </row>
        <row r="885">
          <cell r="C885" t="str">
            <v>오송</v>
          </cell>
          <cell r="D885" t="str">
            <v>4001368</v>
          </cell>
        </row>
        <row r="886">
          <cell r="C886" t="str">
            <v>오송</v>
          </cell>
          <cell r="D886" t="str">
            <v>4001369</v>
          </cell>
        </row>
        <row r="887">
          <cell r="C887" t="str">
            <v>오송</v>
          </cell>
          <cell r="D887" t="str">
            <v>4001379</v>
          </cell>
        </row>
        <row r="888">
          <cell r="C888" t="str">
            <v>오송</v>
          </cell>
          <cell r="D888" t="str">
            <v>4001380</v>
          </cell>
        </row>
        <row r="889">
          <cell r="C889" t="str">
            <v>오송</v>
          </cell>
          <cell r="D889" t="str">
            <v>4001381</v>
          </cell>
        </row>
        <row r="890">
          <cell r="C890" t="str">
            <v>오송</v>
          </cell>
          <cell r="D890" t="str">
            <v>4001382</v>
          </cell>
        </row>
        <row r="891">
          <cell r="C891" t="str">
            <v>오송</v>
          </cell>
          <cell r="D891" t="str">
            <v>4001383</v>
          </cell>
        </row>
        <row r="892">
          <cell r="C892" t="str">
            <v>오송</v>
          </cell>
          <cell r="D892" t="str">
            <v>4001384</v>
          </cell>
        </row>
        <row r="893">
          <cell r="C893" t="str">
            <v>오송</v>
          </cell>
          <cell r="D893" t="str">
            <v>4001385</v>
          </cell>
        </row>
        <row r="894">
          <cell r="C894" t="str">
            <v>오송</v>
          </cell>
          <cell r="D894" t="str">
            <v>4001386</v>
          </cell>
        </row>
        <row r="895">
          <cell r="C895" t="str">
            <v>오송</v>
          </cell>
          <cell r="D895" t="str">
            <v>4001387</v>
          </cell>
        </row>
        <row r="896">
          <cell r="C896" t="str">
            <v>오송</v>
          </cell>
          <cell r="D896" t="str">
            <v>4001388</v>
          </cell>
        </row>
        <row r="897">
          <cell r="C897" t="str">
            <v>오송</v>
          </cell>
          <cell r="D897" t="str">
            <v>4001389</v>
          </cell>
        </row>
        <row r="898">
          <cell r="C898" t="str">
            <v>오송</v>
          </cell>
          <cell r="D898" t="str">
            <v>4001390</v>
          </cell>
        </row>
        <row r="899">
          <cell r="C899" t="str">
            <v>오송</v>
          </cell>
          <cell r="D899" t="str">
            <v>4001391</v>
          </cell>
        </row>
        <row r="900">
          <cell r="C900" t="str">
            <v>오송</v>
          </cell>
          <cell r="D900" t="str">
            <v>4001392</v>
          </cell>
        </row>
        <row r="901">
          <cell r="C901" t="str">
            <v>오송</v>
          </cell>
          <cell r="D901" t="str">
            <v>4001393</v>
          </cell>
        </row>
        <row r="902">
          <cell r="C902" t="str">
            <v>오송</v>
          </cell>
          <cell r="D902" t="str">
            <v>4001394</v>
          </cell>
        </row>
        <row r="903">
          <cell r="C903" t="str">
            <v>오송</v>
          </cell>
          <cell r="D903" t="str">
            <v>4001395</v>
          </cell>
        </row>
        <row r="904">
          <cell r="C904" t="str">
            <v>오송</v>
          </cell>
          <cell r="D904" t="str">
            <v>4001396</v>
          </cell>
        </row>
        <row r="905">
          <cell r="C905" t="str">
            <v>오송</v>
          </cell>
          <cell r="D905" t="str">
            <v>4001397</v>
          </cell>
        </row>
        <row r="906">
          <cell r="C906" t="str">
            <v>오송</v>
          </cell>
          <cell r="D906" t="str">
            <v>4001398</v>
          </cell>
        </row>
        <row r="907">
          <cell r="C907" t="str">
            <v>오송</v>
          </cell>
          <cell r="D907" t="str">
            <v>4001399</v>
          </cell>
        </row>
        <row r="908">
          <cell r="C908" t="str">
            <v>오송</v>
          </cell>
          <cell r="D908" t="str">
            <v>4001400</v>
          </cell>
        </row>
        <row r="909">
          <cell r="C909" t="str">
            <v>오송</v>
          </cell>
          <cell r="D909" t="str">
            <v>4001401</v>
          </cell>
        </row>
        <row r="910">
          <cell r="C910" t="str">
            <v>오송</v>
          </cell>
          <cell r="D910" t="str">
            <v>4001402</v>
          </cell>
        </row>
        <row r="911">
          <cell r="C911" t="str">
            <v>오송</v>
          </cell>
          <cell r="D911" t="str">
            <v>4001403</v>
          </cell>
        </row>
        <row r="912">
          <cell r="C912" t="str">
            <v>오송</v>
          </cell>
          <cell r="D912" t="str">
            <v>4001406</v>
          </cell>
        </row>
        <row r="913">
          <cell r="C913" t="str">
            <v>오송</v>
          </cell>
          <cell r="D913" t="str">
            <v>4001407</v>
          </cell>
        </row>
        <row r="914">
          <cell r="C914" t="str">
            <v>오송</v>
          </cell>
          <cell r="D914" t="str">
            <v>4001408</v>
          </cell>
        </row>
        <row r="915">
          <cell r="C915" t="str">
            <v>오송</v>
          </cell>
          <cell r="D915" t="str">
            <v>4001409</v>
          </cell>
        </row>
        <row r="916">
          <cell r="C916" t="str">
            <v>오송</v>
          </cell>
          <cell r="D916" t="str">
            <v>4001410</v>
          </cell>
        </row>
        <row r="917">
          <cell r="C917" t="str">
            <v>오송</v>
          </cell>
          <cell r="D917" t="str">
            <v>4001412</v>
          </cell>
        </row>
        <row r="918">
          <cell r="C918" t="str">
            <v>오송</v>
          </cell>
          <cell r="D918" t="str">
            <v>4001413</v>
          </cell>
        </row>
        <row r="919">
          <cell r="C919" t="str">
            <v>오송</v>
          </cell>
          <cell r="D919" t="str">
            <v>4001414</v>
          </cell>
        </row>
        <row r="920">
          <cell r="C920" t="str">
            <v>오송</v>
          </cell>
          <cell r="D920" t="str">
            <v>4001415</v>
          </cell>
        </row>
        <row r="921">
          <cell r="C921" t="str">
            <v>오송</v>
          </cell>
          <cell r="D921" t="str">
            <v>4001416</v>
          </cell>
        </row>
        <row r="922">
          <cell r="C922" t="str">
            <v>오송</v>
          </cell>
          <cell r="D922" t="str">
            <v>4001417</v>
          </cell>
        </row>
        <row r="923">
          <cell r="C923" t="str">
            <v>오송</v>
          </cell>
          <cell r="D923" t="str">
            <v>4001418</v>
          </cell>
        </row>
        <row r="924">
          <cell r="C924" t="str">
            <v>오송</v>
          </cell>
          <cell r="D924" t="str">
            <v>4001436</v>
          </cell>
        </row>
        <row r="925">
          <cell r="C925" t="str">
            <v>오송</v>
          </cell>
          <cell r="D925" t="str">
            <v>4001439</v>
          </cell>
        </row>
        <row r="926">
          <cell r="C926" t="str">
            <v>오송</v>
          </cell>
          <cell r="D926" t="str">
            <v>4001444</v>
          </cell>
        </row>
        <row r="927">
          <cell r="C927" t="str">
            <v>오송</v>
          </cell>
          <cell r="D927" t="str">
            <v>4001445</v>
          </cell>
        </row>
        <row r="928">
          <cell r="C928" t="str">
            <v>오송</v>
          </cell>
          <cell r="D928" t="str">
            <v>4001446</v>
          </cell>
        </row>
        <row r="929">
          <cell r="C929" t="str">
            <v>오송</v>
          </cell>
          <cell r="D929" t="str">
            <v>4001447</v>
          </cell>
        </row>
        <row r="930">
          <cell r="C930" t="str">
            <v>오송</v>
          </cell>
          <cell r="D930" t="str">
            <v>4001448</v>
          </cell>
        </row>
        <row r="931">
          <cell r="C931" t="str">
            <v>오송</v>
          </cell>
          <cell r="D931" t="str">
            <v>4001454</v>
          </cell>
        </row>
        <row r="932">
          <cell r="C932" t="str">
            <v>오송</v>
          </cell>
          <cell r="D932" t="str">
            <v>4001455</v>
          </cell>
        </row>
        <row r="933">
          <cell r="C933" t="str">
            <v>오송</v>
          </cell>
          <cell r="D933" t="str">
            <v>4001456</v>
          </cell>
        </row>
        <row r="934">
          <cell r="C934" t="str">
            <v>오송</v>
          </cell>
          <cell r="D934" t="str">
            <v>4001457</v>
          </cell>
        </row>
        <row r="935">
          <cell r="C935" t="str">
            <v>오송</v>
          </cell>
          <cell r="D935" t="str">
            <v>4001458</v>
          </cell>
        </row>
        <row r="936">
          <cell r="C936" t="str">
            <v>오송</v>
          </cell>
          <cell r="D936" t="str">
            <v>4001459</v>
          </cell>
        </row>
        <row r="937">
          <cell r="C937" t="str">
            <v>오송</v>
          </cell>
          <cell r="D937" t="str">
            <v>4001461</v>
          </cell>
        </row>
        <row r="938">
          <cell r="C938" t="str">
            <v>오송</v>
          </cell>
          <cell r="D938" t="str">
            <v>4001463</v>
          </cell>
        </row>
        <row r="939">
          <cell r="C939" t="str">
            <v>오송</v>
          </cell>
          <cell r="D939" t="str">
            <v>4001464</v>
          </cell>
        </row>
        <row r="940">
          <cell r="C940" t="str">
            <v>오송</v>
          </cell>
          <cell r="D940" t="str">
            <v>4001465</v>
          </cell>
        </row>
        <row r="941">
          <cell r="C941" t="str">
            <v>오송</v>
          </cell>
          <cell r="D941" t="str">
            <v>4001887</v>
          </cell>
        </row>
        <row r="942">
          <cell r="C942" t="str">
            <v>오송</v>
          </cell>
          <cell r="D942" t="str">
            <v>4001897</v>
          </cell>
        </row>
        <row r="943">
          <cell r="C943" t="str">
            <v>오송</v>
          </cell>
          <cell r="D943" t="str">
            <v>4001898</v>
          </cell>
        </row>
        <row r="944">
          <cell r="C944" t="str">
            <v>오송</v>
          </cell>
          <cell r="D944" t="str">
            <v>4003993</v>
          </cell>
        </row>
        <row r="945">
          <cell r="C945" t="str">
            <v>오송</v>
          </cell>
          <cell r="D945" t="str">
            <v>4003994</v>
          </cell>
        </row>
        <row r="946">
          <cell r="C946" t="str">
            <v>오송</v>
          </cell>
          <cell r="D946" t="str">
            <v>4003995</v>
          </cell>
        </row>
        <row r="947">
          <cell r="C947" t="str">
            <v>오송</v>
          </cell>
          <cell r="D947" t="str">
            <v>4003996</v>
          </cell>
        </row>
        <row r="948">
          <cell r="C948" t="str">
            <v>오송</v>
          </cell>
          <cell r="D948" t="str">
            <v>4003997</v>
          </cell>
        </row>
        <row r="949">
          <cell r="C949" t="str">
            <v>오송</v>
          </cell>
          <cell r="D949" t="str">
            <v>4003998</v>
          </cell>
        </row>
        <row r="950">
          <cell r="C950" t="str">
            <v>오송</v>
          </cell>
          <cell r="D950" t="str">
            <v>4003999</v>
          </cell>
        </row>
        <row r="951">
          <cell r="C951" t="str">
            <v>오송</v>
          </cell>
          <cell r="D951" t="str">
            <v>4004000</v>
          </cell>
        </row>
        <row r="952">
          <cell r="C952" t="str">
            <v>오송</v>
          </cell>
          <cell r="D952" t="str">
            <v>4004003</v>
          </cell>
        </row>
        <row r="953">
          <cell r="C953" t="str">
            <v>오송</v>
          </cell>
          <cell r="D953" t="str">
            <v>4004005</v>
          </cell>
        </row>
        <row r="954">
          <cell r="C954" t="str">
            <v>오송</v>
          </cell>
          <cell r="D954" t="str">
            <v>4004006</v>
          </cell>
        </row>
        <row r="955">
          <cell r="C955" t="str">
            <v>오송</v>
          </cell>
          <cell r="D955" t="str">
            <v>4004024</v>
          </cell>
        </row>
        <row r="956">
          <cell r="C956" t="str">
            <v>오송</v>
          </cell>
          <cell r="D956" t="str">
            <v>4004026</v>
          </cell>
        </row>
        <row r="957">
          <cell r="C957" t="str">
            <v>오송</v>
          </cell>
          <cell r="D957" t="str">
            <v>4004027</v>
          </cell>
        </row>
        <row r="958">
          <cell r="C958" t="str">
            <v>오송</v>
          </cell>
          <cell r="D958" t="str">
            <v>4004062</v>
          </cell>
        </row>
        <row r="959">
          <cell r="C959" t="str">
            <v>오송</v>
          </cell>
          <cell r="D959" t="str">
            <v>4004079</v>
          </cell>
        </row>
        <row r="960">
          <cell r="C960" t="str">
            <v>오송</v>
          </cell>
          <cell r="D960" t="str">
            <v>4004080</v>
          </cell>
        </row>
        <row r="961">
          <cell r="C961" t="str">
            <v>오송</v>
          </cell>
          <cell r="D961" t="str">
            <v>4004081</v>
          </cell>
        </row>
        <row r="962">
          <cell r="C962" t="str">
            <v>오송</v>
          </cell>
          <cell r="D962" t="str">
            <v>4004082</v>
          </cell>
        </row>
        <row r="963">
          <cell r="C963" t="str">
            <v>오송</v>
          </cell>
          <cell r="D963" t="str">
            <v>4004083</v>
          </cell>
        </row>
        <row r="964">
          <cell r="C964" t="str">
            <v>오송</v>
          </cell>
          <cell r="D964" t="str">
            <v>4004089</v>
          </cell>
        </row>
        <row r="965">
          <cell r="C965" t="str">
            <v>오송</v>
          </cell>
          <cell r="D965" t="str">
            <v>4004092</v>
          </cell>
        </row>
        <row r="966">
          <cell r="C966" t="str">
            <v>오송</v>
          </cell>
          <cell r="D966" t="str">
            <v>4004093</v>
          </cell>
        </row>
        <row r="967">
          <cell r="C967" t="str">
            <v>오송</v>
          </cell>
          <cell r="D967" t="str">
            <v>4300030</v>
          </cell>
        </row>
        <row r="968">
          <cell r="C968" t="str">
            <v>오송</v>
          </cell>
          <cell r="D968" t="str">
            <v>4300031</v>
          </cell>
        </row>
        <row r="969">
          <cell r="C969" t="str">
            <v>오송</v>
          </cell>
          <cell r="D969" t="str">
            <v>4300032</v>
          </cell>
        </row>
        <row r="970">
          <cell r="C970" t="str">
            <v>오송</v>
          </cell>
          <cell r="D970" t="str">
            <v>4300060</v>
          </cell>
        </row>
        <row r="971">
          <cell r="C971" t="str">
            <v>오송</v>
          </cell>
          <cell r="D971" t="str">
            <v>4300061</v>
          </cell>
        </row>
        <row r="972">
          <cell r="C972" t="str">
            <v>오송</v>
          </cell>
          <cell r="D972" t="str">
            <v>4300062</v>
          </cell>
        </row>
        <row r="973">
          <cell r="C973" t="str">
            <v>오송</v>
          </cell>
          <cell r="D973" t="str">
            <v>4300063</v>
          </cell>
        </row>
        <row r="974">
          <cell r="C974" t="str">
            <v>오송</v>
          </cell>
          <cell r="D974" t="str">
            <v>4300064</v>
          </cell>
        </row>
        <row r="975">
          <cell r="C975" t="str">
            <v>오송</v>
          </cell>
          <cell r="D975" t="str">
            <v>4300065</v>
          </cell>
        </row>
        <row r="976">
          <cell r="C976" t="str">
            <v>오송</v>
          </cell>
          <cell r="D976" t="str">
            <v>4300066</v>
          </cell>
        </row>
        <row r="977">
          <cell r="C977" t="str">
            <v>오송</v>
          </cell>
          <cell r="D977" t="str">
            <v>4300076</v>
          </cell>
        </row>
        <row r="978">
          <cell r="C978" t="str">
            <v>오송</v>
          </cell>
          <cell r="D978" t="str">
            <v>4300077</v>
          </cell>
        </row>
        <row r="979">
          <cell r="C979" t="str">
            <v>오송</v>
          </cell>
          <cell r="D979" t="str">
            <v>4300078</v>
          </cell>
        </row>
        <row r="980">
          <cell r="C980" t="str">
            <v>오송</v>
          </cell>
          <cell r="D980" t="str">
            <v>4300096</v>
          </cell>
        </row>
        <row r="981">
          <cell r="C981" t="str">
            <v>오송</v>
          </cell>
          <cell r="D981" t="str">
            <v>4300112</v>
          </cell>
        </row>
        <row r="982">
          <cell r="C982" t="str">
            <v>오송</v>
          </cell>
          <cell r="D982" t="str">
            <v>4300113</v>
          </cell>
        </row>
        <row r="983">
          <cell r="C983" t="str">
            <v>오송</v>
          </cell>
          <cell r="D983" t="str">
            <v>4300114</v>
          </cell>
        </row>
        <row r="984">
          <cell r="C984" t="str">
            <v>오송</v>
          </cell>
          <cell r="D984" t="str">
            <v>4300115</v>
          </cell>
        </row>
        <row r="985">
          <cell r="C985" t="str">
            <v>오송</v>
          </cell>
          <cell r="D985" t="str">
            <v>4300116</v>
          </cell>
        </row>
        <row r="986">
          <cell r="C986" t="str">
            <v>오송</v>
          </cell>
          <cell r="D986" t="str">
            <v>4300145</v>
          </cell>
        </row>
        <row r="987">
          <cell r="C987" t="str">
            <v>오송</v>
          </cell>
          <cell r="D987" t="str">
            <v>4300146</v>
          </cell>
        </row>
        <row r="988">
          <cell r="C988" t="str">
            <v>오송</v>
          </cell>
          <cell r="D988" t="str">
            <v>4300147</v>
          </cell>
        </row>
        <row r="989">
          <cell r="C989" t="str">
            <v>오송</v>
          </cell>
          <cell r="D989" t="str">
            <v>4300148</v>
          </cell>
        </row>
        <row r="990">
          <cell r="C990" t="str">
            <v>오송</v>
          </cell>
          <cell r="D990" t="str">
            <v>4300231</v>
          </cell>
        </row>
        <row r="991">
          <cell r="C991" t="str">
            <v>오송</v>
          </cell>
          <cell r="D991" t="str">
            <v>4300232</v>
          </cell>
        </row>
        <row r="992">
          <cell r="C992" t="str">
            <v>오송</v>
          </cell>
          <cell r="D992" t="str">
            <v>4300233</v>
          </cell>
        </row>
        <row r="993">
          <cell r="C993" t="str">
            <v>오송</v>
          </cell>
          <cell r="D993" t="str">
            <v>4300234</v>
          </cell>
        </row>
        <row r="994">
          <cell r="C994" t="str">
            <v>오송</v>
          </cell>
          <cell r="D994" t="str">
            <v>4300235</v>
          </cell>
        </row>
        <row r="995">
          <cell r="C995" t="str">
            <v>오송</v>
          </cell>
          <cell r="D995" t="str">
            <v>4300236</v>
          </cell>
        </row>
        <row r="996">
          <cell r="C996" t="str">
            <v>오송</v>
          </cell>
          <cell r="D996" t="str">
            <v>4300237</v>
          </cell>
        </row>
        <row r="997">
          <cell r="C997" t="str">
            <v>오송</v>
          </cell>
          <cell r="D997" t="str">
            <v>4300238</v>
          </cell>
        </row>
        <row r="998">
          <cell r="C998" t="str">
            <v>오송</v>
          </cell>
          <cell r="D998" t="str">
            <v>4300239</v>
          </cell>
        </row>
        <row r="999">
          <cell r="C999" t="str">
            <v>오송</v>
          </cell>
          <cell r="D999" t="str">
            <v>4300240</v>
          </cell>
        </row>
        <row r="1000">
          <cell r="C1000" t="str">
            <v>오송</v>
          </cell>
          <cell r="D1000" t="str">
            <v>4300264</v>
          </cell>
        </row>
        <row r="1001">
          <cell r="C1001" t="str">
            <v>오송</v>
          </cell>
          <cell r="D1001" t="str">
            <v>4300265</v>
          </cell>
        </row>
        <row r="1002">
          <cell r="C1002" t="str">
            <v>오송</v>
          </cell>
          <cell r="D1002" t="str">
            <v>4300266</v>
          </cell>
        </row>
        <row r="1003">
          <cell r="C1003" t="str">
            <v>오송</v>
          </cell>
          <cell r="D1003" t="str">
            <v>4300268</v>
          </cell>
        </row>
        <row r="1004">
          <cell r="C1004" t="str">
            <v>오송</v>
          </cell>
          <cell r="D1004" t="str">
            <v>4300269</v>
          </cell>
        </row>
        <row r="1005">
          <cell r="C1005" t="str">
            <v>오송</v>
          </cell>
          <cell r="D1005" t="str">
            <v>4300270</v>
          </cell>
        </row>
        <row r="1006">
          <cell r="C1006" t="str">
            <v>오송</v>
          </cell>
          <cell r="D1006" t="str">
            <v>4300271</v>
          </cell>
        </row>
        <row r="1007">
          <cell r="C1007" t="str">
            <v>오송</v>
          </cell>
          <cell r="D1007" t="str">
            <v>4300310</v>
          </cell>
        </row>
        <row r="1008">
          <cell r="C1008" t="str">
            <v>오송</v>
          </cell>
          <cell r="D1008" t="str">
            <v>4300311</v>
          </cell>
        </row>
        <row r="1009">
          <cell r="C1009" t="str">
            <v>오송</v>
          </cell>
          <cell r="D1009" t="str">
            <v>4300312</v>
          </cell>
        </row>
        <row r="1010">
          <cell r="C1010" t="str">
            <v>오송</v>
          </cell>
          <cell r="D1010" t="str">
            <v>4300313</v>
          </cell>
        </row>
        <row r="1011">
          <cell r="C1011" t="str">
            <v>오송</v>
          </cell>
          <cell r="D1011" t="str">
            <v>4300314</v>
          </cell>
        </row>
        <row r="1012">
          <cell r="C1012" t="str">
            <v>오송</v>
          </cell>
          <cell r="D1012" t="str">
            <v>4300315</v>
          </cell>
        </row>
        <row r="1013">
          <cell r="C1013" t="str">
            <v>오송</v>
          </cell>
          <cell r="D1013" t="str">
            <v>4300316</v>
          </cell>
        </row>
        <row r="1014">
          <cell r="C1014" t="str">
            <v>오송</v>
          </cell>
          <cell r="D1014" t="str">
            <v>4300317</v>
          </cell>
        </row>
        <row r="1015">
          <cell r="C1015" t="str">
            <v>오송</v>
          </cell>
          <cell r="D1015" t="str">
            <v>4300318</v>
          </cell>
        </row>
        <row r="1016">
          <cell r="C1016" t="str">
            <v>오송</v>
          </cell>
          <cell r="D1016" t="str">
            <v>4300319</v>
          </cell>
        </row>
        <row r="1017">
          <cell r="C1017" t="str">
            <v>오송</v>
          </cell>
          <cell r="D1017" t="str">
            <v>4300320</v>
          </cell>
        </row>
        <row r="1018">
          <cell r="C1018" t="str">
            <v>오송</v>
          </cell>
          <cell r="D1018" t="str">
            <v>4300321</v>
          </cell>
        </row>
        <row r="1019">
          <cell r="C1019" t="str">
            <v>오송</v>
          </cell>
          <cell r="D1019" t="str">
            <v>4300322</v>
          </cell>
        </row>
        <row r="1020">
          <cell r="C1020" t="str">
            <v>오송</v>
          </cell>
          <cell r="D1020" t="str">
            <v>4300323</v>
          </cell>
        </row>
        <row r="1021">
          <cell r="C1021" t="str">
            <v>오송</v>
          </cell>
          <cell r="D1021" t="str">
            <v>4300324</v>
          </cell>
        </row>
        <row r="1022">
          <cell r="C1022" t="str">
            <v>오송</v>
          </cell>
          <cell r="D1022" t="str">
            <v>4300325</v>
          </cell>
        </row>
        <row r="1023">
          <cell r="C1023" t="str">
            <v>오송</v>
          </cell>
          <cell r="D1023" t="str">
            <v>4300326</v>
          </cell>
        </row>
        <row r="1024">
          <cell r="C1024" t="str">
            <v>오송</v>
          </cell>
          <cell r="D1024" t="str">
            <v>4300327</v>
          </cell>
        </row>
        <row r="1025">
          <cell r="C1025" t="str">
            <v>오송</v>
          </cell>
          <cell r="D1025" t="str">
            <v>4300328</v>
          </cell>
        </row>
        <row r="1026">
          <cell r="C1026" t="str">
            <v>오송</v>
          </cell>
          <cell r="D1026" t="str">
            <v>4300329</v>
          </cell>
        </row>
        <row r="1027">
          <cell r="C1027" t="str">
            <v>오송</v>
          </cell>
          <cell r="D1027" t="str">
            <v>4300330</v>
          </cell>
        </row>
        <row r="1028">
          <cell r="C1028" t="str">
            <v>오송</v>
          </cell>
          <cell r="D1028" t="str">
            <v>4300331</v>
          </cell>
        </row>
        <row r="1029">
          <cell r="C1029" t="str">
            <v>오송</v>
          </cell>
          <cell r="D1029" t="str">
            <v>4300332</v>
          </cell>
        </row>
        <row r="1030">
          <cell r="C1030" t="str">
            <v>오송</v>
          </cell>
          <cell r="D1030" t="str">
            <v>4300333</v>
          </cell>
        </row>
        <row r="1031">
          <cell r="C1031" t="str">
            <v>오송</v>
          </cell>
          <cell r="D1031" t="str">
            <v>4300334</v>
          </cell>
        </row>
        <row r="1032">
          <cell r="C1032" t="str">
            <v>오송</v>
          </cell>
          <cell r="D1032" t="str">
            <v>4300422</v>
          </cell>
        </row>
        <row r="1033">
          <cell r="C1033" t="str">
            <v>오송</v>
          </cell>
          <cell r="D1033" t="str">
            <v>4300423</v>
          </cell>
        </row>
        <row r="1034">
          <cell r="C1034" t="str">
            <v>오송</v>
          </cell>
          <cell r="D1034" t="str">
            <v>4300424</v>
          </cell>
        </row>
        <row r="1035">
          <cell r="C1035" t="str">
            <v>오송</v>
          </cell>
          <cell r="D1035" t="str">
            <v>4300508</v>
          </cell>
        </row>
        <row r="1036">
          <cell r="C1036" t="str">
            <v>오송</v>
          </cell>
          <cell r="D1036" t="str">
            <v>4300509</v>
          </cell>
        </row>
        <row r="1037">
          <cell r="C1037" t="str">
            <v>오송</v>
          </cell>
          <cell r="D1037" t="str">
            <v>4300510</v>
          </cell>
        </row>
        <row r="1038">
          <cell r="C1038" t="str">
            <v>오송</v>
          </cell>
          <cell r="D1038" t="str">
            <v>4300511</v>
          </cell>
        </row>
        <row r="1039">
          <cell r="C1039" t="str">
            <v>오송</v>
          </cell>
          <cell r="D1039" t="str">
            <v>4300547</v>
          </cell>
        </row>
        <row r="1040">
          <cell r="C1040" t="str">
            <v>오송</v>
          </cell>
          <cell r="D1040" t="str">
            <v>4300548</v>
          </cell>
        </row>
        <row r="1041">
          <cell r="C1041" t="str">
            <v>오송</v>
          </cell>
          <cell r="D1041" t="str">
            <v>4300558</v>
          </cell>
        </row>
        <row r="1042">
          <cell r="C1042" t="str">
            <v>오송</v>
          </cell>
          <cell r="D1042" t="str">
            <v>4300567</v>
          </cell>
        </row>
        <row r="1043">
          <cell r="C1043" t="str">
            <v>오송</v>
          </cell>
          <cell r="D1043" t="str">
            <v>4300571</v>
          </cell>
        </row>
        <row r="1044">
          <cell r="C1044" t="str">
            <v>오송</v>
          </cell>
          <cell r="D1044" t="str">
            <v>4300572</v>
          </cell>
        </row>
        <row r="1045">
          <cell r="C1045" t="str">
            <v>오송</v>
          </cell>
          <cell r="D1045" t="str">
            <v>4300587</v>
          </cell>
        </row>
        <row r="1046">
          <cell r="C1046" t="str">
            <v>오송</v>
          </cell>
          <cell r="D1046" t="str">
            <v>4300592</v>
          </cell>
        </row>
        <row r="1047">
          <cell r="C1047" t="str">
            <v>오송</v>
          </cell>
          <cell r="D1047" t="str">
            <v>4300593</v>
          </cell>
        </row>
        <row r="1048">
          <cell r="C1048" t="str">
            <v>오송</v>
          </cell>
          <cell r="D1048" t="str">
            <v>4300594</v>
          </cell>
        </row>
        <row r="1049">
          <cell r="C1049" t="str">
            <v>오송</v>
          </cell>
          <cell r="D1049" t="str">
            <v>4300595</v>
          </cell>
        </row>
        <row r="1050">
          <cell r="C1050" t="str">
            <v>오송</v>
          </cell>
          <cell r="D1050" t="str">
            <v>4300596</v>
          </cell>
        </row>
        <row r="1051">
          <cell r="C1051" t="str">
            <v>오송</v>
          </cell>
          <cell r="D1051" t="str">
            <v>4300597</v>
          </cell>
        </row>
        <row r="1052">
          <cell r="C1052" t="str">
            <v>오송</v>
          </cell>
          <cell r="D1052" t="str">
            <v>4300598</v>
          </cell>
        </row>
        <row r="1053">
          <cell r="C1053" t="str">
            <v>오송</v>
          </cell>
          <cell r="D1053" t="str">
            <v>4300605</v>
          </cell>
        </row>
        <row r="1054">
          <cell r="C1054" t="str">
            <v>오송</v>
          </cell>
          <cell r="D1054" t="str">
            <v>4300606</v>
          </cell>
        </row>
        <row r="1055">
          <cell r="C1055" t="str">
            <v>오송</v>
          </cell>
          <cell r="D1055" t="str">
            <v>4300607</v>
          </cell>
        </row>
        <row r="1056">
          <cell r="C1056" t="str">
            <v>오송</v>
          </cell>
          <cell r="D1056" t="str">
            <v>4300610</v>
          </cell>
        </row>
        <row r="1057">
          <cell r="C1057" t="str">
            <v>오송</v>
          </cell>
          <cell r="D1057" t="str">
            <v>4300612</v>
          </cell>
        </row>
        <row r="1058">
          <cell r="C1058" t="str">
            <v>오송</v>
          </cell>
          <cell r="D1058" t="str">
            <v>4300613</v>
          </cell>
        </row>
        <row r="1059">
          <cell r="C1059" t="str">
            <v>오송</v>
          </cell>
          <cell r="D1059" t="str">
            <v>4300614</v>
          </cell>
        </row>
        <row r="1060">
          <cell r="C1060" t="str">
            <v>오송</v>
          </cell>
          <cell r="D1060" t="str">
            <v>4300615</v>
          </cell>
        </row>
        <row r="1061">
          <cell r="C1061" t="str">
            <v>오송</v>
          </cell>
          <cell r="D1061" t="str">
            <v>4300616</v>
          </cell>
        </row>
        <row r="1062">
          <cell r="C1062" t="str">
            <v>오송</v>
          </cell>
          <cell r="D1062" t="str">
            <v>4300617</v>
          </cell>
        </row>
        <row r="1063">
          <cell r="C1063" t="str">
            <v>오송</v>
          </cell>
          <cell r="D1063" t="str">
            <v>4300654</v>
          </cell>
        </row>
        <row r="1064">
          <cell r="C1064" t="str">
            <v>오송</v>
          </cell>
          <cell r="D1064" t="str">
            <v>4300655</v>
          </cell>
        </row>
        <row r="1065">
          <cell r="C1065" t="str">
            <v>오송</v>
          </cell>
          <cell r="D1065" t="str">
            <v>4300656</v>
          </cell>
        </row>
        <row r="1066">
          <cell r="C1066" t="str">
            <v>오송</v>
          </cell>
          <cell r="D1066" t="str">
            <v>4300657</v>
          </cell>
        </row>
        <row r="1067">
          <cell r="C1067" t="str">
            <v>오송</v>
          </cell>
          <cell r="D1067" t="str">
            <v>4300658</v>
          </cell>
        </row>
        <row r="1068">
          <cell r="C1068" t="str">
            <v>오송</v>
          </cell>
          <cell r="D1068" t="str">
            <v>4300659</v>
          </cell>
        </row>
        <row r="1069">
          <cell r="C1069" t="str">
            <v>오송</v>
          </cell>
          <cell r="D1069" t="str">
            <v>4300660</v>
          </cell>
        </row>
        <row r="1070">
          <cell r="C1070" t="str">
            <v>오송</v>
          </cell>
          <cell r="D1070" t="str">
            <v>4300661</v>
          </cell>
        </row>
        <row r="1071">
          <cell r="C1071" t="str">
            <v>오송</v>
          </cell>
          <cell r="D1071" t="str">
            <v>4300662</v>
          </cell>
        </row>
        <row r="1072">
          <cell r="C1072" t="str">
            <v>오송</v>
          </cell>
          <cell r="D1072" t="str">
            <v>4300663</v>
          </cell>
        </row>
        <row r="1073">
          <cell r="C1073" t="str">
            <v>오송</v>
          </cell>
          <cell r="D1073" t="str">
            <v>4300664</v>
          </cell>
        </row>
        <row r="1074">
          <cell r="C1074" t="str">
            <v>오송</v>
          </cell>
          <cell r="D1074" t="str">
            <v>4300665</v>
          </cell>
        </row>
        <row r="1075">
          <cell r="C1075" t="str">
            <v>오송</v>
          </cell>
          <cell r="D1075" t="str">
            <v>4300666</v>
          </cell>
        </row>
        <row r="1076">
          <cell r="C1076" t="str">
            <v>오송</v>
          </cell>
          <cell r="D1076" t="str">
            <v>4300667</v>
          </cell>
        </row>
        <row r="1077">
          <cell r="C1077" t="str">
            <v>오송</v>
          </cell>
          <cell r="D1077" t="str">
            <v>4300670</v>
          </cell>
        </row>
        <row r="1078">
          <cell r="C1078" t="str">
            <v>오송</v>
          </cell>
          <cell r="D1078" t="str">
            <v>4300672</v>
          </cell>
        </row>
        <row r="1079">
          <cell r="C1079" t="str">
            <v>오송</v>
          </cell>
          <cell r="D1079" t="str">
            <v>4300673</v>
          </cell>
        </row>
        <row r="1080">
          <cell r="C1080" t="str">
            <v>오송</v>
          </cell>
          <cell r="D1080" t="str">
            <v>4300674</v>
          </cell>
        </row>
        <row r="1081">
          <cell r="C1081" t="str">
            <v>오송</v>
          </cell>
          <cell r="D1081" t="str">
            <v>4300675</v>
          </cell>
        </row>
        <row r="1082">
          <cell r="C1082" t="str">
            <v>오송</v>
          </cell>
          <cell r="D1082" t="str">
            <v>4300714</v>
          </cell>
        </row>
        <row r="1083">
          <cell r="C1083" t="str">
            <v>오송</v>
          </cell>
          <cell r="D1083" t="str">
            <v>4300716</v>
          </cell>
        </row>
        <row r="1084">
          <cell r="C1084" t="str">
            <v>오송</v>
          </cell>
          <cell r="D1084" t="str">
            <v>4300717</v>
          </cell>
        </row>
        <row r="1085">
          <cell r="C1085" t="str">
            <v>오송</v>
          </cell>
          <cell r="D1085" t="str">
            <v>4300719</v>
          </cell>
        </row>
        <row r="1086">
          <cell r="C1086" t="str">
            <v>오송</v>
          </cell>
          <cell r="D1086" t="str">
            <v>4300720</v>
          </cell>
        </row>
        <row r="1087">
          <cell r="C1087" t="str">
            <v>오송</v>
          </cell>
          <cell r="D1087" t="str">
            <v>4300721</v>
          </cell>
        </row>
        <row r="1088">
          <cell r="C1088" t="str">
            <v>오송</v>
          </cell>
          <cell r="D1088" t="str">
            <v>4300722</v>
          </cell>
        </row>
        <row r="1089">
          <cell r="C1089" t="str">
            <v>오송</v>
          </cell>
          <cell r="D1089" t="str">
            <v>4300723</v>
          </cell>
        </row>
        <row r="1090">
          <cell r="C1090" t="str">
            <v>오송</v>
          </cell>
          <cell r="D1090" t="str">
            <v>4300726</v>
          </cell>
        </row>
        <row r="1091">
          <cell r="C1091" t="str">
            <v>오송</v>
          </cell>
          <cell r="D1091" t="str">
            <v>4300727</v>
          </cell>
        </row>
        <row r="1092">
          <cell r="C1092" t="str">
            <v>오송</v>
          </cell>
          <cell r="D1092" t="str">
            <v>4300728</v>
          </cell>
        </row>
        <row r="1093">
          <cell r="C1093" t="str">
            <v>오송</v>
          </cell>
          <cell r="D1093" t="str">
            <v>4300729</v>
          </cell>
        </row>
        <row r="1094">
          <cell r="C1094" t="str">
            <v>오송</v>
          </cell>
          <cell r="D1094" t="str">
            <v>4300730</v>
          </cell>
        </row>
        <row r="1095">
          <cell r="C1095" t="str">
            <v>오송</v>
          </cell>
          <cell r="D1095" t="str">
            <v>4300731</v>
          </cell>
        </row>
        <row r="1096">
          <cell r="C1096" t="str">
            <v>오송</v>
          </cell>
          <cell r="D1096" t="str">
            <v>4300732</v>
          </cell>
        </row>
        <row r="1097">
          <cell r="C1097" t="str">
            <v>오송</v>
          </cell>
          <cell r="D1097" t="str">
            <v>4300733</v>
          </cell>
        </row>
        <row r="1098">
          <cell r="C1098" t="str">
            <v>오송</v>
          </cell>
          <cell r="D1098" t="str">
            <v>4300734</v>
          </cell>
        </row>
        <row r="1099">
          <cell r="C1099" t="str">
            <v>오송</v>
          </cell>
          <cell r="D1099" t="str">
            <v>4300735</v>
          </cell>
        </row>
        <row r="1100">
          <cell r="C1100" t="str">
            <v>오송</v>
          </cell>
          <cell r="D1100" t="str">
            <v>4300736</v>
          </cell>
        </row>
        <row r="1101">
          <cell r="C1101" t="str">
            <v>오송</v>
          </cell>
          <cell r="D1101" t="str">
            <v>4300737</v>
          </cell>
        </row>
        <row r="1102">
          <cell r="C1102" t="str">
            <v>오송</v>
          </cell>
          <cell r="D1102" t="str">
            <v>4300738</v>
          </cell>
        </row>
        <row r="1103">
          <cell r="C1103" t="str">
            <v>오송</v>
          </cell>
          <cell r="D1103" t="str">
            <v>4300739</v>
          </cell>
        </row>
        <row r="1104">
          <cell r="C1104" t="str">
            <v>오송</v>
          </cell>
          <cell r="D1104" t="str">
            <v>4300740</v>
          </cell>
        </row>
        <row r="1105">
          <cell r="C1105" t="str">
            <v>오송</v>
          </cell>
          <cell r="D1105" t="str">
            <v>4300741</v>
          </cell>
        </row>
        <row r="1106">
          <cell r="C1106" t="str">
            <v>오송</v>
          </cell>
          <cell r="D1106" t="str">
            <v>4300742</v>
          </cell>
        </row>
        <row r="1107">
          <cell r="C1107" t="str">
            <v>오송</v>
          </cell>
          <cell r="D1107" t="str">
            <v>4300743</v>
          </cell>
        </row>
        <row r="1108">
          <cell r="C1108" t="str">
            <v>오송</v>
          </cell>
          <cell r="D1108" t="str">
            <v>4300744</v>
          </cell>
        </row>
        <row r="1109">
          <cell r="C1109" t="str">
            <v>오송</v>
          </cell>
          <cell r="D1109" t="str">
            <v>4300745</v>
          </cell>
        </row>
        <row r="1110">
          <cell r="C1110" t="str">
            <v>오송</v>
          </cell>
          <cell r="D1110" t="str">
            <v>4300746</v>
          </cell>
        </row>
        <row r="1111">
          <cell r="C1111" t="str">
            <v>오송</v>
          </cell>
          <cell r="D1111" t="str">
            <v>4300747</v>
          </cell>
        </row>
        <row r="1112">
          <cell r="C1112" t="str">
            <v>오송</v>
          </cell>
          <cell r="D1112" t="str">
            <v>4300748</v>
          </cell>
        </row>
        <row r="1113">
          <cell r="C1113" t="str">
            <v>오송</v>
          </cell>
          <cell r="D1113" t="str">
            <v>4300749</v>
          </cell>
        </row>
        <row r="1114">
          <cell r="C1114" t="str">
            <v>오송</v>
          </cell>
          <cell r="D1114" t="str">
            <v>4300750</v>
          </cell>
        </row>
        <row r="1115">
          <cell r="C1115" t="str">
            <v>오송</v>
          </cell>
          <cell r="D1115" t="str">
            <v>4300751</v>
          </cell>
        </row>
        <row r="1116">
          <cell r="C1116" t="str">
            <v>오송</v>
          </cell>
          <cell r="D1116" t="str">
            <v>4300752</v>
          </cell>
        </row>
        <row r="1117">
          <cell r="C1117" t="str">
            <v>오송</v>
          </cell>
          <cell r="D1117" t="str">
            <v>4300753</v>
          </cell>
        </row>
        <row r="1118">
          <cell r="C1118" t="str">
            <v>오송</v>
          </cell>
          <cell r="D1118" t="str">
            <v>4300760</v>
          </cell>
        </row>
        <row r="1119">
          <cell r="C1119" t="str">
            <v>오송</v>
          </cell>
          <cell r="D1119" t="str">
            <v>4300761</v>
          </cell>
        </row>
        <row r="1120">
          <cell r="C1120" t="str">
            <v>오송</v>
          </cell>
          <cell r="D1120" t="str">
            <v>4300776</v>
          </cell>
        </row>
        <row r="1121">
          <cell r="C1121" t="str">
            <v>오송</v>
          </cell>
          <cell r="D1121" t="str">
            <v>4300778</v>
          </cell>
        </row>
        <row r="1122">
          <cell r="C1122" t="str">
            <v>오송</v>
          </cell>
          <cell r="D1122" t="str">
            <v>4300779</v>
          </cell>
        </row>
        <row r="1123">
          <cell r="C1123" t="str">
            <v>오송</v>
          </cell>
          <cell r="D1123" t="str">
            <v>4300782</v>
          </cell>
        </row>
        <row r="1124">
          <cell r="C1124" t="str">
            <v>오송</v>
          </cell>
          <cell r="D1124" t="str">
            <v>4300783</v>
          </cell>
        </row>
        <row r="1125">
          <cell r="C1125" t="str">
            <v>오송</v>
          </cell>
          <cell r="D1125" t="str">
            <v>4300785</v>
          </cell>
        </row>
        <row r="1126">
          <cell r="C1126" t="str">
            <v>오송</v>
          </cell>
          <cell r="D1126" t="str">
            <v>4300786</v>
          </cell>
        </row>
        <row r="1127">
          <cell r="C1127" t="str">
            <v>오송</v>
          </cell>
          <cell r="D1127" t="str">
            <v>4300790</v>
          </cell>
        </row>
        <row r="1128">
          <cell r="C1128" t="str">
            <v>오송</v>
          </cell>
          <cell r="D1128" t="str">
            <v>4300791</v>
          </cell>
        </row>
        <row r="1129">
          <cell r="C1129" t="str">
            <v>오송</v>
          </cell>
          <cell r="D1129" t="str">
            <v>4300802</v>
          </cell>
        </row>
        <row r="1130">
          <cell r="C1130" t="str">
            <v>오송</v>
          </cell>
          <cell r="D1130" t="str">
            <v>4300803</v>
          </cell>
        </row>
        <row r="1131">
          <cell r="C1131" t="str">
            <v>오송</v>
          </cell>
          <cell r="D1131" t="str">
            <v>4300804</v>
          </cell>
        </row>
        <row r="1132">
          <cell r="C1132" t="str">
            <v>오송</v>
          </cell>
          <cell r="D1132" t="str">
            <v>4300805</v>
          </cell>
        </row>
        <row r="1133">
          <cell r="C1133" t="str">
            <v>오송</v>
          </cell>
          <cell r="D1133" t="str">
            <v>4300819</v>
          </cell>
        </row>
        <row r="1134">
          <cell r="C1134" t="str">
            <v>오송</v>
          </cell>
          <cell r="D1134" t="str">
            <v>4300825</v>
          </cell>
        </row>
        <row r="1135">
          <cell r="C1135" t="str">
            <v>오송</v>
          </cell>
          <cell r="D1135" t="str">
            <v>4300826</v>
          </cell>
        </row>
        <row r="1136">
          <cell r="C1136" t="str">
            <v>오송</v>
          </cell>
          <cell r="D1136" t="str">
            <v>4300827</v>
          </cell>
        </row>
        <row r="1137">
          <cell r="C1137" t="str">
            <v>오송</v>
          </cell>
          <cell r="D1137" t="str">
            <v>4300828</v>
          </cell>
        </row>
        <row r="1138">
          <cell r="C1138" t="str">
            <v>오송</v>
          </cell>
          <cell r="D1138" t="str">
            <v>4300829</v>
          </cell>
        </row>
        <row r="1139">
          <cell r="C1139" t="str">
            <v>오송</v>
          </cell>
          <cell r="D1139" t="str">
            <v>4300830</v>
          </cell>
        </row>
        <row r="1140">
          <cell r="C1140" t="str">
            <v>오송</v>
          </cell>
          <cell r="D1140" t="str">
            <v>4300831</v>
          </cell>
        </row>
        <row r="1141">
          <cell r="C1141" t="str">
            <v>오송</v>
          </cell>
          <cell r="D1141" t="str">
            <v>4300832</v>
          </cell>
        </row>
        <row r="1142">
          <cell r="C1142" t="str">
            <v>오송</v>
          </cell>
          <cell r="D1142" t="str">
            <v>4300833</v>
          </cell>
        </row>
        <row r="1143">
          <cell r="C1143" t="str">
            <v>오송</v>
          </cell>
          <cell r="D1143" t="str">
            <v>4300834</v>
          </cell>
        </row>
        <row r="1144">
          <cell r="C1144" t="str">
            <v>오송</v>
          </cell>
          <cell r="D1144" t="str">
            <v>4300835</v>
          </cell>
        </row>
        <row r="1145">
          <cell r="C1145" t="str">
            <v>오송</v>
          </cell>
          <cell r="D1145" t="str">
            <v>4300836</v>
          </cell>
        </row>
        <row r="1146">
          <cell r="C1146" t="str">
            <v>오송</v>
          </cell>
          <cell r="D1146" t="str">
            <v>4300840</v>
          </cell>
        </row>
        <row r="1147">
          <cell r="C1147" t="str">
            <v>오송</v>
          </cell>
          <cell r="D1147" t="str">
            <v>4300841</v>
          </cell>
        </row>
        <row r="1148">
          <cell r="C1148" t="str">
            <v>오송</v>
          </cell>
          <cell r="D1148" t="str">
            <v>4300842</v>
          </cell>
        </row>
        <row r="1149">
          <cell r="C1149" t="str">
            <v>오송</v>
          </cell>
          <cell r="D1149" t="str">
            <v>4300843</v>
          </cell>
        </row>
        <row r="1150">
          <cell r="C1150" t="str">
            <v>오송</v>
          </cell>
          <cell r="D1150" t="str">
            <v>4300844</v>
          </cell>
        </row>
        <row r="1151">
          <cell r="C1151" t="str">
            <v>오송</v>
          </cell>
          <cell r="D1151" t="str">
            <v>4300845</v>
          </cell>
        </row>
        <row r="1152">
          <cell r="C1152" t="str">
            <v>오송</v>
          </cell>
          <cell r="D1152" t="str">
            <v>4300846</v>
          </cell>
        </row>
        <row r="1153">
          <cell r="C1153" t="str">
            <v>오송</v>
          </cell>
          <cell r="D1153" t="str">
            <v>4300847</v>
          </cell>
        </row>
        <row r="1154">
          <cell r="C1154" t="str">
            <v>오송</v>
          </cell>
          <cell r="D1154" t="str">
            <v>4300848</v>
          </cell>
        </row>
        <row r="1155">
          <cell r="C1155" t="str">
            <v>오송</v>
          </cell>
          <cell r="D1155" t="str">
            <v>4300849</v>
          </cell>
        </row>
        <row r="1156">
          <cell r="C1156" t="str">
            <v>오송</v>
          </cell>
          <cell r="D1156" t="str">
            <v>4300852</v>
          </cell>
        </row>
        <row r="1157">
          <cell r="C1157" t="str">
            <v>오송</v>
          </cell>
          <cell r="D1157" t="str">
            <v>4300853</v>
          </cell>
        </row>
        <row r="1158">
          <cell r="C1158" t="str">
            <v>오송</v>
          </cell>
          <cell r="D1158" t="str">
            <v>4300854</v>
          </cell>
        </row>
        <row r="1159">
          <cell r="C1159" t="str">
            <v>오송</v>
          </cell>
          <cell r="D1159" t="str">
            <v>4300855</v>
          </cell>
        </row>
        <row r="1160">
          <cell r="C1160" t="str">
            <v>오송</v>
          </cell>
          <cell r="D1160" t="str">
            <v>4300856</v>
          </cell>
        </row>
        <row r="1161">
          <cell r="C1161" t="str">
            <v>오송</v>
          </cell>
          <cell r="D1161" t="str">
            <v>4300857</v>
          </cell>
        </row>
        <row r="1162">
          <cell r="C1162" t="str">
            <v>오송</v>
          </cell>
          <cell r="D1162" t="str">
            <v>4300860</v>
          </cell>
        </row>
        <row r="1163">
          <cell r="C1163" t="str">
            <v>오송</v>
          </cell>
          <cell r="D1163" t="str">
            <v>4300861</v>
          </cell>
        </row>
        <row r="1164">
          <cell r="C1164" t="str">
            <v>오송</v>
          </cell>
          <cell r="D1164" t="str">
            <v>4300862</v>
          </cell>
        </row>
        <row r="1165">
          <cell r="C1165" t="str">
            <v>오송</v>
          </cell>
          <cell r="D1165" t="str">
            <v>4300863</v>
          </cell>
        </row>
        <row r="1166">
          <cell r="C1166" t="str">
            <v>오송</v>
          </cell>
          <cell r="D1166" t="str">
            <v>4300864</v>
          </cell>
        </row>
        <row r="1167">
          <cell r="C1167" t="str">
            <v>오송</v>
          </cell>
          <cell r="D1167" t="str">
            <v>4300877</v>
          </cell>
        </row>
        <row r="1168">
          <cell r="C1168" t="str">
            <v>오송</v>
          </cell>
          <cell r="D1168" t="str">
            <v>4300878</v>
          </cell>
        </row>
        <row r="1169">
          <cell r="C1169" t="str">
            <v>오송</v>
          </cell>
          <cell r="D1169" t="str">
            <v>4300879</v>
          </cell>
        </row>
        <row r="1170">
          <cell r="C1170" t="str">
            <v>오송</v>
          </cell>
          <cell r="D1170" t="str">
            <v>4300890</v>
          </cell>
        </row>
        <row r="1171">
          <cell r="C1171" t="str">
            <v>오송</v>
          </cell>
          <cell r="D1171" t="str">
            <v>4300892</v>
          </cell>
        </row>
        <row r="1172">
          <cell r="C1172" t="str">
            <v>오송</v>
          </cell>
          <cell r="D1172" t="str">
            <v>4300894</v>
          </cell>
        </row>
        <row r="1173">
          <cell r="C1173" t="str">
            <v>오송</v>
          </cell>
          <cell r="D1173" t="str">
            <v>4300897</v>
          </cell>
        </row>
        <row r="1174">
          <cell r="C1174" t="str">
            <v>오송</v>
          </cell>
          <cell r="D1174" t="str">
            <v>4300927</v>
          </cell>
        </row>
        <row r="1175">
          <cell r="C1175" t="str">
            <v>오송</v>
          </cell>
          <cell r="D1175" t="str">
            <v>4300928</v>
          </cell>
        </row>
        <row r="1176">
          <cell r="C1176" t="str">
            <v>오송</v>
          </cell>
          <cell r="D1176" t="str">
            <v>4301013</v>
          </cell>
        </row>
        <row r="1177">
          <cell r="C1177" t="str">
            <v>오송</v>
          </cell>
          <cell r="D1177" t="str">
            <v>4301014</v>
          </cell>
        </row>
        <row r="1178">
          <cell r="C1178" t="str">
            <v>오송</v>
          </cell>
          <cell r="D1178" t="str">
            <v>4301016</v>
          </cell>
        </row>
        <row r="1179">
          <cell r="C1179" t="str">
            <v>오송</v>
          </cell>
          <cell r="D1179" t="str">
            <v>4301020</v>
          </cell>
        </row>
        <row r="1180">
          <cell r="C1180" t="str">
            <v>오송</v>
          </cell>
          <cell r="D1180" t="str">
            <v>4301021</v>
          </cell>
        </row>
        <row r="1181">
          <cell r="C1181" t="str">
            <v>오송</v>
          </cell>
          <cell r="D1181" t="str">
            <v>4301022</v>
          </cell>
        </row>
        <row r="1182">
          <cell r="C1182" t="str">
            <v>오송</v>
          </cell>
          <cell r="D1182" t="str">
            <v>4301023</v>
          </cell>
        </row>
        <row r="1183">
          <cell r="C1183" t="str">
            <v>오송</v>
          </cell>
          <cell r="D1183" t="str">
            <v>4301024</v>
          </cell>
        </row>
        <row r="1184">
          <cell r="C1184" t="str">
            <v>오송</v>
          </cell>
          <cell r="D1184" t="str">
            <v>4301025</v>
          </cell>
        </row>
        <row r="1185">
          <cell r="C1185" t="str">
            <v>오송</v>
          </cell>
          <cell r="D1185" t="str">
            <v>4301026</v>
          </cell>
        </row>
        <row r="1186">
          <cell r="C1186" t="str">
            <v>오송</v>
          </cell>
          <cell r="D1186" t="str">
            <v>4301029</v>
          </cell>
        </row>
        <row r="1187">
          <cell r="C1187" t="str">
            <v>오송</v>
          </cell>
          <cell r="D1187" t="str">
            <v>4301030</v>
          </cell>
        </row>
        <row r="1188">
          <cell r="C1188" t="str">
            <v>오송</v>
          </cell>
          <cell r="D1188" t="str">
            <v>4301031</v>
          </cell>
        </row>
        <row r="1189">
          <cell r="C1189" t="str">
            <v>오송</v>
          </cell>
          <cell r="D1189" t="str">
            <v>4301032</v>
          </cell>
        </row>
        <row r="1190">
          <cell r="C1190" t="str">
            <v>오송</v>
          </cell>
          <cell r="D1190" t="str">
            <v>4301039</v>
          </cell>
        </row>
        <row r="1191">
          <cell r="C1191" t="str">
            <v>오송</v>
          </cell>
          <cell r="D1191" t="str">
            <v>4301056</v>
          </cell>
        </row>
        <row r="1192">
          <cell r="C1192" t="str">
            <v>오송</v>
          </cell>
          <cell r="D1192" t="str">
            <v>4301057</v>
          </cell>
        </row>
        <row r="1193">
          <cell r="C1193" t="str">
            <v>오송</v>
          </cell>
          <cell r="D1193" t="str">
            <v>4301058</v>
          </cell>
        </row>
        <row r="1194">
          <cell r="C1194" t="str">
            <v>오송</v>
          </cell>
          <cell r="D1194" t="str">
            <v>4301060</v>
          </cell>
        </row>
        <row r="1195">
          <cell r="C1195" t="str">
            <v>오송</v>
          </cell>
          <cell r="D1195" t="str">
            <v>4301061</v>
          </cell>
        </row>
        <row r="1196">
          <cell r="C1196" t="str">
            <v>오송</v>
          </cell>
          <cell r="D1196" t="str">
            <v>4301073</v>
          </cell>
        </row>
        <row r="1197">
          <cell r="C1197" t="str">
            <v>오송</v>
          </cell>
          <cell r="D1197" t="str">
            <v>4301074</v>
          </cell>
        </row>
        <row r="1198">
          <cell r="C1198" t="str">
            <v>오송</v>
          </cell>
          <cell r="D1198" t="str">
            <v>4301075</v>
          </cell>
        </row>
        <row r="1199">
          <cell r="C1199" t="str">
            <v>오송</v>
          </cell>
          <cell r="D1199" t="str">
            <v>4301131</v>
          </cell>
        </row>
        <row r="1200">
          <cell r="C1200" t="str">
            <v>오송</v>
          </cell>
          <cell r="D1200" t="str">
            <v>4301222</v>
          </cell>
        </row>
        <row r="1201">
          <cell r="C1201" t="str">
            <v>오송</v>
          </cell>
          <cell r="D1201" t="str">
            <v>4301230</v>
          </cell>
        </row>
        <row r="1202">
          <cell r="C1202" t="str">
            <v>오송</v>
          </cell>
          <cell r="D1202" t="str">
            <v>4301231</v>
          </cell>
        </row>
        <row r="1203">
          <cell r="C1203" t="str">
            <v>오송</v>
          </cell>
          <cell r="D1203" t="str">
            <v>4301232</v>
          </cell>
        </row>
        <row r="1204">
          <cell r="C1204" t="str">
            <v>오송</v>
          </cell>
          <cell r="D1204" t="str">
            <v>4301233</v>
          </cell>
        </row>
        <row r="1205">
          <cell r="C1205" t="str">
            <v>오송</v>
          </cell>
          <cell r="D1205" t="str">
            <v>4301234</v>
          </cell>
        </row>
        <row r="1206">
          <cell r="C1206" t="str">
            <v>오송</v>
          </cell>
          <cell r="D1206" t="str">
            <v>4301235</v>
          </cell>
        </row>
        <row r="1207">
          <cell r="C1207" t="str">
            <v>오송</v>
          </cell>
          <cell r="D1207" t="str">
            <v>4301236</v>
          </cell>
        </row>
        <row r="1208">
          <cell r="C1208" t="str">
            <v>오송</v>
          </cell>
          <cell r="D1208" t="str">
            <v>4301237</v>
          </cell>
        </row>
        <row r="1209">
          <cell r="C1209" t="str">
            <v>오송</v>
          </cell>
          <cell r="D1209" t="str">
            <v>4301238</v>
          </cell>
        </row>
        <row r="1210">
          <cell r="C1210" t="str">
            <v>오송</v>
          </cell>
          <cell r="D1210" t="str">
            <v>4301239</v>
          </cell>
        </row>
        <row r="1211">
          <cell r="C1211" t="str">
            <v>오송</v>
          </cell>
          <cell r="D1211" t="str">
            <v>4301240</v>
          </cell>
        </row>
        <row r="1212">
          <cell r="C1212" t="str">
            <v>오송</v>
          </cell>
          <cell r="D1212" t="str">
            <v>4301241</v>
          </cell>
        </row>
        <row r="1213">
          <cell r="C1213" t="str">
            <v>오송</v>
          </cell>
          <cell r="D1213" t="str">
            <v>4301242</v>
          </cell>
        </row>
        <row r="1214">
          <cell r="C1214" t="str">
            <v>오송</v>
          </cell>
          <cell r="D1214" t="str">
            <v>4301250</v>
          </cell>
        </row>
        <row r="1215">
          <cell r="C1215" t="str">
            <v>오송</v>
          </cell>
          <cell r="D1215" t="str">
            <v>4301251</v>
          </cell>
        </row>
        <row r="1216">
          <cell r="C1216" t="str">
            <v>오송</v>
          </cell>
          <cell r="D1216" t="str">
            <v>4301253</v>
          </cell>
        </row>
        <row r="1217">
          <cell r="C1217" t="str">
            <v>오송</v>
          </cell>
          <cell r="D1217" t="str">
            <v>4301254</v>
          </cell>
        </row>
        <row r="1218">
          <cell r="C1218" t="str">
            <v>오송</v>
          </cell>
          <cell r="D1218" t="str">
            <v>4301255</v>
          </cell>
        </row>
        <row r="1219">
          <cell r="C1219" t="str">
            <v>오송</v>
          </cell>
          <cell r="D1219" t="str">
            <v>4301256</v>
          </cell>
        </row>
        <row r="1220">
          <cell r="C1220" t="str">
            <v>오송</v>
          </cell>
          <cell r="D1220" t="str">
            <v>4301257</v>
          </cell>
        </row>
        <row r="1221">
          <cell r="C1221" t="str">
            <v>오송</v>
          </cell>
          <cell r="D1221" t="str">
            <v>4301258</v>
          </cell>
        </row>
        <row r="1222">
          <cell r="C1222" t="str">
            <v>오송</v>
          </cell>
          <cell r="D1222" t="str">
            <v>4301270</v>
          </cell>
        </row>
        <row r="1223">
          <cell r="C1223" t="str">
            <v>오송</v>
          </cell>
          <cell r="D1223" t="str">
            <v>4301283</v>
          </cell>
        </row>
        <row r="1224">
          <cell r="C1224" t="str">
            <v>오송</v>
          </cell>
          <cell r="D1224" t="str">
            <v>4301284</v>
          </cell>
        </row>
        <row r="1225">
          <cell r="C1225" t="str">
            <v>오송</v>
          </cell>
          <cell r="D1225" t="str">
            <v>4301285</v>
          </cell>
        </row>
        <row r="1226">
          <cell r="C1226" t="str">
            <v>오송</v>
          </cell>
          <cell r="D1226" t="str">
            <v>4301288</v>
          </cell>
        </row>
        <row r="1227">
          <cell r="C1227" t="str">
            <v>오송</v>
          </cell>
          <cell r="D1227" t="str">
            <v>4301289</v>
          </cell>
        </row>
        <row r="1228">
          <cell r="C1228" t="str">
            <v>오송</v>
          </cell>
          <cell r="D1228" t="str">
            <v>4301310</v>
          </cell>
        </row>
        <row r="1229">
          <cell r="C1229" t="str">
            <v>오송</v>
          </cell>
          <cell r="D1229" t="str">
            <v>4301311</v>
          </cell>
        </row>
        <row r="1230">
          <cell r="C1230" t="str">
            <v>오송</v>
          </cell>
          <cell r="D1230" t="str">
            <v>4301312</v>
          </cell>
        </row>
        <row r="1231">
          <cell r="C1231" t="str">
            <v>오송</v>
          </cell>
          <cell r="D1231" t="str">
            <v>4301313</v>
          </cell>
        </row>
        <row r="1232">
          <cell r="C1232" t="str">
            <v>오송</v>
          </cell>
          <cell r="D1232" t="str">
            <v>4301314</v>
          </cell>
        </row>
        <row r="1233">
          <cell r="C1233" t="str">
            <v>오송</v>
          </cell>
          <cell r="D1233" t="str">
            <v>4301315</v>
          </cell>
        </row>
        <row r="1234">
          <cell r="C1234" t="str">
            <v>오송</v>
          </cell>
          <cell r="D1234" t="str">
            <v>4301316</v>
          </cell>
        </row>
        <row r="1235">
          <cell r="C1235" t="str">
            <v>오송</v>
          </cell>
          <cell r="D1235" t="str">
            <v>4301317</v>
          </cell>
        </row>
        <row r="1236">
          <cell r="C1236" t="str">
            <v>오송</v>
          </cell>
          <cell r="D1236" t="str">
            <v>4301318</v>
          </cell>
        </row>
        <row r="1237">
          <cell r="C1237" t="str">
            <v>오송</v>
          </cell>
          <cell r="D1237" t="str">
            <v>4301319</v>
          </cell>
        </row>
        <row r="1238">
          <cell r="C1238" t="str">
            <v>오송</v>
          </cell>
          <cell r="D1238" t="str">
            <v>4301320</v>
          </cell>
        </row>
        <row r="1239">
          <cell r="C1239" t="str">
            <v>오송</v>
          </cell>
          <cell r="D1239" t="str">
            <v>4301321</v>
          </cell>
        </row>
        <row r="1240">
          <cell r="C1240" t="str">
            <v>오송</v>
          </cell>
          <cell r="D1240" t="str">
            <v>4301322</v>
          </cell>
        </row>
        <row r="1241">
          <cell r="C1241" t="str">
            <v>오송</v>
          </cell>
          <cell r="D1241" t="str">
            <v>4301323</v>
          </cell>
        </row>
        <row r="1242">
          <cell r="C1242" t="str">
            <v>오송</v>
          </cell>
          <cell r="D1242" t="str">
            <v>4301353</v>
          </cell>
        </row>
        <row r="1243">
          <cell r="C1243" t="str">
            <v>오송</v>
          </cell>
          <cell r="D1243" t="str">
            <v>4301354</v>
          </cell>
        </row>
        <row r="1244">
          <cell r="C1244" t="str">
            <v>오송</v>
          </cell>
          <cell r="D1244" t="str">
            <v>4301355</v>
          </cell>
        </row>
        <row r="1245">
          <cell r="C1245" t="str">
            <v>오송</v>
          </cell>
          <cell r="D1245" t="str">
            <v>4301356</v>
          </cell>
        </row>
        <row r="1246">
          <cell r="C1246" t="str">
            <v>오송</v>
          </cell>
          <cell r="D1246" t="str">
            <v>4301357</v>
          </cell>
        </row>
        <row r="1247">
          <cell r="C1247" t="str">
            <v>오송</v>
          </cell>
          <cell r="D1247" t="str">
            <v>4301358</v>
          </cell>
        </row>
        <row r="1248">
          <cell r="C1248" t="str">
            <v>오송</v>
          </cell>
          <cell r="D1248" t="str">
            <v>4301359</v>
          </cell>
        </row>
        <row r="1249">
          <cell r="C1249" t="str">
            <v>오송</v>
          </cell>
          <cell r="D1249" t="str">
            <v>4301370</v>
          </cell>
        </row>
        <row r="1250">
          <cell r="C1250" t="str">
            <v>오송</v>
          </cell>
          <cell r="D1250" t="str">
            <v>4301371</v>
          </cell>
        </row>
        <row r="1251">
          <cell r="C1251" t="str">
            <v>오송</v>
          </cell>
          <cell r="D1251" t="str">
            <v>4301373</v>
          </cell>
        </row>
        <row r="1252">
          <cell r="C1252" t="str">
            <v>오송</v>
          </cell>
          <cell r="D1252" t="str">
            <v>4301374</v>
          </cell>
        </row>
        <row r="1253">
          <cell r="C1253" t="str">
            <v>오송</v>
          </cell>
          <cell r="D1253" t="str">
            <v>4301375</v>
          </cell>
        </row>
        <row r="1254">
          <cell r="C1254" t="str">
            <v>오송</v>
          </cell>
          <cell r="D1254" t="str">
            <v>4301376</v>
          </cell>
        </row>
        <row r="1255">
          <cell r="C1255" t="str">
            <v>오송</v>
          </cell>
          <cell r="D1255" t="str">
            <v>4301377</v>
          </cell>
        </row>
        <row r="1256">
          <cell r="C1256" t="str">
            <v>오송</v>
          </cell>
          <cell r="D1256" t="str">
            <v>4301378</v>
          </cell>
        </row>
        <row r="1257">
          <cell r="C1257" t="str">
            <v>오송</v>
          </cell>
          <cell r="D1257" t="str">
            <v>4301379</v>
          </cell>
        </row>
        <row r="1258">
          <cell r="C1258" t="str">
            <v>오송</v>
          </cell>
          <cell r="D1258" t="str">
            <v>4301380</v>
          </cell>
        </row>
        <row r="1259">
          <cell r="C1259" t="str">
            <v>오송</v>
          </cell>
          <cell r="D1259" t="str">
            <v>4301381</v>
          </cell>
        </row>
        <row r="1260">
          <cell r="C1260" t="str">
            <v>오송</v>
          </cell>
          <cell r="D1260" t="str">
            <v>4301382</v>
          </cell>
        </row>
        <row r="1261">
          <cell r="C1261" t="str">
            <v>오송</v>
          </cell>
          <cell r="D1261" t="str">
            <v>4301383</v>
          </cell>
        </row>
        <row r="1262">
          <cell r="C1262" t="str">
            <v>오송</v>
          </cell>
          <cell r="D1262" t="str">
            <v>4301384</v>
          </cell>
        </row>
        <row r="1263">
          <cell r="C1263" t="str">
            <v>오송</v>
          </cell>
          <cell r="D1263" t="str">
            <v>4301385</v>
          </cell>
        </row>
        <row r="1264">
          <cell r="C1264" t="str">
            <v>오송</v>
          </cell>
          <cell r="D1264" t="str">
            <v>4301386</v>
          </cell>
        </row>
        <row r="1265">
          <cell r="C1265" t="str">
            <v>오송</v>
          </cell>
          <cell r="D1265" t="str">
            <v>4301387</v>
          </cell>
        </row>
        <row r="1266">
          <cell r="C1266" t="str">
            <v>오송</v>
          </cell>
          <cell r="D1266" t="str">
            <v>4301388</v>
          </cell>
        </row>
        <row r="1267">
          <cell r="C1267" t="str">
            <v>오송</v>
          </cell>
          <cell r="D1267" t="str">
            <v>4301389</v>
          </cell>
        </row>
        <row r="1268">
          <cell r="C1268" t="str">
            <v>오송</v>
          </cell>
          <cell r="D1268" t="str">
            <v>4301390</v>
          </cell>
        </row>
        <row r="1269">
          <cell r="C1269" t="str">
            <v>오송</v>
          </cell>
          <cell r="D1269" t="str">
            <v>4301391</v>
          </cell>
        </row>
        <row r="1270">
          <cell r="C1270" t="str">
            <v>오송</v>
          </cell>
          <cell r="D1270" t="str">
            <v>4301399</v>
          </cell>
        </row>
        <row r="1271">
          <cell r="C1271" t="str">
            <v>오송</v>
          </cell>
          <cell r="D1271" t="str">
            <v>4301400</v>
          </cell>
        </row>
        <row r="1272">
          <cell r="C1272" t="str">
            <v>오송</v>
          </cell>
          <cell r="D1272" t="str">
            <v>4301411</v>
          </cell>
        </row>
        <row r="1273">
          <cell r="C1273" t="str">
            <v>오송</v>
          </cell>
          <cell r="D1273" t="str">
            <v>4301412</v>
          </cell>
        </row>
        <row r="1274">
          <cell r="C1274" t="str">
            <v>오송</v>
          </cell>
          <cell r="D1274" t="str">
            <v>4301440</v>
          </cell>
        </row>
        <row r="1275">
          <cell r="C1275" t="str">
            <v>오송</v>
          </cell>
          <cell r="D1275" t="str">
            <v>4301441</v>
          </cell>
        </row>
        <row r="1276">
          <cell r="C1276" t="str">
            <v>오송</v>
          </cell>
          <cell r="D1276" t="str">
            <v>4301442</v>
          </cell>
        </row>
        <row r="1277">
          <cell r="C1277" t="str">
            <v>오송</v>
          </cell>
          <cell r="D1277" t="str">
            <v>4301443</v>
          </cell>
        </row>
        <row r="1278">
          <cell r="C1278" t="str">
            <v>오송</v>
          </cell>
          <cell r="D1278" t="str">
            <v>4301444</v>
          </cell>
        </row>
        <row r="1279">
          <cell r="C1279" t="str">
            <v>오송</v>
          </cell>
          <cell r="D1279" t="str">
            <v>4301450</v>
          </cell>
        </row>
        <row r="1280">
          <cell r="C1280" t="str">
            <v>오송</v>
          </cell>
          <cell r="D1280" t="str">
            <v>4301451</v>
          </cell>
        </row>
        <row r="1281">
          <cell r="C1281" t="str">
            <v>오송</v>
          </cell>
          <cell r="D1281" t="str">
            <v>4301452</v>
          </cell>
        </row>
        <row r="1282">
          <cell r="C1282" t="str">
            <v>오송</v>
          </cell>
          <cell r="D1282" t="str">
            <v>4301460</v>
          </cell>
        </row>
        <row r="1283">
          <cell r="C1283" t="str">
            <v>오송</v>
          </cell>
          <cell r="D1283" t="str">
            <v>4301461</v>
          </cell>
        </row>
        <row r="1284">
          <cell r="C1284" t="str">
            <v>오송</v>
          </cell>
          <cell r="D1284" t="str">
            <v>4301462</v>
          </cell>
        </row>
        <row r="1285">
          <cell r="C1285" t="str">
            <v>오송</v>
          </cell>
          <cell r="D1285" t="str">
            <v>4301470</v>
          </cell>
        </row>
        <row r="1286">
          <cell r="C1286" t="str">
            <v>오송</v>
          </cell>
          <cell r="D1286" t="str">
            <v>4301471</v>
          </cell>
        </row>
        <row r="1287">
          <cell r="C1287" t="str">
            <v>오송</v>
          </cell>
          <cell r="D1287" t="str">
            <v>4301472</v>
          </cell>
        </row>
        <row r="1288">
          <cell r="C1288" t="str">
            <v>오송</v>
          </cell>
          <cell r="D1288" t="str">
            <v>4301473</v>
          </cell>
        </row>
        <row r="1289">
          <cell r="C1289" t="str">
            <v>오송</v>
          </cell>
          <cell r="D1289" t="str">
            <v>4301474</v>
          </cell>
        </row>
        <row r="1290">
          <cell r="C1290" t="str">
            <v>오송</v>
          </cell>
          <cell r="D1290" t="str">
            <v>4301475</v>
          </cell>
        </row>
        <row r="1291">
          <cell r="C1291" t="str">
            <v>오송</v>
          </cell>
          <cell r="D1291" t="str">
            <v>4301477</v>
          </cell>
        </row>
        <row r="1292">
          <cell r="C1292" t="str">
            <v>오송</v>
          </cell>
          <cell r="D1292" t="str">
            <v>4301478</v>
          </cell>
        </row>
        <row r="1293">
          <cell r="C1293" t="str">
            <v>오송</v>
          </cell>
          <cell r="D1293" t="str">
            <v>4301479</v>
          </cell>
        </row>
        <row r="1294">
          <cell r="C1294" t="str">
            <v>오송</v>
          </cell>
          <cell r="D1294" t="str">
            <v>4301480</v>
          </cell>
        </row>
        <row r="1295">
          <cell r="C1295" t="str">
            <v>오송</v>
          </cell>
          <cell r="D1295" t="str">
            <v>4301481</v>
          </cell>
        </row>
        <row r="1296">
          <cell r="C1296" t="str">
            <v>오송</v>
          </cell>
          <cell r="D1296" t="str">
            <v>4301482</v>
          </cell>
        </row>
        <row r="1297">
          <cell r="C1297" t="str">
            <v>오송</v>
          </cell>
          <cell r="D1297" t="str">
            <v>4301483</v>
          </cell>
        </row>
        <row r="1298">
          <cell r="C1298" t="str">
            <v>오송</v>
          </cell>
          <cell r="D1298" t="str">
            <v>4301484</v>
          </cell>
        </row>
        <row r="1299">
          <cell r="C1299" t="str">
            <v>오송</v>
          </cell>
          <cell r="D1299" t="str">
            <v>4301485</v>
          </cell>
        </row>
        <row r="1300">
          <cell r="C1300" t="str">
            <v>오송</v>
          </cell>
          <cell r="D1300" t="str">
            <v>4301486</v>
          </cell>
        </row>
        <row r="1301">
          <cell r="C1301" t="str">
            <v>오송</v>
          </cell>
          <cell r="D1301" t="str">
            <v>4301487</v>
          </cell>
        </row>
        <row r="1302">
          <cell r="C1302" t="str">
            <v>오송</v>
          </cell>
          <cell r="D1302" t="str">
            <v>4301488</v>
          </cell>
        </row>
        <row r="1303">
          <cell r="C1303" t="str">
            <v>오송</v>
          </cell>
          <cell r="D1303" t="str">
            <v>4301489</v>
          </cell>
        </row>
        <row r="1304">
          <cell r="C1304" t="str">
            <v>오송</v>
          </cell>
          <cell r="D1304" t="str">
            <v>4301490</v>
          </cell>
        </row>
        <row r="1305">
          <cell r="C1305" t="str">
            <v>오송</v>
          </cell>
          <cell r="D1305" t="str">
            <v>4301494</v>
          </cell>
        </row>
        <row r="1306">
          <cell r="C1306" t="str">
            <v>오송</v>
          </cell>
          <cell r="D1306" t="str">
            <v>4301495</v>
          </cell>
        </row>
        <row r="1307">
          <cell r="C1307" t="str">
            <v>오송</v>
          </cell>
          <cell r="D1307" t="str">
            <v>4301496</v>
          </cell>
        </row>
        <row r="1308">
          <cell r="C1308" t="str">
            <v>오송</v>
          </cell>
          <cell r="D1308" t="str">
            <v>4301497</v>
          </cell>
        </row>
        <row r="1309">
          <cell r="C1309" t="str">
            <v>오송</v>
          </cell>
          <cell r="D1309" t="str">
            <v>4301498</v>
          </cell>
        </row>
        <row r="1310">
          <cell r="C1310" t="str">
            <v>오송</v>
          </cell>
          <cell r="D1310" t="str">
            <v>4301499</v>
          </cell>
        </row>
        <row r="1311">
          <cell r="C1311" t="str">
            <v>오송</v>
          </cell>
          <cell r="D1311" t="str">
            <v>4301500</v>
          </cell>
        </row>
        <row r="1312">
          <cell r="C1312" t="str">
            <v>오송</v>
          </cell>
          <cell r="D1312" t="str">
            <v>4301501</v>
          </cell>
        </row>
        <row r="1313">
          <cell r="C1313" t="str">
            <v>오송</v>
          </cell>
          <cell r="D1313" t="str">
            <v>4301502</v>
          </cell>
        </row>
        <row r="1314">
          <cell r="C1314" t="str">
            <v>오송</v>
          </cell>
          <cell r="D1314" t="str">
            <v>4301503</v>
          </cell>
        </row>
        <row r="1315">
          <cell r="C1315" t="str">
            <v>오송</v>
          </cell>
          <cell r="D1315" t="str">
            <v>4301504</v>
          </cell>
        </row>
        <row r="1316">
          <cell r="C1316" t="str">
            <v>오송</v>
          </cell>
          <cell r="D1316" t="str">
            <v>4301505</v>
          </cell>
        </row>
        <row r="1317">
          <cell r="C1317" t="str">
            <v>오송</v>
          </cell>
          <cell r="D1317" t="str">
            <v>4301506</v>
          </cell>
        </row>
        <row r="1318">
          <cell r="C1318" t="str">
            <v>오송</v>
          </cell>
          <cell r="D1318" t="str">
            <v>4301507</v>
          </cell>
        </row>
        <row r="1319">
          <cell r="C1319" t="str">
            <v>오송</v>
          </cell>
          <cell r="D1319" t="str">
            <v>4301508</v>
          </cell>
        </row>
        <row r="1320">
          <cell r="C1320" t="str">
            <v>오송</v>
          </cell>
          <cell r="D1320" t="str">
            <v>4301509</v>
          </cell>
        </row>
        <row r="1321">
          <cell r="C1321" t="str">
            <v>오송</v>
          </cell>
          <cell r="D1321" t="str">
            <v>4301510</v>
          </cell>
        </row>
        <row r="1322">
          <cell r="C1322" t="str">
            <v>오송</v>
          </cell>
          <cell r="D1322" t="str">
            <v>4301511</v>
          </cell>
        </row>
        <row r="1323">
          <cell r="C1323" t="str">
            <v>오송</v>
          </cell>
          <cell r="D1323" t="str">
            <v>4301512</v>
          </cell>
        </row>
        <row r="1324">
          <cell r="C1324" t="str">
            <v>오송</v>
          </cell>
          <cell r="D1324" t="str">
            <v>4301513</v>
          </cell>
        </row>
        <row r="1325">
          <cell r="C1325" t="str">
            <v>오송</v>
          </cell>
          <cell r="D1325" t="str">
            <v>4301514</v>
          </cell>
        </row>
        <row r="1326">
          <cell r="C1326" t="str">
            <v>오송</v>
          </cell>
          <cell r="D1326" t="str">
            <v>4301518</v>
          </cell>
        </row>
        <row r="1327">
          <cell r="C1327" t="str">
            <v>오송</v>
          </cell>
          <cell r="D1327" t="str">
            <v>4301519</v>
          </cell>
        </row>
        <row r="1328">
          <cell r="C1328" t="str">
            <v>오송</v>
          </cell>
          <cell r="D1328" t="str">
            <v>4301520</v>
          </cell>
        </row>
        <row r="1329">
          <cell r="C1329" t="str">
            <v>오송</v>
          </cell>
          <cell r="D1329" t="str">
            <v>4301521</v>
          </cell>
        </row>
        <row r="1330">
          <cell r="C1330" t="str">
            <v>오송</v>
          </cell>
          <cell r="D1330" t="str">
            <v>4301525</v>
          </cell>
        </row>
        <row r="1331">
          <cell r="C1331" t="str">
            <v>오송</v>
          </cell>
          <cell r="D1331" t="str">
            <v>4301526</v>
          </cell>
        </row>
        <row r="1332">
          <cell r="C1332" t="str">
            <v>오송</v>
          </cell>
          <cell r="D1332" t="str">
            <v>4301527</v>
          </cell>
        </row>
        <row r="1333">
          <cell r="C1333" t="str">
            <v>오송</v>
          </cell>
          <cell r="D1333" t="str">
            <v>4301528</v>
          </cell>
        </row>
        <row r="1334">
          <cell r="C1334" t="str">
            <v>오송</v>
          </cell>
          <cell r="D1334" t="str">
            <v>4301529</v>
          </cell>
        </row>
        <row r="1335">
          <cell r="C1335" t="str">
            <v>오송</v>
          </cell>
          <cell r="D1335" t="str">
            <v>4301530</v>
          </cell>
        </row>
        <row r="1336">
          <cell r="C1336" t="str">
            <v>오송</v>
          </cell>
          <cell r="D1336" t="str">
            <v>4301531</v>
          </cell>
        </row>
        <row r="1337">
          <cell r="C1337" t="str">
            <v>오송</v>
          </cell>
          <cell r="D1337" t="str">
            <v>4301532</v>
          </cell>
        </row>
        <row r="1338">
          <cell r="C1338" t="str">
            <v>오송</v>
          </cell>
          <cell r="D1338" t="str">
            <v>4301533</v>
          </cell>
        </row>
        <row r="1339">
          <cell r="C1339" t="str">
            <v>오송</v>
          </cell>
          <cell r="D1339" t="str">
            <v>4301534</v>
          </cell>
        </row>
        <row r="1340">
          <cell r="C1340" t="str">
            <v>오송</v>
          </cell>
          <cell r="D1340" t="str">
            <v>4301535</v>
          </cell>
        </row>
        <row r="1341">
          <cell r="C1341" t="str">
            <v>오송</v>
          </cell>
          <cell r="D1341" t="str">
            <v>4301536</v>
          </cell>
        </row>
        <row r="1342">
          <cell r="C1342" t="str">
            <v>오송</v>
          </cell>
          <cell r="D1342" t="str">
            <v>4301537</v>
          </cell>
        </row>
        <row r="1343">
          <cell r="C1343" t="str">
            <v>오송</v>
          </cell>
          <cell r="D1343" t="str">
            <v>4301538</v>
          </cell>
        </row>
        <row r="1344">
          <cell r="C1344" t="str">
            <v>오송</v>
          </cell>
          <cell r="D1344" t="str">
            <v>4301559</v>
          </cell>
        </row>
        <row r="1345">
          <cell r="C1345" t="str">
            <v>오송</v>
          </cell>
          <cell r="D1345" t="str">
            <v>4301580</v>
          </cell>
        </row>
        <row r="1346">
          <cell r="C1346" t="str">
            <v>오송</v>
          </cell>
          <cell r="D1346" t="str">
            <v>4301582</v>
          </cell>
        </row>
        <row r="1347">
          <cell r="C1347" t="str">
            <v>오송</v>
          </cell>
          <cell r="D1347" t="str">
            <v>4301583</v>
          </cell>
        </row>
        <row r="1348">
          <cell r="C1348" t="str">
            <v>오송</v>
          </cell>
          <cell r="D1348" t="str">
            <v>4301584</v>
          </cell>
        </row>
        <row r="1349">
          <cell r="C1349" t="str">
            <v>오송</v>
          </cell>
          <cell r="D1349" t="str">
            <v>4301585</v>
          </cell>
        </row>
        <row r="1350">
          <cell r="C1350" t="str">
            <v>오송</v>
          </cell>
          <cell r="D1350" t="str">
            <v>4301586</v>
          </cell>
        </row>
        <row r="1351">
          <cell r="C1351" t="str">
            <v>오송</v>
          </cell>
          <cell r="D1351" t="str">
            <v>4301587</v>
          </cell>
        </row>
        <row r="1352">
          <cell r="C1352" t="str">
            <v>오송</v>
          </cell>
          <cell r="D1352" t="str">
            <v>4301588</v>
          </cell>
        </row>
        <row r="1353">
          <cell r="C1353" t="str">
            <v>오송</v>
          </cell>
          <cell r="D1353" t="str">
            <v>4301589</v>
          </cell>
        </row>
        <row r="1354">
          <cell r="C1354" t="str">
            <v>오송</v>
          </cell>
          <cell r="D1354" t="str">
            <v>4301590</v>
          </cell>
        </row>
        <row r="1355">
          <cell r="C1355" t="str">
            <v>오송</v>
          </cell>
          <cell r="D1355" t="str">
            <v>4301600</v>
          </cell>
        </row>
        <row r="1356">
          <cell r="C1356" t="str">
            <v>오송</v>
          </cell>
          <cell r="D1356" t="str">
            <v>4301601</v>
          </cell>
        </row>
        <row r="1357">
          <cell r="C1357" t="str">
            <v>오송</v>
          </cell>
          <cell r="D1357" t="str">
            <v>4301602</v>
          </cell>
        </row>
        <row r="1358">
          <cell r="C1358" t="str">
            <v>오송</v>
          </cell>
          <cell r="D1358" t="str">
            <v>4301603</v>
          </cell>
        </row>
        <row r="1359">
          <cell r="C1359" t="str">
            <v>오송</v>
          </cell>
          <cell r="D1359" t="str">
            <v>4301604</v>
          </cell>
        </row>
        <row r="1360">
          <cell r="C1360" t="str">
            <v>오송</v>
          </cell>
          <cell r="D1360" t="str">
            <v>4301605</v>
          </cell>
        </row>
        <row r="1361">
          <cell r="C1361" t="str">
            <v>오송</v>
          </cell>
          <cell r="D1361" t="str">
            <v>4301606</v>
          </cell>
        </row>
        <row r="1362">
          <cell r="C1362" t="str">
            <v>오송</v>
          </cell>
          <cell r="D1362" t="str">
            <v>4301610</v>
          </cell>
        </row>
        <row r="1363">
          <cell r="C1363" t="str">
            <v>오송</v>
          </cell>
          <cell r="D1363" t="str">
            <v>4301611</v>
          </cell>
        </row>
        <row r="1364">
          <cell r="C1364" t="str">
            <v>오송</v>
          </cell>
          <cell r="D1364" t="str">
            <v>4301612</v>
          </cell>
        </row>
        <row r="1365">
          <cell r="C1365" t="str">
            <v>오송</v>
          </cell>
          <cell r="D1365" t="str">
            <v>4301613</v>
          </cell>
        </row>
        <row r="1366">
          <cell r="C1366" t="str">
            <v>오송</v>
          </cell>
          <cell r="D1366" t="str">
            <v>4301614</v>
          </cell>
        </row>
        <row r="1367">
          <cell r="C1367" t="str">
            <v>오송</v>
          </cell>
          <cell r="D1367" t="str">
            <v>4301615</v>
          </cell>
        </row>
        <row r="1368">
          <cell r="C1368" t="str">
            <v>오송</v>
          </cell>
          <cell r="D1368" t="str">
            <v>4301616</v>
          </cell>
        </row>
        <row r="1369">
          <cell r="C1369" t="str">
            <v>오송</v>
          </cell>
          <cell r="D1369" t="str">
            <v>4301617</v>
          </cell>
        </row>
        <row r="1370">
          <cell r="C1370" t="str">
            <v>오송</v>
          </cell>
          <cell r="D1370" t="str">
            <v>4301624</v>
          </cell>
        </row>
        <row r="1371">
          <cell r="C1371" t="str">
            <v>오송</v>
          </cell>
          <cell r="D1371" t="str">
            <v>4301625</v>
          </cell>
        </row>
        <row r="1372">
          <cell r="C1372" t="str">
            <v>오송</v>
          </cell>
          <cell r="D1372" t="str">
            <v>4301626</v>
          </cell>
        </row>
        <row r="1373">
          <cell r="C1373" t="str">
            <v>오송</v>
          </cell>
          <cell r="D1373" t="str">
            <v>4301650</v>
          </cell>
        </row>
        <row r="1374">
          <cell r="C1374" t="str">
            <v>오송</v>
          </cell>
          <cell r="D1374" t="str">
            <v>4301651</v>
          </cell>
        </row>
        <row r="1375">
          <cell r="C1375" t="str">
            <v>오송</v>
          </cell>
          <cell r="D1375" t="str">
            <v>4301652</v>
          </cell>
        </row>
        <row r="1376">
          <cell r="C1376" t="str">
            <v>오송</v>
          </cell>
          <cell r="D1376" t="str">
            <v>4301653</v>
          </cell>
        </row>
        <row r="1377">
          <cell r="C1377" t="str">
            <v>오송</v>
          </cell>
          <cell r="D1377" t="str">
            <v>4301654</v>
          </cell>
        </row>
        <row r="1378">
          <cell r="C1378" t="str">
            <v>오송</v>
          </cell>
          <cell r="D1378" t="str">
            <v>4301656</v>
          </cell>
        </row>
        <row r="1379">
          <cell r="C1379" t="str">
            <v>오송</v>
          </cell>
          <cell r="D1379" t="str">
            <v>4301657</v>
          </cell>
        </row>
        <row r="1380">
          <cell r="C1380" t="str">
            <v>오송</v>
          </cell>
          <cell r="D1380" t="str">
            <v>4301658</v>
          </cell>
        </row>
        <row r="1381">
          <cell r="C1381" t="str">
            <v>오송</v>
          </cell>
          <cell r="D1381" t="str">
            <v>4301660</v>
          </cell>
        </row>
        <row r="1382">
          <cell r="C1382" t="str">
            <v>오송</v>
          </cell>
          <cell r="D1382" t="str">
            <v>4301661</v>
          </cell>
        </row>
        <row r="1383">
          <cell r="C1383" t="str">
            <v>오송</v>
          </cell>
          <cell r="D1383" t="str">
            <v>4301662</v>
          </cell>
        </row>
        <row r="1384">
          <cell r="C1384" t="str">
            <v>오송</v>
          </cell>
          <cell r="D1384" t="str">
            <v>4301663</v>
          </cell>
        </row>
        <row r="1385">
          <cell r="C1385" t="str">
            <v>오송</v>
          </cell>
          <cell r="D1385" t="str">
            <v>4301664</v>
          </cell>
        </row>
        <row r="1386">
          <cell r="C1386" t="str">
            <v>오송</v>
          </cell>
          <cell r="D1386" t="str">
            <v>4301665</v>
          </cell>
        </row>
        <row r="1387">
          <cell r="C1387" t="str">
            <v>오송</v>
          </cell>
          <cell r="D1387" t="str">
            <v>4301666</v>
          </cell>
        </row>
        <row r="1388">
          <cell r="C1388" t="str">
            <v>오송</v>
          </cell>
          <cell r="D1388" t="str">
            <v>4301667</v>
          </cell>
        </row>
        <row r="1389">
          <cell r="C1389" t="str">
            <v>오송</v>
          </cell>
          <cell r="D1389" t="str">
            <v>4301668</v>
          </cell>
        </row>
        <row r="1390">
          <cell r="C1390" t="str">
            <v>오송</v>
          </cell>
          <cell r="D1390" t="str">
            <v>4301669</v>
          </cell>
        </row>
        <row r="1391">
          <cell r="C1391" t="str">
            <v>오송</v>
          </cell>
          <cell r="D1391" t="str">
            <v>4301684</v>
          </cell>
        </row>
        <row r="1392">
          <cell r="C1392" t="str">
            <v>오송</v>
          </cell>
          <cell r="D1392" t="str">
            <v>4301685</v>
          </cell>
        </row>
        <row r="1393">
          <cell r="C1393" t="str">
            <v>오송</v>
          </cell>
          <cell r="D1393" t="str">
            <v>4301686</v>
          </cell>
        </row>
        <row r="1394">
          <cell r="C1394" t="str">
            <v>오송</v>
          </cell>
          <cell r="D1394" t="str">
            <v>4301687</v>
          </cell>
        </row>
        <row r="1395">
          <cell r="C1395" t="str">
            <v>오송</v>
          </cell>
          <cell r="D1395" t="str">
            <v>4301688</v>
          </cell>
        </row>
        <row r="1396">
          <cell r="C1396" t="str">
            <v>오송</v>
          </cell>
          <cell r="D1396" t="str">
            <v>4301689</v>
          </cell>
        </row>
        <row r="1397">
          <cell r="C1397" t="str">
            <v>오송</v>
          </cell>
          <cell r="D1397" t="str">
            <v>4301690</v>
          </cell>
        </row>
        <row r="1398">
          <cell r="C1398" t="str">
            <v>오송</v>
          </cell>
          <cell r="D1398" t="str">
            <v>4301691</v>
          </cell>
        </row>
        <row r="1399">
          <cell r="C1399" t="str">
            <v>오송</v>
          </cell>
          <cell r="D1399" t="str">
            <v>4301692</v>
          </cell>
        </row>
        <row r="1400">
          <cell r="C1400" t="str">
            <v>오송</v>
          </cell>
          <cell r="D1400" t="str">
            <v>4301693</v>
          </cell>
        </row>
        <row r="1401">
          <cell r="C1401" t="str">
            <v>오송</v>
          </cell>
          <cell r="D1401" t="str">
            <v>4301694</v>
          </cell>
        </row>
        <row r="1402">
          <cell r="C1402" t="str">
            <v>오송</v>
          </cell>
          <cell r="D1402" t="str">
            <v>4301695</v>
          </cell>
        </row>
        <row r="1403">
          <cell r="C1403" t="str">
            <v>오송</v>
          </cell>
          <cell r="D1403" t="str">
            <v>4301698</v>
          </cell>
        </row>
        <row r="1404">
          <cell r="C1404" t="str">
            <v>오송</v>
          </cell>
          <cell r="D1404" t="str">
            <v>4301699</v>
          </cell>
        </row>
        <row r="1405">
          <cell r="C1405" t="str">
            <v>오송</v>
          </cell>
          <cell r="D1405" t="str">
            <v>4301730</v>
          </cell>
        </row>
        <row r="1406">
          <cell r="C1406" t="str">
            <v>오송</v>
          </cell>
          <cell r="D1406" t="str">
            <v>4301743</v>
          </cell>
        </row>
        <row r="1407">
          <cell r="C1407" t="str">
            <v>오송</v>
          </cell>
          <cell r="D1407" t="str">
            <v>4301744</v>
          </cell>
        </row>
        <row r="1408">
          <cell r="C1408" t="str">
            <v>오송</v>
          </cell>
          <cell r="D1408" t="str">
            <v>4301745</v>
          </cell>
        </row>
        <row r="1409">
          <cell r="C1409" t="str">
            <v>오송</v>
          </cell>
          <cell r="D1409" t="str">
            <v>4301776</v>
          </cell>
        </row>
        <row r="1410">
          <cell r="C1410" t="str">
            <v>오송</v>
          </cell>
          <cell r="D1410" t="str">
            <v>4301777</v>
          </cell>
        </row>
        <row r="1411">
          <cell r="C1411" t="str">
            <v>오송</v>
          </cell>
          <cell r="D1411" t="str">
            <v>4301779</v>
          </cell>
        </row>
        <row r="1412">
          <cell r="C1412" t="str">
            <v>오송</v>
          </cell>
          <cell r="D1412" t="str">
            <v>4301783</v>
          </cell>
        </row>
        <row r="1413">
          <cell r="C1413" t="str">
            <v>오송</v>
          </cell>
          <cell r="D1413" t="str">
            <v>4301806</v>
          </cell>
        </row>
        <row r="1414">
          <cell r="C1414" t="str">
            <v>오송</v>
          </cell>
          <cell r="D1414" t="str">
            <v>4301807</v>
          </cell>
        </row>
        <row r="1415">
          <cell r="C1415" t="str">
            <v>오송</v>
          </cell>
          <cell r="D1415" t="str">
            <v>4301808</v>
          </cell>
        </row>
        <row r="1416">
          <cell r="C1416" t="str">
            <v>오송</v>
          </cell>
          <cell r="D1416" t="str">
            <v>4301809</v>
          </cell>
        </row>
        <row r="1417">
          <cell r="C1417" t="str">
            <v>오송</v>
          </cell>
          <cell r="D1417" t="str">
            <v>4301810</v>
          </cell>
        </row>
        <row r="1418">
          <cell r="C1418" t="str">
            <v>오송</v>
          </cell>
          <cell r="D1418" t="str">
            <v>4301811</v>
          </cell>
        </row>
        <row r="1419">
          <cell r="C1419" t="str">
            <v>오송</v>
          </cell>
          <cell r="D1419" t="str">
            <v>4301812</v>
          </cell>
        </row>
        <row r="1420">
          <cell r="C1420" t="str">
            <v>오송</v>
          </cell>
          <cell r="D1420" t="str">
            <v>4301814</v>
          </cell>
        </row>
        <row r="1421">
          <cell r="C1421" t="str">
            <v>오송</v>
          </cell>
          <cell r="D1421" t="str">
            <v>4301815</v>
          </cell>
        </row>
        <row r="1422">
          <cell r="C1422" t="str">
            <v>오송</v>
          </cell>
          <cell r="D1422" t="str">
            <v>4301816</v>
          </cell>
        </row>
        <row r="1423">
          <cell r="C1423" t="str">
            <v>오송</v>
          </cell>
          <cell r="D1423" t="str">
            <v>4301818</v>
          </cell>
        </row>
        <row r="1424">
          <cell r="C1424" t="str">
            <v>오송</v>
          </cell>
          <cell r="D1424" t="str">
            <v>4301819</v>
          </cell>
        </row>
        <row r="1425">
          <cell r="C1425" t="str">
            <v>오송</v>
          </cell>
          <cell r="D1425" t="str">
            <v>4301830</v>
          </cell>
        </row>
        <row r="1426">
          <cell r="C1426" t="str">
            <v>오송</v>
          </cell>
          <cell r="D1426" t="str">
            <v>4301831</v>
          </cell>
        </row>
        <row r="1427">
          <cell r="C1427" t="str">
            <v>오송</v>
          </cell>
          <cell r="D1427" t="str">
            <v>4301832</v>
          </cell>
        </row>
        <row r="1428">
          <cell r="C1428" t="str">
            <v>오송</v>
          </cell>
          <cell r="D1428" t="str">
            <v>4301833</v>
          </cell>
        </row>
        <row r="1429">
          <cell r="C1429" t="str">
            <v>오송</v>
          </cell>
          <cell r="D1429" t="str">
            <v>4301834</v>
          </cell>
        </row>
        <row r="1430">
          <cell r="C1430" t="str">
            <v>오송</v>
          </cell>
          <cell r="D1430" t="str">
            <v>4301837</v>
          </cell>
        </row>
        <row r="1431">
          <cell r="C1431" t="str">
            <v>오송</v>
          </cell>
          <cell r="D1431" t="str">
            <v>4301838</v>
          </cell>
        </row>
        <row r="1432">
          <cell r="C1432" t="str">
            <v>오송</v>
          </cell>
          <cell r="D1432" t="str">
            <v>4301839</v>
          </cell>
        </row>
        <row r="1433">
          <cell r="C1433" t="str">
            <v>오송</v>
          </cell>
          <cell r="D1433" t="str">
            <v>4301842</v>
          </cell>
        </row>
        <row r="1434">
          <cell r="C1434" t="str">
            <v>오송</v>
          </cell>
          <cell r="D1434" t="str">
            <v>4301843</v>
          </cell>
        </row>
        <row r="1435">
          <cell r="C1435" t="str">
            <v>오송</v>
          </cell>
          <cell r="D1435" t="str">
            <v>4301844</v>
          </cell>
        </row>
        <row r="1436">
          <cell r="C1436" t="str">
            <v>오송</v>
          </cell>
          <cell r="D1436" t="str">
            <v>4301846</v>
          </cell>
        </row>
        <row r="1437">
          <cell r="C1437" t="str">
            <v>오송</v>
          </cell>
          <cell r="D1437" t="str">
            <v>4301847</v>
          </cell>
        </row>
        <row r="1438">
          <cell r="C1438" t="str">
            <v>오송</v>
          </cell>
          <cell r="D1438" t="str">
            <v>4301848</v>
          </cell>
        </row>
        <row r="1439">
          <cell r="C1439" t="str">
            <v>오송</v>
          </cell>
          <cell r="D1439" t="str">
            <v>4301849</v>
          </cell>
        </row>
        <row r="1440">
          <cell r="C1440" t="str">
            <v>오송</v>
          </cell>
          <cell r="D1440" t="str">
            <v>4301870</v>
          </cell>
        </row>
        <row r="1441">
          <cell r="C1441" t="str">
            <v>오송</v>
          </cell>
          <cell r="D1441" t="str">
            <v>4301871</v>
          </cell>
        </row>
        <row r="1442">
          <cell r="C1442" t="str">
            <v>오송</v>
          </cell>
          <cell r="D1442" t="str">
            <v>4301874</v>
          </cell>
        </row>
        <row r="1443">
          <cell r="C1443" t="str">
            <v>오송</v>
          </cell>
          <cell r="D1443" t="str">
            <v>4301875</v>
          </cell>
        </row>
        <row r="1444">
          <cell r="C1444" t="str">
            <v>오송</v>
          </cell>
          <cell r="D1444" t="str">
            <v>4301876</v>
          </cell>
        </row>
        <row r="1445">
          <cell r="C1445" t="str">
            <v>오송</v>
          </cell>
          <cell r="D1445" t="str">
            <v>4301877</v>
          </cell>
        </row>
        <row r="1446">
          <cell r="C1446" t="str">
            <v>오송</v>
          </cell>
          <cell r="D1446" t="str">
            <v>4301878</v>
          </cell>
        </row>
        <row r="1447">
          <cell r="C1447" t="str">
            <v>오송</v>
          </cell>
          <cell r="D1447" t="str">
            <v>4301879</v>
          </cell>
        </row>
        <row r="1448">
          <cell r="C1448" t="str">
            <v>오송</v>
          </cell>
          <cell r="D1448" t="str">
            <v>4301880</v>
          </cell>
        </row>
        <row r="1449">
          <cell r="C1449" t="str">
            <v>오송</v>
          </cell>
          <cell r="D1449" t="str">
            <v>4301890</v>
          </cell>
        </row>
        <row r="1450">
          <cell r="C1450" t="str">
            <v>오송</v>
          </cell>
          <cell r="D1450" t="str">
            <v>4301893</v>
          </cell>
        </row>
        <row r="1451">
          <cell r="C1451" t="str">
            <v>오송</v>
          </cell>
          <cell r="D1451" t="str">
            <v>4301894</v>
          </cell>
        </row>
        <row r="1452">
          <cell r="C1452" t="str">
            <v>오송</v>
          </cell>
          <cell r="D1452" t="str">
            <v>4301895</v>
          </cell>
        </row>
        <row r="1453">
          <cell r="C1453" t="str">
            <v>오송</v>
          </cell>
          <cell r="D1453" t="str">
            <v>4301896</v>
          </cell>
        </row>
        <row r="1454">
          <cell r="C1454" t="str">
            <v>오송</v>
          </cell>
          <cell r="D1454" t="str">
            <v>4301901</v>
          </cell>
        </row>
        <row r="1455">
          <cell r="C1455" t="str">
            <v>오송</v>
          </cell>
          <cell r="D1455" t="str">
            <v>4301919</v>
          </cell>
        </row>
        <row r="1456">
          <cell r="C1456" t="str">
            <v>오송</v>
          </cell>
          <cell r="D1456" t="str">
            <v>4301920</v>
          </cell>
        </row>
        <row r="1457">
          <cell r="C1457" t="str">
            <v>오송</v>
          </cell>
          <cell r="D1457" t="str">
            <v>4301921</v>
          </cell>
        </row>
        <row r="1458">
          <cell r="C1458" t="str">
            <v>오송</v>
          </cell>
          <cell r="D1458" t="str">
            <v>4301922</v>
          </cell>
        </row>
        <row r="1459">
          <cell r="C1459" t="str">
            <v>오송</v>
          </cell>
          <cell r="D1459" t="str">
            <v>4301923</v>
          </cell>
        </row>
        <row r="1460">
          <cell r="C1460" t="str">
            <v>오송</v>
          </cell>
          <cell r="D1460" t="str">
            <v>4301924</v>
          </cell>
        </row>
        <row r="1461">
          <cell r="C1461" t="str">
            <v>오송</v>
          </cell>
          <cell r="D1461" t="str">
            <v>4301925</v>
          </cell>
        </row>
        <row r="1462">
          <cell r="C1462" t="str">
            <v>오송</v>
          </cell>
          <cell r="D1462" t="str">
            <v>4301926</v>
          </cell>
        </row>
        <row r="1463">
          <cell r="C1463" t="str">
            <v>오송</v>
          </cell>
          <cell r="D1463" t="str">
            <v>4301927</v>
          </cell>
        </row>
        <row r="1464">
          <cell r="C1464" t="str">
            <v>오송</v>
          </cell>
          <cell r="D1464" t="str">
            <v>4301928</v>
          </cell>
        </row>
        <row r="1465">
          <cell r="C1465" t="str">
            <v>오송</v>
          </cell>
          <cell r="D1465" t="str">
            <v>4301929</v>
          </cell>
        </row>
        <row r="1466">
          <cell r="C1466" t="str">
            <v>오송</v>
          </cell>
          <cell r="D1466" t="str">
            <v>4301940</v>
          </cell>
        </row>
        <row r="1467">
          <cell r="C1467" t="str">
            <v>오송</v>
          </cell>
          <cell r="D1467" t="str">
            <v>4301941</v>
          </cell>
        </row>
        <row r="1468">
          <cell r="C1468" t="str">
            <v>오송</v>
          </cell>
          <cell r="D1468" t="str">
            <v>4301942</v>
          </cell>
        </row>
        <row r="1469">
          <cell r="C1469" t="str">
            <v>오송</v>
          </cell>
          <cell r="D1469" t="str">
            <v>4301943</v>
          </cell>
        </row>
        <row r="1470">
          <cell r="C1470" t="str">
            <v>오송</v>
          </cell>
          <cell r="D1470" t="str">
            <v>4301944</v>
          </cell>
        </row>
        <row r="1471">
          <cell r="C1471" t="str">
            <v>오송</v>
          </cell>
          <cell r="D1471" t="str">
            <v>4301954</v>
          </cell>
        </row>
        <row r="1472">
          <cell r="C1472" t="str">
            <v>오송</v>
          </cell>
          <cell r="D1472" t="str">
            <v>4301955</v>
          </cell>
        </row>
        <row r="1473">
          <cell r="C1473" t="str">
            <v>오송</v>
          </cell>
          <cell r="D1473" t="str">
            <v>4301982</v>
          </cell>
        </row>
        <row r="1474">
          <cell r="C1474" t="str">
            <v>오송</v>
          </cell>
          <cell r="D1474" t="str">
            <v>4301984</v>
          </cell>
        </row>
        <row r="1475">
          <cell r="C1475" t="str">
            <v>오송</v>
          </cell>
          <cell r="D1475" t="str">
            <v>4301985</v>
          </cell>
        </row>
        <row r="1476">
          <cell r="C1476" t="str">
            <v>오송</v>
          </cell>
          <cell r="D1476" t="str">
            <v>4301986</v>
          </cell>
        </row>
        <row r="1477">
          <cell r="C1477" t="str">
            <v>오송</v>
          </cell>
          <cell r="D1477" t="str">
            <v>4301987</v>
          </cell>
        </row>
        <row r="1478">
          <cell r="C1478" t="str">
            <v>오송</v>
          </cell>
          <cell r="D1478" t="str">
            <v>4301988</v>
          </cell>
        </row>
        <row r="1479">
          <cell r="C1479" t="str">
            <v>오송</v>
          </cell>
          <cell r="D1479" t="str">
            <v>4302013</v>
          </cell>
        </row>
        <row r="1480">
          <cell r="C1480" t="str">
            <v>오송</v>
          </cell>
          <cell r="D1480" t="str">
            <v>4302014</v>
          </cell>
        </row>
        <row r="1481">
          <cell r="C1481" t="str">
            <v>오송</v>
          </cell>
          <cell r="D1481" t="str">
            <v>4302015</v>
          </cell>
        </row>
        <row r="1482">
          <cell r="C1482" t="str">
            <v>오송</v>
          </cell>
          <cell r="D1482" t="str">
            <v>4302016</v>
          </cell>
        </row>
        <row r="1483">
          <cell r="C1483" t="str">
            <v>오송</v>
          </cell>
          <cell r="D1483" t="str">
            <v>4302017</v>
          </cell>
        </row>
        <row r="1484">
          <cell r="C1484" t="str">
            <v>오송</v>
          </cell>
          <cell r="D1484" t="str">
            <v>4302018</v>
          </cell>
        </row>
        <row r="1485">
          <cell r="C1485" t="str">
            <v>오송</v>
          </cell>
          <cell r="D1485" t="str">
            <v>4302019</v>
          </cell>
        </row>
        <row r="1486">
          <cell r="C1486" t="str">
            <v>오송</v>
          </cell>
          <cell r="D1486" t="str">
            <v>4302020</v>
          </cell>
        </row>
        <row r="1487">
          <cell r="C1487" t="str">
            <v>오송</v>
          </cell>
          <cell r="D1487" t="str">
            <v>4302021</v>
          </cell>
        </row>
        <row r="1488">
          <cell r="C1488" t="str">
            <v>오송</v>
          </cell>
          <cell r="D1488" t="str">
            <v>4302022</v>
          </cell>
        </row>
        <row r="1489">
          <cell r="C1489" t="str">
            <v>오송</v>
          </cell>
          <cell r="D1489" t="str">
            <v>4302023</v>
          </cell>
        </row>
        <row r="1490">
          <cell r="C1490" t="str">
            <v>오송</v>
          </cell>
          <cell r="D1490" t="str">
            <v>4302024</v>
          </cell>
        </row>
        <row r="1491">
          <cell r="C1491" t="str">
            <v>오송</v>
          </cell>
          <cell r="D1491" t="str">
            <v>4302025</v>
          </cell>
        </row>
        <row r="1492">
          <cell r="C1492" t="str">
            <v>오송</v>
          </cell>
          <cell r="D1492" t="str">
            <v>4302027</v>
          </cell>
        </row>
        <row r="1493">
          <cell r="C1493" t="str">
            <v>오송</v>
          </cell>
          <cell r="D1493" t="str">
            <v>4302036</v>
          </cell>
        </row>
        <row r="1494">
          <cell r="C1494" t="str">
            <v>오송</v>
          </cell>
          <cell r="D1494" t="str">
            <v>4302037</v>
          </cell>
        </row>
        <row r="1495">
          <cell r="C1495" t="str">
            <v>오송</v>
          </cell>
          <cell r="D1495" t="str">
            <v>4302038</v>
          </cell>
        </row>
        <row r="1496">
          <cell r="C1496" t="str">
            <v>오송</v>
          </cell>
          <cell r="D1496" t="str">
            <v>4302039</v>
          </cell>
        </row>
        <row r="1497">
          <cell r="C1497" t="str">
            <v>오송</v>
          </cell>
          <cell r="D1497" t="str">
            <v>4302043</v>
          </cell>
        </row>
        <row r="1498">
          <cell r="C1498" t="str">
            <v>오송</v>
          </cell>
          <cell r="D1498" t="str">
            <v>4302070</v>
          </cell>
        </row>
        <row r="1499">
          <cell r="C1499" t="str">
            <v>오송</v>
          </cell>
          <cell r="D1499" t="str">
            <v>4302071</v>
          </cell>
        </row>
        <row r="1500">
          <cell r="C1500" t="str">
            <v>오송</v>
          </cell>
          <cell r="D1500" t="str">
            <v>4302072</v>
          </cell>
        </row>
        <row r="1501">
          <cell r="C1501" t="str">
            <v>오송</v>
          </cell>
          <cell r="D1501" t="str">
            <v>4302073</v>
          </cell>
        </row>
        <row r="1502">
          <cell r="C1502" t="str">
            <v>오송</v>
          </cell>
          <cell r="D1502" t="str">
            <v>4302074</v>
          </cell>
        </row>
        <row r="1503">
          <cell r="C1503" t="str">
            <v>오송</v>
          </cell>
          <cell r="D1503" t="str">
            <v>4302075</v>
          </cell>
        </row>
        <row r="1504">
          <cell r="C1504" t="str">
            <v>오송</v>
          </cell>
          <cell r="D1504" t="str">
            <v>4302098</v>
          </cell>
        </row>
        <row r="1505">
          <cell r="C1505" t="str">
            <v>오송</v>
          </cell>
          <cell r="D1505" t="str">
            <v>4302101</v>
          </cell>
        </row>
        <row r="1506">
          <cell r="C1506" t="str">
            <v>오송</v>
          </cell>
          <cell r="D1506" t="str">
            <v>4302102</v>
          </cell>
        </row>
        <row r="1507">
          <cell r="C1507" t="str">
            <v>오송</v>
          </cell>
          <cell r="D1507" t="str">
            <v>4302114</v>
          </cell>
        </row>
        <row r="1508">
          <cell r="C1508" t="str">
            <v>오송</v>
          </cell>
          <cell r="D1508" t="str">
            <v>4302115</v>
          </cell>
        </row>
        <row r="1509">
          <cell r="C1509" t="str">
            <v>오송</v>
          </cell>
          <cell r="D1509" t="str">
            <v>4302117</v>
          </cell>
        </row>
        <row r="1510">
          <cell r="C1510" t="str">
            <v>오송</v>
          </cell>
          <cell r="D1510" t="str">
            <v>4302126</v>
          </cell>
        </row>
        <row r="1511">
          <cell r="C1511" t="str">
            <v>오송</v>
          </cell>
          <cell r="D1511" t="str">
            <v>4302127</v>
          </cell>
        </row>
        <row r="1512">
          <cell r="C1512" t="str">
            <v>오송</v>
          </cell>
          <cell r="D1512" t="str">
            <v>4302135</v>
          </cell>
        </row>
        <row r="1513">
          <cell r="C1513" t="str">
            <v>오송</v>
          </cell>
          <cell r="D1513" t="str">
            <v>4302136</v>
          </cell>
        </row>
        <row r="1514">
          <cell r="C1514" t="str">
            <v>오송</v>
          </cell>
          <cell r="D1514" t="str">
            <v>4302137</v>
          </cell>
        </row>
        <row r="1515">
          <cell r="C1515" t="str">
            <v>오송</v>
          </cell>
          <cell r="D1515" t="str">
            <v>4302138</v>
          </cell>
        </row>
        <row r="1516">
          <cell r="C1516" t="str">
            <v>오송</v>
          </cell>
          <cell r="D1516" t="str">
            <v>4302139</v>
          </cell>
        </row>
        <row r="1517">
          <cell r="C1517" t="str">
            <v>오송</v>
          </cell>
          <cell r="D1517" t="str">
            <v>4302140</v>
          </cell>
        </row>
        <row r="1518">
          <cell r="C1518" t="str">
            <v>오송</v>
          </cell>
          <cell r="D1518" t="str">
            <v>4302141</v>
          </cell>
        </row>
        <row r="1519">
          <cell r="C1519" t="str">
            <v>오송</v>
          </cell>
          <cell r="D1519" t="str">
            <v>4302142</v>
          </cell>
        </row>
        <row r="1520">
          <cell r="C1520" t="str">
            <v>오송</v>
          </cell>
          <cell r="D1520" t="str">
            <v>4302143</v>
          </cell>
        </row>
        <row r="1521">
          <cell r="C1521" t="str">
            <v>오송</v>
          </cell>
          <cell r="D1521" t="str">
            <v>4302156</v>
          </cell>
        </row>
        <row r="1522">
          <cell r="C1522" t="str">
            <v>오송</v>
          </cell>
          <cell r="D1522" t="str">
            <v>4302157</v>
          </cell>
        </row>
        <row r="1523">
          <cell r="C1523" t="str">
            <v>오송</v>
          </cell>
          <cell r="D1523" t="str">
            <v>4302158</v>
          </cell>
        </row>
        <row r="1524">
          <cell r="C1524" t="str">
            <v>오송</v>
          </cell>
          <cell r="D1524" t="str">
            <v>4302159</v>
          </cell>
        </row>
        <row r="1525">
          <cell r="C1525" t="str">
            <v>오송</v>
          </cell>
          <cell r="D1525" t="str">
            <v>4302160</v>
          </cell>
        </row>
        <row r="1526">
          <cell r="C1526" t="str">
            <v>오송</v>
          </cell>
          <cell r="D1526" t="str">
            <v>4302161</v>
          </cell>
        </row>
        <row r="1527">
          <cell r="C1527" t="str">
            <v>오송</v>
          </cell>
          <cell r="D1527" t="str">
            <v>4302184</v>
          </cell>
        </row>
        <row r="1528">
          <cell r="C1528" t="str">
            <v>오송</v>
          </cell>
          <cell r="D1528" t="str">
            <v>4302185</v>
          </cell>
        </row>
        <row r="1529">
          <cell r="C1529" t="str">
            <v>오송</v>
          </cell>
          <cell r="D1529" t="str">
            <v>4302186</v>
          </cell>
        </row>
        <row r="1530">
          <cell r="C1530" t="str">
            <v>오송</v>
          </cell>
          <cell r="D1530" t="str">
            <v>4302191</v>
          </cell>
        </row>
        <row r="1531">
          <cell r="C1531" t="str">
            <v>오송</v>
          </cell>
          <cell r="D1531" t="str">
            <v>4302192</v>
          </cell>
        </row>
        <row r="1532">
          <cell r="C1532" t="str">
            <v>오송</v>
          </cell>
          <cell r="D1532" t="str">
            <v>4302193</v>
          </cell>
        </row>
        <row r="1533">
          <cell r="C1533" t="str">
            <v>오송</v>
          </cell>
          <cell r="D1533" t="str">
            <v>4302194</v>
          </cell>
        </row>
        <row r="1534">
          <cell r="C1534" t="str">
            <v>오송</v>
          </cell>
          <cell r="D1534" t="str">
            <v>4302195</v>
          </cell>
        </row>
        <row r="1535">
          <cell r="C1535" t="str">
            <v>오송</v>
          </cell>
          <cell r="D1535" t="str">
            <v>4302196</v>
          </cell>
        </row>
        <row r="1536">
          <cell r="C1536" t="str">
            <v>오송</v>
          </cell>
          <cell r="D1536" t="str">
            <v>4302197</v>
          </cell>
        </row>
        <row r="1537">
          <cell r="C1537" t="str">
            <v>오송</v>
          </cell>
          <cell r="D1537" t="str">
            <v>4302198</v>
          </cell>
        </row>
        <row r="1538">
          <cell r="C1538" t="str">
            <v>오송</v>
          </cell>
          <cell r="D1538" t="str">
            <v>4302199</v>
          </cell>
        </row>
        <row r="1539">
          <cell r="C1539" t="str">
            <v>오송</v>
          </cell>
          <cell r="D1539" t="str">
            <v>4302200</v>
          </cell>
        </row>
        <row r="1540">
          <cell r="C1540" t="str">
            <v>오송</v>
          </cell>
          <cell r="D1540" t="str">
            <v>4302201</v>
          </cell>
        </row>
        <row r="1541">
          <cell r="C1541" t="str">
            <v>오송</v>
          </cell>
          <cell r="D1541" t="str">
            <v>4302202</v>
          </cell>
        </row>
        <row r="1542">
          <cell r="C1542" t="str">
            <v>오송</v>
          </cell>
          <cell r="D1542" t="str">
            <v>4302203</v>
          </cell>
        </row>
        <row r="1543">
          <cell r="C1543" t="str">
            <v>오송</v>
          </cell>
          <cell r="D1543" t="str">
            <v>4302204</v>
          </cell>
        </row>
        <row r="1544">
          <cell r="C1544" t="str">
            <v>오송</v>
          </cell>
          <cell r="D1544" t="str">
            <v>4302205</v>
          </cell>
        </row>
        <row r="1545">
          <cell r="C1545" t="str">
            <v>오송</v>
          </cell>
          <cell r="D1545" t="str">
            <v>4302206</v>
          </cell>
        </row>
        <row r="1546">
          <cell r="C1546" t="str">
            <v>오송</v>
          </cell>
          <cell r="D1546" t="str">
            <v>4302207</v>
          </cell>
        </row>
        <row r="1547">
          <cell r="C1547" t="str">
            <v>오송</v>
          </cell>
          <cell r="D1547" t="str">
            <v>4302208</v>
          </cell>
        </row>
        <row r="1548">
          <cell r="C1548" t="str">
            <v>오송</v>
          </cell>
          <cell r="D1548" t="str">
            <v>4302209</v>
          </cell>
        </row>
        <row r="1549">
          <cell r="C1549" t="str">
            <v>오송</v>
          </cell>
          <cell r="D1549" t="str">
            <v>4302210</v>
          </cell>
        </row>
        <row r="1550">
          <cell r="C1550" t="str">
            <v>오송</v>
          </cell>
          <cell r="D1550" t="str">
            <v>4302211</v>
          </cell>
        </row>
        <row r="1551">
          <cell r="C1551" t="str">
            <v>오송</v>
          </cell>
          <cell r="D1551" t="str">
            <v>4302212</v>
          </cell>
        </row>
        <row r="1552">
          <cell r="C1552" t="str">
            <v>오송</v>
          </cell>
          <cell r="D1552" t="str">
            <v>4302213</v>
          </cell>
        </row>
        <row r="1553">
          <cell r="C1553" t="str">
            <v>오송</v>
          </cell>
          <cell r="D1553" t="str">
            <v>4302214</v>
          </cell>
        </row>
        <row r="1554">
          <cell r="C1554" t="str">
            <v>오송</v>
          </cell>
          <cell r="D1554" t="str">
            <v>4302220</v>
          </cell>
        </row>
        <row r="1555">
          <cell r="C1555" t="str">
            <v>오송</v>
          </cell>
          <cell r="D1555" t="str">
            <v>4302221</v>
          </cell>
        </row>
        <row r="1556">
          <cell r="C1556" t="str">
            <v>오송</v>
          </cell>
          <cell r="D1556" t="str">
            <v>4302222</v>
          </cell>
        </row>
        <row r="1557">
          <cell r="C1557" t="str">
            <v>오송</v>
          </cell>
          <cell r="D1557" t="str">
            <v>4302223</v>
          </cell>
        </row>
        <row r="1558">
          <cell r="C1558" t="str">
            <v>오송</v>
          </cell>
          <cell r="D1558" t="str">
            <v>4302224</v>
          </cell>
        </row>
        <row r="1559">
          <cell r="C1559" t="str">
            <v>오송</v>
          </cell>
          <cell r="D1559" t="str">
            <v>4302225</v>
          </cell>
        </row>
        <row r="1560">
          <cell r="C1560" t="str">
            <v>오송</v>
          </cell>
          <cell r="D1560" t="str">
            <v>4302226</v>
          </cell>
        </row>
        <row r="1561">
          <cell r="C1561" t="str">
            <v>오송</v>
          </cell>
          <cell r="D1561" t="str">
            <v>4302227</v>
          </cell>
        </row>
        <row r="1562">
          <cell r="C1562" t="str">
            <v>오송</v>
          </cell>
          <cell r="D1562" t="str">
            <v>4302228</v>
          </cell>
        </row>
        <row r="1563">
          <cell r="C1563" t="str">
            <v>오송</v>
          </cell>
          <cell r="D1563" t="str">
            <v>4302230</v>
          </cell>
        </row>
        <row r="1564">
          <cell r="C1564" t="str">
            <v>오송</v>
          </cell>
          <cell r="D1564" t="str">
            <v>4302231</v>
          </cell>
        </row>
        <row r="1565">
          <cell r="C1565" t="str">
            <v>오송</v>
          </cell>
          <cell r="D1565" t="str">
            <v>4302232</v>
          </cell>
        </row>
        <row r="1566">
          <cell r="C1566" t="str">
            <v>오송</v>
          </cell>
          <cell r="D1566" t="str">
            <v>4302233</v>
          </cell>
        </row>
        <row r="1567">
          <cell r="C1567" t="str">
            <v>오송</v>
          </cell>
          <cell r="D1567" t="str">
            <v>4302234</v>
          </cell>
        </row>
        <row r="1568">
          <cell r="C1568" t="str">
            <v>오송</v>
          </cell>
          <cell r="D1568" t="str">
            <v>4302235</v>
          </cell>
        </row>
        <row r="1569">
          <cell r="C1569" t="str">
            <v>오송</v>
          </cell>
          <cell r="D1569" t="str">
            <v>4302236</v>
          </cell>
        </row>
        <row r="1570">
          <cell r="C1570" t="str">
            <v>오송</v>
          </cell>
          <cell r="D1570" t="str">
            <v>4302237</v>
          </cell>
        </row>
        <row r="1571">
          <cell r="C1571" t="str">
            <v>오송</v>
          </cell>
          <cell r="D1571" t="str">
            <v>4302238</v>
          </cell>
        </row>
        <row r="1572">
          <cell r="C1572" t="str">
            <v>오송</v>
          </cell>
          <cell r="D1572" t="str">
            <v>4302239</v>
          </cell>
        </row>
        <row r="1573">
          <cell r="C1573" t="str">
            <v>오송</v>
          </cell>
          <cell r="D1573" t="str">
            <v>4302240</v>
          </cell>
        </row>
        <row r="1574">
          <cell r="C1574" t="str">
            <v>오송</v>
          </cell>
          <cell r="D1574" t="str">
            <v>4302241</v>
          </cell>
        </row>
        <row r="1575">
          <cell r="C1575" t="str">
            <v>오송</v>
          </cell>
          <cell r="D1575" t="str">
            <v>4302242</v>
          </cell>
        </row>
        <row r="1576">
          <cell r="C1576" t="str">
            <v>오송</v>
          </cell>
          <cell r="D1576" t="str">
            <v>4302243</v>
          </cell>
        </row>
        <row r="1577">
          <cell r="C1577" t="str">
            <v>오송</v>
          </cell>
          <cell r="D1577" t="str">
            <v>4302244</v>
          </cell>
        </row>
        <row r="1578">
          <cell r="C1578" t="str">
            <v>오송</v>
          </cell>
          <cell r="D1578" t="str">
            <v>4302245</v>
          </cell>
        </row>
        <row r="1579">
          <cell r="C1579" t="str">
            <v>오송</v>
          </cell>
          <cell r="D1579" t="str">
            <v>4302246</v>
          </cell>
        </row>
        <row r="1580">
          <cell r="C1580" t="str">
            <v>오송</v>
          </cell>
          <cell r="D1580" t="str">
            <v>4302247</v>
          </cell>
        </row>
        <row r="1581">
          <cell r="C1581" t="str">
            <v>오송</v>
          </cell>
          <cell r="D1581" t="str">
            <v>4302248</v>
          </cell>
        </row>
        <row r="1582">
          <cell r="C1582" t="str">
            <v>오송</v>
          </cell>
          <cell r="D1582" t="str">
            <v>4302252</v>
          </cell>
        </row>
        <row r="1583">
          <cell r="C1583" t="str">
            <v>오송</v>
          </cell>
          <cell r="D1583" t="str">
            <v>4302253</v>
          </cell>
        </row>
        <row r="1584">
          <cell r="C1584" t="str">
            <v>오송</v>
          </cell>
          <cell r="D1584" t="str">
            <v>4302254</v>
          </cell>
        </row>
        <row r="1585">
          <cell r="C1585" t="str">
            <v>오송</v>
          </cell>
          <cell r="D1585" t="str">
            <v>4302255</v>
          </cell>
        </row>
        <row r="1586">
          <cell r="C1586" t="str">
            <v>오송</v>
          </cell>
          <cell r="D1586" t="str">
            <v>4302256</v>
          </cell>
        </row>
        <row r="1587">
          <cell r="C1587" t="str">
            <v>오송</v>
          </cell>
          <cell r="D1587" t="str">
            <v>4302257</v>
          </cell>
        </row>
        <row r="1588">
          <cell r="C1588" t="str">
            <v>오송</v>
          </cell>
          <cell r="D1588" t="str">
            <v>4302258</v>
          </cell>
        </row>
        <row r="1589">
          <cell r="C1589" t="str">
            <v>오송</v>
          </cell>
          <cell r="D1589" t="str">
            <v>4302259</v>
          </cell>
        </row>
        <row r="1590">
          <cell r="C1590" t="str">
            <v>오송</v>
          </cell>
          <cell r="D1590" t="str">
            <v>4302260</v>
          </cell>
        </row>
        <row r="1591">
          <cell r="C1591" t="str">
            <v>오송</v>
          </cell>
          <cell r="D1591" t="str">
            <v>4302261</v>
          </cell>
        </row>
        <row r="1592">
          <cell r="C1592" t="str">
            <v>오송</v>
          </cell>
          <cell r="D1592" t="str">
            <v>4302270</v>
          </cell>
        </row>
        <row r="1593">
          <cell r="C1593" t="str">
            <v>오송</v>
          </cell>
          <cell r="D1593" t="str">
            <v>4302279</v>
          </cell>
        </row>
        <row r="1594">
          <cell r="C1594" t="str">
            <v>오송</v>
          </cell>
          <cell r="D1594" t="str">
            <v>4302324</v>
          </cell>
        </row>
        <row r="1595">
          <cell r="C1595" t="str">
            <v>오송</v>
          </cell>
          <cell r="D1595" t="str">
            <v>4302331</v>
          </cell>
        </row>
        <row r="1596">
          <cell r="C1596" t="str">
            <v>오송</v>
          </cell>
          <cell r="D1596" t="str">
            <v>4302332</v>
          </cell>
        </row>
        <row r="1597">
          <cell r="C1597" t="str">
            <v>오송</v>
          </cell>
          <cell r="D1597" t="str">
            <v>4302333</v>
          </cell>
        </row>
        <row r="1598">
          <cell r="C1598" t="str">
            <v>오송</v>
          </cell>
          <cell r="D1598" t="str">
            <v>4302334</v>
          </cell>
        </row>
        <row r="1599">
          <cell r="C1599" t="str">
            <v>오송</v>
          </cell>
          <cell r="D1599" t="str">
            <v>4302341</v>
          </cell>
        </row>
        <row r="1600">
          <cell r="C1600" t="str">
            <v>오송</v>
          </cell>
          <cell r="D1600" t="str">
            <v>4302342</v>
          </cell>
        </row>
        <row r="1601">
          <cell r="C1601" t="str">
            <v>오송</v>
          </cell>
          <cell r="D1601" t="str">
            <v>4302347</v>
          </cell>
        </row>
        <row r="1602">
          <cell r="C1602" t="str">
            <v>오송</v>
          </cell>
          <cell r="D1602" t="str">
            <v>4302360</v>
          </cell>
        </row>
        <row r="1603">
          <cell r="C1603" t="str">
            <v>오송</v>
          </cell>
          <cell r="D1603" t="str">
            <v>4302361</v>
          </cell>
        </row>
        <row r="1604">
          <cell r="C1604" t="str">
            <v>오송</v>
          </cell>
          <cell r="D1604" t="str">
            <v>4302362</v>
          </cell>
        </row>
        <row r="1605">
          <cell r="C1605" t="str">
            <v>오송</v>
          </cell>
          <cell r="D1605" t="str">
            <v>4302378</v>
          </cell>
        </row>
        <row r="1606">
          <cell r="C1606" t="str">
            <v>오송</v>
          </cell>
          <cell r="D1606" t="str">
            <v>4302379</v>
          </cell>
        </row>
        <row r="1607">
          <cell r="C1607" t="str">
            <v>오송</v>
          </cell>
          <cell r="D1607" t="str">
            <v>4302380</v>
          </cell>
        </row>
        <row r="1608">
          <cell r="C1608" t="str">
            <v>오송</v>
          </cell>
          <cell r="D1608" t="str">
            <v>4302381</v>
          </cell>
        </row>
        <row r="1609">
          <cell r="C1609" t="str">
            <v>오송</v>
          </cell>
          <cell r="D1609" t="str">
            <v>4302389</v>
          </cell>
        </row>
        <row r="1610">
          <cell r="C1610" t="str">
            <v>오송</v>
          </cell>
          <cell r="D1610" t="str">
            <v>4302390</v>
          </cell>
        </row>
        <row r="1611">
          <cell r="C1611" t="str">
            <v>오송</v>
          </cell>
          <cell r="D1611" t="str">
            <v>4302391</v>
          </cell>
        </row>
        <row r="1612">
          <cell r="C1612" t="str">
            <v>오송</v>
          </cell>
          <cell r="D1612" t="str">
            <v>4302392</v>
          </cell>
        </row>
        <row r="1613">
          <cell r="C1613" t="str">
            <v>오송</v>
          </cell>
          <cell r="D1613" t="str">
            <v>4302393</v>
          </cell>
        </row>
        <row r="1614">
          <cell r="C1614" t="str">
            <v>오송</v>
          </cell>
          <cell r="D1614" t="str">
            <v>4302394</v>
          </cell>
        </row>
        <row r="1615">
          <cell r="C1615" t="str">
            <v>오송</v>
          </cell>
          <cell r="D1615" t="str">
            <v>4302395</v>
          </cell>
        </row>
        <row r="1616">
          <cell r="C1616" t="str">
            <v>오송</v>
          </cell>
          <cell r="D1616" t="str">
            <v>4302396</v>
          </cell>
        </row>
        <row r="1617">
          <cell r="C1617" t="str">
            <v>오송</v>
          </cell>
          <cell r="D1617" t="str">
            <v>4302398</v>
          </cell>
        </row>
        <row r="1618">
          <cell r="C1618" t="str">
            <v>오송</v>
          </cell>
          <cell r="D1618" t="str">
            <v>4302399</v>
          </cell>
        </row>
        <row r="1619">
          <cell r="C1619" t="str">
            <v>오송</v>
          </cell>
          <cell r="D1619" t="str">
            <v>4302400</v>
          </cell>
        </row>
        <row r="1620">
          <cell r="C1620" t="str">
            <v>오송</v>
          </cell>
          <cell r="D1620" t="str">
            <v>4302401</v>
          </cell>
        </row>
        <row r="1621">
          <cell r="C1621" t="str">
            <v>오송</v>
          </cell>
          <cell r="D1621" t="str">
            <v>4302403</v>
          </cell>
        </row>
        <row r="1622">
          <cell r="C1622" t="str">
            <v>오송</v>
          </cell>
          <cell r="D1622" t="str">
            <v>4302404</v>
          </cell>
        </row>
        <row r="1623">
          <cell r="C1623" t="str">
            <v>오송</v>
          </cell>
          <cell r="D1623" t="str">
            <v>4302405</v>
          </cell>
        </row>
        <row r="1624">
          <cell r="C1624" t="str">
            <v>오송</v>
          </cell>
          <cell r="D1624" t="str">
            <v>4302406</v>
          </cell>
        </row>
        <row r="1625">
          <cell r="C1625" t="str">
            <v>오송</v>
          </cell>
          <cell r="D1625" t="str">
            <v>4302408</v>
          </cell>
        </row>
        <row r="1626">
          <cell r="C1626" t="str">
            <v>오송</v>
          </cell>
          <cell r="D1626" t="str">
            <v>4302409</v>
          </cell>
        </row>
        <row r="1627">
          <cell r="C1627" t="str">
            <v>오송</v>
          </cell>
          <cell r="D1627" t="str">
            <v>4302415</v>
          </cell>
        </row>
        <row r="1628">
          <cell r="C1628" t="str">
            <v>오송</v>
          </cell>
          <cell r="D1628" t="str">
            <v>4302416</v>
          </cell>
        </row>
        <row r="1629">
          <cell r="C1629" t="str">
            <v>오송</v>
          </cell>
          <cell r="D1629" t="str">
            <v>4302417</v>
          </cell>
        </row>
        <row r="1630">
          <cell r="C1630" t="str">
            <v>오송</v>
          </cell>
          <cell r="D1630" t="str">
            <v>4302418</v>
          </cell>
        </row>
        <row r="1631">
          <cell r="C1631" t="str">
            <v>오송</v>
          </cell>
          <cell r="D1631" t="str">
            <v>4302419</v>
          </cell>
        </row>
        <row r="1632">
          <cell r="C1632" t="str">
            <v>오송</v>
          </cell>
          <cell r="D1632" t="str">
            <v>4302420</v>
          </cell>
        </row>
        <row r="1633">
          <cell r="C1633" t="str">
            <v>오송</v>
          </cell>
          <cell r="D1633" t="str">
            <v>4302421</v>
          </cell>
        </row>
        <row r="1634">
          <cell r="C1634" t="str">
            <v>오송</v>
          </cell>
          <cell r="D1634" t="str">
            <v>4302422</v>
          </cell>
        </row>
        <row r="1635">
          <cell r="C1635" t="str">
            <v>오송</v>
          </cell>
          <cell r="D1635" t="str">
            <v>4302423</v>
          </cell>
        </row>
        <row r="1636">
          <cell r="C1636" t="str">
            <v>오송</v>
          </cell>
          <cell r="D1636" t="str">
            <v>4302424</v>
          </cell>
        </row>
        <row r="1637">
          <cell r="C1637" t="str">
            <v>오송</v>
          </cell>
          <cell r="D1637" t="str">
            <v>4302429</v>
          </cell>
        </row>
        <row r="1638">
          <cell r="C1638" t="str">
            <v>오송</v>
          </cell>
          <cell r="D1638" t="str">
            <v>4302430</v>
          </cell>
        </row>
        <row r="1639">
          <cell r="C1639" t="str">
            <v>오송</v>
          </cell>
          <cell r="D1639" t="str">
            <v>4302431</v>
          </cell>
        </row>
        <row r="1640">
          <cell r="C1640" t="str">
            <v>오송</v>
          </cell>
          <cell r="D1640" t="str">
            <v>4302432</v>
          </cell>
        </row>
        <row r="1641">
          <cell r="C1641" t="str">
            <v>오송</v>
          </cell>
          <cell r="D1641" t="str">
            <v>4302433</v>
          </cell>
        </row>
        <row r="1642">
          <cell r="C1642" t="str">
            <v>오송</v>
          </cell>
          <cell r="D1642" t="str">
            <v>4302434</v>
          </cell>
        </row>
        <row r="1643">
          <cell r="C1643" t="str">
            <v>오송</v>
          </cell>
          <cell r="D1643" t="str">
            <v>4302435</v>
          </cell>
        </row>
        <row r="1644">
          <cell r="C1644" t="str">
            <v>오송</v>
          </cell>
          <cell r="D1644" t="str">
            <v>4302436</v>
          </cell>
        </row>
        <row r="1645">
          <cell r="C1645" t="str">
            <v>오송</v>
          </cell>
          <cell r="D1645" t="str">
            <v>4302437</v>
          </cell>
        </row>
        <row r="1646">
          <cell r="C1646" t="str">
            <v>오송</v>
          </cell>
          <cell r="D1646" t="str">
            <v>4302438</v>
          </cell>
        </row>
        <row r="1647">
          <cell r="C1647" t="str">
            <v>오송</v>
          </cell>
          <cell r="D1647" t="str">
            <v>4302439</v>
          </cell>
        </row>
        <row r="1648">
          <cell r="C1648" t="str">
            <v>오송</v>
          </cell>
          <cell r="D1648" t="str">
            <v>4302447</v>
          </cell>
        </row>
        <row r="1649">
          <cell r="C1649" t="str">
            <v>오송</v>
          </cell>
          <cell r="D1649" t="str">
            <v>4302451</v>
          </cell>
        </row>
        <row r="1650">
          <cell r="C1650" t="str">
            <v>오송</v>
          </cell>
          <cell r="D1650" t="str">
            <v>4302452</v>
          </cell>
        </row>
        <row r="1651">
          <cell r="C1651" t="str">
            <v>오송</v>
          </cell>
          <cell r="D1651" t="str">
            <v>4302453</v>
          </cell>
        </row>
        <row r="1652">
          <cell r="C1652" t="str">
            <v>오송</v>
          </cell>
          <cell r="D1652" t="str">
            <v>4302454</v>
          </cell>
        </row>
        <row r="1653">
          <cell r="C1653" t="str">
            <v>오송</v>
          </cell>
          <cell r="D1653" t="str">
            <v>4302455</v>
          </cell>
        </row>
        <row r="1654">
          <cell r="C1654" t="str">
            <v>오송</v>
          </cell>
          <cell r="D1654" t="str">
            <v>4302456</v>
          </cell>
        </row>
        <row r="1655">
          <cell r="C1655" t="str">
            <v>오송</v>
          </cell>
          <cell r="D1655" t="str">
            <v>4302457</v>
          </cell>
        </row>
        <row r="1656">
          <cell r="C1656" t="str">
            <v>오송</v>
          </cell>
          <cell r="D1656" t="str">
            <v>4302458</v>
          </cell>
        </row>
        <row r="1657">
          <cell r="C1657" t="str">
            <v>오송</v>
          </cell>
          <cell r="D1657" t="str">
            <v>4302459</v>
          </cell>
        </row>
        <row r="1658">
          <cell r="C1658" t="str">
            <v>오송</v>
          </cell>
          <cell r="D1658" t="str">
            <v>4302460</v>
          </cell>
        </row>
        <row r="1659">
          <cell r="C1659" t="str">
            <v>오송</v>
          </cell>
          <cell r="D1659" t="str">
            <v>4302481</v>
          </cell>
        </row>
        <row r="1660">
          <cell r="C1660" t="str">
            <v>오송</v>
          </cell>
          <cell r="D1660" t="str">
            <v>4302482</v>
          </cell>
        </row>
        <row r="1661">
          <cell r="C1661" t="str">
            <v>오송</v>
          </cell>
          <cell r="D1661" t="str">
            <v>4302483</v>
          </cell>
        </row>
        <row r="1662">
          <cell r="C1662" t="str">
            <v>오송</v>
          </cell>
          <cell r="D1662" t="str">
            <v>4302502</v>
          </cell>
        </row>
        <row r="1663">
          <cell r="C1663" t="str">
            <v>오송</v>
          </cell>
          <cell r="D1663" t="str">
            <v>4302503</v>
          </cell>
        </row>
        <row r="1664">
          <cell r="C1664" t="str">
            <v>오송</v>
          </cell>
          <cell r="D1664" t="str">
            <v>4302504</v>
          </cell>
        </row>
        <row r="1665">
          <cell r="C1665" t="str">
            <v>오송</v>
          </cell>
          <cell r="D1665" t="str">
            <v>4302505</v>
          </cell>
        </row>
        <row r="1666">
          <cell r="C1666" t="str">
            <v>오송</v>
          </cell>
          <cell r="D1666" t="str">
            <v>4302506</v>
          </cell>
        </row>
        <row r="1667">
          <cell r="C1667" t="str">
            <v>오송</v>
          </cell>
          <cell r="D1667" t="str">
            <v>4302507</v>
          </cell>
        </row>
        <row r="1668">
          <cell r="C1668" t="str">
            <v>오송</v>
          </cell>
          <cell r="D1668" t="str">
            <v>4302508</v>
          </cell>
        </row>
        <row r="1669">
          <cell r="C1669" t="str">
            <v>오송</v>
          </cell>
          <cell r="D1669" t="str">
            <v>4302509</v>
          </cell>
        </row>
        <row r="1670">
          <cell r="C1670" t="str">
            <v>오송</v>
          </cell>
          <cell r="D1670" t="str">
            <v>4302520</v>
          </cell>
        </row>
        <row r="1671">
          <cell r="C1671" t="str">
            <v>오송</v>
          </cell>
          <cell r="D1671" t="str">
            <v>4302521</v>
          </cell>
        </row>
        <row r="1672">
          <cell r="C1672" t="str">
            <v>오송</v>
          </cell>
          <cell r="D1672" t="str">
            <v>4302522</v>
          </cell>
        </row>
        <row r="1673">
          <cell r="C1673" t="str">
            <v>오송</v>
          </cell>
          <cell r="D1673" t="str">
            <v>4302523</v>
          </cell>
        </row>
        <row r="1674">
          <cell r="C1674" t="str">
            <v>오송</v>
          </cell>
          <cell r="D1674" t="str">
            <v>4302524</v>
          </cell>
        </row>
        <row r="1675">
          <cell r="C1675" t="str">
            <v>오송</v>
          </cell>
          <cell r="D1675" t="str">
            <v>4302525</v>
          </cell>
        </row>
        <row r="1676">
          <cell r="C1676" t="str">
            <v>오송</v>
          </cell>
          <cell r="D1676" t="str">
            <v>4400009</v>
          </cell>
        </row>
        <row r="1677">
          <cell r="C1677" t="str">
            <v>오송</v>
          </cell>
          <cell r="D1677" t="str">
            <v>4400010</v>
          </cell>
        </row>
        <row r="1678">
          <cell r="C1678" t="str">
            <v>오송</v>
          </cell>
          <cell r="D1678" t="str">
            <v>4400011</v>
          </cell>
        </row>
        <row r="1679">
          <cell r="C1679" t="str">
            <v>오송</v>
          </cell>
          <cell r="D1679" t="str">
            <v>4400021</v>
          </cell>
        </row>
        <row r="1680">
          <cell r="C1680" t="str">
            <v>오송</v>
          </cell>
          <cell r="D1680" t="str">
            <v>4400022</v>
          </cell>
        </row>
        <row r="1681">
          <cell r="C1681" t="str">
            <v>오송</v>
          </cell>
          <cell r="D1681" t="str">
            <v>4400023</v>
          </cell>
        </row>
        <row r="1682">
          <cell r="C1682" t="str">
            <v>오송</v>
          </cell>
          <cell r="D1682" t="str">
            <v>4400024</v>
          </cell>
        </row>
        <row r="1683">
          <cell r="C1683" t="str">
            <v>오송</v>
          </cell>
          <cell r="D1683" t="str">
            <v>4400025</v>
          </cell>
        </row>
        <row r="1684">
          <cell r="C1684" t="str">
            <v>오송</v>
          </cell>
          <cell r="D1684" t="str">
            <v>4400027</v>
          </cell>
        </row>
        <row r="1685">
          <cell r="C1685" t="str">
            <v>오송</v>
          </cell>
          <cell r="D1685" t="str">
            <v>4400028</v>
          </cell>
        </row>
        <row r="1686">
          <cell r="C1686" t="str">
            <v>오송</v>
          </cell>
          <cell r="D1686" t="str">
            <v>4400029</v>
          </cell>
        </row>
        <row r="1687">
          <cell r="C1687" t="str">
            <v>오송</v>
          </cell>
          <cell r="D1687" t="str">
            <v>4400030</v>
          </cell>
        </row>
        <row r="1688">
          <cell r="C1688" t="str">
            <v>오송</v>
          </cell>
          <cell r="D1688" t="str">
            <v>4400031</v>
          </cell>
        </row>
        <row r="1689">
          <cell r="C1689" t="str">
            <v>오송</v>
          </cell>
          <cell r="D1689" t="str">
            <v>4400032</v>
          </cell>
        </row>
        <row r="1690">
          <cell r="C1690" t="str">
            <v>오송</v>
          </cell>
          <cell r="D1690" t="str">
            <v>4400033</v>
          </cell>
        </row>
        <row r="1691">
          <cell r="C1691" t="str">
            <v>오송</v>
          </cell>
          <cell r="D1691" t="str">
            <v>4400034</v>
          </cell>
        </row>
        <row r="1692">
          <cell r="C1692" t="str">
            <v>오송</v>
          </cell>
          <cell r="D1692" t="str">
            <v>4400035</v>
          </cell>
        </row>
        <row r="1693">
          <cell r="C1693" t="str">
            <v>오송</v>
          </cell>
          <cell r="D1693" t="str">
            <v>4400036</v>
          </cell>
        </row>
        <row r="1694">
          <cell r="C1694" t="str">
            <v>오송</v>
          </cell>
          <cell r="D1694" t="str">
            <v>4400037</v>
          </cell>
        </row>
        <row r="1695">
          <cell r="C1695" t="str">
            <v>오송</v>
          </cell>
          <cell r="D1695" t="str">
            <v>4400038</v>
          </cell>
        </row>
        <row r="1696">
          <cell r="C1696" t="str">
            <v>오송</v>
          </cell>
          <cell r="D1696" t="str">
            <v>4400039</v>
          </cell>
        </row>
        <row r="1697">
          <cell r="C1697" t="str">
            <v>오송</v>
          </cell>
          <cell r="D1697" t="str">
            <v>4400040</v>
          </cell>
        </row>
        <row r="1698">
          <cell r="C1698" t="str">
            <v>오송</v>
          </cell>
          <cell r="D1698" t="str">
            <v>4400041</v>
          </cell>
        </row>
        <row r="1699">
          <cell r="C1699" t="str">
            <v>오송</v>
          </cell>
          <cell r="D1699" t="str">
            <v>4400042</v>
          </cell>
        </row>
        <row r="1700">
          <cell r="C1700" t="str">
            <v>오송</v>
          </cell>
          <cell r="D1700" t="str">
            <v>4400043</v>
          </cell>
        </row>
        <row r="1701">
          <cell r="C1701" t="str">
            <v>오송</v>
          </cell>
          <cell r="D1701" t="str">
            <v>4400044</v>
          </cell>
        </row>
        <row r="1702">
          <cell r="C1702" t="str">
            <v>오송</v>
          </cell>
          <cell r="D1702" t="str">
            <v>4400050</v>
          </cell>
        </row>
        <row r="1703">
          <cell r="C1703" t="str">
            <v>오송</v>
          </cell>
          <cell r="D1703" t="str">
            <v>4400053</v>
          </cell>
        </row>
        <row r="1704">
          <cell r="C1704" t="str">
            <v>오송</v>
          </cell>
          <cell r="D1704" t="str">
            <v>4400054</v>
          </cell>
        </row>
        <row r="1705">
          <cell r="C1705" t="str">
            <v>오송</v>
          </cell>
          <cell r="D1705" t="str">
            <v>4400055</v>
          </cell>
        </row>
        <row r="1706">
          <cell r="C1706" t="str">
            <v>오송</v>
          </cell>
          <cell r="D1706" t="str">
            <v>4400064</v>
          </cell>
        </row>
        <row r="1707">
          <cell r="C1707" t="str">
            <v>오송</v>
          </cell>
          <cell r="D1707" t="str">
            <v>4400065</v>
          </cell>
        </row>
        <row r="1708">
          <cell r="C1708" t="str">
            <v>오송</v>
          </cell>
          <cell r="D1708" t="str">
            <v>4400092</v>
          </cell>
        </row>
        <row r="1709">
          <cell r="C1709" t="str">
            <v>오송</v>
          </cell>
          <cell r="D1709" t="str">
            <v>4400093</v>
          </cell>
        </row>
        <row r="1710">
          <cell r="C1710" t="str">
            <v>오송</v>
          </cell>
          <cell r="D1710" t="str">
            <v>4400094</v>
          </cell>
        </row>
        <row r="1711">
          <cell r="C1711" t="str">
            <v>오송</v>
          </cell>
          <cell r="D1711" t="str">
            <v>4400095</v>
          </cell>
        </row>
        <row r="1712">
          <cell r="C1712" t="str">
            <v>오송</v>
          </cell>
          <cell r="D1712" t="str">
            <v>4400096</v>
          </cell>
        </row>
        <row r="1713">
          <cell r="C1713" t="str">
            <v>오송</v>
          </cell>
          <cell r="D1713" t="str">
            <v>4400097</v>
          </cell>
        </row>
        <row r="1714">
          <cell r="C1714" t="str">
            <v>오송</v>
          </cell>
          <cell r="D1714" t="str">
            <v>4400098</v>
          </cell>
        </row>
        <row r="1715">
          <cell r="C1715" t="str">
            <v>오송</v>
          </cell>
          <cell r="D1715" t="str">
            <v>4400099</v>
          </cell>
        </row>
        <row r="1716">
          <cell r="C1716" t="str">
            <v>오송</v>
          </cell>
          <cell r="D1716" t="str">
            <v>4400100</v>
          </cell>
        </row>
        <row r="1717">
          <cell r="C1717" t="str">
            <v>오송</v>
          </cell>
          <cell r="D1717" t="str">
            <v>4400101</v>
          </cell>
        </row>
        <row r="1718">
          <cell r="C1718" t="str">
            <v>오송</v>
          </cell>
          <cell r="D1718" t="str">
            <v>4400102</v>
          </cell>
        </row>
        <row r="1719">
          <cell r="C1719" t="str">
            <v>오송</v>
          </cell>
          <cell r="D1719" t="str">
            <v>4400103</v>
          </cell>
        </row>
        <row r="1720">
          <cell r="C1720" t="str">
            <v>오송</v>
          </cell>
          <cell r="D1720" t="str">
            <v>4400110</v>
          </cell>
        </row>
        <row r="1721">
          <cell r="C1721" t="str">
            <v>오송</v>
          </cell>
          <cell r="D1721" t="str">
            <v>4400111</v>
          </cell>
        </row>
        <row r="1722">
          <cell r="C1722" t="str">
            <v>오송</v>
          </cell>
          <cell r="D1722" t="str">
            <v>4400113</v>
          </cell>
        </row>
        <row r="1723">
          <cell r="C1723" t="str">
            <v>오송</v>
          </cell>
          <cell r="D1723" t="str">
            <v>4400114</v>
          </cell>
        </row>
        <row r="1724">
          <cell r="C1724" t="str">
            <v>오송</v>
          </cell>
          <cell r="D1724" t="str">
            <v>4400115</v>
          </cell>
        </row>
        <row r="1725">
          <cell r="C1725" t="str">
            <v>오송</v>
          </cell>
          <cell r="D1725" t="str">
            <v>4400116</v>
          </cell>
        </row>
        <row r="1726">
          <cell r="C1726" t="str">
            <v>오송</v>
          </cell>
          <cell r="D1726" t="str">
            <v>4400117</v>
          </cell>
        </row>
        <row r="1727">
          <cell r="C1727" t="str">
            <v>오송</v>
          </cell>
          <cell r="D1727" t="str">
            <v>4400118</v>
          </cell>
        </row>
        <row r="1728">
          <cell r="C1728" t="str">
            <v>오송</v>
          </cell>
          <cell r="D1728" t="str">
            <v>4400119</v>
          </cell>
        </row>
        <row r="1729">
          <cell r="C1729" t="str">
            <v>오송</v>
          </cell>
          <cell r="D1729" t="str">
            <v>4400120</v>
          </cell>
        </row>
        <row r="1730">
          <cell r="C1730" t="str">
            <v>오송</v>
          </cell>
          <cell r="D1730" t="str">
            <v>4400121</v>
          </cell>
        </row>
        <row r="1731">
          <cell r="C1731" t="str">
            <v>오송</v>
          </cell>
          <cell r="D1731" t="str">
            <v>4400122</v>
          </cell>
        </row>
        <row r="1732">
          <cell r="C1732" t="str">
            <v>오송</v>
          </cell>
          <cell r="D1732" t="str">
            <v>4400123</v>
          </cell>
        </row>
        <row r="1733">
          <cell r="C1733" t="str">
            <v>오송</v>
          </cell>
          <cell r="D1733" t="str">
            <v>4400124</v>
          </cell>
        </row>
        <row r="1734">
          <cell r="C1734" t="str">
            <v>오송</v>
          </cell>
          <cell r="D1734" t="str">
            <v>4400125</v>
          </cell>
        </row>
        <row r="1735">
          <cell r="C1735" t="str">
            <v>오송</v>
          </cell>
          <cell r="D1735" t="str">
            <v>4400126</v>
          </cell>
        </row>
        <row r="1736">
          <cell r="C1736" t="str">
            <v>오송</v>
          </cell>
          <cell r="D1736" t="str">
            <v>8000037</v>
          </cell>
        </row>
        <row r="1737">
          <cell r="C1737" t="str">
            <v>오송</v>
          </cell>
          <cell r="D1737" t="str">
            <v>8000047</v>
          </cell>
        </row>
        <row r="1738">
          <cell r="C1738" t="str">
            <v>오송</v>
          </cell>
          <cell r="D1738" t="str">
            <v>8000052</v>
          </cell>
        </row>
        <row r="1739">
          <cell r="C1739" t="str">
            <v>오송</v>
          </cell>
          <cell r="D1739" t="str">
            <v>8000593</v>
          </cell>
        </row>
        <row r="1740">
          <cell r="C1740" t="str">
            <v>오송</v>
          </cell>
          <cell r="D1740" t="str">
            <v>8300119</v>
          </cell>
        </row>
        <row r="1741">
          <cell r="C1741" t="str">
            <v>오송</v>
          </cell>
          <cell r="D1741" t="str">
            <v>8300127</v>
          </cell>
        </row>
        <row r="1742">
          <cell r="C1742" t="str">
            <v>오송</v>
          </cell>
          <cell r="D1742" t="str">
            <v>8300327</v>
          </cell>
        </row>
        <row r="1743">
          <cell r="C1743" t="str">
            <v>오송</v>
          </cell>
          <cell r="D1743" t="str">
            <v>8300375</v>
          </cell>
        </row>
        <row r="1744">
          <cell r="C1744" t="str">
            <v>오송</v>
          </cell>
          <cell r="D1744" t="str">
            <v>8300407</v>
          </cell>
        </row>
        <row r="1745">
          <cell r="C1745" t="str">
            <v>오송</v>
          </cell>
          <cell r="D1745" t="str">
            <v>8300465</v>
          </cell>
        </row>
        <row r="1746">
          <cell r="C1746" t="str">
            <v>오송</v>
          </cell>
          <cell r="D1746" t="str">
            <v>8300857</v>
          </cell>
        </row>
        <row r="1747">
          <cell r="C1747" t="str">
            <v>오송</v>
          </cell>
          <cell r="D1747" t="str">
            <v>8300858</v>
          </cell>
        </row>
        <row r="1748">
          <cell r="C1748" t="str">
            <v>오송</v>
          </cell>
          <cell r="D1748" t="str">
            <v>8300859</v>
          </cell>
        </row>
        <row r="1749">
          <cell r="C1749" t="str">
            <v>오송</v>
          </cell>
          <cell r="D1749" t="str">
            <v>8300860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617"/>
  <sheetViews>
    <sheetView tabSelected="1" zoomScaleNormal="100" workbookViewId="0">
      <pane xSplit="6" ySplit="4" topLeftCell="AO5" activePane="bottomRight" state="frozen"/>
      <selection pane="topRight" activeCell="G1" sqref="G1"/>
      <selection pane="bottomLeft" activeCell="A5" sqref="A5"/>
      <selection pane="bottomRight" activeCell="AW6" sqref="AW6"/>
    </sheetView>
  </sheetViews>
  <sheetFormatPr defaultColWidth="8.75" defaultRowHeight="16.5" x14ac:dyDescent="0.3"/>
  <cols>
    <col min="1" max="4" width="8.75" style="4"/>
    <col min="5" max="5" width="59.375" style="4" bestFit="1" customWidth="1"/>
    <col min="6" max="6" width="8.75" style="23"/>
    <col min="7" max="22" width="6.875" style="4" customWidth="1"/>
    <col min="23" max="34" width="6.875" style="1" customWidth="1"/>
    <col min="35" max="16384" width="8.75" style="1"/>
  </cols>
  <sheetData>
    <row r="1" spans="1:36" x14ac:dyDescent="0.3">
      <c r="A1" s="1"/>
      <c r="B1" s="1"/>
      <c r="C1" s="1"/>
      <c r="D1" s="1"/>
      <c r="E1" s="1"/>
      <c r="F1" s="2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6" x14ac:dyDescent="0.3">
      <c r="A2" s="1"/>
      <c r="B2" s="1"/>
      <c r="C2" s="1"/>
      <c r="D2" s="1">
        <v>1</v>
      </c>
      <c r="E2" s="1"/>
      <c r="F2" s="21"/>
      <c r="G2" s="8"/>
      <c r="I2" s="1"/>
      <c r="K2" s="1"/>
      <c r="M2" s="1"/>
      <c r="O2" s="1"/>
      <c r="Q2" s="1"/>
      <c r="S2" s="1"/>
      <c r="T2" s="1"/>
      <c r="U2" s="1"/>
      <c r="V2" s="1"/>
      <c r="W2" s="8"/>
      <c r="Y2" s="8"/>
      <c r="AA2" s="8"/>
      <c r="AC2" s="8"/>
      <c r="AE2" s="8"/>
      <c r="AG2" s="8"/>
    </row>
    <row r="3" spans="1:36" x14ac:dyDescent="0.3">
      <c r="A3" s="5" t="s">
        <v>13</v>
      </c>
      <c r="B3" s="5" t="s">
        <v>6</v>
      </c>
      <c r="C3" s="5" t="s">
        <v>4</v>
      </c>
      <c r="D3" s="5" t="s">
        <v>0</v>
      </c>
      <c r="E3" s="5" t="s">
        <v>1</v>
      </c>
      <c r="F3" s="22" t="s">
        <v>2</v>
      </c>
      <c r="G3" s="5" t="s">
        <v>7</v>
      </c>
      <c r="H3" s="5" t="s">
        <v>277</v>
      </c>
      <c r="I3" s="5" t="s">
        <v>8</v>
      </c>
      <c r="J3" s="5" t="s">
        <v>278</v>
      </c>
      <c r="K3" s="5" t="s">
        <v>9</v>
      </c>
      <c r="L3" s="5" t="s">
        <v>279</v>
      </c>
      <c r="M3" s="5" t="s">
        <v>10</v>
      </c>
      <c r="N3" s="5" t="s">
        <v>280</v>
      </c>
      <c r="O3" s="5" t="s">
        <v>11</v>
      </c>
      <c r="P3" s="5" t="s">
        <v>281</v>
      </c>
      <c r="Q3" s="5" t="s">
        <v>12</v>
      </c>
      <c r="R3" s="5" t="s">
        <v>282</v>
      </c>
      <c r="S3" s="5" t="s">
        <v>283</v>
      </c>
      <c r="T3" s="5" t="s">
        <v>284</v>
      </c>
      <c r="U3" s="4" t="s">
        <v>862</v>
      </c>
      <c r="W3" s="6" t="s">
        <v>850</v>
      </c>
      <c r="X3" s="6" t="s">
        <v>851</v>
      </c>
      <c r="Y3" s="6" t="s">
        <v>852</v>
      </c>
      <c r="Z3" s="6" t="s">
        <v>853</v>
      </c>
      <c r="AA3" s="6" t="s">
        <v>854</v>
      </c>
      <c r="AB3" s="6" t="s">
        <v>855</v>
      </c>
      <c r="AC3" s="6" t="s">
        <v>856</v>
      </c>
      <c r="AD3" s="6" t="s">
        <v>857</v>
      </c>
      <c r="AE3" s="6" t="s">
        <v>858</v>
      </c>
      <c r="AF3" s="6" t="s">
        <v>859</v>
      </c>
      <c r="AG3" s="6" t="s">
        <v>849</v>
      </c>
      <c r="AH3" s="6" t="s">
        <v>860</v>
      </c>
    </row>
    <row r="4" spans="1:36" x14ac:dyDescent="0.3">
      <c r="A4" s="12" t="s">
        <v>1011</v>
      </c>
      <c r="B4" s="12" t="s">
        <v>863</v>
      </c>
      <c r="C4" s="12" t="s">
        <v>1012</v>
      </c>
      <c r="D4" s="13">
        <v>7000190</v>
      </c>
      <c r="E4" s="12" t="s">
        <v>498</v>
      </c>
      <c r="F4" s="12" t="s">
        <v>3</v>
      </c>
      <c r="G4" s="9">
        <v>1157</v>
      </c>
      <c r="H4" s="9">
        <v>0</v>
      </c>
      <c r="I4" s="9">
        <v>1168</v>
      </c>
      <c r="J4" s="9">
        <v>0</v>
      </c>
      <c r="K4" s="9">
        <v>1179</v>
      </c>
      <c r="L4" s="9">
        <v>0</v>
      </c>
      <c r="M4" s="9">
        <v>1191</v>
      </c>
      <c r="N4" s="9">
        <v>0</v>
      </c>
      <c r="O4" s="9">
        <v>1202</v>
      </c>
      <c r="P4" s="9">
        <v>0</v>
      </c>
      <c r="Q4" s="9">
        <v>1213</v>
      </c>
      <c r="R4" s="9">
        <v>0</v>
      </c>
      <c r="S4" s="9">
        <v>1202</v>
      </c>
      <c r="T4" s="9"/>
      <c r="U4" s="4">
        <f>SUM(T4,R4,P4,N4,L4,J4,H4)</f>
        <v>0</v>
      </c>
      <c r="W4" s="4">
        <v>913</v>
      </c>
      <c r="X4" s="4">
        <v>1299</v>
      </c>
      <c r="Y4" s="4">
        <v>1126</v>
      </c>
      <c r="Z4" s="4">
        <v>1003</v>
      </c>
      <c r="AA4" s="4">
        <v>1000</v>
      </c>
      <c r="AB4" s="4">
        <v>1036</v>
      </c>
      <c r="AC4" s="4">
        <v>1017</v>
      </c>
      <c r="AD4" s="4">
        <v>1288</v>
      </c>
      <c r="AE4" s="4">
        <v>1000</v>
      </c>
      <c r="AF4" s="4">
        <v>1127</v>
      </c>
      <c r="AG4" s="4">
        <v>1140</v>
      </c>
      <c r="AH4" s="4">
        <v>1031</v>
      </c>
      <c r="AI4" s="7">
        <f>SUM(G4:AH4)</f>
        <v>21292</v>
      </c>
      <c r="AJ4" s="7"/>
    </row>
    <row r="5" spans="1:36" x14ac:dyDescent="0.3">
      <c r="A5" s="12" t="s">
        <v>1011</v>
      </c>
      <c r="B5" s="12" t="s">
        <v>863</v>
      </c>
      <c r="C5" s="12" t="s">
        <v>1012</v>
      </c>
      <c r="D5" s="13">
        <v>7000192</v>
      </c>
      <c r="E5" s="12" t="s">
        <v>499</v>
      </c>
      <c r="F5" s="12" t="s">
        <v>3</v>
      </c>
      <c r="G5" s="9">
        <v>696</v>
      </c>
      <c r="H5" s="9">
        <v>0</v>
      </c>
      <c r="I5" s="9">
        <v>683</v>
      </c>
      <c r="J5" s="9">
        <v>0</v>
      </c>
      <c r="K5" s="9">
        <v>670</v>
      </c>
      <c r="L5" s="9">
        <v>0</v>
      </c>
      <c r="M5" s="9">
        <v>657</v>
      </c>
      <c r="N5" s="9">
        <v>0</v>
      </c>
      <c r="O5" s="9">
        <v>644</v>
      </c>
      <c r="P5" s="9">
        <v>0</v>
      </c>
      <c r="Q5" s="9">
        <v>631</v>
      </c>
      <c r="R5" s="9">
        <v>0</v>
      </c>
      <c r="S5" s="9">
        <v>644</v>
      </c>
      <c r="T5" s="9"/>
      <c r="U5" s="4">
        <f t="shared" ref="U5:U67" si="0">SUM(T5,R5,P5,N5,L5,J5,H5)</f>
        <v>0</v>
      </c>
      <c r="W5" s="4">
        <v>882</v>
      </c>
      <c r="X5" s="4">
        <v>804</v>
      </c>
      <c r="Y5" s="4">
        <v>796</v>
      </c>
      <c r="Z5" s="4">
        <v>928</v>
      </c>
      <c r="AA5" s="4">
        <v>900</v>
      </c>
      <c r="AB5" s="4">
        <v>585</v>
      </c>
      <c r="AC5" s="4">
        <v>772</v>
      </c>
      <c r="AD5" s="4">
        <v>840</v>
      </c>
      <c r="AE5" s="4">
        <v>500</v>
      </c>
      <c r="AF5" s="4">
        <v>767</v>
      </c>
      <c r="AG5" s="4">
        <v>727</v>
      </c>
      <c r="AH5" s="4">
        <v>572</v>
      </c>
      <c r="AI5" s="7">
        <f t="shared" ref="AI5:AI68" si="1">SUM(G5:AH5)</f>
        <v>13698</v>
      </c>
      <c r="AJ5" s="7"/>
    </row>
    <row r="6" spans="1:36" x14ac:dyDescent="0.3">
      <c r="A6" s="12" t="s">
        <v>1013</v>
      </c>
      <c r="B6" s="12" t="s">
        <v>863</v>
      </c>
      <c r="C6" s="12" t="s">
        <v>1012</v>
      </c>
      <c r="D6" s="13">
        <v>7000194</v>
      </c>
      <c r="E6" s="12" t="s">
        <v>500</v>
      </c>
      <c r="F6" s="12" t="s">
        <v>3</v>
      </c>
      <c r="G6" s="9">
        <v>4832</v>
      </c>
      <c r="H6" s="9">
        <v>0</v>
      </c>
      <c r="I6" s="9">
        <v>4839</v>
      </c>
      <c r="J6" s="9">
        <v>0</v>
      </c>
      <c r="K6" s="9">
        <v>4845</v>
      </c>
      <c r="L6" s="9">
        <v>0</v>
      </c>
      <c r="M6" s="9">
        <v>4851</v>
      </c>
      <c r="N6" s="9">
        <v>0</v>
      </c>
      <c r="O6" s="9">
        <v>4857</v>
      </c>
      <c r="P6" s="9">
        <v>0</v>
      </c>
      <c r="Q6" s="9">
        <v>4863</v>
      </c>
      <c r="R6" s="9">
        <v>11424</v>
      </c>
      <c r="S6" s="9">
        <v>4857</v>
      </c>
      <c r="T6" s="9"/>
      <c r="U6" s="4">
        <f t="shared" si="0"/>
        <v>11424</v>
      </c>
      <c r="W6" s="4">
        <v>4782</v>
      </c>
      <c r="X6" s="4">
        <v>5108</v>
      </c>
      <c r="Y6" s="4">
        <v>4830</v>
      </c>
      <c r="Z6" s="4">
        <v>6521</v>
      </c>
      <c r="AA6" s="4">
        <v>5459</v>
      </c>
      <c r="AB6" s="4">
        <v>2919</v>
      </c>
      <c r="AC6" s="4">
        <v>4700</v>
      </c>
      <c r="AD6" s="4">
        <v>4163</v>
      </c>
      <c r="AE6" s="4">
        <v>4401</v>
      </c>
      <c r="AF6" s="4">
        <v>5180</v>
      </c>
      <c r="AG6" s="4">
        <v>4700</v>
      </c>
      <c r="AH6" s="4">
        <v>5186</v>
      </c>
      <c r="AI6" s="7">
        <f t="shared" si="1"/>
        <v>114741</v>
      </c>
      <c r="AJ6" s="7"/>
    </row>
    <row r="7" spans="1:36" x14ac:dyDescent="0.3">
      <c r="A7" s="12" t="s">
        <v>1013</v>
      </c>
      <c r="B7" s="12" t="s">
        <v>863</v>
      </c>
      <c r="C7" s="12" t="s">
        <v>1012</v>
      </c>
      <c r="D7" s="13">
        <v>7000196</v>
      </c>
      <c r="E7" s="12" t="s">
        <v>501</v>
      </c>
      <c r="F7" s="12" t="s">
        <v>3</v>
      </c>
      <c r="G7" s="9">
        <v>10091</v>
      </c>
      <c r="H7" s="9">
        <v>0</v>
      </c>
      <c r="I7" s="9">
        <v>10098</v>
      </c>
      <c r="J7" s="9">
        <v>0</v>
      </c>
      <c r="K7" s="9">
        <v>10106</v>
      </c>
      <c r="L7" s="9">
        <v>0</v>
      </c>
      <c r="M7" s="9">
        <v>10113</v>
      </c>
      <c r="N7" s="9">
        <v>0</v>
      </c>
      <c r="O7" s="9">
        <v>10120</v>
      </c>
      <c r="P7" s="9">
        <v>0</v>
      </c>
      <c r="Q7" s="9">
        <v>10128</v>
      </c>
      <c r="R7" s="9">
        <v>0</v>
      </c>
      <c r="S7" s="9">
        <v>10120.333333333334</v>
      </c>
      <c r="T7" s="9"/>
      <c r="U7" s="4">
        <f t="shared" si="0"/>
        <v>0</v>
      </c>
      <c r="W7" s="4">
        <v>10040</v>
      </c>
      <c r="X7" s="4">
        <v>12084</v>
      </c>
      <c r="Y7" s="4">
        <v>10083</v>
      </c>
      <c r="Z7" s="4">
        <v>9552</v>
      </c>
      <c r="AA7" s="4">
        <v>9681</v>
      </c>
      <c r="AB7" s="4">
        <v>8734</v>
      </c>
      <c r="AC7" s="4">
        <v>9133</v>
      </c>
      <c r="AD7" s="4">
        <v>11000</v>
      </c>
      <c r="AE7" s="4">
        <v>9574</v>
      </c>
      <c r="AF7" s="4">
        <v>9699</v>
      </c>
      <c r="AG7" s="4">
        <v>10000</v>
      </c>
      <c r="AH7" s="4">
        <v>10504</v>
      </c>
      <c r="AI7" s="7">
        <f t="shared" si="1"/>
        <v>190860.33333333331</v>
      </c>
      <c r="AJ7" s="7"/>
    </row>
    <row r="8" spans="1:36" x14ac:dyDescent="0.3">
      <c r="A8" s="12" t="s">
        <v>1011</v>
      </c>
      <c r="B8" s="12" t="s">
        <v>863</v>
      </c>
      <c r="C8" s="12" t="s">
        <v>1012</v>
      </c>
      <c r="D8" s="13">
        <v>7000200</v>
      </c>
      <c r="E8" s="12" t="s">
        <v>502</v>
      </c>
      <c r="F8" s="12" t="s">
        <v>3</v>
      </c>
      <c r="G8" s="9">
        <v>478</v>
      </c>
      <c r="H8" s="9">
        <v>0</v>
      </c>
      <c r="I8" s="9">
        <v>478</v>
      </c>
      <c r="J8" s="9">
        <v>0</v>
      </c>
      <c r="K8" s="9">
        <v>478</v>
      </c>
      <c r="L8" s="9">
        <v>0</v>
      </c>
      <c r="M8" s="9">
        <v>478</v>
      </c>
      <c r="N8" s="9">
        <v>0</v>
      </c>
      <c r="O8" s="9">
        <v>478</v>
      </c>
      <c r="P8" s="9">
        <v>0</v>
      </c>
      <c r="Q8" s="9">
        <v>478</v>
      </c>
      <c r="R8" s="9">
        <v>0</v>
      </c>
      <c r="S8" s="9">
        <v>478</v>
      </c>
      <c r="T8" s="9"/>
      <c r="U8" s="4">
        <f t="shared" si="0"/>
        <v>0</v>
      </c>
      <c r="W8" s="4">
        <v>2000</v>
      </c>
      <c r="X8" s="4">
        <v>631</v>
      </c>
      <c r="Y8" s="4">
        <v>587</v>
      </c>
      <c r="Z8" s="4">
        <v>707</v>
      </c>
      <c r="AA8" s="4">
        <v>698</v>
      </c>
      <c r="AB8" s="4">
        <v>415</v>
      </c>
      <c r="AC8" s="4">
        <v>629</v>
      </c>
      <c r="AD8" s="4">
        <v>310</v>
      </c>
      <c r="AE8" s="4">
        <v>540</v>
      </c>
      <c r="AF8" s="4">
        <v>614</v>
      </c>
      <c r="AG8" s="4">
        <v>575</v>
      </c>
      <c r="AH8" s="4">
        <v>376</v>
      </c>
      <c r="AI8" s="7">
        <f t="shared" si="1"/>
        <v>11428</v>
      </c>
      <c r="AJ8" s="7"/>
    </row>
    <row r="9" spans="1:36" x14ac:dyDescent="0.3">
      <c r="A9" s="12" t="s">
        <v>1011</v>
      </c>
      <c r="B9" s="12" t="s">
        <v>863</v>
      </c>
      <c r="C9" s="12" t="s">
        <v>1012</v>
      </c>
      <c r="D9" s="13">
        <v>7000201</v>
      </c>
      <c r="E9" s="12" t="s">
        <v>503</v>
      </c>
      <c r="F9" s="12" t="s">
        <v>3</v>
      </c>
      <c r="G9" s="9">
        <v>112</v>
      </c>
      <c r="H9" s="9">
        <v>0</v>
      </c>
      <c r="I9" s="9">
        <v>113</v>
      </c>
      <c r="J9" s="9">
        <v>0</v>
      </c>
      <c r="K9" s="9">
        <v>113</v>
      </c>
      <c r="L9" s="9">
        <v>0</v>
      </c>
      <c r="M9" s="9">
        <v>114</v>
      </c>
      <c r="N9" s="9">
        <v>0</v>
      </c>
      <c r="O9" s="9">
        <v>114</v>
      </c>
      <c r="P9" s="9">
        <v>0</v>
      </c>
      <c r="Q9" s="9">
        <v>115</v>
      </c>
      <c r="R9" s="9">
        <v>0</v>
      </c>
      <c r="S9" s="9">
        <v>114.33333333333333</v>
      </c>
      <c r="T9" s="9"/>
      <c r="U9" s="4">
        <f t="shared" si="0"/>
        <v>0</v>
      </c>
      <c r="W9" s="4">
        <v>200</v>
      </c>
      <c r="X9" s="4">
        <v>106</v>
      </c>
      <c r="Y9" s="4">
        <v>104</v>
      </c>
      <c r="Z9" s="4">
        <v>119</v>
      </c>
      <c r="AA9" s="4">
        <v>97</v>
      </c>
      <c r="AB9" s="4">
        <v>118</v>
      </c>
      <c r="AC9" s="4">
        <v>112</v>
      </c>
      <c r="AD9" s="4">
        <v>98</v>
      </c>
      <c r="AE9" s="4">
        <v>109</v>
      </c>
      <c r="AF9" s="4">
        <v>116</v>
      </c>
      <c r="AG9" s="4">
        <v>121</v>
      </c>
      <c r="AH9" s="4">
        <v>108</v>
      </c>
      <c r="AI9" s="7">
        <f t="shared" si="1"/>
        <v>2203.3333333333335</v>
      </c>
      <c r="AJ9" s="7"/>
    </row>
    <row r="10" spans="1:36" x14ac:dyDescent="0.3">
      <c r="A10" s="12" t="s">
        <v>1011</v>
      </c>
      <c r="B10" s="12" t="s">
        <v>863</v>
      </c>
      <c r="C10" s="12" t="s">
        <v>1012</v>
      </c>
      <c r="D10" s="13">
        <v>7000202</v>
      </c>
      <c r="E10" s="12" t="s">
        <v>504</v>
      </c>
      <c r="F10" s="12" t="s">
        <v>3</v>
      </c>
      <c r="G10" s="9">
        <v>4380</v>
      </c>
      <c r="H10" s="9">
        <v>0</v>
      </c>
      <c r="I10" s="9">
        <v>4380</v>
      </c>
      <c r="J10" s="9">
        <v>0</v>
      </c>
      <c r="K10" s="9">
        <v>4380</v>
      </c>
      <c r="L10" s="9">
        <v>0</v>
      </c>
      <c r="M10" s="9">
        <v>4380</v>
      </c>
      <c r="N10" s="9">
        <v>0</v>
      </c>
      <c r="O10" s="9">
        <v>4380</v>
      </c>
      <c r="P10" s="9">
        <v>0</v>
      </c>
      <c r="Q10" s="9">
        <v>4380</v>
      </c>
      <c r="R10" s="9">
        <v>0</v>
      </c>
      <c r="S10" s="9">
        <v>4380</v>
      </c>
      <c r="T10" s="9"/>
      <c r="U10" s="4">
        <f t="shared" si="0"/>
        <v>0</v>
      </c>
      <c r="W10" s="4">
        <v>15000</v>
      </c>
      <c r="X10" s="4">
        <v>4432</v>
      </c>
      <c r="Y10" s="4">
        <v>5915</v>
      </c>
      <c r="Z10" s="4">
        <v>4456</v>
      </c>
      <c r="AA10" s="4">
        <v>4401</v>
      </c>
      <c r="AB10" s="4">
        <v>2009</v>
      </c>
      <c r="AC10" s="4">
        <v>3632</v>
      </c>
      <c r="AD10" s="4">
        <v>5473</v>
      </c>
      <c r="AE10" s="4">
        <v>3979</v>
      </c>
      <c r="AF10" s="4">
        <v>5939</v>
      </c>
      <c r="AG10" s="4">
        <v>4474</v>
      </c>
      <c r="AH10" s="4">
        <v>3410</v>
      </c>
      <c r="AI10" s="7">
        <f t="shared" si="1"/>
        <v>93780</v>
      </c>
      <c r="AJ10" s="7"/>
    </row>
    <row r="11" spans="1:36" x14ac:dyDescent="0.3">
      <c r="A11" s="12" t="s">
        <v>1011</v>
      </c>
      <c r="B11" s="12" t="s">
        <v>863</v>
      </c>
      <c r="C11" s="12" t="s">
        <v>1012</v>
      </c>
      <c r="D11" s="13">
        <v>7000289</v>
      </c>
      <c r="E11" s="12" t="s">
        <v>505</v>
      </c>
      <c r="F11" s="12" t="s">
        <v>3</v>
      </c>
      <c r="G11" s="9">
        <v>607</v>
      </c>
      <c r="H11" s="9">
        <v>0</v>
      </c>
      <c r="I11" s="9">
        <v>594</v>
      </c>
      <c r="J11" s="9">
        <v>0</v>
      </c>
      <c r="K11" s="9">
        <v>582</v>
      </c>
      <c r="L11" s="9">
        <v>2800</v>
      </c>
      <c r="M11" s="9">
        <v>569</v>
      </c>
      <c r="N11" s="9">
        <v>0</v>
      </c>
      <c r="O11" s="9">
        <v>557</v>
      </c>
      <c r="P11" s="9">
        <v>0</v>
      </c>
      <c r="Q11" s="9">
        <v>544</v>
      </c>
      <c r="R11" s="9">
        <v>0</v>
      </c>
      <c r="S11" s="9">
        <v>556.66666666666663</v>
      </c>
      <c r="T11" s="9"/>
      <c r="U11" s="4">
        <f t="shared" si="0"/>
        <v>2800</v>
      </c>
      <c r="W11" s="4">
        <v>900</v>
      </c>
      <c r="X11" s="4">
        <v>778</v>
      </c>
      <c r="Y11" s="4">
        <v>728</v>
      </c>
      <c r="Z11" s="4">
        <v>646</v>
      </c>
      <c r="AA11" s="4">
        <v>726</v>
      </c>
      <c r="AB11" s="4">
        <v>523</v>
      </c>
      <c r="AC11" s="4">
        <v>609</v>
      </c>
      <c r="AD11" s="4">
        <v>677</v>
      </c>
      <c r="AE11" s="4">
        <v>594</v>
      </c>
      <c r="AF11" s="4">
        <v>735</v>
      </c>
      <c r="AG11" s="4">
        <v>642</v>
      </c>
      <c r="AH11" s="4">
        <v>595</v>
      </c>
      <c r="AI11" s="7">
        <f t="shared" si="1"/>
        <v>17762.666666666668</v>
      </c>
      <c r="AJ11" s="7"/>
    </row>
    <row r="12" spans="1:36" x14ac:dyDescent="0.3">
      <c r="A12" s="12" t="s">
        <v>1011</v>
      </c>
      <c r="B12" s="12" t="s">
        <v>863</v>
      </c>
      <c r="C12" s="12" t="s">
        <v>1012</v>
      </c>
      <c r="D12" s="13">
        <v>7000291</v>
      </c>
      <c r="E12" s="12" t="s">
        <v>506</v>
      </c>
      <c r="F12" s="12" t="s">
        <v>3</v>
      </c>
      <c r="G12" s="9">
        <v>66</v>
      </c>
      <c r="H12" s="9">
        <v>0</v>
      </c>
      <c r="I12" s="9">
        <v>66</v>
      </c>
      <c r="J12" s="9">
        <v>0</v>
      </c>
      <c r="K12" s="9">
        <v>66</v>
      </c>
      <c r="L12" s="9">
        <v>0</v>
      </c>
      <c r="M12" s="9">
        <v>66</v>
      </c>
      <c r="N12" s="9">
        <v>0</v>
      </c>
      <c r="O12" s="9">
        <v>66</v>
      </c>
      <c r="P12" s="9">
        <v>0</v>
      </c>
      <c r="Q12" s="9">
        <v>66</v>
      </c>
      <c r="R12" s="9">
        <v>0</v>
      </c>
      <c r="S12" s="9">
        <v>66</v>
      </c>
      <c r="T12" s="9"/>
      <c r="U12" s="4">
        <f t="shared" si="0"/>
        <v>0</v>
      </c>
      <c r="W12" s="4">
        <v>100</v>
      </c>
      <c r="X12" s="4">
        <v>75</v>
      </c>
      <c r="Y12" s="4">
        <v>75</v>
      </c>
      <c r="Z12" s="4">
        <v>58</v>
      </c>
      <c r="AA12" s="4">
        <v>69</v>
      </c>
      <c r="AB12" s="4">
        <v>55</v>
      </c>
      <c r="AC12" s="4">
        <v>58</v>
      </c>
      <c r="AD12" s="4">
        <v>79</v>
      </c>
      <c r="AE12" s="4">
        <v>63</v>
      </c>
      <c r="AF12" s="4">
        <v>70</v>
      </c>
      <c r="AG12" s="4">
        <v>66</v>
      </c>
      <c r="AH12" s="4">
        <v>55</v>
      </c>
      <c r="AI12" s="7">
        <f t="shared" si="1"/>
        <v>1285</v>
      </c>
      <c r="AJ12" s="7"/>
    </row>
    <row r="13" spans="1:36" x14ac:dyDescent="0.3">
      <c r="A13" s="12" t="s">
        <v>1011</v>
      </c>
      <c r="B13" s="12" t="s">
        <v>863</v>
      </c>
      <c r="C13" s="12" t="s">
        <v>1012</v>
      </c>
      <c r="D13" s="13">
        <v>7000294</v>
      </c>
      <c r="E13" s="12" t="s">
        <v>507</v>
      </c>
      <c r="F13" s="12" t="s">
        <v>3</v>
      </c>
      <c r="G13" s="9">
        <v>208165</v>
      </c>
      <c r="H13" s="9">
        <v>0</v>
      </c>
      <c r="I13" s="9">
        <v>207379</v>
      </c>
      <c r="J13" s="9">
        <v>0</v>
      </c>
      <c r="K13" s="9">
        <v>206592</v>
      </c>
      <c r="L13" s="9">
        <v>0</v>
      </c>
      <c r="M13" s="9">
        <v>205805</v>
      </c>
      <c r="N13" s="9">
        <v>0</v>
      </c>
      <c r="O13" s="9">
        <v>205018</v>
      </c>
      <c r="P13" s="9">
        <v>0</v>
      </c>
      <c r="Q13" s="9">
        <v>204231</v>
      </c>
      <c r="R13" s="9">
        <v>0</v>
      </c>
      <c r="S13" s="9">
        <v>205018</v>
      </c>
      <c r="T13" s="9"/>
      <c r="U13" s="4">
        <f t="shared" si="0"/>
        <v>0</v>
      </c>
      <c r="W13" s="4">
        <v>214747</v>
      </c>
      <c r="X13" s="4">
        <v>227314</v>
      </c>
      <c r="Y13" s="4">
        <v>217528</v>
      </c>
      <c r="Z13" s="4">
        <v>214355</v>
      </c>
      <c r="AA13" s="4">
        <v>215462</v>
      </c>
      <c r="AB13" s="4">
        <v>202926</v>
      </c>
      <c r="AC13" s="4">
        <v>210918</v>
      </c>
      <c r="AD13" s="4">
        <v>205051</v>
      </c>
      <c r="AE13" s="4">
        <v>208369</v>
      </c>
      <c r="AF13" s="4">
        <v>200624</v>
      </c>
      <c r="AG13" s="4">
        <v>205027</v>
      </c>
      <c r="AH13" s="4">
        <v>221939</v>
      </c>
      <c r="AI13" s="7">
        <f t="shared" si="1"/>
        <v>3986468</v>
      </c>
      <c r="AJ13" s="7"/>
    </row>
    <row r="14" spans="1:36" x14ac:dyDescent="0.3">
      <c r="A14" s="12" t="s">
        <v>1011</v>
      </c>
      <c r="B14" s="12" t="s">
        <v>863</v>
      </c>
      <c r="C14" s="12" t="s">
        <v>1012</v>
      </c>
      <c r="D14" s="13">
        <v>7000296</v>
      </c>
      <c r="E14" s="12" t="s">
        <v>508</v>
      </c>
      <c r="F14" s="12" t="s">
        <v>3</v>
      </c>
      <c r="G14" s="9">
        <v>40302</v>
      </c>
      <c r="H14" s="9">
        <v>0</v>
      </c>
      <c r="I14" s="9">
        <v>39702</v>
      </c>
      <c r="J14" s="9">
        <v>0</v>
      </c>
      <c r="K14" s="9">
        <v>39101</v>
      </c>
      <c r="L14" s="9">
        <v>0</v>
      </c>
      <c r="M14" s="9">
        <v>38500</v>
      </c>
      <c r="N14" s="9">
        <v>0</v>
      </c>
      <c r="O14" s="9">
        <v>37899</v>
      </c>
      <c r="P14" s="9">
        <v>0</v>
      </c>
      <c r="Q14" s="9">
        <v>37299</v>
      </c>
      <c r="R14" s="9">
        <v>0</v>
      </c>
      <c r="S14" s="9">
        <v>37899.333333333336</v>
      </c>
      <c r="T14" s="9"/>
      <c r="U14" s="4">
        <f t="shared" si="0"/>
        <v>0</v>
      </c>
      <c r="W14" s="4">
        <v>48507</v>
      </c>
      <c r="X14" s="4">
        <v>44933</v>
      </c>
      <c r="Y14" s="4">
        <v>46908</v>
      </c>
      <c r="Z14" s="4">
        <v>45770</v>
      </c>
      <c r="AA14" s="4">
        <v>45948</v>
      </c>
      <c r="AB14" s="4">
        <v>39739</v>
      </c>
      <c r="AC14" s="4">
        <v>43455</v>
      </c>
      <c r="AD14" s="4">
        <v>36161</v>
      </c>
      <c r="AE14" s="4">
        <v>40514</v>
      </c>
      <c r="AF14" s="4">
        <v>42238</v>
      </c>
      <c r="AG14" s="4">
        <v>39320</v>
      </c>
      <c r="AH14" s="4">
        <v>45102</v>
      </c>
      <c r="AI14" s="7">
        <f t="shared" si="1"/>
        <v>789297.33333333326</v>
      </c>
      <c r="AJ14" s="7"/>
    </row>
    <row r="15" spans="1:36" x14ac:dyDescent="0.3">
      <c r="A15" s="12" t="s">
        <v>1011</v>
      </c>
      <c r="B15" s="12" t="s">
        <v>863</v>
      </c>
      <c r="C15" s="12" t="s">
        <v>1012</v>
      </c>
      <c r="D15" s="13">
        <v>7000300</v>
      </c>
      <c r="E15" s="12" t="s">
        <v>509</v>
      </c>
      <c r="F15" s="12" t="s">
        <v>3</v>
      </c>
      <c r="G15" s="9">
        <v>252376</v>
      </c>
      <c r="H15" s="9">
        <v>0</v>
      </c>
      <c r="I15" s="9">
        <v>252280</v>
      </c>
      <c r="J15" s="9">
        <v>0</v>
      </c>
      <c r="K15" s="9">
        <v>252185</v>
      </c>
      <c r="L15" s="9">
        <v>0</v>
      </c>
      <c r="M15" s="9">
        <v>252089</v>
      </c>
      <c r="N15" s="9">
        <v>0</v>
      </c>
      <c r="O15" s="9">
        <v>251994</v>
      </c>
      <c r="P15" s="9">
        <v>0</v>
      </c>
      <c r="Q15" s="9">
        <v>251899</v>
      </c>
      <c r="R15" s="9">
        <v>0</v>
      </c>
      <c r="S15" s="9">
        <v>251994</v>
      </c>
      <c r="T15" s="9"/>
      <c r="U15" s="4">
        <f t="shared" si="0"/>
        <v>0</v>
      </c>
      <c r="W15" s="4">
        <v>259737</v>
      </c>
      <c r="X15" s="4">
        <v>245020</v>
      </c>
      <c r="Y15" s="4">
        <v>255959</v>
      </c>
      <c r="Z15" s="4">
        <v>259347</v>
      </c>
      <c r="AA15" s="4">
        <v>254790</v>
      </c>
      <c r="AB15" s="4">
        <v>234634</v>
      </c>
      <c r="AC15" s="4">
        <v>249393</v>
      </c>
      <c r="AD15" s="4">
        <v>251696</v>
      </c>
      <c r="AE15" s="4">
        <v>250077</v>
      </c>
      <c r="AF15" s="4">
        <v>247221</v>
      </c>
      <c r="AG15" s="4">
        <v>249009</v>
      </c>
      <c r="AH15" s="4">
        <v>271353</v>
      </c>
      <c r="AI15" s="7">
        <f t="shared" si="1"/>
        <v>4793053</v>
      </c>
      <c r="AJ15" s="7"/>
    </row>
    <row r="16" spans="1:36" x14ac:dyDescent="0.3">
      <c r="A16" s="12" t="s">
        <v>1013</v>
      </c>
      <c r="B16" s="12" t="s">
        <v>863</v>
      </c>
      <c r="C16" s="12" t="s">
        <v>1012</v>
      </c>
      <c r="D16" s="13">
        <v>7000304</v>
      </c>
      <c r="E16" s="12" t="s">
        <v>510</v>
      </c>
      <c r="F16" s="12" t="s">
        <v>3</v>
      </c>
      <c r="G16" s="9">
        <v>131274</v>
      </c>
      <c r="H16" s="9">
        <v>250000</v>
      </c>
      <c r="I16" s="9">
        <v>130760</v>
      </c>
      <c r="J16" s="9">
        <v>230000</v>
      </c>
      <c r="K16" s="9">
        <v>130245</v>
      </c>
      <c r="L16" s="9">
        <v>0</v>
      </c>
      <c r="M16" s="9">
        <v>129731</v>
      </c>
      <c r="N16" s="9">
        <v>0</v>
      </c>
      <c r="O16" s="9">
        <v>129217</v>
      </c>
      <c r="P16" s="9">
        <v>83000</v>
      </c>
      <c r="Q16" s="9">
        <v>128703</v>
      </c>
      <c r="R16" s="9">
        <v>230000</v>
      </c>
      <c r="S16" s="9">
        <v>129217</v>
      </c>
      <c r="T16" s="9"/>
      <c r="U16" s="4">
        <f t="shared" si="0"/>
        <v>793000</v>
      </c>
      <c r="W16" s="4">
        <v>137335</v>
      </c>
      <c r="X16" s="4">
        <v>134208</v>
      </c>
      <c r="Y16" s="4">
        <v>132712</v>
      </c>
      <c r="Z16" s="4">
        <v>152895</v>
      </c>
      <c r="AA16" s="4">
        <v>136722</v>
      </c>
      <c r="AB16" s="4">
        <v>118135</v>
      </c>
      <c r="AC16" s="4">
        <v>131978</v>
      </c>
      <c r="AD16" s="4">
        <v>131411</v>
      </c>
      <c r="AE16" s="4">
        <v>130116</v>
      </c>
      <c r="AF16" s="4">
        <v>142031</v>
      </c>
      <c r="AG16" s="4">
        <v>133176</v>
      </c>
      <c r="AH16" s="4">
        <v>125845</v>
      </c>
      <c r="AI16" s="7">
        <f t="shared" si="1"/>
        <v>4101711</v>
      </c>
      <c r="AJ16" s="7"/>
    </row>
    <row r="17" spans="1:36" x14ac:dyDescent="0.3">
      <c r="A17" s="12" t="s">
        <v>1013</v>
      </c>
      <c r="B17" s="12" t="s">
        <v>863</v>
      </c>
      <c r="C17" s="12" t="s">
        <v>1012</v>
      </c>
      <c r="D17" s="13">
        <v>7000305</v>
      </c>
      <c r="E17" s="12" t="s">
        <v>511</v>
      </c>
      <c r="F17" s="12" t="s">
        <v>3</v>
      </c>
      <c r="G17" s="9">
        <v>112356</v>
      </c>
      <c r="H17" s="9">
        <v>147720</v>
      </c>
      <c r="I17" s="9">
        <v>112809</v>
      </c>
      <c r="J17" s="9">
        <v>214140</v>
      </c>
      <c r="K17" s="9">
        <v>113262</v>
      </c>
      <c r="L17" s="9">
        <v>160000</v>
      </c>
      <c r="M17" s="9">
        <v>113715</v>
      </c>
      <c r="N17" s="9">
        <v>0</v>
      </c>
      <c r="O17" s="9">
        <v>114168</v>
      </c>
      <c r="P17" s="9">
        <v>110000</v>
      </c>
      <c r="Q17" s="9">
        <v>114621</v>
      </c>
      <c r="R17" s="9">
        <v>150000</v>
      </c>
      <c r="S17" s="9">
        <v>114168</v>
      </c>
      <c r="T17" s="9"/>
      <c r="U17" s="4">
        <f t="shared" si="0"/>
        <v>781860</v>
      </c>
      <c r="W17" s="4">
        <v>110224</v>
      </c>
      <c r="X17" s="4">
        <v>110024</v>
      </c>
      <c r="Y17" s="4">
        <v>107864</v>
      </c>
      <c r="Z17" s="4">
        <v>116491</v>
      </c>
      <c r="AA17" s="4">
        <v>110050</v>
      </c>
      <c r="AB17" s="4">
        <v>96641</v>
      </c>
      <c r="AC17" s="4">
        <v>105971</v>
      </c>
      <c r="AD17" s="4">
        <v>109769</v>
      </c>
      <c r="AE17" s="4">
        <v>106532</v>
      </c>
      <c r="AF17" s="4">
        <v>115552</v>
      </c>
      <c r="AG17" s="4">
        <v>109419</v>
      </c>
      <c r="AH17" s="4">
        <v>117664</v>
      </c>
      <c r="AI17" s="7">
        <f t="shared" si="1"/>
        <v>3675020</v>
      </c>
      <c r="AJ17" s="7"/>
    </row>
    <row r="18" spans="1:36" x14ac:dyDescent="0.3">
      <c r="A18" s="12" t="s">
        <v>865</v>
      </c>
      <c r="B18" s="12" t="s">
        <v>863</v>
      </c>
      <c r="C18" s="12" t="s">
        <v>1012</v>
      </c>
      <c r="D18" s="13">
        <v>7000458</v>
      </c>
      <c r="E18" s="12" t="s">
        <v>512</v>
      </c>
      <c r="F18" s="12" t="s">
        <v>3</v>
      </c>
      <c r="G18" s="9">
        <v>10755</v>
      </c>
      <c r="H18" s="9">
        <v>0</v>
      </c>
      <c r="I18" s="9">
        <v>10755</v>
      </c>
      <c r="J18" s="9">
        <v>0</v>
      </c>
      <c r="K18" s="9">
        <v>10755</v>
      </c>
      <c r="L18" s="9">
        <v>0</v>
      </c>
      <c r="M18" s="9">
        <v>10755</v>
      </c>
      <c r="N18" s="9">
        <v>0</v>
      </c>
      <c r="O18" s="9">
        <v>10755</v>
      </c>
      <c r="P18" s="9">
        <v>0</v>
      </c>
      <c r="Q18" s="9">
        <v>10755</v>
      </c>
      <c r="R18" s="9">
        <v>0</v>
      </c>
      <c r="S18" s="9">
        <v>10755</v>
      </c>
      <c r="T18" s="9"/>
      <c r="U18" s="4">
        <f t="shared" si="0"/>
        <v>0</v>
      </c>
      <c r="W18" s="4">
        <v>0</v>
      </c>
      <c r="X18" s="4">
        <v>0</v>
      </c>
      <c r="Y18" s="4">
        <v>0</v>
      </c>
      <c r="Z18" s="4">
        <v>4350</v>
      </c>
      <c r="AA18" s="4">
        <v>1450</v>
      </c>
      <c r="AB18" s="4">
        <v>0</v>
      </c>
      <c r="AC18" s="4">
        <v>1450</v>
      </c>
      <c r="AD18" s="4">
        <v>0</v>
      </c>
      <c r="AE18" s="4">
        <v>1450</v>
      </c>
      <c r="AF18" s="4">
        <v>17160</v>
      </c>
      <c r="AG18" s="4">
        <v>5720</v>
      </c>
      <c r="AH18" s="4">
        <v>0</v>
      </c>
      <c r="AI18" s="7">
        <f t="shared" si="1"/>
        <v>106865</v>
      </c>
      <c r="AJ18" s="7"/>
    </row>
    <row r="19" spans="1:36" x14ac:dyDescent="0.3">
      <c r="A19" s="12" t="s">
        <v>1013</v>
      </c>
      <c r="B19" s="12" t="s">
        <v>863</v>
      </c>
      <c r="C19" s="12" t="s">
        <v>1012</v>
      </c>
      <c r="D19" s="13">
        <v>7000775</v>
      </c>
      <c r="E19" s="12" t="s">
        <v>513</v>
      </c>
      <c r="F19" s="12" t="s">
        <v>3</v>
      </c>
      <c r="G19" s="9">
        <v>1044</v>
      </c>
      <c r="H19" s="9">
        <v>0</v>
      </c>
      <c r="I19" s="9">
        <v>1044</v>
      </c>
      <c r="J19" s="9">
        <v>0</v>
      </c>
      <c r="K19" s="9">
        <v>1044</v>
      </c>
      <c r="L19" s="9">
        <v>0</v>
      </c>
      <c r="M19" s="9">
        <v>1044</v>
      </c>
      <c r="N19" s="9">
        <v>0</v>
      </c>
      <c r="O19" s="9">
        <v>1044</v>
      </c>
      <c r="P19" s="9">
        <v>0</v>
      </c>
      <c r="Q19" s="9">
        <v>1044</v>
      </c>
      <c r="R19" s="9">
        <v>0</v>
      </c>
      <c r="S19" s="9">
        <v>1044</v>
      </c>
      <c r="T19" s="9"/>
      <c r="U19" s="4">
        <f t="shared" si="0"/>
        <v>0</v>
      </c>
      <c r="W19" s="4">
        <v>676</v>
      </c>
      <c r="X19" s="4">
        <v>891</v>
      </c>
      <c r="Y19" s="4">
        <v>746</v>
      </c>
      <c r="Z19" s="4">
        <v>1000</v>
      </c>
      <c r="AA19" s="4">
        <v>858</v>
      </c>
      <c r="AB19" s="4">
        <v>790</v>
      </c>
      <c r="AC19" s="4">
        <v>894</v>
      </c>
      <c r="AD19" s="4">
        <v>1416</v>
      </c>
      <c r="AE19" s="4">
        <v>908</v>
      </c>
      <c r="AF19" s="4">
        <v>1037</v>
      </c>
      <c r="AG19" s="4">
        <v>1069</v>
      </c>
      <c r="AH19" s="4">
        <v>859</v>
      </c>
      <c r="AI19" s="7">
        <f t="shared" si="1"/>
        <v>18452</v>
      </c>
      <c r="AJ19" s="7"/>
    </row>
    <row r="20" spans="1:36" x14ac:dyDescent="0.3">
      <c r="A20" s="12" t="s">
        <v>1013</v>
      </c>
      <c r="B20" s="12" t="s">
        <v>863</v>
      </c>
      <c r="C20" s="12" t="s">
        <v>1012</v>
      </c>
      <c r="D20" s="13">
        <v>7000786</v>
      </c>
      <c r="E20" s="12" t="s">
        <v>514</v>
      </c>
      <c r="F20" s="12" t="s">
        <v>3</v>
      </c>
      <c r="G20" s="9">
        <v>814</v>
      </c>
      <c r="H20" s="9">
        <v>0</v>
      </c>
      <c r="I20" s="9">
        <v>804</v>
      </c>
      <c r="J20" s="9">
        <v>0</v>
      </c>
      <c r="K20" s="9">
        <v>793</v>
      </c>
      <c r="L20" s="9">
        <v>0</v>
      </c>
      <c r="M20" s="9">
        <v>783</v>
      </c>
      <c r="N20" s="9">
        <v>0</v>
      </c>
      <c r="O20" s="9">
        <v>772</v>
      </c>
      <c r="P20" s="9">
        <v>0</v>
      </c>
      <c r="Q20" s="9">
        <v>762</v>
      </c>
      <c r="R20" s="9">
        <v>0</v>
      </c>
      <c r="S20" s="9">
        <v>772.33333333333337</v>
      </c>
      <c r="T20" s="9"/>
      <c r="U20" s="4">
        <f t="shared" si="0"/>
        <v>0</v>
      </c>
      <c r="W20" s="4">
        <v>1100</v>
      </c>
      <c r="X20" s="4">
        <v>814</v>
      </c>
      <c r="Y20" s="4">
        <v>932</v>
      </c>
      <c r="Z20" s="4">
        <v>739</v>
      </c>
      <c r="AA20" s="4">
        <v>853</v>
      </c>
      <c r="AB20" s="4">
        <v>723</v>
      </c>
      <c r="AC20" s="4">
        <v>784</v>
      </c>
      <c r="AD20" s="4">
        <v>1091</v>
      </c>
      <c r="AE20" s="4">
        <v>1000</v>
      </c>
      <c r="AF20" s="4">
        <v>829</v>
      </c>
      <c r="AG20" s="4">
        <v>816</v>
      </c>
      <c r="AH20" s="4">
        <v>891</v>
      </c>
      <c r="AI20" s="7">
        <f t="shared" si="1"/>
        <v>16072.333333333332</v>
      </c>
      <c r="AJ20" s="7"/>
    </row>
    <row r="21" spans="1:36" x14ac:dyDescent="0.3">
      <c r="A21" s="12" t="s">
        <v>1013</v>
      </c>
      <c r="B21" s="12" t="s">
        <v>863</v>
      </c>
      <c r="C21" s="12" t="s">
        <v>1012</v>
      </c>
      <c r="D21" s="13">
        <v>7000791</v>
      </c>
      <c r="E21" s="12" t="s">
        <v>515</v>
      </c>
      <c r="F21" s="12" t="s">
        <v>3</v>
      </c>
      <c r="G21" s="9">
        <v>825</v>
      </c>
      <c r="H21" s="9">
        <v>0</v>
      </c>
      <c r="I21" s="9">
        <v>833</v>
      </c>
      <c r="J21" s="9">
        <v>0</v>
      </c>
      <c r="K21" s="9">
        <v>841</v>
      </c>
      <c r="L21" s="9">
        <v>0</v>
      </c>
      <c r="M21" s="9">
        <v>849</v>
      </c>
      <c r="N21" s="9">
        <v>18000</v>
      </c>
      <c r="O21" s="9">
        <v>856</v>
      </c>
      <c r="P21" s="9">
        <v>0</v>
      </c>
      <c r="Q21" s="9">
        <v>864</v>
      </c>
      <c r="R21" s="9">
        <v>0</v>
      </c>
      <c r="S21" s="9">
        <v>856.33333333333337</v>
      </c>
      <c r="T21" s="9"/>
      <c r="U21" s="4">
        <f t="shared" si="0"/>
        <v>18000</v>
      </c>
      <c r="W21" s="4">
        <v>842</v>
      </c>
      <c r="X21" s="4">
        <v>843</v>
      </c>
      <c r="Y21" s="4">
        <v>841</v>
      </c>
      <c r="Z21" s="4">
        <v>839</v>
      </c>
      <c r="AA21" s="4">
        <v>916</v>
      </c>
      <c r="AB21" s="4">
        <v>759</v>
      </c>
      <c r="AC21" s="4">
        <v>928</v>
      </c>
      <c r="AD21" s="4">
        <v>536</v>
      </c>
      <c r="AE21" s="4">
        <v>838</v>
      </c>
      <c r="AF21" s="4">
        <v>872</v>
      </c>
      <c r="AG21" s="4">
        <v>855</v>
      </c>
      <c r="AH21" s="4">
        <v>866</v>
      </c>
      <c r="AI21" s="7">
        <f t="shared" si="1"/>
        <v>51859.333333333328</v>
      </c>
      <c r="AJ21" s="7"/>
    </row>
    <row r="22" spans="1:36" x14ac:dyDescent="0.3">
      <c r="A22" s="12" t="s">
        <v>1013</v>
      </c>
      <c r="B22" s="12" t="s">
        <v>863</v>
      </c>
      <c r="C22" s="12" t="s">
        <v>1012</v>
      </c>
      <c r="D22" s="13">
        <v>7000792</v>
      </c>
      <c r="E22" s="12" t="s">
        <v>516</v>
      </c>
      <c r="F22" s="12" t="s">
        <v>3</v>
      </c>
      <c r="G22" s="9">
        <v>419</v>
      </c>
      <c r="H22" s="9">
        <v>0</v>
      </c>
      <c r="I22" s="9">
        <v>419</v>
      </c>
      <c r="J22" s="9">
        <v>0</v>
      </c>
      <c r="K22" s="9">
        <v>419</v>
      </c>
      <c r="L22" s="9">
        <v>0</v>
      </c>
      <c r="M22" s="9">
        <v>419</v>
      </c>
      <c r="N22" s="9">
        <v>0</v>
      </c>
      <c r="O22" s="9">
        <v>419</v>
      </c>
      <c r="P22" s="9">
        <v>0</v>
      </c>
      <c r="Q22" s="9">
        <v>419</v>
      </c>
      <c r="R22" s="9">
        <v>0</v>
      </c>
      <c r="S22" s="9">
        <v>419</v>
      </c>
      <c r="T22" s="9"/>
      <c r="U22" s="4">
        <f t="shared" si="0"/>
        <v>0</v>
      </c>
      <c r="W22" s="4">
        <v>443</v>
      </c>
      <c r="X22" s="4">
        <v>411</v>
      </c>
      <c r="Y22" s="4">
        <v>406</v>
      </c>
      <c r="Z22" s="4">
        <v>388</v>
      </c>
      <c r="AA22" s="4">
        <v>392</v>
      </c>
      <c r="AB22" s="4">
        <v>527</v>
      </c>
      <c r="AC22" s="4">
        <v>406</v>
      </c>
      <c r="AD22" s="4">
        <v>412</v>
      </c>
      <c r="AE22" s="4">
        <v>452</v>
      </c>
      <c r="AF22" s="4">
        <v>398</v>
      </c>
      <c r="AG22" s="4">
        <v>398</v>
      </c>
      <c r="AH22" s="4">
        <v>416</v>
      </c>
      <c r="AI22" s="7">
        <f t="shared" si="1"/>
        <v>7982</v>
      </c>
      <c r="AJ22" s="7"/>
    </row>
    <row r="23" spans="1:36" x14ac:dyDescent="0.3">
      <c r="A23" s="12" t="s">
        <v>1013</v>
      </c>
      <c r="B23" s="12" t="s">
        <v>863</v>
      </c>
      <c r="C23" s="12" t="s">
        <v>1012</v>
      </c>
      <c r="D23" s="13">
        <v>7000793</v>
      </c>
      <c r="E23" s="12" t="s">
        <v>517</v>
      </c>
      <c r="F23" s="12" t="s">
        <v>3</v>
      </c>
      <c r="G23" s="9">
        <v>898</v>
      </c>
      <c r="H23" s="9">
        <v>0</v>
      </c>
      <c r="I23" s="9">
        <v>899</v>
      </c>
      <c r="J23" s="9">
        <v>0</v>
      </c>
      <c r="K23" s="9">
        <v>901</v>
      </c>
      <c r="L23" s="9">
        <v>0</v>
      </c>
      <c r="M23" s="9">
        <v>902</v>
      </c>
      <c r="N23" s="9">
        <v>0</v>
      </c>
      <c r="O23" s="9">
        <v>904</v>
      </c>
      <c r="P23" s="9">
        <v>0</v>
      </c>
      <c r="Q23" s="9">
        <v>905</v>
      </c>
      <c r="R23" s="9">
        <v>9500</v>
      </c>
      <c r="S23" s="9">
        <v>903.66666666666663</v>
      </c>
      <c r="T23" s="9"/>
      <c r="U23" s="4">
        <f t="shared" si="0"/>
        <v>9500</v>
      </c>
      <c r="W23" s="4">
        <v>944</v>
      </c>
      <c r="X23" s="4">
        <v>796</v>
      </c>
      <c r="Y23" s="4">
        <v>833</v>
      </c>
      <c r="Z23" s="4">
        <v>733</v>
      </c>
      <c r="AA23" s="4">
        <v>808</v>
      </c>
      <c r="AB23" s="4">
        <v>924</v>
      </c>
      <c r="AC23" s="4">
        <v>832</v>
      </c>
      <c r="AD23" s="4">
        <v>1021</v>
      </c>
      <c r="AE23" s="4">
        <v>867</v>
      </c>
      <c r="AF23" s="4">
        <v>632</v>
      </c>
      <c r="AG23" s="4">
        <v>786</v>
      </c>
      <c r="AH23" s="4">
        <v>1150</v>
      </c>
      <c r="AI23" s="7">
        <f t="shared" si="1"/>
        <v>35638.666666666664</v>
      </c>
      <c r="AJ23" s="7"/>
    </row>
    <row r="24" spans="1:36" x14ac:dyDescent="0.3">
      <c r="A24" s="12" t="s">
        <v>1013</v>
      </c>
      <c r="B24" s="12" t="s">
        <v>863</v>
      </c>
      <c r="C24" s="12" t="s">
        <v>1012</v>
      </c>
      <c r="D24" s="13">
        <v>7000794</v>
      </c>
      <c r="E24" s="12" t="s">
        <v>518</v>
      </c>
      <c r="F24" s="12" t="s">
        <v>3</v>
      </c>
      <c r="G24" s="9">
        <v>772</v>
      </c>
      <c r="H24" s="9">
        <v>4716</v>
      </c>
      <c r="I24" s="9">
        <v>772</v>
      </c>
      <c r="J24" s="9">
        <v>0</v>
      </c>
      <c r="K24" s="9">
        <v>773</v>
      </c>
      <c r="L24" s="9">
        <v>4800</v>
      </c>
      <c r="M24" s="9">
        <v>773</v>
      </c>
      <c r="N24" s="9">
        <v>0</v>
      </c>
      <c r="O24" s="9">
        <v>773</v>
      </c>
      <c r="P24" s="9">
        <v>0</v>
      </c>
      <c r="Q24" s="9">
        <v>774</v>
      </c>
      <c r="R24" s="9">
        <v>0</v>
      </c>
      <c r="S24" s="9">
        <v>773.33333333333337</v>
      </c>
      <c r="T24" s="9"/>
      <c r="U24" s="4">
        <f t="shared" si="0"/>
        <v>9516</v>
      </c>
      <c r="W24" s="4">
        <v>758</v>
      </c>
      <c r="X24" s="4">
        <v>801</v>
      </c>
      <c r="Y24" s="4">
        <v>741</v>
      </c>
      <c r="Z24" s="4">
        <v>750</v>
      </c>
      <c r="AA24" s="4">
        <v>736</v>
      </c>
      <c r="AB24" s="4">
        <v>769</v>
      </c>
      <c r="AC24" s="4">
        <v>735</v>
      </c>
      <c r="AD24" s="4">
        <v>733</v>
      </c>
      <c r="AE24" s="4">
        <v>715</v>
      </c>
      <c r="AF24" s="4">
        <v>794</v>
      </c>
      <c r="AG24" s="4">
        <v>782</v>
      </c>
      <c r="AH24" s="4">
        <v>785</v>
      </c>
      <c r="AI24" s="7">
        <f t="shared" si="1"/>
        <v>33541.333333333336</v>
      </c>
      <c r="AJ24" s="7"/>
    </row>
    <row r="25" spans="1:36" x14ac:dyDescent="0.3">
      <c r="A25" s="12" t="s">
        <v>1013</v>
      </c>
      <c r="B25" s="12" t="s">
        <v>863</v>
      </c>
      <c r="C25" s="12" t="s">
        <v>1012</v>
      </c>
      <c r="D25" s="13">
        <v>7000800</v>
      </c>
      <c r="E25" s="12" t="s">
        <v>519</v>
      </c>
      <c r="F25" s="12" t="s">
        <v>3</v>
      </c>
      <c r="G25" s="9">
        <v>995</v>
      </c>
      <c r="H25" s="9">
        <v>0</v>
      </c>
      <c r="I25" s="9">
        <v>995</v>
      </c>
      <c r="J25" s="9">
        <v>6000</v>
      </c>
      <c r="K25" s="9">
        <v>995</v>
      </c>
      <c r="L25" s="9">
        <v>0</v>
      </c>
      <c r="M25" s="9">
        <v>995</v>
      </c>
      <c r="N25" s="9">
        <v>0</v>
      </c>
      <c r="O25" s="9">
        <v>995</v>
      </c>
      <c r="P25" s="9">
        <v>0</v>
      </c>
      <c r="Q25" s="9">
        <v>995</v>
      </c>
      <c r="R25" s="9">
        <v>0</v>
      </c>
      <c r="S25" s="9">
        <v>995</v>
      </c>
      <c r="T25" s="9"/>
      <c r="U25" s="4">
        <f t="shared" si="0"/>
        <v>6000</v>
      </c>
      <c r="W25" s="4">
        <v>834</v>
      </c>
      <c r="X25" s="4">
        <v>1036</v>
      </c>
      <c r="Y25" s="4">
        <v>861</v>
      </c>
      <c r="Z25" s="4">
        <v>1494</v>
      </c>
      <c r="AA25" s="4">
        <v>926</v>
      </c>
      <c r="AB25" s="4">
        <v>822</v>
      </c>
      <c r="AC25" s="4">
        <v>919</v>
      </c>
      <c r="AD25" s="4">
        <v>851</v>
      </c>
      <c r="AE25" s="4">
        <v>1006</v>
      </c>
      <c r="AF25" s="4">
        <v>1126</v>
      </c>
      <c r="AG25" s="4">
        <v>1150</v>
      </c>
      <c r="AH25" s="4">
        <v>857</v>
      </c>
      <c r="AI25" s="7">
        <f t="shared" si="1"/>
        <v>30847</v>
      </c>
      <c r="AJ25" s="7"/>
    </row>
    <row r="26" spans="1:36" x14ac:dyDescent="0.3">
      <c r="A26" s="12" t="s">
        <v>1013</v>
      </c>
      <c r="B26" s="12" t="s">
        <v>863</v>
      </c>
      <c r="C26" s="12" t="s">
        <v>1012</v>
      </c>
      <c r="D26" s="13">
        <v>7000801</v>
      </c>
      <c r="E26" s="12" t="s">
        <v>520</v>
      </c>
      <c r="F26" s="12" t="s">
        <v>3</v>
      </c>
      <c r="G26" s="9">
        <v>931</v>
      </c>
      <c r="H26" s="9">
        <v>0</v>
      </c>
      <c r="I26" s="9">
        <v>931</v>
      </c>
      <c r="J26" s="9">
        <v>0</v>
      </c>
      <c r="K26" s="9">
        <v>931</v>
      </c>
      <c r="L26" s="9">
        <v>0</v>
      </c>
      <c r="M26" s="9">
        <v>931</v>
      </c>
      <c r="N26" s="9">
        <v>0</v>
      </c>
      <c r="O26" s="9">
        <v>931</v>
      </c>
      <c r="P26" s="9">
        <v>0</v>
      </c>
      <c r="Q26" s="9">
        <v>931</v>
      </c>
      <c r="R26" s="9">
        <v>0</v>
      </c>
      <c r="S26" s="9">
        <v>931</v>
      </c>
      <c r="T26" s="9"/>
      <c r="U26" s="4">
        <f t="shared" si="0"/>
        <v>0</v>
      </c>
      <c r="W26" s="4">
        <v>834</v>
      </c>
      <c r="X26" s="4">
        <v>1210</v>
      </c>
      <c r="Y26" s="4">
        <v>901</v>
      </c>
      <c r="Z26" s="4">
        <v>440</v>
      </c>
      <c r="AA26" s="4">
        <v>1054</v>
      </c>
      <c r="AB26" s="4">
        <v>796</v>
      </c>
      <c r="AC26" s="4">
        <v>912</v>
      </c>
      <c r="AD26" s="4">
        <v>1037</v>
      </c>
      <c r="AE26" s="4">
        <v>913</v>
      </c>
      <c r="AF26" s="4">
        <v>1084</v>
      </c>
      <c r="AG26" s="4">
        <v>1050</v>
      </c>
      <c r="AH26" s="4">
        <v>846</v>
      </c>
      <c r="AI26" s="7">
        <f t="shared" si="1"/>
        <v>17594</v>
      </c>
      <c r="AJ26" s="7"/>
    </row>
    <row r="27" spans="1:36" x14ac:dyDescent="0.3">
      <c r="A27" s="12" t="s">
        <v>1013</v>
      </c>
      <c r="B27" s="12" t="s">
        <v>863</v>
      </c>
      <c r="C27" s="12" t="s">
        <v>1012</v>
      </c>
      <c r="D27" s="13">
        <v>7000802</v>
      </c>
      <c r="E27" s="12" t="s">
        <v>521</v>
      </c>
      <c r="F27" s="12" t="s">
        <v>3</v>
      </c>
      <c r="G27" s="9">
        <v>260</v>
      </c>
      <c r="H27" s="9">
        <v>0</v>
      </c>
      <c r="I27" s="9">
        <v>260</v>
      </c>
      <c r="J27" s="9">
        <v>1000</v>
      </c>
      <c r="K27" s="9">
        <v>260</v>
      </c>
      <c r="L27" s="9">
        <v>0</v>
      </c>
      <c r="M27" s="9">
        <v>260</v>
      </c>
      <c r="N27" s="9">
        <v>0</v>
      </c>
      <c r="O27" s="9">
        <v>260</v>
      </c>
      <c r="P27" s="9">
        <v>0</v>
      </c>
      <c r="Q27" s="9">
        <v>260</v>
      </c>
      <c r="R27" s="9">
        <v>0</v>
      </c>
      <c r="S27" s="9">
        <v>260</v>
      </c>
      <c r="T27" s="9"/>
      <c r="U27" s="4">
        <f t="shared" si="0"/>
        <v>1000</v>
      </c>
      <c r="W27" s="4">
        <v>241</v>
      </c>
      <c r="X27" s="4">
        <v>237</v>
      </c>
      <c r="Y27" s="4">
        <v>206</v>
      </c>
      <c r="Z27" s="4">
        <v>267</v>
      </c>
      <c r="AA27" s="4">
        <v>208</v>
      </c>
      <c r="AB27" s="4">
        <v>109</v>
      </c>
      <c r="AC27" s="4">
        <v>187</v>
      </c>
      <c r="AD27" s="4">
        <v>207</v>
      </c>
      <c r="AE27" s="4">
        <v>187</v>
      </c>
      <c r="AF27" s="4">
        <v>360</v>
      </c>
      <c r="AG27" s="4">
        <v>260</v>
      </c>
      <c r="AH27" s="4">
        <v>297</v>
      </c>
      <c r="AI27" s="7">
        <f t="shared" si="1"/>
        <v>6586</v>
      </c>
      <c r="AJ27" s="7"/>
    </row>
    <row r="28" spans="1:36" x14ac:dyDescent="0.3">
      <c r="A28" s="12" t="s">
        <v>1011</v>
      </c>
      <c r="B28" s="12" t="s">
        <v>863</v>
      </c>
      <c r="C28" s="12" t="s">
        <v>1012</v>
      </c>
      <c r="D28" s="13">
        <v>7000806</v>
      </c>
      <c r="E28" s="12" t="s">
        <v>522</v>
      </c>
      <c r="F28" s="12" t="s">
        <v>3</v>
      </c>
      <c r="G28" s="9">
        <v>47629</v>
      </c>
      <c r="H28" s="9">
        <v>29030</v>
      </c>
      <c r="I28" s="9">
        <v>47896</v>
      </c>
      <c r="J28" s="9">
        <v>0</v>
      </c>
      <c r="K28" s="9">
        <v>48162</v>
      </c>
      <c r="L28" s="9">
        <v>0</v>
      </c>
      <c r="M28" s="9">
        <v>48429</v>
      </c>
      <c r="N28" s="9">
        <v>0</v>
      </c>
      <c r="O28" s="9">
        <v>48696</v>
      </c>
      <c r="P28" s="9">
        <v>0</v>
      </c>
      <c r="Q28" s="9">
        <v>48962</v>
      </c>
      <c r="R28" s="9">
        <v>0</v>
      </c>
      <c r="S28" s="9">
        <v>48695.666666666664</v>
      </c>
      <c r="T28" s="9"/>
      <c r="U28" s="4">
        <f t="shared" si="0"/>
        <v>29030</v>
      </c>
      <c r="W28" s="4">
        <v>49654</v>
      </c>
      <c r="X28" s="4">
        <v>40770</v>
      </c>
      <c r="Y28" s="4">
        <v>47586</v>
      </c>
      <c r="Z28" s="4">
        <v>50344</v>
      </c>
      <c r="AA28" s="4">
        <v>48919</v>
      </c>
      <c r="AB28" s="4">
        <v>45017</v>
      </c>
      <c r="AC28" s="4">
        <v>47741</v>
      </c>
      <c r="AD28" s="4">
        <v>47461</v>
      </c>
      <c r="AE28" s="4">
        <v>48507</v>
      </c>
      <c r="AF28" s="4">
        <v>53161</v>
      </c>
      <c r="AG28" s="4">
        <v>50583</v>
      </c>
      <c r="AH28" s="4">
        <v>40846</v>
      </c>
      <c r="AI28" s="7">
        <f t="shared" si="1"/>
        <v>967118.66666666674</v>
      </c>
      <c r="AJ28" s="7"/>
    </row>
    <row r="29" spans="1:36" x14ac:dyDescent="0.3">
      <c r="A29" s="12" t="s">
        <v>1011</v>
      </c>
      <c r="B29" s="12" t="s">
        <v>863</v>
      </c>
      <c r="C29" s="12" t="s">
        <v>1012</v>
      </c>
      <c r="D29" s="13">
        <v>7000807</v>
      </c>
      <c r="E29" s="12" t="s">
        <v>523</v>
      </c>
      <c r="F29" s="12" t="s">
        <v>3</v>
      </c>
      <c r="G29" s="9">
        <v>98776</v>
      </c>
      <c r="H29" s="9">
        <v>150000</v>
      </c>
      <c r="I29" s="9">
        <v>97830</v>
      </c>
      <c r="J29" s="9">
        <v>0</v>
      </c>
      <c r="K29" s="9">
        <v>96884</v>
      </c>
      <c r="L29" s="9">
        <v>0</v>
      </c>
      <c r="M29" s="9">
        <v>95939</v>
      </c>
      <c r="N29" s="9">
        <v>0</v>
      </c>
      <c r="O29" s="9">
        <v>94993</v>
      </c>
      <c r="P29" s="9">
        <v>0</v>
      </c>
      <c r="Q29" s="9">
        <v>94047</v>
      </c>
      <c r="R29" s="9">
        <v>0</v>
      </c>
      <c r="S29" s="9">
        <v>94993</v>
      </c>
      <c r="T29" s="9"/>
      <c r="U29" s="4">
        <f t="shared" si="0"/>
        <v>150000</v>
      </c>
      <c r="W29" s="4">
        <v>113487</v>
      </c>
      <c r="X29" s="4">
        <v>103308</v>
      </c>
      <c r="Y29" s="4">
        <v>111949</v>
      </c>
      <c r="Z29" s="4">
        <v>120104</v>
      </c>
      <c r="AA29" s="4">
        <v>113933</v>
      </c>
      <c r="AB29" s="4">
        <v>105772</v>
      </c>
      <c r="AC29" s="4">
        <v>111183</v>
      </c>
      <c r="AD29" s="4">
        <v>114069</v>
      </c>
      <c r="AE29" s="4">
        <v>113740</v>
      </c>
      <c r="AF29" s="4">
        <v>109709</v>
      </c>
      <c r="AG29" s="4">
        <v>113921</v>
      </c>
      <c r="AH29" s="4">
        <v>65146</v>
      </c>
      <c r="AI29" s="7">
        <f t="shared" si="1"/>
        <v>2269783</v>
      </c>
      <c r="AJ29" s="7"/>
    </row>
    <row r="30" spans="1:36" x14ac:dyDescent="0.3">
      <c r="A30" s="12" t="s">
        <v>1011</v>
      </c>
      <c r="B30" s="12" t="s">
        <v>863</v>
      </c>
      <c r="C30" s="12" t="s">
        <v>1012</v>
      </c>
      <c r="D30" s="13">
        <v>7000808</v>
      </c>
      <c r="E30" s="12" t="s">
        <v>524</v>
      </c>
      <c r="F30" s="12" t="s">
        <v>3</v>
      </c>
      <c r="G30" s="9">
        <v>77025</v>
      </c>
      <c r="H30" s="9">
        <v>51210</v>
      </c>
      <c r="I30" s="9">
        <v>76960</v>
      </c>
      <c r="J30" s="9">
        <v>0</v>
      </c>
      <c r="K30" s="9">
        <v>76895</v>
      </c>
      <c r="L30" s="9">
        <v>0</v>
      </c>
      <c r="M30" s="9">
        <v>76831</v>
      </c>
      <c r="N30" s="9">
        <v>0</v>
      </c>
      <c r="O30" s="9">
        <v>76766</v>
      </c>
      <c r="P30" s="9">
        <v>0</v>
      </c>
      <c r="Q30" s="9">
        <v>76701</v>
      </c>
      <c r="R30" s="9">
        <v>0</v>
      </c>
      <c r="S30" s="9">
        <v>76766</v>
      </c>
      <c r="T30" s="9"/>
      <c r="U30" s="4">
        <f t="shared" si="0"/>
        <v>51210</v>
      </c>
      <c r="W30" s="4">
        <v>82253</v>
      </c>
      <c r="X30" s="4">
        <v>76767</v>
      </c>
      <c r="Y30" s="4">
        <v>81540</v>
      </c>
      <c r="Z30" s="4">
        <v>82077</v>
      </c>
      <c r="AA30" s="4">
        <v>81660</v>
      </c>
      <c r="AB30" s="4">
        <v>73093</v>
      </c>
      <c r="AC30" s="4">
        <v>78048</v>
      </c>
      <c r="AD30" s="4">
        <v>85360</v>
      </c>
      <c r="AE30" s="4">
        <v>81394</v>
      </c>
      <c r="AF30" s="4">
        <v>78672</v>
      </c>
      <c r="AG30" s="4">
        <v>81036</v>
      </c>
      <c r="AH30" s="4">
        <v>67621</v>
      </c>
      <c r="AI30" s="7">
        <f t="shared" si="1"/>
        <v>1589885</v>
      </c>
      <c r="AJ30" s="7"/>
    </row>
    <row r="31" spans="1:36" x14ac:dyDescent="0.3">
      <c r="A31" s="12" t="s">
        <v>1011</v>
      </c>
      <c r="B31" s="12" t="s">
        <v>863</v>
      </c>
      <c r="C31" s="12" t="s">
        <v>1012</v>
      </c>
      <c r="D31" s="13">
        <v>7000821</v>
      </c>
      <c r="E31" s="12" t="s">
        <v>525</v>
      </c>
      <c r="F31" s="12" t="s">
        <v>3</v>
      </c>
      <c r="G31" s="9">
        <v>2788</v>
      </c>
      <c r="H31" s="9">
        <v>0</v>
      </c>
      <c r="I31" s="9">
        <v>2788</v>
      </c>
      <c r="J31" s="9">
        <v>9444</v>
      </c>
      <c r="K31" s="9">
        <v>3500</v>
      </c>
      <c r="L31" s="9">
        <v>0</v>
      </c>
      <c r="M31" s="9">
        <v>3500</v>
      </c>
      <c r="N31" s="9">
        <v>0</v>
      </c>
      <c r="O31" s="9">
        <v>3500</v>
      </c>
      <c r="P31" s="9">
        <v>0</v>
      </c>
      <c r="Q31" s="9">
        <v>2788</v>
      </c>
      <c r="R31" s="9">
        <v>9444</v>
      </c>
      <c r="S31" s="9">
        <v>3262.6666666666665</v>
      </c>
      <c r="T31" s="9"/>
      <c r="U31" s="4">
        <f t="shared" si="0"/>
        <v>18888</v>
      </c>
      <c r="W31" s="4">
        <v>3500</v>
      </c>
      <c r="X31" s="4">
        <v>2322</v>
      </c>
      <c r="Y31" s="4">
        <v>3185</v>
      </c>
      <c r="Z31" s="4">
        <v>3487</v>
      </c>
      <c r="AA31" s="4">
        <v>3527</v>
      </c>
      <c r="AB31" s="4">
        <v>3063</v>
      </c>
      <c r="AC31" s="4">
        <v>2951</v>
      </c>
      <c r="AD31" s="4">
        <v>4288</v>
      </c>
      <c r="AE31" s="4">
        <v>3250</v>
      </c>
      <c r="AF31" s="4">
        <v>2491</v>
      </c>
      <c r="AG31" s="4">
        <v>3049</v>
      </c>
      <c r="AH31" s="4">
        <v>1222</v>
      </c>
      <c r="AI31" s="7">
        <f t="shared" si="1"/>
        <v>96237.666666666657</v>
      </c>
      <c r="AJ31" s="7"/>
    </row>
    <row r="32" spans="1:36" x14ac:dyDescent="0.3">
      <c r="A32" s="12" t="s">
        <v>1011</v>
      </c>
      <c r="B32" s="12" t="s">
        <v>863</v>
      </c>
      <c r="C32" s="12" t="s">
        <v>1012</v>
      </c>
      <c r="D32" s="13">
        <v>7000827</v>
      </c>
      <c r="E32" s="12" t="s">
        <v>526</v>
      </c>
      <c r="F32" s="12" t="s">
        <v>3</v>
      </c>
      <c r="G32" s="9">
        <v>4261</v>
      </c>
      <c r="H32" s="9">
        <v>0</v>
      </c>
      <c r="I32" s="9">
        <v>4142</v>
      </c>
      <c r="J32" s="9">
        <v>0</v>
      </c>
      <c r="K32" s="9">
        <v>4022</v>
      </c>
      <c r="L32" s="9">
        <v>0</v>
      </c>
      <c r="M32" s="9">
        <v>3903</v>
      </c>
      <c r="N32" s="9">
        <v>0</v>
      </c>
      <c r="O32" s="9">
        <v>3783</v>
      </c>
      <c r="P32" s="9">
        <v>0</v>
      </c>
      <c r="Q32" s="9">
        <v>3664</v>
      </c>
      <c r="R32" s="9">
        <v>0</v>
      </c>
      <c r="S32" s="9">
        <v>3783.3333333333335</v>
      </c>
      <c r="T32" s="9"/>
      <c r="U32" s="4">
        <f t="shared" si="0"/>
        <v>0</v>
      </c>
      <c r="W32" s="4">
        <v>5255</v>
      </c>
      <c r="X32" s="4">
        <v>4727</v>
      </c>
      <c r="Y32" s="4">
        <v>4967</v>
      </c>
      <c r="Z32" s="4">
        <v>5327</v>
      </c>
      <c r="AA32" s="4">
        <v>4919</v>
      </c>
      <c r="AB32" s="4">
        <v>4129</v>
      </c>
      <c r="AC32" s="4">
        <v>4547</v>
      </c>
      <c r="AD32" s="4">
        <v>4245</v>
      </c>
      <c r="AE32" s="4">
        <v>4285</v>
      </c>
      <c r="AF32" s="4">
        <v>4916</v>
      </c>
      <c r="AG32" s="4">
        <v>4295</v>
      </c>
      <c r="AH32" s="4">
        <v>4956</v>
      </c>
      <c r="AI32" s="7">
        <f t="shared" si="1"/>
        <v>84126.333333333328</v>
      </c>
      <c r="AJ32" s="7"/>
    </row>
    <row r="33" spans="1:36" x14ac:dyDescent="0.3">
      <c r="A33" s="12" t="s">
        <v>1011</v>
      </c>
      <c r="B33" s="12" t="s">
        <v>863</v>
      </c>
      <c r="C33" s="12" t="s">
        <v>1012</v>
      </c>
      <c r="D33" s="13">
        <v>7000830</v>
      </c>
      <c r="E33" s="12" t="s">
        <v>527</v>
      </c>
      <c r="F33" s="12" t="s">
        <v>3</v>
      </c>
      <c r="G33" s="9">
        <v>10925</v>
      </c>
      <c r="H33" s="9">
        <v>11990</v>
      </c>
      <c r="I33" s="9">
        <v>10925</v>
      </c>
      <c r="J33" s="9">
        <v>0</v>
      </c>
      <c r="K33" s="9">
        <v>10925</v>
      </c>
      <c r="L33" s="9">
        <v>0</v>
      </c>
      <c r="M33" s="9">
        <v>10925</v>
      </c>
      <c r="N33" s="9">
        <v>0</v>
      </c>
      <c r="O33" s="9">
        <v>10925</v>
      </c>
      <c r="P33" s="9">
        <v>0</v>
      </c>
      <c r="Q33" s="9">
        <v>10925</v>
      </c>
      <c r="R33" s="9">
        <v>0</v>
      </c>
      <c r="S33" s="9">
        <v>10925</v>
      </c>
      <c r="T33" s="9"/>
      <c r="U33" s="4">
        <f t="shared" si="0"/>
        <v>11990</v>
      </c>
      <c r="W33" s="4">
        <v>9566</v>
      </c>
      <c r="X33" s="4">
        <v>7759</v>
      </c>
      <c r="Y33" s="4">
        <v>9026</v>
      </c>
      <c r="Z33" s="4">
        <v>7346</v>
      </c>
      <c r="AA33" s="4">
        <v>8550</v>
      </c>
      <c r="AB33" s="4">
        <v>8547</v>
      </c>
      <c r="AC33" s="4">
        <v>8547</v>
      </c>
      <c r="AD33" s="4">
        <v>12741</v>
      </c>
      <c r="AE33" s="4">
        <v>9913</v>
      </c>
      <c r="AF33" s="4">
        <v>11497</v>
      </c>
      <c r="AG33" s="4">
        <v>10534</v>
      </c>
      <c r="AH33" s="4">
        <v>12049</v>
      </c>
      <c r="AI33" s="7">
        <f t="shared" si="1"/>
        <v>216530</v>
      </c>
      <c r="AJ33" s="7"/>
    </row>
    <row r="34" spans="1:36" x14ac:dyDescent="0.3">
      <c r="A34" s="12" t="s">
        <v>1011</v>
      </c>
      <c r="B34" s="12" t="s">
        <v>863</v>
      </c>
      <c r="C34" s="12" t="s">
        <v>1012</v>
      </c>
      <c r="D34" s="13">
        <v>7000831</v>
      </c>
      <c r="E34" s="12" t="s">
        <v>528</v>
      </c>
      <c r="F34" s="12" t="s">
        <v>3</v>
      </c>
      <c r="G34" s="9">
        <v>7024</v>
      </c>
      <c r="H34" s="9">
        <v>10890</v>
      </c>
      <c r="I34" s="9">
        <v>7239</v>
      </c>
      <c r="J34" s="9">
        <v>0</v>
      </c>
      <c r="K34" s="9">
        <v>7453</v>
      </c>
      <c r="L34" s="9">
        <v>0</v>
      </c>
      <c r="M34" s="9">
        <v>7668</v>
      </c>
      <c r="N34" s="9">
        <v>0</v>
      </c>
      <c r="O34" s="9">
        <v>7882</v>
      </c>
      <c r="P34" s="9">
        <v>0</v>
      </c>
      <c r="Q34" s="9">
        <v>8097</v>
      </c>
      <c r="R34" s="9">
        <v>0</v>
      </c>
      <c r="S34" s="9">
        <v>7882.333333333333</v>
      </c>
      <c r="T34" s="9"/>
      <c r="U34" s="4">
        <f t="shared" si="0"/>
        <v>10890</v>
      </c>
      <c r="W34" s="4">
        <v>5101</v>
      </c>
      <c r="X34" s="4">
        <v>4310</v>
      </c>
      <c r="Y34" s="4">
        <v>4897</v>
      </c>
      <c r="Z34" s="4">
        <v>4158</v>
      </c>
      <c r="AA34" s="4">
        <v>4750</v>
      </c>
      <c r="AB34" s="4">
        <v>4936</v>
      </c>
      <c r="AC34" s="4">
        <v>4850</v>
      </c>
      <c r="AD34" s="4">
        <v>5703</v>
      </c>
      <c r="AE34" s="4">
        <v>5157</v>
      </c>
      <c r="AF34" s="4">
        <v>6348</v>
      </c>
      <c r="AG34" s="4">
        <v>5539</v>
      </c>
      <c r="AH34" s="4">
        <v>10924</v>
      </c>
      <c r="AI34" s="7">
        <f t="shared" si="1"/>
        <v>141698.33333333334</v>
      </c>
      <c r="AJ34" s="7"/>
    </row>
    <row r="35" spans="1:36" x14ac:dyDescent="0.3">
      <c r="A35" s="12" t="s">
        <v>1011</v>
      </c>
      <c r="B35" s="12" t="s">
        <v>863</v>
      </c>
      <c r="C35" s="12" t="s">
        <v>1012</v>
      </c>
      <c r="D35" s="13">
        <v>7000832</v>
      </c>
      <c r="E35" s="12" t="s">
        <v>529</v>
      </c>
      <c r="F35" s="12" t="s">
        <v>3</v>
      </c>
      <c r="G35" s="9">
        <v>9000</v>
      </c>
      <c r="H35" s="9">
        <v>7000</v>
      </c>
      <c r="I35" s="9">
        <v>9000</v>
      </c>
      <c r="J35" s="9">
        <v>0</v>
      </c>
      <c r="K35" s="9">
        <v>9000</v>
      </c>
      <c r="L35" s="9">
        <v>0</v>
      </c>
      <c r="M35" s="9">
        <v>9000</v>
      </c>
      <c r="N35" s="9">
        <v>0</v>
      </c>
      <c r="O35" s="9">
        <v>9000</v>
      </c>
      <c r="P35" s="9">
        <v>0</v>
      </c>
      <c r="Q35" s="9">
        <v>9000</v>
      </c>
      <c r="R35" s="9">
        <v>0</v>
      </c>
      <c r="S35" s="9">
        <v>9000</v>
      </c>
      <c r="T35" s="9"/>
      <c r="U35" s="4">
        <f t="shared" si="0"/>
        <v>7000</v>
      </c>
      <c r="W35" s="4">
        <v>6327</v>
      </c>
      <c r="X35" s="4">
        <v>5283</v>
      </c>
      <c r="Y35" s="4">
        <v>5997</v>
      </c>
      <c r="Z35" s="4">
        <v>4895</v>
      </c>
      <c r="AA35" s="4">
        <v>5725</v>
      </c>
      <c r="AB35" s="4">
        <v>6265</v>
      </c>
      <c r="AC35" s="4">
        <v>5921</v>
      </c>
      <c r="AD35" s="4">
        <v>7085</v>
      </c>
      <c r="AE35" s="4">
        <v>6348</v>
      </c>
      <c r="AF35" s="4">
        <v>11736</v>
      </c>
      <c r="AG35" s="4">
        <v>8224</v>
      </c>
      <c r="AH35" s="4">
        <v>10586</v>
      </c>
      <c r="AI35" s="7">
        <f t="shared" si="1"/>
        <v>161392</v>
      </c>
      <c r="AJ35" s="7"/>
    </row>
    <row r="36" spans="1:36" x14ac:dyDescent="0.3">
      <c r="A36" s="12" t="s">
        <v>1011</v>
      </c>
      <c r="B36" s="12" t="s">
        <v>863</v>
      </c>
      <c r="C36" s="12" t="s">
        <v>1012</v>
      </c>
      <c r="D36" s="13">
        <v>7000835</v>
      </c>
      <c r="E36" s="12" t="s">
        <v>530</v>
      </c>
      <c r="F36" s="12" t="s">
        <v>3</v>
      </c>
      <c r="G36" s="9">
        <v>7243</v>
      </c>
      <c r="H36" s="9">
        <v>20000</v>
      </c>
      <c r="I36" s="9">
        <v>7214</v>
      </c>
      <c r="J36" s="9">
        <v>0</v>
      </c>
      <c r="K36" s="9">
        <v>7185</v>
      </c>
      <c r="L36" s="9">
        <v>0</v>
      </c>
      <c r="M36" s="9">
        <v>7156</v>
      </c>
      <c r="N36" s="9">
        <v>20000</v>
      </c>
      <c r="O36" s="9">
        <v>7127</v>
      </c>
      <c r="P36" s="9">
        <v>0</v>
      </c>
      <c r="Q36" s="9">
        <v>7098</v>
      </c>
      <c r="R36" s="9">
        <v>0</v>
      </c>
      <c r="S36" s="9">
        <v>7127</v>
      </c>
      <c r="T36" s="9"/>
      <c r="U36" s="4">
        <f t="shared" si="0"/>
        <v>40000</v>
      </c>
      <c r="W36" s="4">
        <v>8150</v>
      </c>
      <c r="X36" s="4">
        <v>6776</v>
      </c>
      <c r="Y36" s="4">
        <v>7744</v>
      </c>
      <c r="Z36" s="4">
        <v>6994</v>
      </c>
      <c r="AA36" s="4">
        <v>7488</v>
      </c>
      <c r="AB36" s="4">
        <v>7350</v>
      </c>
      <c r="AC36" s="4">
        <v>7503</v>
      </c>
      <c r="AD36" s="4">
        <v>6489</v>
      </c>
      <c r="AE36" s="4">
        <v>7089</v>
      </c>
      <c r="AF36" s="4">
        <v>7807</v>
      </c>
      <c r="AG36" s="4">
        <v>7163</v>
      </c>
      <c r="AH36" s="4">
        <v>7767</v>
      </c>
      <c r="AI36" s="7">
        <f t="shared" si="1"/>
        <v>218470</v>
      </c>
      <c r="AJ36" s="7"/>
    </row>
    <row r="37" spans="1:36" x14ac:dyDescent="0.3">
      <c r="A37" s="12" t="s">
        <v>1011</v>
      </c>
      <c r="B37" s="12" t="s">
        <v>863</v>
      </c>
      <c r="C37" s="12" t="s">
        <v>1012</v>
      </c>
      <c r="D37" s="13">
        <v>7000836</v>
      </c>
      <c r="E37" s="12" t="s">
        <v>531</v>
      </c>
      <c r="F37" s="12" t="s">
        <v>3</v>
      </c>
      <c r="G37" s="9">
        <v>2596</v>
      </c>
      <c r="H37" s="9">
        <v>6000</v>
      </c>
      <c r="I37" s="9">
        <v>2594</v>
      </c>
      <c r="J37" s="9">
        <v>0</v>
      </c>
      <c r="K37" s="9">
        <v>2591</v>
      </c>
      <c r="L37" s="9">
        <v>0</v>
      </c>
      <c r="M37" s="9">
        <v>2589</v>
      </c>
      <c r="N37" s="9">
        <v>6000</v>
      </c>
      <c r="O37" s="9">
        <v>2586</v>
      </c>
      <c r="P37" s="9">
        <v>0</v>
      </c>
      <c r="Q37" s="9">
        <v>2584</v>
      </c>
      <c r="R37" s="9">
        <v>0</v>
      </c>
      <c r="S37" s="9">
        <v>2586.3333333333335</v>
      </c>
      <c r="T37" s="9"/>
      <c r="U37" s="4">
        <f t="shared" si="0"/>
        <v>12000</v>
      </c>
      <c r="W37" s="4">
        <v>2622</v>
      </c>
      <c r="X37" s="4">
        <v>2762</v>
      </c>
      <c r="Y37" s="4">
        <v>2665</v>
      </c>
      <c r="Z37" s="4">
        <v>2378</v>
      </c>
      <c r="AA37" s="4">
        <v>2545</v>
      </c>
      <c r="AB37" s="4">
        <v>2325</v>
      </c>
      <c r="AC37" s="4">
        <v>2431</v>
      </c>
      <c r="AD37" s="4">
        <v>2454</v>
      </c>
      <c r="AE37" s="4">
        <v>2378</v>
      </c>
      <c r="AF37" s="4">
        <v>2927</v>
      </c>
      <c r="AG37" s="4">
        <v>2487</v>
      </c>
      <c r="AH37" s="4">
        <v>2740</v>
      </c>
      <c r="AI37" s="7">
        <f t="shared" si="1"/>
        <v>72840.333333333328</v>
      </c>
      <c r="AJ37" s="7"/>
    </row>
    <row r="38" spans="1:36" x14ac:dyDescent="0.3">
      <c r="A38" s="12" t="s">
        <v>1011</v>
      </c>
      <c r="B38" s="12" t="s">
        <v>863</v>
      </c>
      <c r="C38" s="12" t="s">
        <v>1012</v>
      </c>
      <c r="D38" s="13">
        <v>7000837</v>
      </c>
      <c r="E38" s="12" t="s">
        <v>532</v>
      </c>
      <c r="F38" s="12" t="s">
        <v>3</v>
      </c>
      <c r="G38" s="9">
        <v>1943</v>
      </c>
      <c r="H38" s="9">
        <v>0</v>
      </c>
      <c r="I38" s="9">
        <v>1924</v>
      </c>
      <c r="J38" s="9">
        <v>0</v>
      </c>
      <c r="K38" s="9">
        <v>1906</v>
      </c>
      <c r="L38" s="9">
        <v>0</v>
      </c>
      <c r="M38" s="9">
        <v>1888</v>
      </c>
      <c r="N38" s="9">
        <v>0</v>
      </c>
      <c r="O38" s="9">
        <v>1870</v>
      </c>
      <c r="P38" s="9">
        <v>10000</v>
      </c>
      <c r="Q38" s="9">
        <v>1851</v>
      </c>
      <c r="R38" s="9">
        <v>0</v>
      </c>
      <c r="S38" s="9">
        <v>1869.6666666666667</v>
      </c>
      <c r="T38" s="9"/>
      <c r="U38" s="4">
        <f t="shared" si="0"/>
        <v>10000</v>
      </c>
      <c r="W38" s="4">
        <v>2135</v>
      </c>
      <c r="X38" s="4">
        <v>2000</v>
      </c>
      <c r="Y38" s="4">
        <v>2016</v>
      </c>
      <c r="Z38" s="4">
        <v>2217</v>
      </c>
      <c r="AA38" s="4">
        <v>2002</v>
      </c>
      <c r="AB38" s="4">
        <v>1920</v>
      </c>
      <c r="AC38" s="4">
        <v>1970</v>
      </c>
      <c r="AD38" s="4">
        <v>2169</v>
      </c>
      <c r="AE38" s="4">
        <v>2057</v>
      </c>
      <c r="AF38" s="4">
        <v>2244</v>
      </c>
      <c r="AG38" s="4">
        <v>2056</v>
      </c>
      <c r="AH38" s="4">
        <v>1574</v>
      </c>
      <c r="AI38" s="7">
        <f t="shared" si="1"/>
        <v>57611.666666666672</v>
      </c>
      <c r="AJ38" s="7"/>
    </row>
    <row r="39" spans="1:36" x14ac:dyDescent="0.3">
      <c r="A39" s="12" t="s">
        <v>1011</v>
      </c>
      <c r="B39" s="12" t="s">
        <v>863</v>
      </c>
      <c r="C39" s="12" t="s">
        <v>1012</v>
      </c>
      <c r="D39" s="13">
        <v>7000838</v>
      </c>
      <c r="E39" s="12" t="s">
        <v>533</v>
      </c>
      <c r="F39" s="12" t="s">
        <v>3</v>
      </c>
      <c r="G39" s="9">
        <v>962</v>
      </c>
      <c r="H39" s="9">
        <v>3000</v>
      </c>
      <c r="I39" s="9">
        <v>959</v>
      </c>
      <c r="J39" s="9">
        <v>0</v>
      </c>
      <c r="K39" s="9">
        <v>957</v>
      </c>
      <c r="L39" s="9">
        <v>0</v>
      </c>
      <c r="M39" s="9">
        <v>954</v>
      </c>
      <c r="N39" s="9">
        <v>3000</v>
      </c>
      <c r="O39" s="9">
        <v>951</v>
      </c>
      <c r="P39" s="9">
        <v>0</v>
      </c>
      <c r="Q39" s="9">
        <v>949</v>
      </c>
      <c r="R39" s="9">
        <v>0</v>
      </c>
      <c r="S39" s="9">
        <v>951.33333333333337</v>
      </c>
      <c r="T39" s="9"/>
      <c r="U39" s="4">
        <f t="shared" si="0"/>
        <v>6000</v>
      </c>
      <c r="W39" s="4">
        <v>998</v>
      </c>
      <c r="X39" s="4">
        <v>956</v>
      </c>
      <c r="Y39" s="4">
        <v>955</v>
      </c>
      <c r="Z39" s="4">
        <v>788</v>
      </c>
      <c r="AA39" s="4">
        <v>869</v>
      </c>
      <c r="AB39" s="4">
        <v>806</v>
      </c>
      <c r="AC39" s="4">
        <v>816</v>
      </c>
      <c r="AD39" s="4">
        <v>997</v>
      </c>
      <c r="AE39" s="4">
        <v>868</v>
      </c>
      <c r="AF39" s="4">
        <v>1344</v>
      </c>
      <c r="AG39" s="4">
        <v>1017</v>
      </c>
      <c r="AH39" s="4">
        <v>863</v>
      </c>
      <c r="AI39" s="7">
        <f t="shared" si="1"/>
        <v>29960.333333333336</v>
      </c>
      <c r="AJ39" s="7"/>
    </row>
    <row r="40" spans="1:36" x14ac:dyDescent="0.3">
      <c r="A40" s="12" t="s">
        <v>1011</v>
      </c>
      <c r="B40" s="12" t="s">
        <v>863</v>
      </c>
      <c r="C40" s="12" t="s">
        <v>1012</v>
      </c>
      <c r="D40" s="13">
        <v>7000843</v>
      </c>
      <c r="E40" s="12" t="s">
        <v>534</v>
      </c>
      <c r="F40" s="12" t="s">
        <v>3</v>
      </c>
      <c r="G40" s="9">
        <v>187089</v>
      </c>
      <c r="H40" s="9">
        <v>194170</v>
      </c>
      <c r="I40" s="9">
        <v>186948</v>
      </c>
      <c r="J40" s="9">
        <v>0</v>
      </c>
      <c r="K40" s="9">
        <v>186808</v>
      </c>
      <c r="L40" s="9">
        <v>0</v>
      </c>
      <c r="M40" s="9">
        <v>186667</v>
      </c>
      <c r="N40" s="9">
        <v>0</v>
      </c>
      <c r="O40" s="9">
        <v>186527</v>
      </c>
      <c r="P40" s="9">
        <v>0</v>
      </c>
      <c r="Q40" s="9">
        <v>186387</v>
      </c>
      <c r="R40" s="9">
        <v>0</v>
      </c>
      <c r="S40" s="9">
        <v>186527</v>
      </c>
      <c r="T40" s="9"/>
      <c r="U40" s="4">
        <f t="shared" si="0"/>
        <v>194170</v>
      </c>
      <c r="W40" s="4">
        <v>187842</v>
      </c>
      <c r="X40" s="4">
        <v>184865</v>
      </c>
      <c r="Y40" s="4">
        <v>185731</v>
      </c>
      <c r="Z40" s="4">
        <v>204339</v>
      </c>
      <c r="AA40" s="4">
        <v>190385</v>
      </c>
      <c r="AB40" s="4">
        <v>167162</v>
      </c>
      <c r="AC40" s="4">
        <v>182856</v>
      </c>
      <c r="AD40" s="4">
        <v>173800</v>
      </c>
      <c r="AE40" s="4">
        <v>180071</v>
      </c>
      <c r="AF40" s="4">
        <v>200110</v>
      </c>
      <c r="AG40" s="4">
        <v>186192</v>
      </c>
      <c r="AH40" s="4">
        <v>194288</v>
      </c>
      <c r="AI40" s="7">
        <f t="shared" si="1"/>
        <v>3932934</v>
      </c>
      <c r="AJ40" s="7"/>
    </row>
    <row r="41" spans="1:36" x14ac:dyDescent="0.3">
      <c r="A41" s="12" t="s">
        <v>1011</v>
      </c>
      <c r="B41" s="12" t="s">
        <v>863</v>
      </c>
      <c r="C41" s="12" t="s">
        <v>1012</v>
      </c>
      <c r="D41" s="13">
        <v>7000844</v>
      </c>
      <c r="E41" s="12" t="s">
        <v>535</v>
      </c>
      <c r="F41" s="12" t="s">
        <v>3</v>
      </c>
      <c r="G41" s="9">
        <v>38318</v>
      </c>
      <c r="H41" s="9">
        <v>38890</v>
      </c>
      <c r="I41" s="9">
        <v>38432</v>
      </c>
      <c r="J41" s="9">
        <v>0</v>
      </c>
      <c r="K41" s="9">
        <v>38546</v>
      </c>
      <c r="L41" s="9">
        <v>0</v>
      </c>
      <c r="M41" s="9">
        <v>38661</v>
      </c>
      <c r="N41" s="9">
        <v>0</v>
      </c>
      <c r="O41" s="9">
        <v>38775</v>
      </c>
      <c r="P41" s="9">
        <v>0</v>
      </c>
      <c r="Q41" s="9">
        <v>38889</v>
      </c>
      <c r="R41" s="9">
        <v>0</v>
      </c>
      <c r="S41" s="9">
        <v>38775</v>
      </c>
      <c r="T41" s="9"/>
      <c r="U41" s="4">
        <f t="shared" si="0"/>
        <v>38890</v>
      </c>
      <c r="W41" s="4">
        <v>36792</v>
      </c>
      <c r="X41" s="4">
        <v>38789</v>
      </c>
      <c r="Y41" s="4">
        <v>37314</v>
      </c>
      <c r="Z41" s="4">
        <v>41098</v>
      </c>
      <c r="AA41" s="4">
        <v>38177</v>
      </c>
      <c r="AB41" s="4">
        <v>33744</v>
      </c>
      <c r="AC41" s="4">
        <v>36988</v>
      </c>
      <c r="AD41" s="4">
        <v>37210</v>
      </c>
      <c r="AE41" s="4">
        <v>37389</v>
      </c>
      <c r="AF41" s="4">
        <v>38513</v>
      </c>
      <c r="AG41" s="4">
        <v>38010</v>
      </c>
      <c r="AH41" s="4">
        <v>39039</v>
      </c>
      <c r="AI41" s="7">
        <f t="shared" si="1"/>
        <v>801239</v>
      </c>
      <c r="AJ41" s="7"/>
    </row>
    <row r="42" spans="1:36" x14ac:dyDescent="0.3">
      <c r="A42" s="12" t="s">
        <v>1011</v>
      </c>
      <c r="B42" s="12" t="s">
        <v>863</v>
      </c>
      <c r="C42" s="12" t="s">
        <v>1012</v>
      </c>
      <c r="D42" s="13">
        <v>7000845</v>
      </c>
      <c r="E42" s="12" t="s">
        <v>536</v>
      </c>
      <c r="F42" s="12" t="s">
        <v>3</v>
      </c>
      <c r="G42" s="9">
        <v>65505</v>
      </c>
      <c r="H42" s="9">
        <v>73020</v>
      </c>
      <c r="I42" s="9">
        <v>65559</v>
      </c>
      <c r="J42" s="9">
        <v>0</v>
      </c>
      <c r="K42" s="9">
        <v>65613</v>
      </c>
      <c r="L42" s="9">
        <v>0</v>
      </c>
      <c r="M42" s="9">
        <v>65668</v>
      </c>
      <c r="N42" s="9">
        <v>0</v>
      </c>
      <c r="O42" s="9">
        <v>65722</v>
      </c>
      <c r="P42" s="9">
        <v>0</v>
      </c>
      <c r="Q42" s="9">
        <v>65777</v>
      </c>
      <c r="R42" s="9">
        <v>0</v>
      </c>
      <c r="S42" s="9">
        <v>65722.333333333328</v>
      </c>
      <c r="T42" s="9"/>
      <c r="U42" s="4">
        <f t="shared" si="0"/>
        <v>73020</v>
      </c>
      <c r="W42" s="4">
        <v>64512</v>
      </c>
      <c r="X42" s="4">
        <v>69037</v>
      </c>
      <c r="Y42" s="4">
        <v>65468</v>
      </c>
      <c r="Z42" s="4">
        <v>66844</v>
      </c>
      <c r="AA42" s="4">
        <v>65091</v>
      </c>
      <c r="AB42" s="4">
        <v>61135</v>
      </c>
      <c r="AC42" s="4">
        <v>63682</v>
      </c>
      <c r="AD42" s="4">
        <v>61293</v>
      </c>
      <c r="AE42" s="4">
        <v>62646</v>
      </c>
      <c r="AF42" s="4">
        <v>63011</v>
      </c>
      <c r="AG42" s="4">
        <v>62739</v>
      </c>
      <c r="AH42" s="4">
        <v>73137</v>
      </c>
      <c r="AI42" s="7">
        <f t="shared" si="1"/>
        <v>1384201.3333333335</v>
      </c>
      <c r="AJ42" s="7"/>
    </row>
    <row r="43" spans="1:36" x14ac:dyDescent="0.3">
      <c r="A43" s="12" t="s">
        <v>1011</v>
      </c>
      <c r="B43" s="12" t="s">
        <v>863</v>
      </c>
      <c r="C43" s="12" t="s">
        <v>1012</v>
      </c>
      <c r="D43" s="13">
        <v>7001261</v>
      </c>
      <c r="E43" s="12" t="s">
        <v>537</v>
      </c>
      <c r="F43" s="12" t="s">
        <v>3</v>
      </c>
      <c r="G43" s="9">
        <v>708</v>
      </c>
      <c r="H43" s="9">
        <v>0</v>
      </c>
      <c r="I43" s="9">
        <v>692</v>
      </c>
      <c r="J43" s="9">
        <v>0</v>
      </c>
      <c r="K43" s="9">
        <v>675</v>
      </c>
      <c r="L43" s="9">
        <v>0</v>
      </c>
      <c r="M43" s="9">
        <v>658</v>
      </c>
      <c r="N43" s="9">
        <v>0</v>
      </c>
      <c r="O43" s="9">
        <v>641</v>
      </c>
      <c r="P43" s="9">
        <v>0</v>
      </c>
      <c r="Q43" s="9">
        <v>624</v>
      </c>
      <c r="R43" s="9">
        <v>0</v>
      </c>
      <c r="S43" s="9">
        <v>641</v>
      </c>
      <c r="T43" s="9"/>
      <c r="U43" s="4">
        <f t="shared" si="0"/>
        <v>0</v>
      </c>
      <c r="W43" s="4">
        <v>719</v>
      </c>
      <c r="X43" s="4">
        <v>775</v>
      </c>
      <c r="Y43" s="4">
        <v>902</v>
      </c>
      <c r="Z43" s="4">
        <v>824</v>
      </c>
      <c r="AA43" s="4">
        <v>763</v>
      </c>
      <c r="AB43" s="4">
        <v>907</v>
      </c>
      <c r="AC43" s="4">
        <v>777</v>
      </c>
      <c r="AD43" s="4">
        <v>957</v>
      </c>
      <c r="AE43" s="4">
        <v>831</v>
      </c>
      <c r="AF43" s="4">
        <v>578</v>
      </c>
      <c r="AG43" s="4">
        <v>806</v>
      </c>
      <c r="AH43" s="4">
        <v>665</v>
      </c>
      <c r="AI43" s="7">
        <f t="shared" si="1"/>
        <v>14143</v>
      </c>
      <c r="AJ43" s="7"/>
    </row>
    <row r="44" spans="1:36" x14ac:dyDescent="0.3">
      <c r="A44" s="12" t="s">
        <v>1014</v>
      </c>
      <c r="B44" s="12" t="s">
        <v>863</v>
      </c>
      <c r="C44" s="12" t="s">
        <v>1012</v>
      </c>
      <c r="D44" s="13">
        <v>7001977</v>
      </c>
      <c r="E44" s="12" t="s">
        <v>538</v>
      </c>
      <c r="F44" s="12" t="s">
        <v>3</v>
      </c>
      <c r="G44" s="9">
        <v>2999</v>
      </c>
      <c r="H44" s="9">
        <v>2999</v>
      </c>
      <c r="I44" s="9">
        <v>2999</v>
      </c>
      <c r="J44" s="9">
        <v>2999</v>
      </c>
      <c r="K44" s="9">
        <v>2999</v>
      </c>
      <c r="L44" s="9">
        <v>2999</v>
      </c>
      <c r="M44" s="9">
        <v>2999</v>
      </c>
      <c r="N44" s="9">
        <v>2999</v>
      </c>
      <c r="O44" s="9">
        <v>2999</v>
      </c>
      <c r="P44" s="9">
        <v>2999</v>
      </c>
      <c r="Q44" s="9">
        <v>2999</v>
      </c>
      <c r="R44" s="9">
        <v>2999</v>
      </c>
      <c r="S44" s="9">
        <v>2999</v>
      </c>
      <c r="T44" s="9"/>
      <c r="U44" s="4">
        <f t="shared" si="0"/>
        <v>17994</v>
      </c>
      <c r="W44" s="4">
        <v>0</v>
      </c>
      <c r="X44" s="4">
        <v>0</v>
      </c>
      <c r="Y44" s="4">
        <v>711</v>
      </c>
      <c r="Z44" s="4">
        <v>4100</v>
      </c>
      <c r="AA44" s="4">
        <v>2078</v>
      </c>
      <c r="AB44" s="4">
        <v>0</v>
      </c>
      <c r="AC44" s="4">
        <v>1367</v>
      </c>
      <c r="AD44" s="4">
        <v>0</v>
      </c>
      <c r="AE44" s="4">
        <v>1367</v>
      </c>
      <c r="AF44" s="4">
        <v>2098</v>
      </c>
      <c r="AG44" s="4">
        <v>699</v>
      </c>
      <c r="AH44" s="4">
        <v>0</v>
      </c>
      <c r="AI44" s="7">
        <f t="shared" si="1"/>
        <v>69401</v>
      </c>
      <c r="AJ44" s="7"/>
    </row>
    <row r="45" spans="1:36" x14ac:dyDescent="0.3">
      <c r="A45" s="12" t="s">
        <v>1011</v>
      </c>
      <c r="B45" s="12" t="s">
        <v>863</v>
      </c>
      <c r="C45" s="12" t="s">
        <v>1012</v>
      </c>
      <c r="D45" s="13">
        <v>7002163</v>
      </c>
      <c r="E45" s="12" t="s">
        <v>539</v>
      </c>
      <c r="F45" s="12" t="s">
        <v>3</v>
      </c>
      <c r="G45" s="9">
        <v>1797</v>
      </c>
      <c r="H45" s="9">
        <v>0</v>
      </c>
      <c r="I45" s="9">
        <v>1797</v>
      </c>
      <c r="J45" s="9">
        <v>0</v>
      </c>
      <c r="K45" s="9">
        <v>1797</v>
      </c>
      <c r="L45" s="9">
        <v>10000</v>
      </c>
      <c r="M45" s="9">
        <v>1797</v>
      </c>
      <c r="N45" s="9">
        <v>0</v>
      </c>
      <c r="O45" s="9">
        <v>1797</v>
      </c>
      <c r="P45" s="9">
        <v>20000</v>
      </c>
      <c r="Q45" s="9">
        <v>1797</v>
      </c>
      <c r="R45" s="9">
        <v>0</v>
      </c>
      <c r="S45" s="9">
        <v>1797</v>
      </c>
      <c r="T45" s="9"/>
      <c r="U45" s="4">
        <f t="shared" si="0"/>
        <v>30000</v>
      </c>
      <c r="W45" s="4">
        <v>1500</v>
      </c>
      <c r="X45" s="4">
        <v>1794</v>
      </c>
      <c r="Y45" s="4">
        <v>1592</v>
      </c>
      <c r="Z45" s="4">
        <v>2311</v>
      </c>
      <c r="AA45" s="4">
        <v>1793</v>
      </c>
      <c r="AB45" s="4">
        <v>1306</v>
      </c>
      <c r="AC45" s="4">
        <v>1757</v>
      </c>
      <c r="AD45" s="4">
        <v>2457</v>
      </c>
      <c r="AE45" s="4">
        <v>1946</v>
      </c>
      <c r="AF45" s="4">
        <v>1855</v>
      </c>
      <c r="AG45" s="4">
        <v>2049</v>
      </c>
      <c r="AH45" s="4">
        <v>1070</v>
      </c>
      <c r="AI45" s="7">
        <f t="shared" si="1"/>
        <v>94009</v>
      </c>
      <c r="AJ45" s="7"/>
    </row>
    <row r="46" spans="1:36" x14ac:dyDescent="0.3">
      <c r="A46" s="12" t="s">
        <v>1014</v>
      </c>
      <c r="B46" s="12" t="s">
        <v>863</v>
      </c>
      <c r="C46" s="12" t="s">
        <v>1012</v>
      </c>
      <c r="D46" s="13">
        <v>7002310</v>
      </c>
      <c r="E46" s="12" t="s">
        <v>540</v>
      </c>
      <c r="F46" s="12" t="s">
        <v>3</v>
      </c>
      <c r="G46" s="9">
        <v>1971</v>
      </c>
      <c r="H46" s="9">
        <v>1971</v>
      </c>
      <c r="I46" s="9">
        <v>1971</v>
      </c>
      <c r="J46" s="9">
        <v>1971</v>
      </c>
      <c r="K46" s="9">
        <v>1971</v>
      </c>
      <c r="L46" s="9">
        <v>1971</v>
      </c>
      <c r="M46" s="9">
        <v>1971</v>
      </c>
      <c r="N46" s="9">
        <v>1971</v>
      </c>
      <c r="O46" s="9">
        <v>1971</v>
      </c>
      <c r="P46" s="9">
        <v>1971</v>
      </c>
      <c r="Q46" s="9">
        <v>1971</v>
      </c>
      <c r="R46" s="9">
        <v>1971</v>
      </c>
      <c r="S46" s="9">
        <v>1971</v>
      </c>
      <c r="T46" s="9"/>
      <c r="U46" s="4">
        <f t="shared" si="0"/>
        <v>11826</v>
      </c>
      <c r="W46" s="4">
        <v>0</v>
      </c>
      <c r="X46" s="4">
        <v>0</v>
      </c>
      <c r="Y46" s="4">
        <v>1551</v>
      </c>
      <c r="Z46" s="4">
        <v>0</v>
      </c>
      <c r="AA46" s="4">
        <v>1551</v>
      </c>
      <c r="AB46" s="4">
        <v>0</v>
      </c>
      <c r="AC46" s="4">
        <v>0</v>
      </c>
      <c r="AD46" s="4">
        <v>1743</v>
      </c>
      <c r="AE46" s="4">
        <v>581</v>
      </c>
      <c r="AF46" s="4">
        <v>2199</v>
      </c>
      <c r="AG46" s="4">
        <v>1314</v>
      </c>
      <c r="AH46" s="4">
        <v>0</v>
      </c>
      <c r="AI46" s="7">
        <f t="shared" si="1"/>
        <v>46388</v>
      </c>
      <c r="AJ46" s="7"/>
    </row>
    <row r="47" spans="1:36" x14ac:dyDescent="0.3">
      <c r="A47" s="12" t="s">
        <v>1011</v>
      </c>
      <c r="B47" s="12" t="s">
        <v>863</v>
      </c>
      <c r="C47" s="12" t="s">
        <v>1012</v>
      </c>
      <c r="D47" s="13">
        <v>7002312</v>
      </c>
      <c r="E47" s="12" t="s">
        <v>541</v>
      </c>
      <c r="F47" s="12" t="s">
        <v>3</v>
      </c>
      <c r="G47" s="9">
        <v>339</v>
      </c>
      <c r="H47" s="9">
        <v>0</v>
      </c>
      <c r="I47" s="9">
        <v>339</v>
      </c>
      <c r="J47" s="9">
        <v>0</v>
      </c>
      <c r="K47" s="9">
        <v>500</v>
      </c>
      <c r="L47" s="9">
        <v>0</v>
      </c>
      <c r="M47" s="9">
        <v>500</v>
      </c>
      <c r="N47" s="9">
        <v>0</v>
      </c>
      <c r="O47" s="9">
        <v>339</v>
      </c>
      <c r="P47" s="9">
        <v>0</v>
      </c>
      <c r="Q47" s="9">
        <v>339</v>
      </c>
      <c r="R47" s="9">
        <v>0</v>
      </c>
      <c r="S47" s="9">
        <v>392.66666666666669</v>
      </c>
      <c r="T47" s="9"/>
      <c r="U47" s="4">
        <f t="shared" si="0"/>
        <v>0</v>
      </c>
      <c r="W47" s="4">
        <v>1500</v>
      </c>
      <c r="X47" s="4">
        <v>310</v>
      </c>
      <c r="Y47" s="4">
        <v>279</v>
      </c>
      <c r="Z47" s="4">
        <v>512</v>
      </c>
      <c r="AA47" s="4">
        <v>365</v>
      </c>
      <c r="AB47" s="4">
        <v>333</v>
      </c>
      <c r="AC47" s="4">
        <v>385</v>
      </c>
      <c r="AD47" s="4">
        <v>404</v>
      </c>
      <c r="AE47" s="4">
        <v>416</v>
      </c>
      <c r="AF47" s="4">
        <v>341</v>
      </c>
      <c r="AG47" s="4">
        <v>359</v>
      </c>
      <c r="AH47" s="4">
        <v>199</v>
      </c>
      <c r="AI47" s="7">
        <f t="shared" si="1"/>
        <v>8151.6666666666661</v>
      </c>
      <c r="AJ47" s="7"/>
    </row>
    <row r="48" spans="1:36" x14ac:dyDescent="0.3">
      <c r="A48" s="12" t="s">
        <v>1015</v>
      </c>
      <c r="B48" s="12" t="s">
        <v>863</v>
      </c>
      <c r="C48" s="12" t="s">
        <v>1012</v>
      </c>
      <c r="D48" s="13">
        <v>7002334</v>
      </c>
      <c r="E48" s="12" t="s">
        <v>542</v>
      </c>
      <c r="F48" s="12" t="s">
        <v>3</v>
      </c>
      <c r="G48" s="9">
        <v>450</v>
      </c>
      <c r="H48" s="9">
        <v>0</v>
      </c>
      <c r="I48" s="9">
        <v>450</v>
      </c>
      <c r="J48" s="9">
        <v>1000</v>
      </c>
      <c r="K48" s="9">
        <v>600</v>
      </c>
      <c r="L48" s="9">
        <v>0</v>
      </c>
      <c r="M48" s="9">
        <v>550</v>
      </c>
      <c r="N48" s="9">
        <v>1000</v>
      </c>
      <c r="O48" s="9">
        <v>500</v>
      </c>
      <c r="P48" s="9">
        <v>0</v>
      </c>
      <c r="Q48" s="9">
        <v>400</v>
      </c>
      <c r="R48" s="9">
        <v>1000</v>
      </c>
      <c r="S48" s="9">
        <v>483.33333333333331</v>
      </c>
      <c r="T48" s="9"/>
      <c r="U48" s="4">
        <f t="shared" si="0"/>
        <v>3000</v>
      </c>
      <c r="W48" s="4">
        <v>450</v>
      </c>
      <c r="X48" s="4">
        <v>382</v>
      </c>
      <c r="Y48" s="4">
        <v>470</v>
      </c>
      <c r="Z48" s="4">
        <v>333</v>
      </c>
      <c r="AA48" s="4">
        <v>600</v>
      </c>
      <c r="AB48" s="4">
        <v>598</v>
      </c>
      <c r="AC48" s="4">
        <v>600</v>
      </c>
      <c r="AD48" s="4">
        <v>592</v>
      </c>
      <c r="AE48" s="4">
        <v>550</v>
      </c>
      <c r="AF48" s="4">
        <v>549</v>
      </c>
      <c r="AG48" s="4">
        <v>450</v>
      </c>
      <c r="AH48" s="4">
        <v>487</v>
      </c>
      <c r="AI48" s="7">
        <f t="shared" si="1"/>
        <v>15494.333333333332</v>
      </c>
      <c r="AJ48" s="7"/>
    </row>
    <row r="49" spans="1:36" x14ac:dyDescent="0.3">
      <c r="A49" s="12" t="s">
        <v>1011</v>
      </c>
      <c r="B49" s="12" t="s">
        <v>863</v>
      </c>
      <c r="C49" s="12" t="s">
        <v>1012</v>
      </c>
      <c r="D49" s="13">
        <v>7002335</v>
      </c>
      <c r="E49" s="12" t="s">
        <v>543</v>
      </c>
      <c r="F49" s="12" t="s">
        <v>3</v>
      </c>
      <c r="G49" s="9">
        <v>1118</v>
      </c>
      <c r="H49" s="9">
        <v>8000</v>
      </c>
      <c r="I49" s="9">
        <v>1118</v>
      </c>
      <c r="J49" s="9">
        <v>0</v>
      </c>
      <c r="K49" s="9">
        <v>1118</v>
      </c>
      <c r="L49" s="9">
        <v>0</v>
      </c>
      <c r="M49" s="9">
        <v>1118</v>
      </c>
      <c r="N49" s="9">
        <v>4000</v>
      </c>
      <c r="O49" s="9">
        <v>1118</v>
      </c>
      <c r="P49" s="9">
        <v>0</v>
      </c>
      <c r="Q49" s="9">
        <v>1118</v>
      </c>
      <c r="R49" s="9">
        <v>0</v>
      </c>
      <c r="S49" s="9">
        <v>1118</v>
      </c>
      <c r="T49" s="9"/>
      <c r="U49" s="4">
        <f t="shared" si="0"/>
        <v>12000</v>
      </c>
      <c r="W49" s="4">
        <v>1900</v>
      </c>
      <c r="X49" s="4">
        <v>1019</v>
      </c>
      <c r="Y49" s="4">
        <v>1394</v>
      </c>
      <c r="Z49" s="4">
        <v>1386</v>
      </c>
      <c r="AA49" s="4">
        <v>1366</v>
      </c>
      <c r="AB49" s="4">
        <v>1218</v>
      </c>
      <c r="AC49" s="4">
        <v>1370</v>
      </c>
      <c r="AD49" s="4">
        <v>1168</v>
      </c>
      <c r="AE49" s="4">
        <v>1261</v>
      </c>
      <c r="AF49" s="4">
        <v>1390</v>
      </c>
      <c r="AG49" s="4">
        <v>1264</v>
      </c>
      <c r="AH49" s="4">
        <v>693</v>
      </c>
      <c r="AI49" s="7">
        <f t="shared" si="1"/>
        <v>47255</v>
      </c>
      <c r="AJ49" s="7"/>
    </row>
    <row r="50" spans="1:36" x14ac:dyDescent="0.3">
      <c r="A50" s="12" t="s">
        <v>1011</v>
      </c>
      <c r="B50" s="12" t="s">
        <v>863</v>
      </c>
      <c r="C50" s="12" t="s">
        <v>1012</v>
      </c>
      <c r="D50" s="13">
        <v>7002336</v>
      </c>
      <c r="E50" s="12" t="s">
        <v>544</v>
      </c>
      <c r="F50" s="12" t="s">
        <v>3</v>
      </c>
      <c r="G50" s="9">
        <v>410</v>
      </c>
      <c r="H50" s="9">
        <v>1600</v>
      </c>
      <c r="I50" s="9">
        <v>410</v>
      </c>
      <c r="J50" s="9">
        <v>0</v>
      </c>
      <c r="K50" s="9">
        <v>410</v>
      </c>
      <c r="L50" s="9">
        <v>0</v>
      </c>
      <c r="M50" s="9">
        <v>410</v>
      </c>
      <c r="N50" s="9">
        <v>2800</v>
      </c>
      <c r="O50" s="9">
        <v>410</v>
      </c>
      <c r="P50" s="9">
        <v>0</v>
      </c>
      <c r="Q50" s="9">
        <v>410</v>
      </c>
      <c r="R50" s="9">
        <v>0</v>
      </c>
      <c r="S50" s="9">
        <v>410</v>
      </c>
      <c r="T50" s="9"/>
      <c r="U50" s="4">
        <f t="shared" si="0"/>
        <v>4400</v>
      </c>
      <c r="W50" s="4">
        <v>360</v>
      </c>
      <c r="X50" s="4">
        <v>278</v>
      </c>
      <c r="Y50" s="4">
        <v>376</v>
      </c>
      <c r="Z50" s="4">
        <v>780</v>
      </c>
      <c r="AA50" s="4">
        <v>466</v>
      </c>
      <c r="AB50" s="4">
        <v>350</v>
      </c>
      <c r="AC50" s="4">
        <v>464</v>
      </c>
      <c r="AD50" s="4">
        <v>912</v>
      </c>
      <c r="AE50" s="4">
        <v>558</v>
      </c>
      <c r="AF50" s="4">
        <v>583</v>
      </c>
      <c r="AG50" s="4">
        <v>563</v>
      </c>
      <c r="AH50" s="4">
        <v>247</v>
      </c>
      <c r="AI50" s="7">
        <f t="shared" si="1"/>
        <v>17607</v>
      </c>
      <c r="AJ50" s="7"/>
    </row>
    <row r="51" spans="1:36" x14ac:dyDescent="0.3">
      <c r="A51" s="12" t="s">
        <v>1011</v>
      </c>
      <c r="B51" s="12" t="s">
        <v>863</v>
      </c>
      <c r="C51" s="12" t="s">
        <v>1012</v>
      </c>
      <c r="D51" s="13">
        <v>7002469</v>
      </c>
      <c r="E51" s="12" t="s">
        <v>545</v>
      </c>
      <c r="F51" s="12" t="s">
        <v>3</v>
      </c>
      <c r="G51" s="9">
        <v>366</v>
      </c>
      <c r="H51" s="9">
        <v>0</v>
      </c>
      <c r="I51" s="9">
        <v>366</v>
      </c>
      <c r="J51" s="9">
        <v>0</v>
      </c>
      <c r="K51" s="9">
        <v>366</v>
      </c>
      <c r="L51" s="9">
        <v>0</v>
      </c>
      <c r="M51" s="9">
        <v>366</v>
      </c>
      <c r="N51" s="9">
        <v>0</v>
      </c>
      <c r="O51" s="9">
        <v>366</v>
      </c>
      <c r="P51" s="9">
        <v>0</v>
      </c>
      <c r="Q51" s="9">
        <v>366</v>
      </c>
      <c r="R51" s="9">
        <v>0</v>
      </c>
      <c r="S51" s="9">
        <v>366</v>
      </c>
      <c r="T51" s="9"/>
      <c r="U51" s="4">
        <f t="shared" si="0"/>
        <v>0</v>
      </c>
      <c r="W51" s="4">
        <v>620</v>
      </c>
      <c r="X51" s="4">
        <v>247</v>
      </c>
      <c r="Y51" s="4">
        <v>490</v>
      </c>
      <c r="Z51" s="4">
        <v>298</v>
      </c>
      <c r="AA51" s="4">
        <v>362</v>
      </c>
      <c r="AB51" s="4">
        <v>362</v>
      </c>
      <c r="AC51" s="4">
        <v>413</v>
      </c>
      <c r="AD51" s="4">
        <v>492</v>
      </c>
      <c r="AE51" s="4">
        <v>437</v>
      </c>
      <c r="AF51" s="4">
        <v>544</v>
      </c>
      <c r="AG51" s="4">
        <v>414</v>
      </c>
      <c r="AH51" s="4">
        <v>210</v>
      </c>
      <c r="AI51" s="7">
        <f t="shared" si="1"/>
        <v>7451</v>
      </c>
      <c r="AJ51" s="7"/>
    </row>
    <row r="52" spans="1:36" x14ac:dyDescent="0.3">
      <c r="A52" s="12" t="s">
        <v>1011</v>
      </c>
      <c r="B52" s="12" t="s">
        <v>863</v>
      </c>
      <c r="C52" s="12" t="s">
        <v>1012</v>
      </c>
      <c r="D52" s="13">
        <v>7002470</v>
      </c>
      <c r="E52" s="12" t="s">
        <v>546</v>
      </c>
      <c r="F52" s="12" t="s">
        <v>3</v>
      </c>
      <c r="G52" s="9">
        <v>120</v>
      </c>
      <c r="H52" s="9">
        <v>0</v>
      </c>
      <c r="I52" s="9">
        <v>120</v>
      </c>
      <c r="J52" s="9">
        <v>0</v>
      </c>
      <c r="K52" s="9">
        <v>120</v>
      </c>
      <c r="L52" s="9">
        <v>0</v>
      </c>
      <c r="M52" s="9">
        <v>120</v>
      </c>
      <c r="N52" s="9">
        <v>0</v>
      </c>
      <c r="O52" s="9">
        <v>120</v>
      </c>
      <c r="P52" s="9">
        <v>0</v>
      </c>
      <c r="Q52" s="9">
        <v>120</v>
      </c>
      <c r="R52" s="9">
        <v>0</v>
      </c>
      <c r="S52" s="9">
        <v>120</v>
      </c>
      <c r="T52" s="9"/>
      <c r="U52" s="4">
        <f t="shared" si="0"/>
        <v>0</v>
      </c>
      <c r="W52" s="4">
        <v>200</v>
      </c>
      <c r="X52" s="4">
        <v>125</v>
      </c>
      <c r="Y52" s="4">
        <v>148</v>
      </c>
      <c r="Z52" s="4">
        <v>121</v>
      </c>
      <c r="AA52" s="4">
        <v>155</v>
      </c>
      <c r="AB52" s="4">
        <v>147</v>
      </c>
      <c r="AC52" s="4">
        <v>160</v>
      </c>
      <c r="AD52" s="4">
        <v>271</v>
      </c>
      <c r="AE52" s="4">
        <v>174</v>
      </c>
      <c r="AF52" s="4">
        <v>161</v>
      </c>
      <c r="AG52" s="4">
        <v>169</v>
      </c>
      <c r="AH52" s="4">
        <v>64</v>
      </c>
      <c r="AI52" s="7">
        <f t="shared" si="1"/>
        <v>2735</v>
      </c>
      <c r="AJ52" s="7"/>
    </row>
    <row r="53" spans="1:36" x14ac:dyDescent="0.3">
      <c r="A53" s="12" t="s">
        <v>1011</v>
      </c>
      <c r="B53" s="12" t="s">
        <v>863</v>
      </c>
      <c r="C53" s="12" t="s">
        <v>1012</v>
      </c>
      <c r="D53" s="13">
        <v>7002500</v>
      </c>
      <c r="E53" s="12" t="s">
        <v>547</v>
      </c>
      <c r="F53" s="12" t="s">
        <v>3</v>
      </c>
      <c r="G53" s="9">
        <v>3935</v>
      </c>
      <c r="H53" s="9">
        <v>0</v>
      </c>
      <c r="I53" s="9">
        <v>3920</v>
      </c>
      <c r="J53" s="9">
        <v>0</v>
      </c>
      <c r="K53" s="9">
        <v>3905</v>
      </c>
      <c r="L53" s="9">
        <v>13333</v>
      </c>
      <c r="M53" s="9">
        <v>3891</v>
      </c>
      <c r="N53" s="9">
        <v>0</v>
      </c>
      <c r="O53" s="9">
        <v>3876</v>
      </c>
      <c r="P53" s="9">
        <v>0</v>
      </c>
      <c r="Q53" s="9">
        <v>3862</v>
      </c>
      <c r="R53" s="9">
        <v>0</v>
      </c>
      <c r="S53" s="9">
        <v>3876.3333333333335</v>
      </c>
      <c r="T53" s="9"/>
      <c r="U53" s="4">
        <f t="shared" si="0"/>
        <v>13333</v>
      </c>
      <c r="W53" s="4">
        <v>4218</v>
      </c>
      <c r="X53" s="4">
        <v>3074</v>
      </c>
      <c r="Y53" s="4">
        <v>3623</v>
      </c>
      <c r="Z53" s="4">
        <v>4126</v>
      </c>
      <c r="AA53" s="4">
        <v>3510</v>
      </c>
      <c r="AB53" s="4">
        <v>3986</v>
      </c>
      <c r="AC53" s="4">
        <v>3489</v>
      </c>
      <c r="AD53" s="4">
        <v>4170</v>
      </c>
      <c r="AE53" s="4">
        <v>3537</v>
      </c>
      <c r="AF53" s="4">
        <v>3597</v>
      </c>
      <c r="AG53" s="4">
        <v>3457</v>
      </c>
      <c r="AH53" s="4">
        <v>4701</v>
      </c>
      <c r="AI53" s="7">
        <f t="shared" si="1"/>
        <v>99419.333333333343</v>
      </c>
      <c r="AJ53" s="7"/>
    </row>
    <row r="54" spans="1:36" x14ac:dyDescent="0.3">
      <c r="A54" s="12" t="s">
        <v>1011</v>
      </c>
      <c r="B54" s="12" t="s">
        <v>863</v>
      </c>
      <c r="C54" s="12" t="s">
        <v>1012</v>
      </c>
      <c r="D54" s="13">
        <v>7300057</v>
      </c>
      <c r="E54" s="12" t="s">
        <v>548</v>
      </c>
      <c r="F54" s="12" t="s">
        <v>3</v>
      </c>
      <c r="G54" s="9">
        <v>231</v>
      </c>
      <c r="H54" s="9">
        <v>0</v>
      </c>
      <c r="I54" s="9">
        <v>231</v>
      </c>
      <c r="J54" s="9">
        <v>0</v>
      </c>
      <c r="K54" s="9">
        <v>231</v>
      </c>
      <c r="L54" s="9">
        <v>0</v>
      </c>
      <c r="M54" s="9">
        <v>231</v>
      </c>
      <c r="N54" s="9">
        <v>0</v>
      </c>
      <c r="O54" s="9">
        <v>231</v>
      </c>
      <c r="P54" s="9">
        <v>0</v>
      </c>
      <c r="Q54" s="9">
        <v>231</v>
      </c>
      <c r="R54" s="9">
        <v>0</v>
      </c>
      <c r="S54" s="9">
        <v>231</v>
      </c>
      <c r="T54" s="9"/>
      <c r="U54" s="4">
        <f t="shared" si="0"/>
        <v>0</v>
      </c>
      <c r="W54" s="4">
        <v>250</v>
      </c>
      <c r="X54" s="4">
        <v>129</v>
      </c>
      <c r="Y54" s="4">
        <v>162</v>
      </c>
      <c r="Z54" s="4">
        <v>273</v>
      </c>
      <c r="AA54" s="4">
        <v>201</v>
      </c>
      <c r="AB54" s="4">
        <v>228</v>
      </c>
      <c r="AC54" s="4">
        <v>197</v>
      </c>
      <c r="AD54" s="4">
        <v>202</v>
      </c>
      <c r="AE54" s="4">
        <v>198</v>
      </c>
      <c r="AF54" s="4">
        <v>304</v>
      </c>
      <c r="AG54" s="4">
        <v>235</v>
      </c>
      <c r="AH54" s="4">
        <v>214</v>
      </c>
      <c r="AI54" s="7">
        <f t="shared" si="1"/>
        <v>4210</v>
      </c>
      <c r="AJ54" s="7"/>
    </row>
    <row r="55" spans="1:36" x14ac:dyDescent="0.3">
      <c r="A55" s="12" t="s">
        <v>1011</v>
      </c>
      <c r="B55" s="12" t="s">
        <v>863</v>
      </c>
      <c r="C55" s="12" t="s">
        <v>1012</v>
      </c>
      <c r="D55" s="13">
        <v>7300058</v>
      </c>
      <c r="E55" s="12" t="s">
        <v>549</v>
      </c>
      <c r="F55" s="12" t="s">
        <v>3</v>
      </c>
      <c r="G55" s="9">
        <v>395</v>
      </c>
      <c r="H55" s="9">
        <v>0</v>
      </c>
      <c r="I55" s="9">
        <v>395</v>
      </c>
      <c r="J55" s="9">
        <v>0</v>
      </c>
      <c r="K55" s="9">
        <v>395</v>
      </c>
      <c r="L55" s="9">
        <v>0</v>
      </c>
      <c r="M55" s="9">
        <v>395</v>
      </c>
      <c r="N55" s="9">
        <v>0</v>
      </c>
      <c r="O55" s="9">
        <v>395</v>
      </c>
      <c r="P55" s="9">
        <v>0</v>
      </c>
      <c r="Q55" s="9">
        <v>395</v>
      </c>
      <c r="R55" s="9">
        <v>0</v>
      </c>
      <c r="S55" s="9">
        <v>395</v>
      </c>
      <c r="T55" s="9"/>
      <c r="U55" s="4">
        <f t="shared" si="0"/>
        <v>0</v>
      </c>
      <c r="W55" s="4">
        <v>500</v>
      </c>
      <c r="X55" s="4">
        <v>380</v>
      </c>
      <c r="Y55" s="4">
        <v>467</v>
      </c>
      <c r="Z55" s="4">
        <v>555</v>
      </c>
      <c r="AA55" s="4">
        <v>456</v>
      </c>
      <c r="AB55" s="4">
        <v>250</v>
      </c>
      <c r="AC55" s="4">
        <v>438</v>
      </c>
      <c r="AD55" s="4">
        <v>436</v>
      </c>
      <c r="AE55" s="4">
        <v>431</v>
      </c>
      <c r="AF55" s="4">
        <v>402</v>
      </c>
      <c r="AG55" s="4">
        <v>410</v>
      </c>
      <c r="AH55" s="4">
        <v>345</v>
      </c>
      <c r="AI55" s="7">
        <f t="shared" si="1"/>
        <v>7835</v>
      </c>
      <c r="AJ55" s="7"/>
    </row>
    <row r="56" spans="1:36" x14ac:dyDescent="0.3">
      <c r="A56" s="12" t="s">
        <v>1011</v>
      </c>
      <c r="B56" s="12" t="s">
        <v>863</v>
      </c>
      <c r="C56" s="12" t="s">
        <v>1012</v>
      </c>
      <c r="D56" s="13">
        <v>7300059</v>
      </c>
      <c r="E56" s="12" t="s">
        <v>550</v>
      </c>
      <c r="F56" s="12" t="s">
        <v>3</v>
      </c>
      <c r="G56" s="9">
        <v>317</v>
      </c>
      <c r="H56" s="9">
        <v>0</v>
      </c>
      <c r="I56" s="9">
        <v>317</v>
      </c>
      <c r="J56" s="9">
        <v>0</v>
      </c>
      <c r="K56" s="9">
        <v>318</v>
      </c>
      <c r="L56" s="9">
        <v>0</v>
      </c>
      <c r="M56" s="9">
        <v>319</v>
      </c>
      <c r="N56" s="9">
        <v>0</v>
      </c>
      <c r="O56" s="9">
        <v>320</v>
      </c>
      <c r="P56" s="9">
        <v>0</v>
      </c>
      <c r="Q56" s="9">
        <v>320</v>
      </c>
      <c r="R56" s="9">
        <v>0</v>
      </c>
      <c r="S56" s="9">
        <v>319.66666666666669</v>
      </c>
      <c r="T56" s="9"/>
      <c r="U56" s="4">
        <f t="shared" si="0"/>
        <v>0</v>
      </c>
      <c r="W56" s="4">
        <v>294</v>
      </c>
      <c r="X56" s="4">
        <v>255</v>
      </c>
      <c r="Y56" s="4">
        <v>262</v>
      </c>
      <c r="Z56" s="4">
        <v>354</v>
      </c>
      <c r="AA56" s="4">
        <v>311</v>
      </c>
      <c r="AB56" s="4">
        <v>352</v>
      </c>
      <c r="AC56" s="4">
        <v>352</v>
      </c>
      <c r="AD56" s="4">
        <v>361</v>
      </c>
      <c r="AE56" s="4">
        <v>350</v>
      </c>
      <c r="AF56" s="4">
        <v>289</v>
      </c>
      <c r="AG56" s="4">
        <v>329</v>
      </c>
      <c r="AH56" s="4">
        <v>287</v>
      </c>
      <c r="AI56" s="7">
        <f t="shared" si="1"/>
        <v>6026.6666666666661</v>
      </c>
      <c r="AJ56" s="7"/>
    </row>
    <row r="57" spans="1:36" x14ac:dyDescent="0.3">
      <c r="A57" s="12" t="s">
        <v>1011</v>
      </c>
      <c r="B57" s="12" t="s">
        <v>863</v>
      </c>
      <c r="C57" s="12" t="s">
        <v>1012</v>
      </c>
      <c r="D57" s="13">
        <v>7300066</v>
      </c>
      <c r="E57" s="12" t="s">
        <v>551</v>
      </c>
      <c r="F57" s="12" t="s">
        <v>3</v>
      </c>
      <c r="G57" s="9">
        <v>147</v>
      </c>
      <c r="H57" s="9">
        <v>0</v>
      </c>
      <c r="I57" s="9">
        <v>147</v>
      </c>
      <c r="J57" s="9">
        <v>0</v>
      </c>
      <c r="K57" s="9">
        <v>147</v>
      </c>
      <c r="L57" s="9">
        <v>0</v>
      </c>
      <c r="M57" s="9">
        <v>147</v>
      </c>
      <c r="N57" s="9">
        <v>0</v>
      </c>
      <c r="O57" s="9">
        <v>147</v>
      </c>
      <c r="P57" s="9">
        <v>0</v>
      </c>
      <c r="Q57" s="9">
        <v>147</v>
      </c>
      <c r="R57" s="9">
        <v>0</v>
      </c>
      <c r="S57" s="9">
        <v>147</v>
      </c>
      <c r="T57" s="9"/>
      <c r="U57" s="4">
        <f t="shared" si="0"/>
        <v>0</v>
      </c>
      <c r="W57" s="4">
        <v>198</v>
      </c>
      <c r="X57" s="4">
        <v>185</v>
      </c>
      <c r="Y57" s="4">
        <v>194</v>
      </c>
      <c r="Z57" s="4">
        <v>212</v>
      </c>
      <c r="AA57" s="4">
        <v>211</v>
      </c>
      <c r="AB57" s="4">
        <v>235</v>
      </c>
      <c r="AC57" s="4">
        <v>216</v>
      </c>
      <c r="AD57" s="4">
        <v>95</v>
      </c>
      <c r="AE57" s="4">
        <v>186</v>
      </c>
      <c r="AF57" s="4">
        <v>120</v>
      </c>
      <c r="AG57" s="4">
        <v>155</v>
      </c>
      <c r="AH57" s="4">
        <v>143</v>
      </c>
      <c r="AI57" s="7">
        <f t="shared" si="1"/>
        <v>3179</v>
      </c>
      <c r="AJ57" s="7"/>
    </row>
    <row r="58" spans="1:36" x14ac:dyDescent="0.3">
      <c r="A58" s="12" t="s">
        <v>1011</v>
      </c>
      <c r="B58" s="12" t="s">
        <v>863</v>
      </c>
      <c r="C58" s="12" t="s">
        <v>1012</v>
      </c>
      <c r="D58" s="13">
        <v>7300067</v>
      </c>
      <c r="E58" s="12" t="s">
        <v>552</v>
      </c>
      <c r="F58" s="12" t="s">
        <v>3</v>
      </c>
      <c r="G58" s="9">
        <v>166</v>
      </c>
      <c r="H58" s="9">
        <v>0</v>
      </c>
      <c r="I58" s="9">
        <v>166</v>
      </c>
      <c r="J58" s="9">
        <v>0</v>
      </c>
      <c r="K58" s="9">
        <v>166</v>
      </c>
      <c r="L58" s="9">
        <v>0</v>
      </c>
      <c r="M58" s="9">
        <v>166</v>
      </c>
      <c r="N58" s="9">
        <v>0</v>
      </c>
      <c r="O58" s="9">
        <v>166</v>
      </c>
      <c r="P58" s="9">
        <v>0</v>
      </c>
      <c r="Q58" s="9">
        <v>166</v>
      </c>
      <c r="R58" s="9">
        <v>0</v>
      </c>
      <c r="S58" s="9">
        <v>166</v>
      </c>
      <c r="T58" s="9"/>
      <c r="U58" s="4">
        <f t="shared" si="0"/>
        <v>0</v>
      </c>
      <c r="W58" s="4">
        <v>178</v>
      </c>
      <c r="X58" s="4">
        <v>91</v>
      </c>
      <c r="Y58" s="4">
        <v>145</v>
      </c>
      <c r="Z58" s="4">
        <v>203</v>
      </c>
      <c r="AA58" s="4">
        <v>159</v>
      </c>
      <c r="AB58" s="4">
        <v>158</v>
      </c>
      <c r="AC58" s="4">
        <v>156</v>
      </c>
      <c r="AD58" s="4">
        <v>171</v>
      </c>
      <c r="AE58" s="4">
        <v>161</v>
      </c>
      <c r="AF58" s="4">
        <v>199</v>
      </c>
      <c r="AG58" s="4">
        <v>168</v>
      </c>
      <c r="AH58" s="4">
        <v>146</v>
      </c>
      <c r="AI58" s="7">
        <f t="shared" si="1"/>
        <v>3097</v>
      </c>
      <c r="AJ58" s="7"/>
    </row>
    <row r="59" spans="1:36" x14ac:dyDescent="0.3">
      <c r="A59" s="12" t="s">
        <v>1011</v>
      </c>
      <c r="B59" s="12" t="s">
        <v>863</v>
      </c>
      <c r="C59" s="12" t="s">
        <v>1012</v>
      </c>
      <c r="D59" s="13">
        <v>7300068</v>
      </c>
      <c r="E59" s="12" t="s">
        <v>553</v>
      </c>
      <c r="F59" s="12" t="s">
        <v>3</v>
      </c>
      <c r="G59" s="9">
        <v>199</v>
      </c>
      <c r="H59" s="9">
        <v>0</v>
      </c>
      <c r="I59" s="9">
        <v>199</v>
      </c>
      <c r="J59" s="9">
        <v>0</v>
      </c>
      <c r="K59" s="9">
        <v>199</v>
      </c>
      <c r="L59" s="9">
        <v>0</v>
      </c>
      <c r="M59" s="9">
        <v>199</v>
      </c>
      <c r="N59" s="9">
        <v>0</v>
      </c>
      <c r="O59" s="9">
        <v>199</v>
      </c>
      <c r="P59" s="9">
        <v>0</v>
      </c>
      <c r="Q59" s="9">
        <v>199</v>
      </c>
      <c r="R59" s="9">
        <v>0</v>
      </c>
      <c r="S59" s="9">
        <v>199</v>
      </c>
      <c r="T59" s="9"/>
      <c r="U59" s="4">
        <f t="shared" si="0"/>
        <v>0</v>
      </c>
      <c r="W59" s="4">
        <v>227</v>
      </c>
      <c r="X59" s="4">
        <v>212</v>
      </c>
      <c r="Y59" s="4">
        <v>224</v>
      </c>
      <c r="Z59" s="4">
        <v>241</v>
      </c>
      <c r="AA59" s="4">
        <v>219</v>
      </c>
      <c r="AB59" s="4">
        <v>173</v>
      </c>
      <c r="AC59" s="4">
        <v>189</v>
      </c>
      <c r="AD59" s="4">
        <v>162</v>
      </c>
      <c r="AE59" s="4">
        <v>182</v>
      </c>
      <c r="AF59" s="4">
        <v>244</v>
      </c>
      <c r="AG59" s="4">
        <v>189</v>
      </c>
      <c r="AH59" s="4">
        <v>180</v>
      </c>
      <c r="AI59" s="7">
        <f t="shared" si="1"/>
        <v>3835</v>
      </c>
      <c r="AJ59" s="7"/>
    </row>
    <row r="60" spans="1:36" x14ac:dyDescent="0.3">
      <c r="A60" s="12" t="s">
        <v>1011</v>
      </c>
      <c r="B60" s="12" t="s">
        <v>863</v>
      </c>
      <c r="C60" s="12" t="s">
        <v>1012</v>
      </c>
      <c r="D60" s="13">
        <v>7300069</v>
      </c>
      <c r="E60" s="12" t="s">
        <v>554</v>
      </c>
      <c r="F60" s="12" t="s">
        <v>3</v>
      </c>
      <c r="G60" s="9">
        <v>103</v>
      </c>
      <c r="H60" s="9">
        <v>0</v>
      </c>
      <c r="I60" s="9">
        <v>103</v>
      </c>
      <c r="J60" s="9">
        <v>0</v>
      </c>
      <c r="K60" s="9">
        <v>103</v>
      </c>
      <c r="L60" s="9">
        <v>0</v>
      </c>
      <c r="M60" s="9">
        <v>103</v>
      </c>
      <c r="N60" s="9">
        <v>0</v>
      </c>
      <c r="O60" s="9">
        <v>103</v>
      </c>
      <c r="P60" s="9">
        <v>0</v>
      </c>
      <c r="Q60" s="9">
        <v>103</v>
      </c>
      <c r="R60" s="9">
        <v>0</v>
      </c>
      <c r="S60" s="9">
        <v>103</v>
      </c>
      <c r="T60" s="9"/>
      <c r="U60" s="4">
        <f t="shared" si="0"/>
        <v>0</v>
      </c>
      <c r="W60" s="4">
        <v>107</v>
      </c>
      <c r="X60" s="4">
        <v>121</v>
      </c>
      <c r="Y60" s="4">
        <v>109</v>
      </c>
      <c r="Z60" s="4">
        <v>102</v>
      </c>
      <c r="AA60" s="4">
        <v>105</v>
      </c>
      <c r="AB60" s="4">
        <v>134</v>
      </c>
      <c r="AC60" s="4">
        <v>105</v>
      </c>
      <c r="AD60" s="4">
        <v>69</v>
      </c>
      <c r="AE60" s="4">
        <v>97</v>
      </c>
      <c r="AF60" s="4">
        <v>132</v>
      </c>
      <c r="AG60" s="4">
        <v>99</v>
      </c>
      <c r="AH60" s="4">
        <v>89</v>
      </c>
      <c r="AI60" s="7">
        <f t="shared" si="1"/>
        <v>1990</v>
      </c>
      <c r="AJ60" s="7"/>
    </row>
    <row r="61" spans="1:36" x14ac:dyDescent="0.3">
      <c r="A61" s="12" t="s">
        <v>1011</v>
      </c>
      <c r="B61" s="12" t="s">
        <v>863</v>
      </c>
      <c r="C61" s="12" t="s">
        <v>1012</v>
      </c>
      <c r="D61" s="13">
        <v>7300070</v>
      </c>
      <c r="E61" s="12" t="s">
        <v>555</v>
      </c>
      <c r="F61" s="12" t="s">
        <v>3</v>
      </c>
      <c r="G61" s="9">
        <v>632</v>
      </c>
      <c r="H61" s="9">
        <v>0</v>
      </c>
      <c r="I61" s="9">
        <v>632</v>
      </c>
      <c r="J61" s="9">
        <v>0</v>
      </c>
      <c r="K61" s="9">
        <v>632</v>
      </c>
      <c r="L61" s="9">
        <v>0</v>
      </c>
      <c r="M61" s="9">
        <v>632</v>
      </c>
      <c r="N61" s="9">
        <v>0</v>
      </c>
      <c r="O61" s="9">
        <v>632</v>
      </c>
      <c r="P61" s="9">
        <v>0</v>
      </c>
      <c r="Q61" s="9">
        <v>632</v>
      </c>
      <c r="R61" s="9">
        <v>0</v>
      </c>
      <c r="S61" s="9">
        <v>632</v>
      </c>
      <c r="T61" s="9"/>
      <c r="U61" s="4">
        <f t="shared" si="0"/>
        <v>0</v>
      </c>
      <c r="W61" s="4">
        <v>176</v>
      </c>
      <c r="X61" s="4">
        <v>217</v>
      </c>
      <c r="Y61" s="4">
        <v>191</v>
      </c>
      <c r="Z61" s="4">
        <v>336</v>
      </c>
      <c r="AA61" s="4">
        <v>217</v>
      </c>
      <c r="AB61" s="4">
        <v>383</v>
      </c>
      <c r="AC61" s="4">
        <v>244</v>
      </c>
      <c r="AD61" s="4">
        <v>358</v>
      </c>
      <c r="AE61" s="4">
        <v>283</v>
      </c>
      <c r="AF61" s="4">
        <v>1230</v>
      </c>
      <c r="AG61" s="4">
        <v>657</v>
      </c>
      <c r="AH61" s="4">
        <v>1268</v>
      </c>
      <c r="AI61" s="7">
        <f t="shared" si="1"/>
        <v>9984</v>
      </c>
      <c r="AJ61" s="7"/>
    </row>
    <row r="62" spans="1:36" x14ac:dyDescent="0.3">
      <c r="A62" s="12" t="s">
        <v>1011</v>
      </c>
      <c r="B62" s="12" t="s">
        <v>863</v>
      </c>
      <c r="C62" s="12" t="s">
        <v>1012</v>
      </c>
      <c r="D62" s="13">
        <v>7300071</v>
      </c>
      <c r="E62" s="12" t="s">
        <v>556</v>
      </c>
      <c r="F62" s="12" t="s">
        <v>3</v>
      </c>
      <c r="G62" s="9">
        <v>15</v>
      </c>
      <c r="H62" s="9">
        <v>0</v>
      </c>
      <c r="I62" s="9">
        <v>15</v>
      </c>
      <c r="J62" s="9">
        <v>0</v>
      </c>
      <c r="K62" s="9">
        <v>15</v>
      </c>
      <c r="L62" s="9">
        <v>0</v>
      </c>
      <c r="M62" s="9">
        <v>15</v>
      </c>
      <c r="N62" s="9">
        <v>0</v>
      </c>
      <c r="O62" s="9">
        <v>15</v>
      </c>
      <c r="P62" s="9">
        <v>0</v>
      </c>
      <c r="Q62" s="9">
        <v>15</v>
      </c>
      <c r="R62" s="9">
        <v>0</v>
      </c>
      <c r="S62" s="9">
        <v>15</v>
      </c>
      <c r="T62" s="9"/>
      <c r="U62" s="4">
        <f t="shared" si="0"/>
        <v>0</v>
      </c>
      <c r="W62" s="4">
        <v>297</v>
      </c>
      <c r="X62" s="4">
        <v>196</v>
      </c>
      <c r="Y62" s="4">
        <v>251</v>
      </c>
      <c r="Z62" s="4">
        <v>304</v>
      </c>
      <c r="AA62" s="4">
        <v>251</v>
      </c>
      <c r="AB62" s="4">
        <v>204</v>
      </c>
      <c r="AC62" s="4">
        <v>218</v>
      </c>
      <c r="AD62" s="4">
        <v>166</v>
      </c>
      <c r="AE62" s="4">
        <v>179</v>
      </c>
      <c r="AF62" s="4">
        <v>26</v>
      </c>
      <c r="AG62" s="4">
        <v>182</v>
      </c>
      <c r="AH62" s="4">
        <v>5</v>
      </c>
      <c r="AI62" s="7">
        <f t="shared" si="1"/>
        <v>2384</v>
      </c>
      <c r="AJ62" s="7"/>
    </row>
    <row r="63" spans="1:36" x14ac:dyDescent="0.3">
      <c r="A63" s="12" t="s">
        <v>1011</v>
      </c>
      <c r="B63" s="12" t="s">
        <v>863</v>
      </c>
      <c r="C63" s="12" t="s">
        <v>1012</v>
      </c>
      <c r="D63" s="13">
        <v>7300072</v>
      </c>
      <c r="E63" s="12" t="s">
        <v>557</v>
      </c>
      <c r="F63" s="12" t="s">
        <v>3</v>
      </c>
      <c r="G63" s="9">
        <v>25</v>
      </c>
      <c r="H63" s="9">
        <v>0</v>
      </c>
      <c r="I63" s="9">
        <v>25</v>
      </c>
      <c r="J63" s="9">
        <v>0</v>
      </c>
      <c r="K63" s="9">
        <v>25</v>
      </c>
      <c r="L63" s="9">
        <v>0</v>
      </c>
      <c r="M63" s="9">
        <v>25</v>
      </c>
      <c r="N63" s="9">
        <v>0</v>
      </c>
      <c r="O63" s="9">
        <v>25</v>
      </c>
      <c r="P63" s="9">
        <v>0</v>
      </c>
      <c r="Q63" s="9">
        <v>25</v>
      </c>
      <c r="R63" s="9">
        <v>0</v>
      </c>
      <c r="S63" s="9">
        <v>25</v>
      </c>
      <c r="T63" s="9"/>
      <c r="U63" s="4">
        <f t="shared" si="0"/>
        <v>0</v>
      </c>
      <c r="W63" s="4">
        <v>63</v>
      </c>
      <c r="X63" s="4">
        <v>30</v>
      </c>
      <c r="Y63" s="4">
        <v>69</v>
      </c>
      <c r="Z63" s="4">
        <v>30</v>
      </c>
      <c r="AA63" s="4">
        <v>78</v>
      </c>
      <c r="AB63" s="4">
        <v>10</v>
      </c>
      <c r="AC63" s="4">
        <v>23</v>
      </c>
      <c r="AD63" s="4">
        <v>10</v>
      </c>
      <c r="AE63" s="4">
        <v>17</v>
      </c>
      <c r="AF63" s="4">
        <v>40</v>
      </c>
      <c r="AG63" s="4">
        <v>20</v>
      </c>
      <c r="AH63" s="4">
        <v>30</v>
      </c>
      <c r="AI63" s="7">
        <f t="shared" si="1"/>
        <v>595</v>
      </c>
      <c r="AJ63" s="7"/>
    </row>
    <row r="64" spans="1:36" x14ac:dyDescent="0.3">
      <c r="A64" s="12" t="s">
        <v>1011</v>
      </c>
      <c r="B64" s="12" t="s">
        <v>863</v>
      </c>
      <c r="C64" s="12" t="s">
        <v>1012</v>
      </c>
      <c r="D64" s="13">
        <v>7300073</v>
      </c>
      <c r="E64" s="12" t="s">
        <v>558</v>
      </c>
      <c r="F64" s="12" t="s">
        <v>3</v>
      </c>
      <c r="G64" s="9">
        <v>166</v>
      </c>
      <c r="H64" s="9">
        <v>0</v>
      </c>
      <c r="I64" s="9">
        <v>166</v>
      </c>
      <c r="J64" s="9">
        <v>0</v>
      </c>
      <c r="K64" s="9">
        <v>166</v>
      </c>
      <c r="L64" s="9">
        <v>0</v>
      </c>
      <c r="M64" s="9">
        <v>166</v>
      </c>
      <c r="N64" s="9">
        <v>0</v>
      </c>
      <c r="O64" s="9">
        <v>166</v>
      </c>
      <c r="P64" s="9">
        <v>0</v>
      </c>
      <c r="Q64" s="9">
        <v>166</v>
      </c>
      <c r="R64" s="9">
        <v>0</v>
      </c>
      <c r="S64" s="9">
        <v>166</v>
      </c>
      <c r="T64" s="9"/>
      <c r="U64" s="4">
        <f t="shared" si="0"/>
        <v>0</v>
      </c>
      <c r="W64" s="4">
        <v>135</v>
      </c>
      <c r="X64" s="4">
        <v>126</v>
      </c>
      <c r="Y64" s="4">
        <v>137</v>
      </c>
      <c r="Z64" s="4">
        <v>117</v>
      </c>
      <c r="AA64" s="4">
        <v>135</v>
      </c>
      <c r="AB64" s="4">
        <v>186</v>
      </c>
      <c r="AC64" s="4">
        <v>141</v>
      </c>
      <c r="AD64" s="4">
        <v>178</v>
      </c>
      <c r="AE64" s="4">
        <v>160</v>
      </c>
      <c r="AF64" s="4">
        <v>131</v>
      </c>
      <c r="AG64" s="4">
        <v>160</v>
      </c>
      <c r="AH64" s="4">
        <v>217</v>
      </c>
      <c r="AI64" s="7">
        <f t="shared" si="1"/>
        <v>2985</v>
      </c>
      <c r="AJ64" s="7"/>
    </row>
    <row r="65" spans="1:36" x14ac:dyDescent="0.3">
      <c r="A65" s="12" t="s">
        <v>1011</v>
      </c>
      <c r="B65" s="12" t="s">
        <v>863</v>
      </c>
      <c r="C65" s="12" t="s">
        <v>1012</v>
      </c>
      <c r="D65" s="13">
        <v>7300085</v>
      </c>
      <c r="E65" s="12" t="s">
        <v>559</v>
      </c>
      <c r="F65" s="12" t="s">
        <v>3</v>
      </c>
      <c r="G65" s="9">
        <v>414</v>
      </c>
      <c r="H65" s="9">
        <v>0</v>
      </c>
      <c r="I65" s="9">
        <v>522</v>
      </c>
      <c r="J65" s="9">
        <v>0</v>
      </c>
      <c r="K65" s="9">
        <v>546</v>
      </c>
      <c r="L65" s="9">
        <v>0</v>
      </c>
      <c r="M65" s="9">
        <v>474</v>
      </c>
      <c r="N65" s="9">
        <v>0</v>
      </c>
      <c r="O65" s="9">
        <v>363</v>
      </c>
      <c r="P65" s="9">
        <v>0</v>
      </c>
      <c r="Q65" s="9">
        <v>326</v>
      </c>
      <c r="R65" s="9">
        <v>0</v>
      </c>
      <c r="S65" s="9">
        <v>387.66666666666669</v>
      </c>
      <c r="T65" s="9"/>
      <c r="U65" s="4">
        <f t="shared" si="0"/>
        <v>0</v>
      </c>
      <c r="W65" s="4">
        <v>504</v>
      </c>
      <c r="X65" s="4">
        <v>265</v>
      </c>
      <c r="Y65" s="4">
        <v>435</v>
      </c>
      <c r="Z65" s="4">
        <v>410</v>
      </c>
      <c r="AA65" s="4">
        <v>400</v>
      </c>
      <c r="AB65" s="4">
        <v>390</v>
      </c>
      <c r="AC65" s="4">
        <v>322</v>
      </c>
      <c r="AD65" s="4">
        <v>297</v>
      </c>
      <c r="AE65" s="4">
        <v>500</v>
      </c>
      <c r="AF65" s="4">
        <v>485</v>
      </c>
      <c r="AG65" s="4">
        <v>500</v>
      </c>
      <c r="AH65" s="4">
        <v>324</v>
      </c>
      <c r="AI65" s="7">
        <f t="shared" si="1"/>
        <v>7864.6666666666661</v>
      </c>
      <c r="AJ65" s="7"/>
    </row>
    <row r="66" spans="1:36" x14ac:dyDescent="0.3">
      <c r="A66" s="12" t="s">
        <v>1013</v>
      </c>
      <c r="B66" s="12" t="s">
        <v>863</v>
      </c>
      <c r="C66" s="12" t="s">
        <v>1012</v>
      </c>
      <c r="D66" s="13">
        <v>7300147</v>
      </c>
      <c r="E66" s="12" t="s">
        <v>560</v>
      </c>
      <c r="F66" s="12" t="s">
        <v>3</v>
      </c>
      <c r="G66" s="9">
        <v>41</v>
      </c>
      <c r="H66" s="9">
        <v>0</v>
      </c>
      <c r="I66" s="9">
        <v>41</v>
      </c>
      <c r="J66" s="9">
        <v>0</v>
      </c>
      <c r="K66" s="9">
        <v>41</v>
      </c>
      <c r="L66" s="9">
        <v>0</v>
      </c>
      <c r="M66" s="9">
        <v>41</v>
      </c>
      <c r="N66" s="9">
        <v>0</v>
      </c>
      <c r="O66" s="9">
        <v>41</v>
      </c>
      <c r="P66" s="9">
        <v>0</v>
      </c>
      <c r="Q66" s="9">
        <v>41</v>
      </c>
      <c r="R66" s="9">
        <v>0</v>
      </c>
      <c r="S66" s="9">
        <v>41</v>
      </c>
      <c r="T66" s="9"/>
      <c r="U66" s="4">
        <f t="shared" si="0"/>
        <v>0</v>
      </c>
      <c r="W66" s="4">
        <v>15</v>
      </c>
      <c r="X66" s="4">
        <v>15</v>
      </c>
      <c r="Y66" s="4">
        <v>17</v>
      </c>
      <c r="Z66" s="4">
        <v>81</v>
      </c>
      <c r="AA66" s="4">
        <v>38</v>
      </c>
      <c r="AB66" s="4">
        <v>45</v>
      </c>
      <c r="AC66" s="4">
        <v>47</v>
      </c>
      <c r="AD66" s="4">
        <v>62</v>
      </c>
      <c r="AE66" s="4">
        <v>63</v>
      </c>
      <c r="AF66" s="4">
        <v>16</v>
      </c>
      <c r="AG66" s="4">
        <v>41</v>
      </c>
      <c r="AH66" s="4">
        <v>25</v>
      </c>
      <c r="AI66" s="7">
        <f t="shared" si="1"/>
        <v>752</v>
      </c>
      <c r="AJ66" s="7"/>
    </row>
    <row r="67" spans="1:36" x14ac:dyDescent="0.3">
      <c r="A67" s="12" t="s">
        <v>1011</v>
      </c>
      <c r="B67" s="12" t="s">
        <v>863</v>
      </c>
      <c r="C67" s="12" t="s">
        <v>1012</v>
      </c>
      <c r="D67" s="13">
        <v>7300153</v>
      </c>
      <c r="E67" s="12" t="s">
        <v>561</v>
      </c>
      <c r="F67" s="12" t="s">
        <v>3</v>
      </c>
      <c r="G67" s="9">
        <v>276492</v>
      </c>
      <c r="H67" s="9">
        <v>366000</v>
      </c>
      <c r="I67" s="9">
        <v>276045</v>
      </c>
      <c r="J67" s="9">
        <v>365000</v>
      </c>
      <c r="K67" s="9">
        <v>275598</v>
      </c>
      <c r="L67" s="9">
        <v>365000</v>
      </c>
      <c r="M67" s="9">
        <v>275151</v>
      </c>
      <c r="N67" s="9">
        <v>365000</v>
      </c>
      <c r="O67" s="9">
        <v>274704</v>
      </c>
      <c r="P67" s="9">
        <v>365000</v>
      </c>
      <c r="Q67" s="9">
        <v>274257</v>
      </c>
      <c r="R67" s="9">
        <v>365000</v>
      </c>
      <c r="S67" s="9">
        <v>274704</v>
      </c>
      <c r="T67" s="9"/>
      <c r="U67" s="4">
        <f t="shared" si="0"/>
        <v>2191000</v>
      </c>
      <c r="W67" s="4">
        <v>284715</v>
      </c>
      <c r="X67" s="4">
        <v>276191</v>
      </c>
      <c r="Y67" s="4">
        <v>280974</v>
      </c>
      <c r="Z67" s="4">
        <v>293301</v>
      </c>
      <c r="AA67" s="4">
        <v>282249</v>
      </c>
      <c r="AB67" s="4">
        <v>290780</v>
      </c>
      <c r="AC67" s="4">
        <v>284179</v>
      </c>
      <c r="AD67" s="4">
        <v>299969</v>
      </c>
      <c r="AE67" s="4">
        <v>291781</v>
      </c>
      <c r="AF67" s="4">
        <v>263466</v>
      </c>
      <c r="AG67" s="4">
        <v>286964</v>
      </c>
      <c r="AH67" s="4">
        <v>252449</v>
      </c>
      <c r="AI67" s="7">
        <f t="shared" si="1"/>
        <v>9695969</v>
      </c>
      <c r="AJ67" s="7"/>
    </row>
    <row r="68" spans="1:36" x14ac:dyDescent="0.3">
      <c r="A68" s="12" t="s">
        <v>1011</v>
      </c>
      <c r="B68" s="12" t="s">
        <v>863</v>
      </c>
      <c r="C68" s="12" t="s">
        <v>1012</v>
      </c>
      <c r="D68" s="13">
        <v>7300154</v>
      </c>
      <c r="E68" s="12" t="s">
        <v>562</v>
      </c>
      <c r="F68" s="12" t="s">
        <v>3</v>
      </c>
      <c r="G68" s="9">
        <v>32703</v>
      </c>
      <c r="H68" s="9">
        <v>18020</v>
      </c>
      <c r="I68" s="9">
        <v>32611</v>
      </c>
      <c r="J68" s="9">
        <v>29000</v>
      </c>
      <c r="K68" s="9">
        <v>32519</v>
      </c>
      <c r="L68" s="9">
        <v>29000</v>
      </c>
      <c r="M68" s="9">
        <v>32427</v>
      </c>
      <c r="N68" s="9">
        <v>29000</v>
      </c>
      <c r="O68" s="9">
        <v>32336</v>
      </c>
      <c r="P68" s="9">
        <v>29000</v>
      </c>
      <c r="Q68" s="9">
        <v>32244</v>
      </c>
      <c r="R68" s="9">
        <v>29000</v>
      </c>
      <c r="S68" s="9">
        <v>32335.666666666668</v>
      </c>
      <c r="T68" s="9"/>
      <c r="U68" s="4">
        <f t="shared" ref="U68:U121" si="2">SUM(T68,R68,P68,N68,L68,J68,H68)</f>
        <v>163020</v>
      </c>
      <c r="W68" s="4">
        <v>31940</v>
      </c>
      <c r="X68" s="4">
        <v>39409</v>
      </c>
      <c r="Y68" s="4">
        <v>34098</v>
      </c>
      <c r="Z68" s="4">
        <v>33343</v>
      </c>
      <c r="AA68" s="4">
        <v>33620</v>
      </c>
      <c r="AB68" s="4">
        <v>37178</v>
      </c>
      <c r="AC68" s="4">
        <v>34724</v>
      </c>
      <c r="AD68" s="4">
        <v>33363</v>
      </c>
      <c r="AE68" s="4">
        <v>34436</v>
      </c>
      <c r="AF68" s="4">
        <v>30180</v>
      </c>
      <c r="AG68" s="4">
        <v>34161</v>
      </c>
      <c r="AH68" s="4">
        <v>29205</v>
      </c>
      <c r="AI68" s="7">
        <f t="shared" si="1"/>
        <v>958872.66666666674</v>
      </c>
      <c r="AJ68" s="7"/>
    </row>
    <row r="69" spans="1:36" x14ac:dyDescent="0.3">
      <c r="A69" s="12" t="s">
        <v>1013</v>
      </c>
      <c r="B69" s="12" t="s">
        <v>863</v>
      </c>
      <c r="C69" s="12" t="s">
        <v>1012</v>
      </c>
      <c r="D69" s="13">
        <v>7300174</v>
      </c>
      <c r="E69" s="12" t="s">
        <v>563</v>
      </c>
      <c r="F69" s="12" t="s">
        <v>3</v>
      </c>
      <c r="G69" s="9">
        <v>22199</v>
      </c>
      <c r="H69" s="9">
        <v>0</v>
      </c>
      <c r="I69" s="9">
        <v>22199</v>
      </c>
      <c r="J69" s="9">
        <v>0</v>
      </c>
      <c r="K69" s="9">
        <v>22199</v>
      </c>
      <c r="L69" s="9">
        <v>0</v>
      </c>
      <c r="M69" s="9">
        <v>22199</v>
      </c>
      <c r="N69" s="9">
        <v>36941</v>
      </c>
      <c r="O69" s="9">
        <v>22199</v>
      </c>
      <c r="P69" s="9">
        <v>4600</v>
      </c>
      <c r="Q69" s="9">
        <v>22199</v>
      </c>
      <c r="R69" s="9">
        <v>13800</v>
      </c>
      <c r="S69" s="9">
        <v>22199</v>
      </c>
      <c r="T69" s="9"/>
      <c r="U69" s="4">
        <f t="shared" si="2"/>
        <v>55341</v>
      </c>
      <c r="W69" s="4">
        <v>18324</v>
      </c>
      <c r="X69" s="4">
        <v>26270</v>
      </c>
      <c r="Y69" s="4">
        <v>19509</v>
      </c>
      <c r="Z69" s="4">
        <v>30130</v>
      </c>
      <c r="AA69" s="4">
        <v>21308</v>
      </c>
      <c r="AB69" s="4">
        <v>15341</v>
      </c>
      <c r="AC69" s="4">
        <v>19869</v>
      </c>
      <c r="AD69" s="4">
        <v>19259</v>
      </c>
      <c r="AE69" s="4">
        <v>20000</v>
      </c>
      <c r="AF69" s="4">
        <v>20967</v>
      </c>
      <c r="AG69" s="4">
        <v>19244</v>
      </c>
      <c r="AH69" s="4">
        <v>24091</v>
      </c>
      <c r="AI69" s="7">
        <f t="shared" ref="AI69:AI132" si="3">SUM(G69:AH69)</f>
        <v>520387</v>
      </c>
      <c r="AJ69" s="7"/>
    </row>
    <row r="70" spans="1:36" x14ac:dyDescent="0.3">
      <c r="A70" s="12" t="s">
        <v>1013</v>
      </c>
      <c r="B70" s="12" t="s">
        <v>863</v>
      </c>
      <c r="C70" s="12" t="s">
        <v>1012</v>
      </c>
      <c r="D70" s="13">
        <v>7300175</v>
      </c>
      <c r="E70" s="12" t="s">
        <v>564</v>
      </c>
      <c r="F70" s="12" t="s">
        <v>3</v>
      </c>
      <c r="G70" s="9">
        <v>2700</v>
      </c>
      <c r="H70" s="9">
        <v>0</v>
      </c>
      <c r="I70" s="9">
        <v>2800</v>
      </c>
      <c r="J70" s="9">
        <v>0</v>
      </c>
      <c r="K70" s="9">
        <v>2600</v>
      </c>
      <c r="L70" s="9">
        <v>0</v>
      </c>
      <c r="M70" s="9">
        <v>2100</v>
      </c>
      <c r="N70" s="9">
        <v>3200</v>
      </c>
      <c r="O70" s="9">
        <v>2000</v>
      </c>
      <c r="P70" s="9">
        <v>0</v>
      </c>
      <c r="Q70" s="9">
        <v>2200</v>
      </c>
      <c r="R70" s="9">
        <v>3200</v>
      </c>
      <c r="S70" s="9">
        <v>2100</v>
      </c>
      <c r="T70" s="9"/>
      <c r="U70" s="4">
        <f t="shared" si="2"/>
        <v>6400</v>
      </c>
      <c r="W70" s="4">
        <v>2400</v>
      </c>
      <c r="X70" s="4">
        <v>2372</v>
      </c>
      <c r="Y70" s="4">
        <v>4500</v>
      </c>
      <c r="Z70" s="4">
        <v>3768</v>
      </c>
      <c r="AA70" s="4">
        <v>2300</v>
      </c>
      <c r="AB70" s="4">
        <v>1972</v>
      </c>
      <c r="AC70" s="4">
        <v>2000</v>
      </c>
      <c r="AD70" s="4">
        <v>1897</v>
      </c>
      <c r="AE70" s="4">
        <v>2000</v>
      </c>
      <c r="AF70" s="4">
        <v>1766</v>
      </c>
      <c r="AG70" s="4">
        <v>2200</v>
      </c>
      <c r="AH70" s="4">
        <v>2045</v>
      </c>
      <c r="AI70" s="7">
        <f t="shared" si="3"/>
        <v>58520</v>
      </c>
      <c r="AJ70" s="7"/>
    </row>
    <row r="71" spans="1:36" x14ac:dyDescent="0.3">
      <c r="A71" s="12" t="s">
        <v>1013</v>
      </c>
      <c r="B71" s="12" t="s">
        <v>863</v>
      </c>
      <c r="C71" s="12" t="s">
        <v>1012</v>
      </c>
      <c r="D71" s="13">
        <v>7300176</v>
      </c>
      <c r="E71" s="12" t="s">
        <v>565</v>
      </c>
      <c r="F71" s="12" t="s">
        <v>3</v>
      </c>
      <c r="G71" s="9">
        <v>1594</v>
      </c>
      <c r="H71" s="9">
        <v>0</v>
      </c>
      <c r="I71" s="9">
        <v>1594</v>
      </c>
      <c r="J71" s="9">
        <v>0</v>
      </c>
      <c r="K71" s="9">
        <v>1594</v>
      </c>
      <c r="L71" s="9">
        <v>0</v>
      </c>
      <c r="M71" s="9">
        <v>1594</v>
      </c>
      <c r="N71" s="9">
        <v>0</v>
      </c>
      <c r="O71" s="9">
        <v>1594</v>
      </c>
      <c r="P71" s="9">
        <v>0</v>
      </c>
      <c r="Q71" s="9">
        <v>1594</v>
      </c>
      <c r="R71" s="9">
        <v>0</v>
      </c>
      <c r="S71" s="9">
        <v>1594</v>
      </c>
      <c r="T71" s="9"/>
      <c r="U71" s="4">
        <f t="shared" si="2"/>
        <v>0</v>
      </c>
      <c r="W71" s="4">
        <v>1405</v>
      </c>
      <c r="X71" s="4">
        <v>1695</v>
      </c>
      <c r="Y71" s="4">
        <v>2300</v>
      </c>
      <c r="Z71" s="4">
        <v>2249</v>
      </c>
      <c r="AA71" s="4">
        <v>1583</v>
      </c>
      <c r="AB71" s="4">
        <v>899</v>
      </c>
      <c r="AC71" s="4">
        <v>1510</v>
      </c>
      <c r="AD71" s="4">
        <v>1013</v>
      </c>
      <c r="AE71" s="4">
        <v>1500</v>
      </c>
      <c r="AF71" s="4">
        <v>1711</v>
      </c>
      <c r="AG71" s="4">
        <v>1395</v>
      </c>
      <c r="AH71" s="4">
        <v>2011</v>
      </c>
      <c r="AI71" s="7">
        <f t="shared" si="3"/>
        <v>30429</v>
      </c>
      <c r="AJ71" s="7"/>
    </row>
    <row r="72" spans="1:36" x14ac:dyDescent="0.3">
      <c r="A72" s="12" t="s">
        <v>1011</v>
      </c>
      <c r="B72" s="12" t="s">
        <v>863</v>
      </c>
      <c r="C72" s="12" t="s">
        <v>1012</v>
      </c>
      <c r="D72" s="13">
        <v>7300187</v>
      </c>
      <c r="E72" s="12" t="s">
        <v>566</v>
      </c>
      <c r="F72" s="12" t="s">
        <v>3</v>
      </c>
      <c r="G72" s="9">
        <v>163</v>
      </c>
      <c r="H72" s="9">
        <v>0</v>
      </c>
      <c r="I72" s="9">
        <v>163</v>
      </c>
      <c r="J72" s="9">
        <v>0</v>
      </c>
      <c r="K72" s="9">
        <v>163</v>
      </c>
      <c r="L72" s="9">
        <v>0</v>
      </c>
      <c r="M72" s="9">
        <v>163</v>
      </c>
      <c r="N72" s="9">
        <v>0</v>
      </c>
      <c r="O72" s="9">
        <v>163</v>
      </c>
      <c r="P72" s="9">
        <v>0</v>
      </c>
      <c r="Q72" s="9">
        <v>163</v>
      </c>
      <c r="R72" s="9">
        <v>0</v>
      </c>
      <c r="S72" s="9">
        <v>163</v>
      </c>
      <c r="T72" s="9"/>
      <c r="U72" s="4">
        <f t="shared" si="2"/>
        <v>0</v>
      </c>
      <c r="W72" s="4">
        <v>404</v>
      </c>
      <c r="X72" s="4">
        <v>396</v>
      </c>
      <c r="Y72" s="4">
        <v>389</v>
      </c>
      <c r="Z72" s="4">
        <v>119</v>
      </c>
      <c r="AA72" s="4">
        <v>308</v>
      </c>
      <c r="AB72" s="4">
        <v>206</v>
      </c>
      <c r="AC72" s="4">
        <v>313</v>
      </c>
      <c r="AD72" s="4">
        <v>120</v>
      </c>
      <c r="AE72" s="4">
        <v>264</v>
      </c>
      <c r="AF72" s="4">
        <v>64</v>
      </c>
      <c r="AG72" s="4">
        <v>204</v>
      </c>
      <c r="AH72" s="4">
        <v>116</v>
      </c>
      <c r="AI72" s="7">
        <f t="shared" si="3"/>
        <v>4044</v>
      </c>
      <c r="AJ72" s="7"/>
    </row>
    <row r="73" spans="1:36" x14ac:dyDescent="0.3">
      <c r="A73" s="12" t="s">
        <v>1015</v>
      </c>
      <c r="B73" s="12" t="s">
        <v>863</v>
      </c>
      <c r="C73" s="12" t="s">
        <v>1012</v>
      </c>
      <c r="D73" s="13">
        <v>7300230</v>
      </c>
      <c r="E73" s="12" t="s">
        <v>567</v>
      </c>
      <c r="F73" s="12" t="s">
        <v>3</v>
      </c>
      <c r="G73" s="9">
        <v>8600</v>
      </c>
      <c r="H73" s="9">
        <v>10000</v>
      </c>
      <c r="I73" s="9">
        <v>8600</v>
      </c>
      <c r="J73" s="9">
        <v>10000</v>
      </c>
      <c r="K73" s="9">
        <v>8600</v>
      </c>
      <c r="L73" s="9">
        <v>10000</v>
      </c>
      <c r="M73" s="9">
        <v>8000</v>
      </c>
      <c r="N73" s="9">
        <v>0</v>
      </c>
      <c r="O73" s="9">
        <v>8000</v>
      </c>
      <c r="P73" s="9">
        <v>10000</v>
      </c>
      <c r="Q73" s="9">
        <v>8000</v>
      </c>
      <c r="R73" s="9">
        <v>0</v>
      </c>
      <c r="S73" s="9">
        <v>8000</v>
      </c>
      <c r="T73" s="9"/>
      <c r="U73" s="4">
        <f t="shared" si="2"/>
        <v>40000</v>
      </c>
      <c r="W73" s="4">
        <v>6000</v>
      </c>
      <c r="X73" s="4">
        <v>7810</v>
      </c>
      <c r="Y73" s="4">
        <v>6000</v>
      </c>
      <c r="Z73" s="4">
        <v>6260</v>
      </c>
      <c r="AA73" s="4">
        <v>7000</v>
      </c>
      <c r="AB73" s="4">
        <v>5098</v>
      </c>
      <c r="AC73" s="4">
        <v>7200</v>
      </c>
      <c r="AD73" s="4">
        <v>8062</v>
      </c>
      <c r="AE73" s="4">
        <v>8640</v>
      </c>
      <c r="AF73" s="4">
        <v>7009</v>
      </c>
      <c r="AG73" s="4">
        <v>8600</v>
      </c>
      <c r="AH73" s="4">
        <v>6389</v>
      </c>
      <c r="AI73" s="7">
        <f t="shared" si="3"/>
        <v>221868</v>
      </c>
      <c r="AJ73" s="7"/>
    </row>
    <row r="74" spans="1:36" x14ac:dyDescent="0.3">
      <c r="A74" s="12" t="s">
        <v>1015</v>
      </c>
      <c r="B74" s="12" t="s">
        <v>863</v>
      </c>
      <c r="C74" s="12" t="s">
        <v>1012</v>
      </c>
      <c r="D74" s="13">
        <v>7300266</v>
      </c>
      <c r="E74" s="12" t="s">
        <v>568</v>
      </c>
      <c r="F74" s="12" t="s">
        <v>3</v>
      </c>
      <c r="G74" s="9">
        <v>3500</v>
      </c>
      <c r="H74" s="9">
        <v>0</v>
      </c>
      <c r="I74" s="9">
        <v>4000</v>
      </c>
      <c r="J74" s="9">
        <v>0</v>
      </c>
      <c r="K74" s="9">
        <v>4500</v>
      </c>
      <c r="L74" s="9">
        <v>0</v>
      </c>
      <c r="M74" s="9">
        <v>5000</v>
      </c>
      <c r="N74" s="9">
        <v>40000</v>
      </c>
      <c r="O74" s="9">
        <v>5000</v>
      </c>
      <c r="P74" s="9">
        <v>0</v>
      </c>
      <c r="Q74" s="9">
        <v>5000</v>
      </c>
      <c r="R74" s="9">
        <v>40000</v>
      </c>
      <c r="S74" s="9">
        <v>5000</v>
      </c>
      <c r="T74" s="9"/>
      <c r="U74" s="4">
        <f t="shared" si="2"/>
        <v>80000</v>
      </c>
      <c r="W74" s="4">
        <v>1600</v>
      </c>
      <c r="X74" s="4">
        <v>3297</v>
      </c>
      <c r="Y74" s="4">
        <v>3000</v>
      </c>
      <c r="Z74" s="4">
        <v>2876</v>
      </c>
      <c r="AA74" s="4">
        <v>4500</v>
      </c>
      <c r="AB74" s="4">
        <v>5106</v>
      </c>
      <c r="AC74" s="4">
        <v>6000</v>
      </c>
      <c r="AD74" s="4">
        <v>4726</v>
      </c>
      <c r="AE74" s="4">
        <v>7200</v>
      </c>
      <c r="AF74" s="4">
        <v>4075</v>
      </c>
      <c r="AG74" s="4">
        <v>5000</v>
      </c>
      <c r="AH74" s="4">
        <v>3867</v>
      </c>
      <c r="AI74" s="7">
        <f t="shared" si="3"/>
        <v>243247</v>
      </c>
      <c r="AJ74" s="7"/>
    </row>
    <row r="75" spans="1:36" x14ac:dyDescent="0.3">
      <c r="A75" s="12" t="s">
        <v>1011</v>
      </c>
      <c r="B75" s="12" t="s">
        <v>863</v>
      </c>
      <c r="C75" s="12" t="s">
        <v>1012</v>
      </c>
      <c r="D75" s="13">
        <v>7300406</v>
      </c>
      <c r="E75" s="12" t="s">
        <v>569</v>
      </c>
      <c r="F75" s="12" t="s">
        <v>3</v>
      </c>
      <c r="G75" s="9">
        <v>1594</v>
      </c>
      <c r="H75" s="9">
        <v>0</v>
      </c>
      <c r="I75" s="9">
        <v>1594</v>
      </c>
      <c r="J75" s="9">
        <v>0</v>
      </c>
      <c r="K75" s="9">
        <v>1594</v>
      </c>
      <c r="L75" s="9">
        <v>0</v>
      </c>
      <c r="M75" s="9">
        <v>1594</v>
      </c>
      <c r="N75" s="9">
        <v>0</v>
      </c>
      <c r="O75" s="9">
        <v>1594</v>
      </c>
      <c r="P75" s="9">
        <v>0</v>
      </c>
      <c r="Q75" s="9">
        <v>1594</v>
      </c>
      <c r="R75" s="9">
        <v>0</v>
      </c>
      <c r="S75" s="9">
        <v>1594</v>
      </c>
      <c r="T75" s="9"/>
      <c r="U75" s="4">
        <f t="shared" si="2"/>
        <v>0</v>
      </c>
      <c r="W75" s="4">
        <v>965</v>
      </c>
      <c r="X75" s="4">
        <v>5031</v>
      </c>
      <c r="Y75" s="4">
        <v>1200</v>
      </c>
      <c r="Z75" s="4">
        <v>1395</v>
      </c>
      <c r="AA75" s="4">
        <v>1300</v>
      </c>
      <c r="AB75" s="4">
        <v>744</v>
      </c>
      <c r="AC75" s="4">
        <v>2390</v>
      </c>
      <c r="AD75" s="4">
        <v>795</v>
      </c>
      <c r="AE75" s="4">
        <v>978</v>
      </c>
      <c r="AF75" s="4">
        <v>1301</v>
      </c>
      <c r="AG75" s="4">
        <v>947</v>
      </c>
      <c r="AH75" s="4">
        <v>1437</v>
      </c>
      <c r="AI75" s="7">
        <f t="shared" si="3"/>
        <v>29641</v>
      </c>
      <c r="AJ75" s="7"/>
    </row>
    <row r="76" spans="1:36" x14ac:dyDescent="0.3">
      <c r="A76" s="12" t="s">
        <v>1015</v>
      </c>
      <c r="B76" s="12" t="s">
        <v>863</v>
      </c>
      <c r="C76" s="12" t="s">
        <v>1012</v>
      </c>
      <c r="D76" s="13">
        <v>7300489</v>
      </c>
      <c r="E76" s="12" t="s">
        <v>570</v>
      </c>
      <c r="F76" s="12" t="s">
        <v>3</v>
      </c>
      <c r="G76" s="9">
        <v>500</v>
      </c>
      <c r="H76" s="9">
        <v>0</v>
      </c>
      <c r="I76" s="9">
        <v>2000</v>
      </c>
      <c r="J76" s="9">
        <v>0</v>
      </c>
      <c r="K76" s="9">
        <v>1000</v>
      </c>
      <c r="L76" s="9">
        <v>0</v>
      </c>
      <c r="M76" s="9">
        <v>1000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333.33333333333331</v>
      </c>
      <c r="T76" s="9"/>
      <c r="U76" s="4">
        <f t="shared" si="2"/>
        <v>0</v>
      </c>
      <c r="W76" s="4">
        <v>0</v>
      </c>
      <c r="X76" s="4">
        <v>0</v>
      </c>
      <c r="Y76" s="4">
        <v>0</v>
      </c>
      <c r="Z76" s="4">
        <v>0</v>
      </c>
      <c r="AA76" s="4">
        <v>6</v>
      </c>
      <c r="AB76" s="4">
        <v>0</v>
      </c>
      <c r="AC76" s="4">
        <v>6</v>
      </c>
      <c r="AD76" s="4">
        <v>0</v>
      </c>
      <c r="AE76" s="4">
        <v>0</v>
      </c>
      <c r="AF76" s="4">
        <v>12</v>
      </c>
      <c r="AG76" s="4">
        <v>0</v>
      </c>
      <c r="AH76" s="4">
        <v>0</v>
      </c>
      <c r="AI76" s="7">
        <f t="shared" si="3"/>
        <v>4857.333333333333</v>
      </c>
      <c r="AJ76" s="7"/>
    </row>
    <row r="77" spans="1:36" x14ac:dyDescent="0.3">
      <c r="A77" s="12" t="s">
        <v>1015</v>
      </c>
      <c r="B77" s="12" t="s">
        <v>863</v>
      </c>
      <c r="C77" s="12" t="s">
        <v>1012</v>
      </c>
      <c r="D77" s="13">
        <v>7300491</v>
      </c>
      <c r="E77" s="12" t="s">
        <v>571</v>
      </c>
      <c r="F77" s="12" t="s">
        <v>3</v>
      </c>
      <c r="G77" s="9">
        <v>65000</v>
      </c>
      <c r="H77" s="9">
        <v>40000</v>
      </c>
      <c r="I77" s="9">
        <v>65000</v>
      </c>
      <c r="J77" s="9">
        <v>80000</v>
      </c>
      <c r="K77" s="9">
        <v>65000</v>
      </c>
      <c r="L77" s="9">
        <v>80000</v>
      </c>
      <c r="M77" s="9">
        <v>65000</v>
      </c>
      <c r="N77" s="9">
        <v>80000</v>
      </c>
      <c r="O77" s="9">
        <v>65000</v>
      </c>
      <c r="P77" s="9">
        <v>40000</v>
      </c>
      <c r="Q77" s="9">
        <v>65000</v>
      </c>
      <c r="R77" s="9">
        <v>0</v>
      </c>
      <c r="S77" s="9">
        <v>65000</v>
      </c>
      <c r="T77" s="9"/>
      <c r="U77" s="4">
        <f t="shared" si="2"/>
        <v>320000</v>
      </c>
      <c r="W77" s="4">
        <v>72000</v>
      </c>
      <c r="X77" s="4">
        <v>65529</v>
      </c>
      <c r="Y77" s="4">
        <v>71000</v>
      </c>
      <c r="Z77" s="4">
        <v>61940</v>
      </c>
      <c r="AA77" s="4">
        <v>65000</v>
      </c>
      <c r="AB77" s="4">
        <v>71231</v>
      </c>
      <c r="AC77" s="4">
        <v>71000</v>
      </c>
      <c r="AD77" s="4">
        <v>74227</v>
      </c>
      <c r="AE77" s="4">
        <v>75000</v>
      </c>
      <c r="AF77" s="4">
        <v>66441</v>
      </c>
      <c r="AG77" s="4">
        <v>75000</v>
      </c>
      <c r="AH77" s="4">
        <v>63721</v>
      </c>
      <c r="AI77" s="7">
        <f t="shared" si="3"/>
        <v>1927089</v>
      </c>
      <c r="AJ77" s="7"/>
    </row>
    <row r="78" spans="1:36" x14ac:dyDescent="0.3">
      <c r="A78" s="12" t="s">
        <v>1015</v>
      </c>
      <c r="B78" s="12" t="s">
        <v>863</v>
      </c>
      <c r="C78" s="12" t="s">
        <v>1012</v>
      </c>
      <c r="D78" s="13">
        <v>7300492</v>
      </c>
      <c r="E78" s="12" t="s">
        <v>572</v>
      </c>
      <c r="F78" s="12" t="s">
        <v>3</v>
      </c>
      <c r="G78" s="9">
        <v>25000</v>
      </c>
      <c r="H78" s="9">
        <v>40000</v>
      </c>
      <c r="I78" s="9">
        <v>25000</v>
      </c>
      <c r="J78" s="9">
        <v>80000</v>
      </c>
      <c r="K78" s="9">
        <v>30000</v>
      </c>
      <c r="L78" s="9">
        <v>40000</v>
      </c>
      <c r="M78" s="9">
        <v>30000</v>
      </c>
      <c r="N78" s="9">
        <v>0</v>
      </c>
      <c r="O78" s="9">
        <v>40000</v>
      </c>
      <c r="P78" s="9">
        <v>0</v>
      </c>
      <c r="Q78" s="9">
        <v>40000</v>
      </c>
      <c r="R78" s="9">
        <v>0</v>
      </c>
      <c r="S78" s="9">
        <v>36666.666666666664</v>
      </c>
      <c r="T78" s="9"/>
      <c r="U78" s="4">
        <f t="shared" si="2"/>
        <v>160000</v>
      </c>
      <c r="W78" s="4">
        <v>20000</v>
      </c>
      <c r="X78" s="4">
        <v>0</v>
      </c>
      <c r="Y78" s="4">
        <v>35000</v>
      </c>
      <c r="Z78" s="4">
        <v>0</v>
      </c>
      <c r="AA78" s="4">
        <v>35000</v>
      </c>
      <c r="AB78" s="4">
        <v>0</v>
      </c>
      <c r="AC78" s="4">
        <v>29000</v>
      </c>
      <c r="AD78" s="4">
        <v>0</v>
      </c>
      <c r="AE78" s="4">
        <v>30000</v>
      </c>
      <c r="AF78" s="4">
        <v>0</v>
      </c>
      <c r="AG78" s="4">
        <v>25000</v>
      </c>
      <c r="AH78" s="4">
        <v>0</v>
      </c>
      <c r="AI78" s="7">
        <f t="shared" si="3"/>
        <v>720666.66666666674</v>
      </c>
      <c r="AJ78" s="7"/>
    </row>
    <row r="79" spans="1:36" x14ac:dyDescent="0.3">
      <c r="A79" s="12" t="s">
        <v>1015</v>
      </c>
      <c r="B79" s="12" t="s">
        <v>863</v>
      </c>
      <c r="C79" s="12" t="s">
        <v>1012</v>
      </c>
      <c r="D79" s="13">
        <v>7300530</v>
      </c>
      <c r="E79" s="12" t="s">
        <v>573</v>
      </c>
      <c r="F79" s="12" t="s">
        <v>3</v>
      </c>
      <c r="G79" s="9">
        <v>60000</v>
      </c>
      <c r="H79" s="9">
        <v>78000</v>
      </c>
      <c r="I79" s="9">
        <v>60000</v>
      </c>
      <c r="J79" s="9">
        <v>46800</v>
      </c>
      <c r="K79" s="9">
        <v>60000</v>
      </c>
      <c r="L79" s="9">
        <v>46800</v>
      </c>
      <c r="M79" s="9">
        <v>60000</v>
      </c>
      <c r="N79" s="9">
        <v>54600</v>
      </c>
      <c r="O79" s="9">
        <v>60000</v>
      </c>
      <c r="P79" s="9">
        <v>46800</v>
      </c>
      <c r="Q79" s="9">
        <v>60000</v>
      </c>
      <c r="R79" s="9">
        <v>39000</v>
      </c>
      <c r="S79" s="9">
        <v>60000</v>
      </c>
      <c r="T79" s="9"/>
      <c r="U79" s="4">
        <f t="shared" si="2"/>
        <v>312000</v>
      </c>
      <c r="W79" s="4">
        <v>60000</v>
      </c>
      <c r="X79" s="4">
        <v>48181</v>
      </c>
      <c r="Y79" s="4">
        <v>70000</v>
      </c>
      <c r="Z79" s="4">
        <v>98224</v>
      </c>
      <c r="AA79" s="4">
        <v>60000</v>
      </c>
      <c r="AB79" s="4">
        <v>47335</v>
      </c>
      <c r="AC79" s="4">
        <v>50000</v>
      </c>
      <c r="AD79" s="4">
        <v>53797</v>
      </c>
      <c r="AE79" s="4">
        <v>60000</v>
      </c>
      <c r="AF79" s="4">
        <v>47057</v>
      </c>
      <c r="AG79" s="4">
        <v>55000</v>
      </c>
      <c r="AH79" s="4">
        <v>60357</v>
      </c>
      <c r="AI79" s="7">
        <f t="shared" si="3"/>
        <v>1753951</v>
      </c>
      <c r="AJ79" s="7"/>
    </row>
    <row r="80" spans="1:36" x14ac:dyDescent="0.3">
      <c r="A80" s="12" t="s">
        <v>1011</v>
      </c>
      <c r="B80" s="12" t="s">
        <v>863</v>
      </c>
      <c r="C80" s="12" t="s">
        <v>1012</v>
      </c>
      <c r="D80" s="13">
        <v>7300535</v>
      </c>
      <c r="E80" s="12" t="s">
        <v>574</v>
      </c>
      <c r="F80" s="12" t="s">
        <v>3</v>
      </c>
      <c r="G80" s="9">
        <v>117</v>
      </c>
      <c r="H80" s="9">
        <v>0</v>
      </c>
      <c r="I80" s="9">
        <v>117</v>
      </c>
      <c r="J80" s="9">
        <v>0</v>
      </c>
      <c r="K80" s="9">
        <v>117</v>
      </c>
      <c r="L80" s="9">
        <v>0</v>
      </c>
      <c r="M80" s="9">
        <v>117</v>
      </c>
      <c r="N80" s="9">
        <v>0</v>
      </c>
      <c r="O80" s="9">
        <v>117</v>
      </c>
      <c r="P80" s="9">
        <v>0</v>
      </c>
      <c r="Q80" s="9">
        <v>117</v>
      </c>
      <c r="R80" s="9">
        <v>0</v>
      </c>
      <c r="S80" s="9">
        <v>117</v>
      </c>
      <c r="T80" s="9"/>
      <c r="U80" s="4">
        <f t="shared" si="2"/>
        <v>0</v>
      </c>
      <c r="W80" s="4">
        <v>152</v>
      </c>
      <c r="X80" s="4">
        <v>108</v>
      </c>
      <c r="Y80" s="4">
        <v>130</v>
      </c>
      <c r="Z80" s="4">
        <v>110</v>
      </c>
      <c r="AA80" s="4">
        <v>100</v>
      </c>
      <c r="AB80" s="4">
        <v>96</v>
      </c>
      <c r="AC80" s="4">
        <v>136</v>
      </c>
      <c r="AD80" s="4">
        <v>133</v>
      </c>
      <c r="AE80" s="4">
        <v>93</v>
      </c>
      <c r="AF80" s="4">
        <v>99</v>
      </c>
      <c r="AG80" s="4">
        <v>92</v>
      </c>
      <c r="AH80" s="4">
        <v>136</v>
      </c>
      <c r="AI80" s="7">
        <f t="shared" si="3"/>
        <v>2204</v>
      </c>
      <c r="AJ80" s="7"/>
    </row>
    <row r="81" spans="1:36" x14ac:dyDescent="0.3">
      <c r="A81" s="12" t="s">
        <v>1011</v>
      </c>
      <c r="B81" s="12" t="s">
        <v>863</v>
      </c>
      <c r="C81" s="12" t="s">
        <v>1012</v>
      </c>
      <c r="D81" s="13">
        <v>7300654</v>
      </c>
      <c r="E81" s="12" t="s">
        <v>575</v>
      </c>
      <c r="F81" s="12" t="s">
        <v>3</v>
      </c>
      <c r="G81" s="9">
        <v>10985</v>
      </c>
      <c r="H81" s="9">
        <v>0</v>
      </c>
      <c r="I81" s="9">
        <v>10803</v>
      </c>
      <c r="J81" s="9">
        <v>28571</v>
      </c>
      <c r="K81" s="9">
        <v>10620</v>
      </c>
      <c r="L81" s="9">
        <v>0</v>
      </c>
      <c r="M81" s="9">
        <v>10437</v>
      </c>
      <c r="N81" s="9">
        <v>0</v>
      </c>
      <c r="O81" s="9">
        <v>10255</v>
      </c>
      <c r="P81" s="9">
        <v>28571</v>
      </c>
      <c r="Q81" s="9">
        <v>10072</v>
      </c>
      <c r="R81" s="9">
        <v>0</v>
      </c>
      <c r="S81" s="9">
        <v>10254.666666666666</v>
      </c>
      <c r="T81" s="9"/>
      <c r="U81" s="4">
        <f t="shared" si="2"/>
        <v>57142</v>
      </c>
      <c r="W81" s="4">
        <v>13023</v>
      </c>
      <c r="X81" s="4">
        <v>11478</v>
      </c>
      <c r="Y81" s="4">
        <v>12416</v>
      </c>
      <c r="Z81" s="4">
        <v>11296</v>
      </c>
      <c r="AA81" s="4">
        <v>12040</v>
      </c>
      <c r="AB81" s="4">
        <v>10458</v>
      </c>
      <c r="AC81" s="4">
        <v>11030</v>
      </c>
      <c r="AD81" s="4">
        <v>11300</v>
      </c>
      <c r="AE81" s="4">
        <v>10726</v>
      </c>
      <c r="AF81" s="4">
        <v>12135</v>
      </c>
      <c r="AG81" s="4">
        <v>10595</v>
      </c>
      <c r="AH81" s="4">
        <v>12067</v>
      </c>
      <c r="AI81" s="7">
        <f t="shared" si="3"/>
        <v>326274.66666666669</v>
      </c>
      <c r="AJ81" s="7"/>
    </row>
    <row r="82" spans="1:36" x14ac:dyDescent="0.3">
      <c r="A82" s="12" t="s">
        <v>1011</v>
      </c>
      <c r="B82" s="12" t="s">
        <v>863</v>
      </c>
      <c r="C82" s="12" t="s">
        <v>1012</v>
      </c>
      <c r="D82" s="13">
        <v>7300655</v>
      </c>
      <c r="E82" s="12" t="s">
        <v>576</v>
      </c>
      <c r="F82" s="12" t="s">
        <v>3</v>
      </c>
      <c r="G82" s="9">
        <v>3221</v>
      </c>
      <c r="H82" s="9">
        <v>0</v>
      </c>
      <c r="I82" s="9">
        <v>3212</v>
      </c>
      <c r="J82" s="9">
        <v>0</v>
      </c>
      <c r="K82" s="9">
        <v>3202</v>
      </c>
      <c r="L82" s="9">
        <v>14286</v>
      </c>
      <c r="M82" s="9">
        <v>3192</v>
      </c>
      <c r="N82" s="9">
        <v>0</v>
      </c>
      <c r="O82" s="9">
        <v>3182</v>
      </c>
      <c r="P82" s="9">
        <v>0</v>
      </c>
      <c r="Q82" s="9">
        <v>3173</v>
      </c>
      <c r="R82" s="9">
        <v>0</v>
      </c>
      <c r="S82" s="9">
        <v>3182.3333333333335</v>
      </c>
      <c r="T82" s="9"/>
      <c r="U82" s="4">
        <f t="shared" si="2"/>
        <v>14286</v>
      </c>
      <c r="W82" s="4">
        <v>3203</v>
      </c>
      <c r="X82" s="4">
        <v>3000</v>
      </c>
      <c r="Y82" s="4">
        <v>3046</v>
      </c>
      <c r="Z82" s="4">
        <v>3084</v>
      </c>
      <c r="AA82" s="4">
        <v>3026</v>
      </c>
      <c r="AB82" s="4">
        <v>3874</v>
      </c>
      <c r="AC82" s="4">
        <v>3187</v>
      </c>
      <c r="AD82" s="4">
        <v>3049</v>
      </c>
      <c r="AE82" s="4">
        <v>3088</v>
      </c>
      <c r="AF82" s="4">
        <v>2453</v>
      </c>
      <c r="AG82" s="4">
        <v>3012</v>
      </c>
      <c r="AH82" s="4">
        <v>3912</v>
      </c>
      <c r="AI82" s="7">
        <f t="shared" si="3"/>
        <v>88870.333333333343</v>
      </c>
      <c r="AJ82" s="7"/>
    </row>
    <row r="83" spans="1:36" x14ac:dyDescent="0.3">
      <c r="A83" s="12" t="s">
        <v>1015</v>
      </c>
      <c r="B83" s="12" t="s">
        <v>863</v>
      </c>
      <c r="C83" s="12" t="s">
        <v>1012</v>
      </c>
      <c r="D83" s="13">
        <v>7300686</v>
      </c>
      <c r="E83" s="12" t="s">
        <v>577</v>
      </c>
      <c r="F83" s="12" t="s">
        <v>3</v>
      </c>
      <c r="G83" s="9">
        <v>21500</v>
      </c>
      <c r="H83" s="9">
        <v>40000</v>
      </c>
      <c r="I83" s="9">
        <v>21500</v>
      </c>
      <c r="J83" s="9">
        <v>0</v>
      </c>
      <c r="K83" s="9">
        <v>21500</v>
      </c>
      <c r="L83" s="9">
        <v>80000</v>
      </c>
      <c r="M83" s="9">
        <v>21500</v>
      </c>
      <c r="N83" s="9">
        <v>0</v>
      </c>
      <c r="O83" s="9">
        <v>21500</v>
      </c>
      <c r="P83" s="9">
        <v>0</v>
      </c>
      <c r="Q83" s="9">
        <v>21500</v>
      </c>
      <c r="R83" s="9">
        <v>40000</v>
      </c>
      <c r="S83" s="9">
        <v>21500</v>
      </c>
      <c r="T83" s="9"/>
      <c r="U83" s="4">
        <f t="shared" si="2"/>
        <v>160000</v>
      </c>
      <c r="W83" s="4">
        <v>23000</v>
      </c>
      <c r="X83" s="4">
        <v>21364</v>
      </c>
      <c r="Y83" s="4">
        <v>23000</v>
      </c>
      <c r="Z83" s="4">
        <v>19320</v>
      </c>
      <c r="AA83" s="4">
        <v>20000</v>
      </c>
      <c r="AB83" s="4">
        <v>17915</v>
      </c>
      <c r="AC83" s="4">
        <v>20000</v>
      </c>
      <c r="AD83" s="4">
        <v>20966</v>
      </c>
      <c r="AE83" s="4">
        <v>40000</v>
      </c>
      <c r="AF83" s="4">
        <v>21439</v>
      </c>
      <c r="AG83" s="4">
        <v>22000</v>
      </c>
      <c r="AH83" s="4">
        <v>20985</v>
      </c>
      <c r="AI83" s="7">
        <f t="shared" si="3"/>
        <v>740489</v>
      </c>
      <c r="AJ83" s="7"/>
    </row>
    <row r="84" spans="1:36" x14ac:dyDescent="0.3">
      <c r="A84" s="12" t="s">
        <v>1011</v>
      </c>
      <c r="B84" s="12" t="s">
        <v>863</v>
      </c>
      <c r="C84" s="12" t="s">
        <v>1012</v>
      </c>
      <c r="D84" s="13">
        <v>7300719</v>
      </c>
      <c r="E84" s="12" t="s">
        <v>578</v>
      </c>
      <c r="F84" s="12" t="s">
        <v>3</v>
      </c>
      <c r="G84" s="9">
        <v>405</v>
      </c>
      <c r="H84" s="9">
        <v>0</v>
      </c>
      <c r="I84" s="9">
        <v>536</v>
      </c>
      <c r="J84" s="9">
        <v>0</v>
      </c>
      <c r="K84" s="9">
        <v>230</v>
      </c>
      <c r="L84" s="9">
        <v>1250</v>
      </c>
      <c r="M84" s="9">
        <v>258</v>
      </c>
      <c r="N84" s="9">
        <v>0</v>
      </c>
      <c r="O84" s="9">
        <v>180</v>
      </c>
      <c r="P84" s="9">
        <v>0</v>
      </c>
      <c r="Q84" s="9">
        <v>236</v>
      </c>
      <c r="R84" s="9">
        <v>0</v>
      </c>
      <c r="S84" s="9">
        <v>224.66666666666666</v>
      </c>
      <c r="T84" s="9"/>
      <c r="U84" s="4">
        <f t="shared" si="2"/>
        <v>1250</v>
      </c>
      <c r="W84" s="4">
        <v>274</v>
      </c>
      <c r="X84" s="4">
        <v>230</v>
      </c>
      <c r="Y84" s="4">
        <v>250</v>
      </c>
      <c r="Z84" s="4">
        <v>357</v>
      </c>
      <c r="AA84" s="4">
        <v>250</v>
      </c>
      <c r="AB84" s="4">
        <v>135</v>
      </c>
      <c r="AC84" s="4">
        <v>135</v>
      </c>
      <c r="AD84" s="4">
        <v>90</v>
      </c>
      <c r="AE84" s="4">
        <v>90</v>
      </c>
      <c r="AF84" s="4">
        <v>220</v>
      </c>
      <c r="AG84" s="4">
        <v>220</v>
      </c>
      <c r="AH84" s="4">
        <v>5</v>
      </c>
      <c r="AI84" s="7">
        <f t="shared" si="3"/>
        <v>6825.6666666666661</v>
      </c>
      <c r="AJ84" s="7"/>
    </row>
    <row r="85" spans="1:36" x14ac:dyDescent="0.3">
      <c r="A85" s="12" t="s">
        <v>1011</v>
      </c>
      <c r="B85" s="12" t="s">
        <v>863</v>
      </c>
      <c r="C85" s="12" t="s">
        <v>1012</v>
      </c>
      <c r="D85" s="13">
        <v>7300730</v>
      </c>
      <c r="E85" s="12" t="s">
        <v>579</v>
      </c>
      <c r="F85" s="12" t="s">
        <v>3</v>
      </c>
      <c r="G85" s="9">
        <v>1</v>
      </c>
      <c r="H85" s="9">
        <v>0</v>
      </c>
      <c r="I85" s="9">
        <v>1</v>
      </c>
      <c r="J85" s="9">
        <v>0</v>
      </c>
      <c r="K85" s="9">
        <v>1</v>
      </c>
      <c r="L85" s="9">
        <v>0</v>
      </c>
      <c r="M85" s="9">
        <v>1</v>
      </c>
      <c r="N85" s="9">
        <v>0</v>
      </c>
      <c r="O85" s="9">
        <v>1</v>
      </c>
      <c r="P85" s="9">
        <v>0</v>
      </c>
      <c r="Q85" s="9">
        <v>1</v>
      </c>
      <c r="R85" s="9">
        <v>0</v>
      </c>
      <c r="S85" s="9">
        <v>1</v>
      </c>
      <c r="T85" s="9"/>
      <c r="U85" s="4">
        <f t="shared" si="2"/>
        <v>0</v>
      </c>
      <c r="W85" s="4">
        <v>35</v>
      </c>
      <c r="X85" s="4">
        <v>19</v>
      </c>
      <c r="Y85" s="4">
        <v>37</v>
      </c>
      <c r="Z85" s="4">
        <v>14</v>
      </c>
      <c r="AA85" s="4">
        <v>30</v>
      </c>
      <c r="AB85" s="4">
        <v>3</v>
      </c>
      <c r="AC85" s="4">
        <v>12</v>
      </c>
      <c r="AD85" s="4">
        <v>6</v>
      </c>
      <c r="AE85" s="4">
        <v>8</v>
      </c>
      <c r="AF85" s="4">
        <v>2</v>
      </c>
      <c r="AG85" s="4">
        <v>4</v>
      </c>
      <c r="AH85" s="4">
        <v>0</v>
      </c>
      <c r="AI85" s="7">
        <f t="shared" si="3"/>
        <v>177</v>
      </c>
      <c r="AJ85" s="7"/>
    </row>
    <row r="86" spans="1:36" x14ac:dyDescent="0.3">
      <c r="A86" s="12" t="s">
        <v>1015</v>
      </c>
      <c r="B86" s="12" t="s">
        <v>863</v>
      </c>
      <c r="C86" s="12" t="s">
        <v>1012</v>
      </c>
      <c r="D86" s="13">
        <v>7300748</v>
      </c>
      <c r="E86" s="12" t="s">
        <v>580</v>
      </c>
      <c r="F86" s="12" t="s">
        <v>3</v>
      </c>
      <c r="G86" s="9">
        <v>6000</v>
      </c>
      <c r="H86" s="9">
        <v>4167</v>
      </c>
      <c r="I86" s="9">
        <v>5500</v>
      </c>
      <c r="J86" s="9">
        <v>8334</v>
      </c>
      <c r="K86" s="9">
        <v>5500</v>
      </c>
      <c r="L86" s="9">
        <v>4167</v>
      </c>
      <c r="M86" s="9">
        <v>5500</v>
      </c>
      <c r="N86" s="9">
        <v>8334</v>
      </c>
      <c r="O86" s="9">
        <v>5500</v>
      </c>
      <c r="P86" s="9">
        <v>4167</v>
      </c>
      <c r="Q86" s="9">
        <v>5500</v>
      </c>
      <c r="R86" s="9">
        <v>0</v>
      </c>
      <c r="S86" s="9">
        <v>5500</v>
      </c>
      <c r="T86" s="9"/>
      <c r="U86" s="4">
        <f t="shared" si="2"/>
        <v>29169</v>
      </c>
      <c r="W86" s="4">
        <v>5000</v>
      </c>
      <c r="X86" s="4">
        <v>5008</v>
      </c>
      <c r="Y86" s="4">
        <v>6000</v>
      </c>
      <c r="Z86" s="4">
        <v>5283</v>
      </c>
      <c r="AA86" s="4">
        <v>5000</v>
      </c>
      <c r="AB86" s="4">
        <v>5127</v>
      </c>
      <c r="AC86" s="4">
        <v>5000</v>
      </c>
      <c r="AD86" s="4">
        <v>5560</v>
      </c>
      <c r="AE86" s="4">
        <v>5500</v>
      </c>
      <c r="AF86" s="4">
        <v>5557</v>
      </c>
      <c r="AG86" s="4">
        <v>5500</v>
      </c>
      <c r="AH86" s="4">
        <v>6689</v>
      </c>
      <c r="AI86" s="7">
        <f t="shared" si="3"/>
        <v>162562</v>
      </c>
      <c r="AJ86" s="7"/>
    </row>
    <row r="87" spans="1:36" x14ac:dyDescent="0.3">
      <c r="A87" s="12" t="s">
        <v>1015</v>
      </c>
      <c r="B87" s="12" t="s">
        <v>863</v>
      </c>
      <c r="C87" s="12" t="s">
        <v>1012</v>
      </c>
      <c r="D87" s="13">
        <v>7300749</v>
      </c>
      <c r="E87" s="12" t="s">
        <v>581</v>
      </c>
      <c r="F87" s="12" t="s">
        <v>3</v>
      </c>
      <c r="G87" s="9">
        <v>3800</v>
      </c>
      <c r="H87" s="9">
        <v>4167</v>
      </c>
      <c r="I87" s="9">
        <v>4000</v>
      </c>
      <c r="J87" s="9">
        <v>4167</v>
      </c>
      <c r="K87" s="9">
        <v>3800</v>
      </c>
      <c r="L87" s="9">
        <v>4167</v>
      </c>
      <c r="M87" s="9">
        <v>3500</v>
      </c>
      <c r="N87" s="9">
        <v>4167</v>
      </c>
      <c r="O87" s="9">
        <v>3500</v>
      </c>
      <c r="P87" s="9">
        <v>4167</v>
      </c>
      <c r="Q87" s="9">
        <v>4000</v>
      </c>
      <c r="R87" s="9">
        <v>0</v>
      </c>
      <c r="S87" s="9">
        <v>3666.6666666666665</v>
      </c>
      <c r="T87" s="9"/>
      <c r="U87" s="4">
        <f t="shared" si="2"/>
        <v>20835</v>
      </c>
      <c r="W87" s="4">
        <v>3300</v>
      </c>
      <c r="X87" s="4">
        <v>3419</v>
      </c>
      <c r="Y87" s="4">
        <v>3500</v>
      </c>
      <c r="Z87" s="4">
        <v>3447</v>
      </c>
      <c r="AA87" s="4">
        <v>3000</v>
      </c>
      <c r="AB87" s="4">
        <v>3529</v>
      </c>
      <c r="AC87" s="4">
        <v>3300</v>
      </c>
      <c r="AD87" s="4">
        <v>3439</v>
      </c>
      <c r="AE87" s="4">
        <v>3500</v>
      </c>
      <c r="AF87" s="4">
        <v>3647</v>
      </c>
      <c r="AG87" s="4">
        <v>3500</v>
      </c>
      <c r="AH87" s="4">
        <v>3941</v>
      </c>
      <c r="AI87" s="7">
        <f t="shared" si="3"/>
        <v>109458.66666666666</v>
      </c>
      <c r="AJ87" s="7"/>
    </row>
    <row r="88" spans="1:36" x14ac:dyDescent="0.3">
      <c r="A88" s="12" t="s">
        <v>1015</v>
      </c>
      <c r="B88" s="12" t="s">
        <v>863</v>
      </c>
      <c r="C88" s="12" t="s">
        <v>1012</v>
      </c>
      <c r="D88" s="13">
        <v>7300750</v>
      </c>
      <c r="E88" s="12" t="s">
        <v>582</v>
      </c>
      <c r="F88" s="12" t="s">
        <v>3</v>
      </c>
      <c r="G88" s="9">
        <v>20000</v>
      </c>
      <c r="H88" s="9">
        <v>0</v>
      </c>
      <c r="I88" s="9">
        <v>18000</v>
      </c>
      <c r="J88" s="9">
        <v>0</v>
      </c>
      <c r="K88" s="9">
        <v>20000</v>
      </c>
      <c r="L88" s="9">
        <v>50000</v>
      </c>
      <c r="M88" s="9">
        <v>18000</v>
      </c>
      <c r="N88" s="9">
        <v>50000</v>
      </c>
      <c r="O88" s="9">
        <v>20000</v>
      </c>
      <c r="P88" s="9">
        <v>50000</v>
      </c>
      <c r="Q88" s="9">
        <v>20000</v>
      </c>
      <c r="R88" s="9">
        <v>0</v>
      </c>
      <c r="S88" s="9">
        <v>19333.333333333332</v>
      </c>
      <c r="T88" s="9"/>
      <c r="U88" s="4">
        <f t="shared" si="2"/>
        <v>150000</v>
      </c>
      <c r="W88" s="4">
        <v>18000</v>
      </c>
      <c r="X88" s="4">
        <v>16080</v>
      </c>
      <c r="Y88" s="4">
        <v>18000</v>
      </c>
      <c r="Z88" s="4">
        <v>17260</v>
      </c>
      <c r="AA88" s="4">
        <v>18000</v>
      </c>
      <c r="AB88" s="4">
        <v>20249</v>
      </c>
      <c r="AC88" s="4">
        <v>18000</v>
      </c>
      <c r="AD88" s="4">
        <v>21680</v>
      </c>
      <c r="AE88" s="4">
        <v>19000</v>
      </c>
      <c r="AF88" s="4">
        <v>18000</v>
      </c>
      <c r="AG88" s="4">
        <v>20000</v>
      </c>
      <c r="AH88" s="4">
        <v>20600</v>
      </c>
      <c r="AI88" s="7">
        <f t="shared" si="3"/>
        <v>660202.33333333326</v>
      </c>
      <c r="AJ88" s="7"/>
    </row>
    <row r="89" spans="1:36" x14ac:dyDescent="0.3">
      <c r="A89" s="12" t="s">
        <v>1015</v>
      </c>
      <c r="B89" s="12" t="s">
        <v>863</v>
      </c>
      <c r="C89" s="12" t="s">
        <v>1012</v>
      </c>
      <c r="D89" s="13">
        <v>7300820</v>
      </c>
      <c r="E89" s="12" t="s">
        <v>583</v>
      </c>
      <c r="F89" s="12" t="s">
        <v>3</v>
      </c>
      <c r="G89" s="9">
        <v>2500</v>
      </c>
      <c r="H89" s="9">
        <v>5000</v>
      </c>
      <c r="I89" s="9">
        <v>2500</v>
      </c>
      <c r="J89" s="9">
        <v>0</v>
      </c>
      <c r="K89" s="9">
        <v>3000</v>
      </c>
      <c r="L89" s="9">
        <v>5000</v>
      </c>
      <c r="M89" s="9">
        <v>2500</v>
      </c>
      <c r="N89" s="9">
        <v>0</v>
      </c>
      <c r="O89" s="9">
        <v>2500</v>
      </c>
      <c r="P89" s="9">
        <v>5000</v>
      </c>
      <c r="Q89" s="9">
        <v>3000</v>
      </c>
      <c r="R89" s="9">
        <v>0</v>
      </c>
      <c r="S89" s="9">
        <v>2666.6666666666665</v>
      </c>
      <c r="T89" s="9"/>
      <c r="U89" s="4">
        <f t="shared" si="2"/>
        <v>15000</v>
      </c>
      <c r="W89" s="4">
        <v>600</v>
      </c>
      <c r="X89" s="4">
        <v>1025</v>
      </c>
      <c r="Y89" s="4">
        <v>1000</v>
      </c>
      <c r="Z89" s="4">
        <v>1350</v>
      </c>
      <c r="AA89" s="4">
        <v>2200</v>
      </c>
      <c r="AB89" s="4">
        <v>2079</v>
      </c>
      <c r="AC89" s="4">
        <v>3500</v>
      </c>
      <c r="AD89" s="4">
        <v>3038</v>
      </c>
      <c r="AE89" s="4">
        <v>4200</v>
      </c>
      <c r="AF89" s="4">
        <v>1869</v>
      </c>
      <c r="AG89" s="4">
        <v>3000</v>
      </c>
      <c r="AH89" s="4">
        <v>2861</v>
      </c>
      <c r="AI89" s="7">
        <f t="shared" si="3"/>
        <v>75388.666666666657</v>
      </c>
      <c r="AJ89" s="7"/>
    </row>
    <row r="90" spans="1:36" x14ac:dyDescent="0.3">
      <c r="A90" s="12" t="s">
        <v>1015</v>
      </c>
      <c r="B90" s="12" t="s">
        <v>863</v>
      </c>
      <c r="C90" s="12" t="s">
        <v>1012</v>
      </c>
      <c r="D90" s="13">
        <v>7300833</v>
      </c>
      <c r="E90" s="12" t="s">
        <v>584</v>
      </c>
      <c r="F90" s="12" t="s">
        <v>3</v>
      </c>
      <c r="G90" s="9">
        <v>3000</v>
      </c>
      <c r="H90" s="9">
        <v>0</v>
      </c>
      <c r="I90" s="9">
        <v>3500</v>
      </c>
      <c r="J90" s="9">
        <v>5000</v>
      </c>
      <c r="K90" s="9">
        <v>3000</v>
      </c>
      <c r="L90" s="9">
        <v>0</v>
      </c>
      <c r="M90" s="9">
        <v>3000</v>
      </c>
      <c r="N90" s="9">
        <v>3333</v>
      </c>
      <c r="O90" s="9">
        <v>3000</v>
      </c>
      <c r="P90" s="9">
        <v>0</v>
      </c>
      <c r="Q90" s="9">
        <v>3000</v>
      </c>
      <c r="R90" s="9">
        <v>0</v>
      </c>
      <c r="S90" s="9">
        <v>3000</v>
      </c>
      <c r="T90" s="9"/>
      <c r="U90" s="4">
        <f t="shared" si="2"/>
        <v>8333</v>
      </c>
      <c r="W90" s="4">
        <v>1000</v>
      </c>
      <c r="X90" s="4">
        <v>1110</v>
      </c>
      <c r="Y90" s="4">
        <v>1200</v>
      </c>
      <c r="Z90" s="4">
        <v>2732</v>
      </c>
      <c r="AA90" s="4">
        <v>2000</v>
      </c>
      <c r="AB90" s="4">
        <v>1440</v>
      </c>
      <c r="AC90" s="4">
        <v>2000</v>
      </c>
      <c r="AD90" s="4">
        <v>2340</v>
      </c>
      <c r="AE90" s="4">
        <v>3000</v>
      </c>
      <c r="AF90" s="4">
        <v>3280</v>
      </c>
      <c r="AG90" s="4">
        <v>3000</v>
      </c>
      <c r="AH90" s="4">
        <v>1940</v>
      </c>
      <c r="AI90" s="7">
        <f t="shared" si="3"/>
        <v>63208</v>
      </c>
      <c r="AJ90" s="7"/>
    </row>
    <row r="91" spans="1:36" x14ac:dyDescent="0.3">
      <c r="A91" s="12" t="s">
        <v>1015</v>
      </c>
      <c r="B91" s="12" t="s">
        <v>863</v>
      </c>
      <c r="C91" s="12" t="s">
        <v>1012</v>
      </c>
      <c r="D91" s="13">
        <v>7300908</v>
      </c>
      <c r="E91" s="12" t="s">
        <v>585</v>
      </c>
      <c r="F91" s="12" t="s">
        <v>3</v>
      </c>
      <c r="G91" s="9">
        <v>25000</v>
      </c>
      <c r="H91" s="9">
        <v>0</v>
      </c>
      <c r="I91" s="9">
        <v>25000</v>
      </c>
      <c r="J91" s="9">
        <v>50000</v>
      </c>
      <c r="K91" s="9">
        <v>25000</v>
      </c>
      <c r="L91" s="9">
        <v>0</v>
      </c>
      <c r="M91" s="9">
        <v>25000</v>
      </c>
      <c r="N91" s="9">
        <v>50000</v>
      </c>
      <c r="O91" s="9">
        <v>25000</v>
      </c>
      <c r="P91" s="9">
        <v>50000</v>
      </c>
      <c r="Q91" s="9">
        <v>25000</v>
      </c>
      <c r="R91" s="9">
        <v>0</v>
      </c>
      <c r="S91" s="9">
        <v>25000</v>
      </c>
      <c r="T91" s="9"/>
      <c r="U91" s="4">
        <f t="shared" si="2"/>
        <v>150000</v>
      </c>
      <c r="W91" s="4">
        <v>35000</v>
      </c>
      <c r="X91" s="4">
        <v>16543</v>
      </c>
      <c r="Y91" s="4">
        <v>20000</v>
      </c>
      <c r="Z91" s="4">
        <v>21908</v>
      </c>
      <c r="AA91" s="4">
        <v>20000</v>
      </c>
      <c r="AB91" s="4">
        <v>17047</v>
      </c>
      <c r="AC91" s="4">
        <v>20000</v>
      </c>
      <c r="AD91" s="4">
        <v>21218</v>
      </c>
      <c r="AE91" s="4">
        <v>20000</v>
      </c>
      <c r="AF91" s="4">
        <v>20103</v>
      </c>
      <c r="AG91" s="4">
        <v>25000</v>
      </c>
      <c r="AH91" s="4">
        <v>18635</v>
      </c>
      <c r="AI91" s="7">
        <f t="shared" si="3"/>
        <v>730454</v>
      </c>
      <c r="AJ91" s="7"/>
    </row>
    <row r="92" spans="1:36" x14ac:dyDescent="0.3">
      <c r="A92" s="12" t="s">
        <v>1011</v>
      </c>
      <c r="B92" s="12" t="s">
        <v>863</v>
      </c>
      <c r="C92" s="12" t="s">
        <v>1012</v>
      </c>
      <c r="D92" s="13">
        <v>7300912</v>
      </c>
      <c r="E92" s="12" t="s">
        <v>586</v>
      </c>
      <c r="F92" s="12" t="s">
        <v>3</v>
      </c>
      <c r="G92" s="9">
        <v>866</v>
      </c>
      <c r="H92" s="9">
        <v>0</v>
      </c>
      <c r="I92" s="9">
        <v>866</v>
      </c>
      <c r="J92" s="9">
        <v>4800</v>
      </c>
      <c r="K92" s="9">
        <v>866</v>
      </c>
      <c r="L92" s="9">
        <v>0</v>
      </c>
      <c r="M92" s="9">
        <v>866</v>
      </c>
      <c r="N92" s="9">
        <v>0</v>
      </c>
      <c r="O92" s="9">
        <v>866</v>
      </c>
      <c r="P92" s="9">
        <v>3645</v>
      </c>
      <c r="Q92" s="9">
        <v>866</v>
      </c>
      <c r="R92" s="9">
        <v>0</v>
      </c>
      <c r="S92" s="9">
        <v>866</v>
      </c>
      <c r="T92" s="9"/>
      <c r="U92" s="4">
        <f t="shared" si="2"/>
        <v>8445</v>
      </c>
      <c r="W92" s="4">
        <v>1268</v>
      </c>
      <c r="X92" s="4">
        <v>706</v>
      </c>
      <c r="Y92" s="4">
        <v>1000</v>
      </c>
      <c r="Z92" s="4">
        <v>1105</v>
      </c>
      <c r="AA92" s="4">
        <v>1087</v>
      </c>
      <c r="AB92" s="4">
        <v>714</v>
      </c>
      <c r="AC92" s="4">
        <v>936</v>
      </c>
      <c r="AD92" s="4">
        <v>909</v>
      </c>
      <c r="AE92" s="4">
        <v>882</v>
      </c>
      <c r="AF92" s="4">
        <v>660</v>
      </c>
      <c r="AG92" s="4">
        <v>670</v>
      </c>
      <c r="AH92" s="4">
        <v>1064</v>
      </c>
      <c r="AI92" s="7">
        <f t="shared" si="3"/>
        <v>33953</v>
      </c>
      <c r="AJ92" s="7"/>
    </row>
    <row r="93" spans="1:36" x14ac:dyDescent="0.3">
      <c r="A93" s="12" t="s">
        <v>1011</v>
      </c>
      <c r="B93" s="12" t="s">
        <v>863</v>
      </c>
      <c r="C93" s="12" t="s">
        <v>1012</v>
      </c>
      <c r="D93" s="13">
        <v>7300913</v>
      </c>
      <c r="E93" s="12" t="s">
        <v>587</v>
      </c>
      <c r="F93" s="12" t="s">
        <v>3</v>
      </c>
      <c r="G93" s="9">
        <v>628</v>
      </c>
      <c r="H93" s="9">
        <v>0</v>
      </c>
      <c r="I93" s="9">
        <v>628</v>
      </c>
      <c r="J93" s="9">
        <v>3200</v>
      </c>
      <c r="K93" s="9">
        <v>628</v>
      </c>
      <c r="L93" s="9">
        <v>0</v>
      </c>
      <c r="M93" s="9">
        <v>628</v>
      </c>
      <c r="N93" s="9">
        <v>0</v>
      </c>
      <c r="O93" s="9">
        <v>628</v>
      </c>
      <c r="P93" s="9">
        <v>1927</v>
      </c>
      <c r="Q93" s="9">
        <v>628</v>
      </c>
      <c r="R93" s="9">
        <v>0</v>
      </c>
      <c r="S93" s="9">
        <v>628</v>
      </c>
      <c r="T93" s="9"/>
      <c r="U93" s="4">
        <f t="shared" si="2"/>
        <v>5127</v>
      </c>
      <c r="W93" s="4">
        <v>957</v>
      </c>
      <c r="X93" s="4">
        <v>679</v>
      </c>
      <c r="Y93" s="4">
        <v>700</v>
      </c>
      <c r="Z93" s="4">
        <v>623</v>
      </c>
      <c r="AA93" s="4">
        <v>837</v>
      </c>
      <c r="AB93" s="4">
        <v>670</v>
      </c>
      <c r="AC93" s="4">
        <v>774</v>
      </c>
      <c r="AD93" s="4">
        <v>545</v>
      </c>
      <c r="AE93" s="4">
        <v>679</v>
      </c>
      <c r="AF93" s="4">
        <v>548</v>
      </c>
      <c r="AG93" s="4">
        <v>544</v>
      </c>
      <c r="AH93" s="4">
        <v>754</v>
      </c>
      <c r="AI93" s="7">
        <f t="shared" si="3"/>
        <v>22960</v>
      </c>
      <c r="AJ93" s="7"/>
    </row>
    <row r="94" spans="1:36" x14ac:dyDescent="0.3">
      <c r="A94" s="12" t="s">
        <v>1011</v>
      </c>
      <c r="B94" s="12" t="s">
        <v>863</v>
      </c>
      <c r="C94" s="12" t="s">
        <v>1012</v>
      </c>
      <c r="D94" s="13">
        <v>7300932</v>
      </c>
      <c r="E94" s="12" t="s">
        <v>588</v>
      </c>
      <c r="F94" s="12" t="s">
        <v>3</v>
      </c>
      <c r="G94" s="9">
        <v>68</v>
      </c>
      <c r="H94" s="9">
        <v>0</v>
      </c>
      <c r="I94" s="9">
        <v>98</v>
      </c>
      <c r="J94" s="9">
        <v>0</v>
      </c>
      <c r="K94" s="9">
        <v>128</v>
      </c>
      <c r="L94" s="9">
        <v>0</v>
      </c>
      <c r="M94" s="9">
        <v>218</v>
      </c>
      <c r="N94" s="9">
        <v>0</v>
      </c>
      <c r="O94" s="9">
        <v>485</v>
      </c>
      <c r="P94" s="9">
        <v>0</v>
      </c>
      <c r="Q94" s="9">
        <v>307</v>
      </c>
      <c r="R94" s="9">
        <v>0</v>
      </c>
      <c r="S94" s="9">
        <v>336.66666666666669</v>
      </c>
      <c r="T94" s="9"/>
      <c r="U94" s="4">
        <f t="shared" si="2"/>
        <v>0</v>
      </c>
      <c r="W94" s="4">
        <v>3000</v>
      </c>
      <c r="X94" s="4">
        <v>516</v>
      </c>
      <c r="Y94" s="4">
        <v>777</v>
      </c>
      <c r="Z94" s="4">
        <v>503</v>
      </c>
      <c r="AA94" s="4">
        <v>524</v>
      </c>
      <c r="AB94" s="4">
        <v>169</v>
      </c>
      <c r="AC94" s="4">
        <v>396</v>
      </c>
      <c r="AD94" s="4">
        <v>123</v>
      </c>
      <c r="AE94" s="4">
        <v>265</v>
      </c>
      <c r="AF94" s="4">
        <v>12</v>
      </c>
      <c r="AG94" s="4">
        <v>101</v>
      </c>
      <c r="AH94" s="4">
        <v>3</v>
      </c>
      <c r="AI94" s="7">
        <f t="shared" si="3"/>
        <v>8029.666666666667</v>
      </c>
      <c r="AJ94" s="7"/>
    </row>
    <row r="95" spans="1:36" x14ac:dyDescent="0.3">
      <c r="A95" s="12" t="s">
        <v>1015</v>
      </c>
      <c r="B95" s="12" t="s">
        <v>863</v>
      </c>
      <c r="C95" s="12" t="s">
        <v>1012</v>
      </c>
      <c r="D95" s="13">
        <v>7300941</v>
      </c>
      <c r="E95" s="12" t="s">
        <v>589</v>
      </c>
      <c r="F95" s="12" t="s">
        <v>3</v>
      </c>
      <c r="G95" s="9">
        <v>8000</v>
      </c>
      <c r="H95" s="9">
        <v>15000</v>
      </c>
      <c r="I95" s="9">
        <v>8000</v>
      </c>
      <c r="J95" s="9">
        <v>10000</v>
      </c>
      <c r="K95" s="9">
        <v>8500</v>
      </c>
      <c r="L95" s="9">
        <v>25000</v>
      </c>
      <c r="M95" s="9">
        <v>8000</v>
      </c>
      <c r="N95" s="9">
        <v>0</v>
      </c>
      <c r="O95" s="9">
        <v>8000</v>
      </c>
      <c r="P95" s="9">
        <v>0</v>
      </c>
      <c r="Q95" s="9">
        <v>8500</v>
      </c>
      <c r="R95" s="9">
        <v>0</v>
      </c>
      <c r="S95" s="9">
        <v>8166.666666666667</v>
      </c>
      <c r="T95" s="9"/>
      <c r="U95" s="4">
        <f t="shared" si="2"/>
        <v>50000</v>
      </c>
      <c r="W95" s="4">
        <v>7500</v>
      </c>
      <c r="X95" s="4">
        <v>7968</v>
      </c>
      <c r="Y95" s="4">
        <v>7500</v>
      </c>
      <c r="Z95" s="4">
        <v>8305</v>
      </c>
      <c r="AA95" s="4">
        <v>8000</v>
      </c>
      <c r="AB95" s="4">
        <v>8978</v>
      </c>
      <c r="AC95" s="4">
        <v>8000</v>
      </c>
      <c r="AD95" s="4">
        <v>8785</v>
      </c>
      <c r="AE95" s="4">
        <v>7500</v>
      </c>
      <c r="AF95" s="4">
        <v>7405</v>
      </c>
      <c r="AG95" s="4">
        <v>8000</v>
      </c>
      <c r="AH95" s="4">
        <v>7719</v>
      </c>
      <c r="AI95" s="7">
        <f t="shared" si="3"/>
        <v>252826.66666666669</v>
      </c>
      <c r="AJ95" s="7"/>
    </row>
    <row r="96" spans="1:36" x14ac:dyDescent="0.3">
      <c r="A96" s="12" t="s">
        <v>1015</v>
      </c>
      <c r="B96" s="12" t="s">
        <v>863</v>
      </c>
      <c r="C96" s="12" t="s">
        <v>1012</v>
      </c>
      <c r="D96" s="13">
        <v>7301042</v>
      </c>
      <c r="E96" s="12" t="s">
        <v>590</v>
      </c>
      <c r="F96" s="12" t="s">
        <v>3</v>
      </c>
      <c r="G96" s="9">
        <v>5000</v>
      </c>
      <c r="H96" s="9">
        <v>0</v>
      </c>
      <c r="I96" s="9">
        <v>5000</v>
      </c>
      <c r="J96" s="9">
        <v>0</v>
      </c>
      <c r="K96" s="9">
        <v>6000</v>
      </c>
      <c r="L96" s="9">
        <v>0</v>
      </c>
      <c r="M96" s="9">
        <v>6000</v>
      </c>
      <c r="N96" s="9">
        <v>80000</v>
      </c>
      <c r="O96" s="9">
        <v>6000</v>
      </c>
      <c r="P96" s="9">
        <v>80000</v>
      </c>
      <c r="Q96" s="9">
        <v>5000</v>
      </c>
      <c r="R96" s="9">
        <v>0</v>
      </c>
      <c r="S96" s="9">
        <v>5666.666666666667</v>
      </c>
      <c r="T96" s="9"/>
      <c r="U96" s="4">
        <f t="shared" si="2"/>
        <v>160000</v>
      </c>
      <c r="W96" s="4">
        <v>6000</v>
      </c>
      <c r="X96" s="4">
        <v>3875</v>
      </c>
      <c r="Y96" s="4">
        <v>6000</v>
      </c>
      <c r="Z96" s="4">
        <v>5975</v>
      </c>
      <c r="AA96" s="4">
        <v>7000</v>
      </c>
      <c r="AB96" s="4">
        <v>4970</v>
      </c>
      <c r="AC96" s="4">
        <v>5000</v>
      </c>
      <c r="AD96" s="4">
        <v>4945</v>
      </c>
      <c r="AE96" s="4">
        <v>5000</v>
      </c>
      <c r="AF96" s="4">
        <v>3785</v>
      </c>
      <c r="AG96" s="4">
        <v>5000</v>
      </c>
      <c r="AH96" s="4">
        <v>4485</v>
      </c>
      <c r="AI96" s="7">
        <f t="shared" si="3"/>
        <v>420701.66666666663</v>
      </c>
      <c r="AJ96" s="7"/>
    </row>
    <row r="97" spans="1:36" x14ac:dyDescent="0.3">
      <c r="A97" s="12" t="s">
        <v>1015</v>
      </c>
      <c r="B97" s="12" t="s">
        <v>863</v>
      </c>
      <c r="C97" s="12" t="s">
        <v>1012</v>
      </c>
      <c r="D97" s="13">
        <v>7301081</v>
      </c>
      <c r="E97" s="12" t="s">
        <v>591</v>
      </c>
      <c r="F97" s="12" t="s">
        <v>3</v>
      </c>
      <c r="G97" s="9">
        <v>500</v>
      </c>
      <c r="H97" s="9">
        <v>0</v>
      </c>
      <c r="I97" s="9">
        <v>1000</v>
      </c>
      <c r="J97" s="9">
        <v>0</v>
      </c>
      <c r="K97" s="9">
        <v>1000</v>
      </c>
      <c r="L97" s="9">
        <v>0</v>
      </c>
      <c r="M97" s="9">
        <v>1000</v>
      </c>
      <c r="N97" s="9">
        <v>0</v>
      </c>
      <c r="O97" s="9">
        <v>1000</v>
      </c>
      <c r="P97" s="9">
        <v>0</v>
      </c>
      <c r="Q97" s="9">
        <v>1000</v>
      </c>
      <c r="R97" s="9">
        <v>0</v>
      </c>
      <c r="S97" s="9">
        <v>1000</v>
      </c>
      <c r="T97" s="9"/>
      <c r="U97" s="4">
        <f t="shared" si="2"/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39</v>
      </c>
      <c r="AC97" s="4">
        <v>13</v>
      </c>
      <c r="AD97" s="4">
        <v>309</v>
      </c>
      <c r="AE97" s="4">
        <v>116</v>
      </c>
      <c r="AF97" s="4">
        <v>2043</v>
      </c>
      <c r="AG97" s="4">
        <v>797</v>
      </c>
      <c r="AH97" s="4">
        <v>62</v>
      </c>
      <c r="AI97" s="7">
        <f t="shared" si="3"/>
        <v>9879</v>
      </c>
      <c r="AJ97" s="7"/>
    </row>
    <row r="98" spans="1:36" x14ac:dyDescent="0.3">
      <c r="A98" s="12" t="s">
        <v>1015</v>
      </c>
      <c r="B98" s="12" t="s">
        <v>863</v>
      </c>
      <c r="C98" s="12" t="s">
        <v>1012</v>
      </c>
      <c r="D98" s="13">
        <v>7301082</v>
      </c>
      <c r="E98" s="12" t="s">
        <v>592</v>
      </c>
      <c r="F98" s="12" t="s">
        <v>3</v>
      </c>
      <c r="G98" s="9">
        <v>2500</v>
      </c>
      <c r="H98" s="9">
        <v>0</v>
      </c>
      <c r="I98" s="9">
        <v>2500</v>
      </c>
      <c r="J98" s="9">
        <v>30000</v>
      </c>
      <c r="K98" s="9">
        <v>3000</v>
      </c>
      <c r="L98" s="9">
        <v>0</v>
      </c>
      <c r="M98" s="9">
        <v>2500</v>
      </c>
      <c r="N98" s="9">
        <v>0</v>
      </c>
      <c r="O98" s="9">
        <v>2500</v>
      </c>
      <c r="P98" s="9">
        <v>0</v>
      </c>
      <c r="Q98" s="9">
        <v>3000</v>
      </c>
      <c r="R98" s="9">
        <v>0</v>
      </c>
      <c r="S98" s="9">
        <v>2666.6666666666665</v>
      </c>
      <c r="T98" s="9"/>
      <c r="U98" s="4">
        <f t="shared" si="2"/>
        <v>30000</v>
      </c>
      <c r="W98" s="4">
        <v>600</v>
      </c>
      <c r="X98" s="4">
        <v>1647</v>
      </c>
      <c r="Y98" s="4">
        <v>1000</v>
      </c>
      <c r="Z98" s="4">
        <v>929</v>
      </c>
      <c r="AA98" s="4">
        <v>1500</v>
      </c>
      <c r="AB98" s="4">
        <v>1762</v>
      </c>
      <c r="AC98" s="4">
        <v>4000</v>
      </c>
      <c r="AD98" s="4">
        <v>3788</v>
      </c>
      <c r="AE98" s="4">
        <v>4800</v>
      </c>
      <c r="AF98" s="4">
        <v>3359</v>
      </c>
      <c r="AG98" s="4">
        <v>3000</v>
      </c>
      <c r="AH98" s="4">
        <v>3221</v>
      </c>
      <c r="AI98" s="7">
        <f t="shared" si="3"/>
        <v>108272.66666666666</v>
      </c>
      <c r="AJ98" s="7"/>
    </row>
    <row r="99" spans="1:36" x14ac:dyDescent="0.3">
      <c r="A99" s="12" t="s">
        <v>1015</v>
      </c>
      <c r="B99" s="12" t="s">
        <v>863</v>
      </c>
      <c r="C99" s="12" t="s">
        <v>1012</v>
      </c>
      <c r="D99" s="13">
        <v>7301083</v>
      </c>
      <c r="E99" s="12" t="s">
        <v>593</v>
      </c>
      <c r="F99" s="12" t="s">
        <v>3</v>
      </c>
      <c r="G99" s="9">
        <v>1500</v>
      </c>
      <c r="H99" s="9">
        <v>0</v>
      </c>
      <c r="I99" s="9">
        <v>1500</v>
      </c>
      <c r="J99" s="9">
        <v>0</v>
      </c>
      <c r="K99" s="9">
        <v>2000</v>
      </c>
      <c r="L99" s="9">
        <v>0</v>
      </c>
      <c r="M99" s="9">
        <v>2000</v>
      </c>
      <c r="N99" s="9">
        <v>0</v>
      </c>
      <c r="O99" s="9">
        <v>1500</v>
      </c>
      <c r="P99" s="9">
        <v>3333</v>
      </c>
      <c r="Q99" s="9">
        <v>1500</v>
      </c>
      <c r="R99" s="9">
        <v>0</v>
      </c>
      <c r="S99" s="9">
        <v>1666.6666666666667</v>
      </c>
      <c r="T99" s="9"/>
      <c r="U99" s="4">
        <f t="shared" si="2"/>
        <v>3333</v>
      </c>
      <c r="W99" s="4">
        <v>600</v>
      </c>
      <c r="X99" s="4">
        <v>1066</v>
      </c>
      <c r="Y99" s="4">
        <v>1000</v>
      </c>
      <c r="Z99" s="4">
        <v>234</v>
      </c>
      <c r="AA99" s="4">
        <v>600</v>
      </c>
      <c r="AB99" s="4">
        <v>952</v>
      </c>
      <c r="AC99" s="4">
        <v>1000</v>
      </c>
      <c r="AD99" s="4">
        <v>692</v>
      </c>
      <c r="AE99" s="4">
        <v>1000</v>
      </c>
      <c r="AF99" s="4">
        <v>598</v>
      </c>
      <c r="AG99" s="4">
        <v>1000</v>
      </c>
      <c r="AH99" s="4">
        <v>160</v>
      </c>
      <c r="AI99" s="7">
        <f t="shared" si="3"/>
        <v>27234.666666666664</v>
      </c>
      <c r="AJ99" s="7"/>
    </row>
    <row r="100" spans="1:36" x14ac:dyDescent="0.3">
      <c r="A100" s="12" t="s">
        <v>1015</v>
      </c>
      <c r="B100" s="12" t="s">
        <v>863</v>
      </c>
      <c r="C100" s="12" t="s">
        <v>1012</v>
      </c>
      <c r="D100" s="13">
        <v>7301084</v>
      </c>
      <c r="E100" s="12" t="s">
        <v>594</v>
      </c>
      <c r="F100" s="12" t="s">
        <v>3</v>
      </c>
      <c r="G100" s="9">
        <v>12000</v>
      </c>
      <c r="H100" s="9">
        <v>0</v>
      </c>
      <c r="I100" s="9">
        <v>20000</v>
      </c>
      <c r="J100" s="9">
        <v>0</v>
      </c>
      <c r="K100" s="9">
        <v>25000</v>
      </c>
      <c r="L100" s="9">
        <v>0</v>
      </c>
      <c r="M100" s="9">
        <v>20000</v>
      </c>
      <c r="N100" s="9">
        <v>40000</v>
      </c>
      <c r="O100" s="9">
        <v>30000</v>
      </c>
      <c r="P100" s="9">
        <v>0</v>
      </c>
      <c r="Q100" s="9">
        <v>30000</v>
      </c>
      <c r="R100" s="9">
        <v>0</v>
      </c>
      <c r="S100" s="9">
        <v>26666.666666666668</v>
      </c>
      <c r="T100" s="9"/>
      <c r="U100" s="4">
        <f t="shared" si="2"/>
        <v>40000</v>
      </c>
      <c r="W100" s="4">
        <v>15000</v>
      </c>
      <c r="X100" s="4">
        <v>0</v>
      </c>
      <c r="Y100" s="4">
        <v>25000</v>
      </c>
      <c r="Z100" s="4">
        <v>0</v>
      </c>
      <c r="AA100" s="4">
        <v>25000</v>
      </c>
      <c r="AB100" s="4">
        <v>0</v>
      </c>
      <c r="AC100" s="4">
        <v>16000</v>
      </c>
      <c r="AD100" s="4">
        <v>0</v>
      </c>
      <c r="AE100" s="4">
        <v>24000</v>
      </c>
      <c r="AF100" s="4">
        <v>0</v>
      </c>
      <c r="AG100" s="4">
        <v>12000</v>
      </c>
      <c r="AH100" s="4">
        <v>0</v>
      </c>
      <c r="AI100" s="7">
        <f t="shared" si="3"/>
        <v>360666.66666666663</v>
      </c>
      <c r="AJ100" s="7"/>
    </row>
    <row r="101" spans="1:36" x14ac:dyDescent="0.3">
      <c r="A101" s="12" t="s">
        <v>1015</v>
      </c>
      <c r="B101" s="12" t="s">
        <v>863</v>
      </c>
      <c r="C101" s="12" t="s">
        <v>1012</v>
      </c>
      <c r="D101" s="13">
        <v>7301085</v>
      </c>
      <c r="E101" s="12" t="s">
        <v>595</v>
      </c>
      <c r="F101" s="12" t="s">
        <v>3</v>
      </c>
      <c r="G101" s="9">
        <v>30000</v>
      </c>
      <c r="H101" s="9">
        <v>0</v>
      </c>
      <c r="I101" s="9">
        <v>30000</v>
      </c>
      <c r="J101" s="9">
        <v>40000</v>
      </c>
      <c r="K101" s="9">
        <v>30000</v>
      </c>
      <c r="L101" s="9">
        <v>40000</v>
      </c>
      <c r="M101" s="9">
        <v>30000</v>
      </c>
      <c r="N101" s="9">
        <v>40000</v>
      </c>
      <c r="O101" s="9">
        <v>30000</v>
      </c>
      <c r="P101" s="9">
        <v>40000</v>
      </c>
      <c r="Q101" s="9">
        <v>30000</v>
      </c>
      <c r="R101" s="9">
        <v>0</v>
      </c>
      <c r="S101" s="9">
        <v>30000</v>
      </c>
      <c r="T101" s="9"/>
      <c r="U101" s="4">
        <f t="shared" si="2"/>
        <v>160000</v>
      </c>
      <c r="W101" s="4">
        <v>30000</v>
      </c>
      <c r="X101" s="4">
        <v>26703</v>
      </c>
      <c r="Y101" s="4">
        <v>30000</v>
      </c>
      <c r="Z101" s="4">
        <v>24758</v>
      </c>
      <c r="AA101" s="4">
        <v>25000</v>
      </c>
      <c r="AB101" s="4">
        <v>30022</v>
      </c>
      <c r="AC101" s="4">
        <v>30000</v>
      </c>
      <c r="AD101" s="4">
        <v>34932</v>
      </c>
      <c r="AE101" s="4">
        <v>35000</v>
      </c>
      <c r="AF101" s="4">
        <v>28470</v>
      </c>
      <c r="AG101" s="4">
        <v>32000</v>
      </c>
      <c r="AH101" s="4">
        <v>28950</v>
      </c>
      <c r="AI101" s="7">
        <f t="shared" si="3"/>
        <v>885835</v>
      </c>
      <c r="AJ101" s="7"/>
    </row>
    <row r="102" spans="1:36" x14ac:dyDescent="0.3">
      <c r="A102" s="12" t="s">
        <v>1011</v>
      </c>
      <c r="B102" s="12" t="s">
        <v>863</v>
      </c>
      <c r="C102" s="12" t="s">
        <v>1012</v>
      </c>
      <c r="D102" s="13">
        <v>7301193</v>
      </c>
      <c r="E102" s="12" t="s">
        <v>596</v>
      </c>
      <c r="F102" s="12" t="s">
        <v>3</v>
      </c>
      <c r="G102" s="9">
        <v>49</v>
      </c>
      <c r="H102" s="9">
        <v>50</v>
      </c>
      <c r="I102" s="9">
        <v>49</v>
      </c>
      <c r="J102" s="9">
        <v>50</v>
      </c>
      <c r="K102" s="9">
        <v>49</v>
      </c>
      <c r="L102" s="9">
        <v>50</v>
      </c>
      <c r="M102" s="9">
        <v>49</v>
      </c>
      <c r="N102" s="9">
        <v>50</v>
      </c>
      <c r="O102" s="9">
        <v>49</v>
      </c>
      <c r="P102" s="9">
        <v>50</v>
      </c>
      <c r="Q102" s="9">
        <v>49</v>
      </c>
      <c r="R102" s="9">
        <v>50</v>
      </c>
      <c r="S102" s="9">
        <v>49</v>
      </c>
      <c r="T102" s="9"/>
      <c r="U102" s="4">
        <f t="shared" si="2"/>
        <v>300</v>
      </c>
      <c r="W102" s="4">
        <v>57</v>
      </c>
      <c r="X102" s="4">
        <v>58</v>
      </c>
      <c r="Y102" s="4">
        <v>58</v>
      </c>
      <c r="Z102" s="4">
        <v>41</v>
      </c>
      <c r="AA102" s="4">
        <v>52</v>
      </c>
      <c r="AB102" s="4">
        <v>66</v>
      </c>
      <c r="AC102" s="4">
        <v>59</v>
      </c>
      <c r="AD102" s="4">
        <v>42</v>
      </c>
      <c r="AE102" s="4">
        <v>60</v>
      </c>
      <c r="AF102" s="4">
        <v>47</v>
      </c>
      <c r="AG102" s="4">
        <v>53</v>
      </c>
      <c r="AH102" s="4">
        <v>50</v>
      </c>
      <c r="AI102" s="7">
        <f t="shared" si="3"/>
        <v>1586</v>
      </c>
      <c r="AJ102" s="7"/>
    </row>
    <row r="103" spans="1:36" x14ac:dyDescent="0.3">
      <c r="A103" s="12" t="s">
        <v>1011</v>
      </c>
      <c r="B103" s="12" t="s">
        <v>863</v>
      </c>
      <c r="C103" s="12" t="s">
        <v>1012</v>
      </c>
      <c r="D103" s="13">
        <v>7301194</v>
      </c>
      <c r="E103" s="12" t="s">
        <v>597</v>
      </c>
      <c r="F103" s="12" t="s">
        <v>3</v>
      </c>
      <c r="G103" s="9">
        <v>26</v>
      </c>
      <c r="H103" s="9">
        <v>20</v>
      </c>
      <c r="I103" s="9">
        <v>26</v>
      </c>
      <c r="J103" s="9">
        <v>20</v>
      </c>
      <c r="K103" s="9">
        <v>26</v>
      </c>
      <c r="L103" s="9">
        <v>20</v>
      </c>
      <c r="M103" s="9">
        <v>26</v>
      </c>
      <c r="N103" s="9">
        <v>20</v>
      </c>
      <c r="O103" s="9">
        <v>26</v>
      </c>
      <c r="P103" s="9">
        <v>20</v>
      </c>
      <c r="Q103" s="9">
        <v>26</v>
      </c>
      <c r="R103" s="9">
        <v>20</v>
      </c>
      <c r="S103" s="9">
        <v>26</v>
      </c>
      <c r="T103" s="9"/>
      <c r="U103" s="4">
        <f t="shared" si="2"/>
        <v>120</v>
      </c>
      <c r="W103" s="4">
        <v>26</v>
      </c>
      <c r="X103" s="4">
        <v>34</v>
      </c>
      <c r="Y103" s="4">
        <v>29</v>
      </c>
      <c r="Z103" s="4">
        <v>30</v>
      </c>
      <c r="AA103" s="4">
        <v>30</v>
      </c>
      <c r="AB103" s="4">
        <v>21</v>
      </c>
      <c r="AC103" s="4">
        <v>28</v>
      </c>
      <c r="AD103" s="4">
        <v>20</v>
      </c>
      <c r="AE103" s="4">
        <v>30</v>
      </c>
      <c r="AF103" s="4">
        <v>21</v>
      </c>
      <c r="AG103" s="4">
        <v>25</v>
      </c>
      <c r="AH103" s="4">
        <v>34</v>
      </c>
      <c r="AI103" s="7">
        <f t="shared" si="3"/>
        <v>750</v>
      </c>
      <c r="AJ103" s="7"/>
    </row>
    <row r="104" spans="1:36" x14ac:dyDescent="0.3">
      <c r="A104" s="12" t="s">
        <v>1011</v>
      </c>
      <c r="B104" s="12" t="s">
        <v>863</v>
      </c>
      <c r="C104" s="12" t="s">
        <v>1012</v>
      </c>
      <c r="D104" s="13">
        <v>7301195</v>
      </c>
      <c r="E104" s="12" t="s">
        <v>598</v>
      </c>
      <c r="F104" s="12" t="s">
        <v>3</v>
      </c>
      <c r="G104" s="9">
        <v>49</v>
      </c>
      <c r="H104" s="9">
        <v>60</v>
      </c>
      <c r="I104" s="9">
        <v>49</v>
      </c>
      <c r="J104" s="9">
        <v>60</v>
      </c>
      <c r="K104" s="9">
        <v>49</v>
      </c>
      <c r="L104" s="9">
        <v>60</v>
      </c>
      <c r="M104" s="9">
        <v>49</v>
      </c>
      <c r="N104" s="9">
        <v>60</v>
      </c>
      <c r="O104" s="9">
        <v>49</v>
      </c>
      <c r="P104" s="9">
        <v>60</v>
      </c>
      <c r="Q104" s="9">
        <v>49</v>
      </c>
      <c r="R104" s="9">
        <v>60</v>
      </c>
      <c r="S104" s="9">
        <v>49</v>
      </c>
      <c r="T104" s="9"/>
      <c r="U104" s="4">
        <f t="shared" si="2"/>
        <v>360</v>
      </c>
      <c r="W104" s="4">
        <v>57</v>
      </c>
      <c r="X104" s="4">
        <v>45</v>
      </c>
      <c r="Y104" s="4">
        <v>56</v>
      </c>
      <c r="Z104" s="4">
        <v>49</v>
      </c>
      <c r="AA104" s="4">
        <v>54</v>
      </c>
      <c r="AB104" s="4">
        <v>59</v>
      </c>
      <c r="AC104" s="4">
        <v>57</v>
      </c>
      <c r="AD104" s="4">
        <v>31</v>
      </c>
      <c r="AE104" s="4">
        <v>60</v>
      </c>
      <c r="AF104" s="4">
        <v>51</v>
      </c>
      <c r="AG104" s="4">
        <v>51</v>
      </c>
      <c r="AH104" s="4">
        <v>51</v>
      </c>
      <c r="AI104" s="7">
        <f t="shared" si="3"/>
        <v>1684</v>
      </c>
      <c r="AJ104" s="7"/>
    </row>
    <row r="105" spans="1:36" x14ac:dyDescent="0.3">
      <c r="A105" s="12" t="s">
        <v>1011</v>
      </c>
      <c r="B105" s="12" t="s">
        <v>863</v>
      </c>
      <c r="C105" s="12" t="s">
        <v>1012</v>
      </c>
      <c r="D105" s="13">
        <v>7301196</v>
      </c>
      <c r="E105" s="12" t="s">
        <v>599</v>
      </c>
      <c r="F105" s="12" t="s">
        <v>3</v>
      </c>
      <c r="G105" s="9">
        <v>144</v>
      </c>
      <c r="H105" s="9">
        <v>150</v>
      </c>
      <c r="I105" s="9">
        <v>145</v>
      </c>
      <c r="J105" s="9">
        <v>150</v>
      </c>
      <c r="K105" s="9">
        <v>147</v>
      </c>
      <c r="L105" s="9">
        <v>150</v>
      </c>
      <c r="M105" s="9">
        <v>149</v>
      </c>
      <c r="N105" s="9">
        <v>150</v>
      </c>
      <c r="O105" s="9">
        <v>151</v>
      </c>
      <c r="P105" s="9">
        <v>150</v>
      </c>
      <c r="Q105" s="9">
        <v>152</v>
      </c>
      <c r="R105" s="9">
        <v>150</v>
      </c>
      <c r="S105" s="9">
        <v>150.66666666666666</v>
      </c>
      <c r="T105" s="9"/>
      <c r="U105" s="4">
        <f t="shared" si="2"/>
        <v>900</v>
      </c>
      <c r="W105" s="4">
        <v>138</v>
      </c>
      <c r="X105" s="4">
        <v>142</v>
      </c>
      <c r="Y105" s="4">
        <v>143</v>
      </c>
      <c r="Z105" s="4">
        <v>118</v>
      </c>
      <c r="AA105" s="4">
        <v>141</v>
      </c>
      <c r="AB105" s="4">
        <v>157</v>
      </c>
      <c r="AC105" s="4">
        <v>144</v>
      </c>
      <c r="AD105" s="4">
        <v>129</v>
      </c>
      <c r="AE105" s="4">
        <v>150</v>
      </c>
      <c r="AF105" s="4">
        <v>116</v>
      </c>
      <c r="AG105" s="4">
        <v>134</v>
      </c>
      <c r="AH105" s="4">
        <v>159</v>
      </c>
      <c r="AI105" s="7">
        <f t="shared" si="3"/>
        <v>4509.666666666667</v>
      </c>
      <c r="AJ105" s="7"/>
    </row>
    <row r="106" spans="1:36" x14ac:dyDescent="0.3">
      <c r="A106" s="12" t="s">
        <v>1011</v>
      </c>
      <c r="B106" s="12" t="s">
        <v>863</v>
      </c>
      <c r="C106" s="12" t="s">
        <v>1012</v>
      </c>
      <c r="D106" s="13">
        <v>7301197</v>
      </c>
      <c r="E106" s="12" t="s">
        <v>600</v>
      </c>
      <c r="F106" s="12" t="s">
        <v>3</v>
      </c>
      <c r="G106" s="9">
        <v>6</v>
      </c>
      <c r="H106" s="9">
        <v>10</v>
      </c>
      <c r="I106" s="9">
        <v>6</v>
      </c>
      <c r="J106" s="9">
        <v>10</v>
      </c>
      <c r="K106" s="9">
        <v>6</v>
      </c>
      <c r="L106" s="9">
        <v>10</v>
      </c>
      <c r="M106" s="9">
        <v>6</v>
      </c>
      <c r="N106" s="9">
        <v>10</v>
      </c>
      <c r="O106" s="9">
        <v>6</v>
      </c>
      <c r="P106" s="9">
        <v>10</v>
      </c>
      <c r="Q106" s="9">
        <v>6</v>
      </c>
      <c r="R106" s="9">
        <v>10</v>
      </c>
      <c r="S106" s="9">
        <v>6</v>
      </c>
      <c r="T106" s="9"/>
      <c r="U106" s="4">
        <f t="shared" si="2"/>
        <v>60</v>
      </c>
      <c r="W106" s="4">
        <v>4</v>
      </c>
      <c r="X106" s="4">
        <v>0</v>
      </c>
      <c r="Y106" s="4">
        <v>2</v>
      </c>
      <c r="Z106" s="4">
        <v>4</v>
      </c>
      <c r="AA106" s="4">
        <v>2</v>
      </c>
      <c r="AB106" s="4">
        <v>3</v>
      </c>
      <c r="AC106" s="4">
        <v>2</v>
      </c>
      <c r="AD106" s="4">
        <v>7</v>
      </c>
      <c r="AE106" s="4">
        <v>4</v>
      </c>
      <c r="AF106" s="4">
        <v>6</v>
      </c>
      <c r="AG106" s="4">
        <v>5</v>
      </c>
      <c r="AH106" s="4">
        <v>10</v>
      </c>
      <c r="AI106" s="7">
        <f t="shared" si="3"/>
        <v>211</v>
      </c>
      <c r="AJ106" s="7"/>
    </row>
    <row r="107" spans="1:36" x14ac:dyDescent="0.3">
      <c r="A107" s="12" t="s">
        <v>1011</v>
      </c>
      <c r="B107" s="12" t="s">
        <v>863</v>
      </c>
      <c r="C107" s="12" t="s">
        <v>1012</v>
      </c>
      <c r="D107" s="13">
        <v>7301203</v>
      </c>
      <c r="E107" s="12" t="s">
        <v>601</v>
      </c>
      <c r="F107" s="12" t="s">
        <v>3</v>
      </c>
      <c r="G107" s="9">
        <v>0</v>
      </c>
      <c r="H107" s="9">
        <v>0</v>
      </c>
      <c r="I107" s="9">
        <v>0</v>
      </c>
      <c r="J107" s="9">
        <v>0</v>
      </c>
      <c r="K107" s="9">
        <v>0</v>
      </c>
      <c r="L107" s="9">
        <v>10</v>
      </c>
      <c r="M107" s="9">
        <v>0</v>
      </c>
      <c r="N107" s="9">
        <v>0</v>
      </c>
      <c r="O107" s="9">
        <v>0</v>
      </c>
      <c r="P107" s="9">
        <v>0</v>
      </c>
      <c r="Q107" s="9">
        <v>0</v>
      </c>
      <c r="R107" s="9">
        <v>0</v>
      </c>
      <c r="S107" s="9">
        <v>0</v>
      </c>
      <c r="T107" s="9"/>
      <c r="U107" s="4">
        <f t="shared" si="2"/>
        <v>10</v>
      </c>
      <c r="W107" s="4">
        <v>2</v>
      </c>
      <c r="X107" s="4">
        <v>2</v>
      </c>
      <c r="Y107" s="4">
        <v>1</v>
      </c>
      <c r="Z107" s="4">
        <v>1</v>
      </c>
      <c r="AA107" s="4">
        <v>1</v>
      </c>
      <c r="AB107" s="4">
        <v>5</v>
      </c>
      <c r="AC107" s="4">
        <v>3</v>
      </c>
      <c r="AD107" s="4">
        <v>1</v>
      </c>
      <c r="AE107" s="4">
        <v>3</v>
      </c>
      <c r="AF107" s="4">
        <v>0</v>
      </c>
      <c r="AG107" s="4">
        <v>2</v>
      </c>
      <c r="AH107" s="4">
        <v>0</v>
      </c>
      <c r="AI107" s="7">
        <f t="shared" si="3"/>
        <v>41</v>
      </c>
      <c r="AJ107" s="7"/>
    </row>
    <row r="108" spans="1:36" x14ac:dyDescent="0.3">
      <c r="A108" s="12" t="s">
        <v>1011</v>
      </c>
      <c r="B108" s="12" t="s">
        <v>863</v>
      </c>
      <c r="C108" s="12" t="s">
        <v>1012</v>
      </c>
      <c r="D108" s="13">
        <v>7301204</v>
      </c>
      <c r="E108" s="12" t="s">
        <v>602</v>
      </c>
      <c r="F108" s="12" t="s">
        <v>3</v>
      </c>
      <c r="G108" s="9">
        <v>2</v>
      </c>
      <c r="H108" s="9">
        <v>0</v>
      </c>
      <c r="I108" s="9">
        <v>2</v>
      </c>
      <c r="J108" s="9">
        <v>0</v>
      </c>
      <c r="K108" s="9">
        <v>2</v>
      </c>
      <c r="L108" s="9">
        <v>10</v>
      </c>
      <c r="M108" s="9">
        <v>2</v>
      </c>
      <c r="N108" s="9">
        <v>0</v>
      </c>
      <c r="O108" s="9">
        <v>2</v>
      </c>
      <c r="P108" s="9">
        <v>0</v>
      </c>
      <c r="Q108" s="9">
        <v>2</v>
      </c>
      <c r="R108" s="9">
        <v>0</v>
      </c>
      <c r="S108" s="9">
        <v>2</v>
      </c>
      <c r="T108" s="9"/>
      <c r="U108" s="4">
        <f t="shared" si="2"/>
        <v>10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  <c r="AB108" s="4">
        <v>3</v>
      </c>
      <c r="AC108" s="4">
        <v>2</v>
      </c>
      <c r="AD108" s="4">
        <v>0</v>
      </c>
      <c r="AE108" s="4">
        <v>1</v>
      </c>
      <c r="AF108" s="4">
        <v>1</v>
      </c>
      <c r="AG108" s="4">
        <v>1</v>
      </c>
      <c r="AH108" s="4">
        <v>2</v>
      </c>
      <c r="AI108" s="7">
        <f t="shared" si="3"/>
        <v>49</v>
      </c>
      <c r="AJ108" s="7"/>
    </row>
    <row r="109" spans="1:36" x14ac:dyDescent="0.3">
      <c r="A109" s="12" t="s">
        <v>1011</v>
      </c>
      <c r="B109" s="12" t="s">
        <v>863</v>
      </c>
      <c r="C109" s="12" t="s">
        <v>1012</v>
      </c>
      <c r="D109" s="13">
        <v>7301205</v>
      </c>
      <c r="E109" s="12" t="s">
        <v>603</v>
      </c>
      <c r="F109" s="12" t="s">
        <v>3</v>
      </c>
      <c r="G109" s="9">
        <v>46</v>
      </c>
      <c r="H109" s="9">
        <v>50</v>
      </c>
      <c r="I109" s="9">
        <v>46</v>
      </c>
      <c r="J109" s="9">
        <v>50</v>
      </c>
      <c r="K109" s="9">
        <v>46</v>
      </c>
      <c r="L109" s="9">
        <v>50</v>
      </c>
      <c r="M109" s="9">
        <v>46</v>
      </c>
      <c r="N109" s="9">
        <v>50</v>
      </c>
      <c r="O109" s="9">
        <v>46</v>
      </c>
      <c r="P109" s="9">
        <v>50</v>
      </c>
      <c r="Q109" s="9">
        <v>46</v>
      </c>
      <c r="R109" s="9">
        <v>50</v>
      </c>
      <c r="S109" s="9">
        <v>46</v>
      </c>
      <c r="T109" s="9"/>
      <c r="U109" s="4">
        <f t="shared" si="2"/>
        <v>300</v>
      </c>
      <c r="W109" s="4">
        <v>45</v>
      </c>
      <c r="X109" s="4">
        <v>49</v>
      </c>
      <c r="Y109" s="4">
        <v>45</v>
      </c>
      <c r="Z109" s="4">
        <v>41</v>
      </c>
      <c r="AA109" s="4">
        <v>45</v>
      </c>
      <c r="AB109" s="4">
        <v>50</v>
      </c>
      <c r="AC109" s="4">
        <v>44</v>
      </c>
      <c r="AD109" s="4">
        <v>46</v>
      </c>
      <c r="AE109" s="4">
        <v>50</v>
      </c>
      <c r="AF109" s="4">
        <v>41</v>
      </c>
      <c r="AG109" s="4">
        <v>44</v>
      </c>
      <c r="AH109" s="4">
        <v>51</v>
      </c>
      <c r="AI109" s="7">
        <f t="shared" si="3"/>
        <v>1473</v>
      </c>
      <c r="AJ109" s="7"/>
    </row>
    <row r="110" spans="1:36" x14ac:dyDescent="0.3">
      <c r="A110" s="12" t="s">
        <v>1011</v>
      </c>
      <c r="B110" s="12" t="s">
        <v>863</v>
      </c>
      <c r="C110" s="12" t="s">
        <v>1012</v>
      </c>
      <c r="D110" s="13">
        <v>7301206</v>
      </c>
      <c r="E110" s="12" t="s">
        <v>604</v>
      </c>
      <c r="F110" s="12" t="s">
        <v>3</v>
      </c>
      <c r="G110" s="9">
        <v>10</v>
      </c>
      <c r="H110" s="9">
        <v>10</v>
      </c>
      <c r="I110" s="9">
        <v>10</v>
      </c>
      <c r="J110" s="9">
        <v>10</v>
      </c>
      <c r="K110" s="9">
        <v>10</v>
      </c>
      <c r="L110" s="9">
        <v>10</v>
      </c>
      <c r="M110" s="9">
        <v>10</v>
      </c>
      <c r="N110" s="9">
        <v>10</v>
      </c>
      <c r="O110" s="9">
        <v>10</v>
      </c>
      <c r="P110" s="9">
        <v>10</v>
      </c>
      <c r="Q110" s="9">
        <v>10</v>
      </c>
      <c r="R110" s="9">
        <v>10</v>
      </c>
      <c r="S110" s="9">
        <v>10</v>
      </c>
      <c r="T110" s="9"/>
      <c r="U110" s="4">
        <f t="shared" si="2"/>
        <v>60</v>
      </c>
      <c r="W110" s="4">
        <v>9</v>
      </c>
      <c r="X110" s="4">
        <v>8</v>
      </c>
      <c r="Y110" s="4">
        <v>10</v>
      </c>
      <c r="Z110" s="4">
        <v>15</v>
      </c>
      <c r="AA110" s="4">
        <v>10</v>
      </c>
      <c r="AB110" s="4">
        <v>5</v>
      </c>
      <c r="AC110" s="4">
        <v>9</v>
      </c>
      <c r="AD110" s="4">
        <v>10</v>
      </c>
      <c r="AE110" s="4">
        <v>12</v>
      </c>
      <c r="AF110" s="4">
        <v>11</v>
      </c>
      <c r="AG110" s="4">
        <v>10</v>
      </c>
      <c r="AH110" s="4">
        <v>11</v>
      </c>
      <c r="AI110" s="7">
        <f t="shared" si="3"/>
        <v>310</v>
      </c>
      <c r="AJ110" s="7"/>
    </row>
    <row r="111" spans="1:36" x14ac:dyDescent="0.3">
      <c r="A111" s="12" t="s">
        <v>1011</v>
      </c>
      <c r="B111" s="12" t="s">
        <v>863</v>
      </c>
      <c r="C111" s="12" t="s">
        <v>1012</v>
      </c>
      <c r="D111" s="13">
        <v>7301212</v>
      </c>
      <c r="E111" s="12" t="s">
        <v>605</v>
      </c>
      <c r="F111" s="12" t="s">
        <v>3</v>
      </c>
      <c r="G111" s="9">
        <v>208</v>
      </c>
      <c r="H111" s="9">
        <v>0</v>
      </c>
      <c r="I111" s="9">
        <v>211</v>
      </c>
      <c r="J111" s="9">
        <v>0</v>
      </c>
      <c r="K111" s="9">
        <v>213</v>
      </c>
      <c r="L111" s="9">
        <v>0</v>
      </c>
      <c r="M111" s="9">
        <v>216</v>
      </c>
      <c r="N111" s="9">
        <v>0</v>
      </c>
      <c r="O111" s="9">
        <v>218</v>
      </c>
      <c r="P111" s="9">
        <v>2667</v>
      </c>
      <c r="Q111" s="9">
        <v>221</v>
      </c>
      <c r="R111" s="9">
        <v>0</v>
      </c>
      <c r="S111" s="9">
        <v>218.33333333333334</v>
      </c>
      <c r="T111" s="9"/>
      <c r="U111" s="4">
        <f t="shared" si="2"/>
        <v>2667</v>
      </c>
      <c r="W111" s="4">
        <v>201</v>
      </c>
      <c r="X111" s="4">
        <v>208</v>
      </c>
      <c r="Y111" s="4">
        <v>203</v>
      </c>
      <c r="Z111" s="4">
        <v>146</v>
      </c>
      <c r="AA111" s="4">
        <v>179</v>
      </c>
      <c r="AB111" s="4">
        <v>267</v>
      </c>
      <c r="AC111" s="4">
        <v>207</v>
      </c>
      <c r="AD111" s="4">
        <v>179</v>
      </c>
      <c r="AE111" s="4">
        <v>208</v>
      </c>
      <c r="AF111" s="4">
        <v>209</v>
      </c>
      <c r="AG111" s="4">
        <v>218</v>
      </c>
      <c r="AH111" s="4">
        <v>194</v>
      </c>
      <c r="AI111" s="7">
        <f t="shared" si="3"/>
        <v>9258.3333333333321</v>
      </c>
      <c r="AJ111" s="7"/>
    </row>
    <row r="112" spans="1:36" x14ac:dyDescent="0.3">
      <c r="A112" s="12" t="s">
        <v>1015</v>
      </c>
      <c r="B112" s="12" t="s">
        <v>863</v>
      </c>
      <c r="C112" s="12" t="s">
        <v>1012</v>
      </c>
      <c r="D112" s="13">
        <v>7301235</v>
      </c>
      <c r="E112" s="12" t="s">
        <v>606</v>
      </c>
      <c r="F112" s="12" t="s">
        <v>3</v>
      </c>
      <c r="G112" s="9">
        <v>500</v>
      </c>
      <c r="H112" s="9">
        <v>0</v>
      </c>
      <c r="I112" s="9">
        <v>500</v>
      </c>
      <c r="J112" s="9">
        <v>0</v>
      </c>
      <c r="K112" s="9">
        <v>500</v>
      </c>
      <c r="L112" s="9">
        <v>0</v>
      </c>
      <c r="M112" s="9">
        <v>500</v>
      </c>
      <c r="N112" s="9">
        <v>0</v>
      </c>
      <c r="O112" s="9">
        <v>500</v>
      </c>
      <c r="P112" s="9">
        <v>0</v>
      </c>
      <c r="Q112" s="9">
        <v>500</v>
      </c>
      <c r="R112" s="9">
        <v>0</v>
      </c>
      <c r="S112" s="9">
        <v>500</v>
      </c>
      <c r="T112" s="9"/>
      <c r="U112" s="4">
        <f t="shared" si="2"/>
        <v>0</v>
      </c>
      <c r="W112" s="4">
        <v>2000</v>
      </c>
      <c r="X112" s="4">
        <v>524</v>
      </c>
      <c r="Y112" s="4">
        <v>600</v>
      </c>
      <c r="Z112" s="4">
        <v>450</v>
      </c>
      <c r="AA112" s="4">
        <v>1000</v>
      </c>
      <c r="AB112" s="4">
        <v>448</v>
      </c>
      <c r="AC112" s="4">
        <v>500</v>
      </c>
      <c r="AD112" s="4">
        <v>238</v>
      </c>
      <c r="AE112" s="4">
        <v>400</v>
      </c>
      <c r="AF112" s="4">
        <v>434</v>
      </c>
      <c r="AG112" s="4">
        <v>460</v>
      </c>
      <c r="AH112" s="4">
        <v>218</v>
      </c>
      <c r="AI112" s="7">
        <f t="shared" si="3"/>
        <v>10772</v>
      </c>
      <c r="AJ112" s="7"/>
    </row>
    <row r="113" spans="1:36" x14ac:dyDescent="0.3">
      <c r="A113" s="12" t="s">
        <v>1015</v>
      </c>
      <c r="B113" s="12" t="s">
        <v>863</v>
      </c>
      <c r="C113" s="12" t="s">
        <v>1012</v>
      </c>
      <c r="D113" s="13">
        <v>7301236</v>
      </c>
      <c r="E113" s="12" t="s">
        <v>607</v>
      </c>
      <c r="F113" s="12" t="s">
        <v>3</v>
      </c>
      <c r="G113" s="9">
        <v>1000</v>
      </c>
      <c r="H113" s="9">
        <v>0</v>
      </c>
      <c r="I113" s="9">
        <v>1000</v>
      </c>
      <c r="J113" s="9">
        <v>0</v>
      </c>
      <c r="K113" s="9">
        <v>1000</v>
      </c>
      <c r="L113" s="9">
        <v>0</v>
      </c>
      <c r="M113" s="9">
        <v>1000</v>
      </c>
      <c r="N113" s="9">
        <v>0</v>
      </c>
      <c r="O113" s="9">
        <v>1000</v>
      </c>
      <c r="P113" s="9">
        <v>0</v>
      </c>
      <c r="Q113" s="9">
        <v>1000</v>
      </c>
      <c r="R113" s="9">
        <v>0</v>
      </c>
      <c r="S113" s="9">
        <v>1000</v>
      </c>
      <c r="T113" s="9"/>
      <c r="U113" s="4">
        <f t="shared" si="2"/>
        <v>0</v>
      </c>
      <c r="W113" s="4">
        <v>3000</v>
      </c>
      <c r="X113" s="4">
        <v>1815</v>
      </c>
      <c r="Y113" s="4">
        <v>2000</v>
      </c>
      <c r="Z113" s="4">
        <v>1642</v>
      </c>
      <c r="AA113" s="4">
        <v>2000</v>
      </c>
      <c r="AB113" s="4">
        <v>1433</v>
      </c>
      <c r="AC113" s="4">
        <v>2000</v>
      </c>
      <c r="AD113" s="4">
        <v>1745</v>
      </c>
      <c r="AE113" s="4">
        <v>1500</v>
      </c>
      <c r="AF113" s="4">
        <v>3733</v>
      </c>
      <c r="AG113" s="4">
        <v>3000</v>
      </c>
      <c r="AH113" s="4">
        <v>2363</v>
      </c>
      <c r="AI113" s="7">
        <f t="shared" si="3"/>
        <v>33231</v>
      </c>
      <c r="AJ113" s="7"/>
    </row>
    <row r="114" spans="1:36" x14ac:dyDescent="0.3">
      <c r="A114" s="12" t="s">
        <v>1011</v>
      </c>
      <c r="B114" s="12" t="s">
        <v>863</v>
      </c>
      <c r="C114" s="12" t="s">
        <v>1012</v>
      </c>
      <c r="D114" s="13">
        <v>7301261</v>
      </c>
      <c r="E114" s="12" t="s">
        <v>608</v>
      </c>
      <c r="F114" s="12" t="s">
        <v>3</v>
      </c>
      <c r="G114" s="9">
        <v>57</v>
      </c>
      <c r="H114" s="9">
        <v>0</v>
      </c>
      <c r="I114" s="9">
        <v>57</v>
      </c>
      <c r="J114" s="9">
        <v>0</v>
      </c>
      <c r="K114" s="9">
        <v>57</v>
      </c>
      <c r="L114" s="9">
        <v>0</v>
      </c>
      <c r="M114" s="9">
        <v>57</v>
      </c>
      <c r="N114" s="9">
        <v>0</v>
      </c>
      <c r="O114" s="9">
        <v>57</v>
      </c>
      <c r="P114" s="9">
        <v>0</v>
      </c>
      <c r="Q114" s="9">
        <v>57</v>
      </c>
      <c r="R114" s="9">
        <v>0</v>
      </c>
      <c r="S114" s="9">
        <v>57</v>
      </c>
      <c r="T114" s="9"/>
      <c r="U114" s="4">
        <f t="shared" si="2"/>
        <v>0</v>
      </c>
      <c r="W114" s="4">
        <v>35</v>
      </c>
      <c r="X114" s="4">
        <v>46</v>
      </c>
      <c r="Y114" s="4">
        <v>34</v>
      </c>
      <c r="Z114" s="4">
        <v>38</v>
      </c>
      <c r="AA114" s="4">
        <v>35</v>
      </c>
      <c r="AB114" s="4">
        <v>72</v>
      </c>
      <c r="AC114" s="4">
        <v>38</v>
      </c>
      <c r="AD114" s="4">
        <v>54</v>
      </c>
      <c r="AE114" s="4">
        <v>42</v>
      </c>
      <c r="AF114" s="4">
        <v>50</v>
      </c>
      <c r="AG114" s="4">
        <v>47</v>
      </c>
      <c r="AH114" s="4">
        <v>77</v>
      </c>
      <c r="AI114" s="7">
        <f t="shared" si="3"/>
        <v>967</v>
      </c>
      <c r="AJ114" s="7"/>
    </row>
    <row r="115" spans="1:36" x14ac:dyDescent="0.3">
      <c r="A115" s="12" t="s">
        <v>1011</v>
      </c>
      <c r="B115" s="12" t="s">
        <v>863</v>
      </c>
      <c r="C115" s="12" t="s">
        <v>1012</v>
      </c>
      <c r="D115" s="13">
        <v>7301262</v>
      </c>
      <c r="E115" s="12" t="s">
        <v>609</v>
      </c>
      <c r="F115" s="12" t="s">
        <v>3</v>
      </c>
      <c r="G115" s="9">
        <v>70</v>
      </c>
      <c r="H115" s="9">
        <v>0</v>
      </c>
      <c r="I115" s="9">
        <v>70</v>
      </c>
      <c r="J115" s="9">
        <v>0</v>
      </c>
      <c r="K115" s="9">
        <v>70</v>
      </c>
      <c r="L115" s="9">
        <v>0</v>
      </c>
      <c r="M115" s="9">
        <v>70</v>
      </c>
      <c r="N115" s="9">
        <v>0</v>
      </c>
      <c r="O115" s="9">
        <v>70</v>
      </c>
      <c r="P115" s="9">
        <v>0</v>
      </c>
      <c r="Q115" s="9">
        <v>70</v>
      </c>
      <c r="R115" s="9">
        <v>0</v>
      </c>
      <c r="S115" s="9">
        <v>70</v>
      </c>
      <c r="T115" s="9"/>
      <c r="U115" s="4">
        <f t="shared" si="2"/>
        <v>0</v>
      </c>
      <c r="W115" s="4">
        <v>45</v>
      </c>
      <c r="X115" s="4">
        <v>54</v>
      </c>
      <c r="Y115" s="4">
        <v>42</v>
      </c>
      <c r="Z115" s="4">
        <v>50</v>
      </c>
      <c r="AA115" s="4">
        <v>44</v>
      </c>
      <c r="AB115" s="4">
        <v>95</v>
      </c>
      <c r="AC115" s="4">
        <v>50</v>
      </c>
      <c r="AD115" s="4">
        <v>54</v>
      </c>
      <c r="AE115" s="4">
        <v>54</v>
      </c>
      <c r="AF115" s="4">
        <v>58</v>
      </c>
      <c r="AG115" s="4">
        <v>58</v>
      </c>
      <c r="AH115" s="4">
        <v>108</v>
      </c>
      <c r="AI115" s="7">
        <f t="shared" si="3"/>
        <v>1202</v>
      </c>
      <c r="AJ115" s="7"/>
    </row>
    <row r="116" spans="1:36" x14ac:dyDescent="0.3">
      <c r="A116" s="12" t="s">
        <v>1011</v>
      </c>
      <c r="B116" s="12" t="s">
        <v>863</v>
      </c>
      <c r="C116" s="12" t="s">
        <v>1012</v>
      </c>
      <c r="D116" s="13">
        <v>7301263</v>
      </c>
      <c r="E116" s="12" t="s">
        <v>610</v>
      </c>
      <c r="F116" s="12" t="s">
        <v>3</v>
      </c>
      <c r="G116" s="9">
        <v>71</v>
      </c>
      <c r="H116" s="9">
        <v>0</v>
      </c>
      <c r="I116" s="9">
        <v>71</v>
      </c>
      <c r="J116" s="9">
        <v>0</v>
      </c>
      <c r="K116" s="9">
        <v>71</v>
      </c>
      <c r="L116" s="9">
        <v>0</v>
      </c>
      <c r="M116" s="9">
        <v>71</v>
      </c>
      <c r="N116" s="9">
        <v>0</v>
      </c>
      <c r="O116" s="9">
        <v>71</v>
      </c>
      <c r="P116" s="9">
        <v>0</v>
      </c>
      <c r="Q116" s="9">
        <v>71</v>
      </c>
      <c r="R116" s="9">
        <v>0</v>
      </c>
      <c r="S116" s="9">
        <v>71</v>
      </c>
      <c r="T116" s="9"/>
      <c r="U116" s="4">
        <f t="shared" si="2"/>
        <v>0</v>
      </c>
      <c r="W116" s="4">
        <v>43</v>
      </c>
      <c r="X116" s="4">
        <v>55</v>
      </c>
      <c r="Y116" s="4">
        <v>42</v>
      </c>
      <c r="Z116" s="4">
        <v>54</v>
      </c>
      <c r="AA116" s="4">
        <v>44</v>
      </c>
      <c r="AB116" s="4">
        <v>98</v>
      </c>
      <c r="AC116" s="4">
        <v>51</v>
      </c>
      <c r="AD116" s="4">
        <v>60</v>
      </c>
      <c r="AE116" s="4">
        <v>56</v>
      </c>
      <c r="AF116" s="4">
        <v>55</v>
      </c>
      <c r="AG116" s="4">
        <v>59</v>
      </c>
      <c r="AH116" s="4">
        <v>104</v>
      </c>
      <c r="AI116" s="7">
        <f t="shared" si="3"/>
        <v>1218</v>
      </c>
      <c r="AJ116" s="7"/>
    </row>
    <row r="117" spans="1:36" x14ac:dyDescent="0.3">
      <c r="A117" s="12" t="s">
        <v>1011</v>
      </c>
      <c r="B117" s="12" t="s">
        <v>863</v>
      </c>
      <c r="C117" s="12" t="s">
        <v>1012</v>
      </c>
      <c r="D117" s="13">
        <v>7301264</v>
      </c>
      <c r="E117" s="12" t="s">
        <v>611</v>
      </c>
      <c r="F117" s="12" t="s">
        <v>3</v>
      </c>
      <c r="G117" s="9">
        <v>64</v>
      </c>
      <c r="H117" s="9">
        <v>0</v>
      </c>
      <c r="I117" s="9">
        <v>64</v>
      </c>
      <c r="J117" s="9">
        <v>0</v>
      </c>
      <c r="K117" s="9">
        <v>64</v>
      </c>
      <c r="L117" s="9">
        <v>0</v>
      </c>
      <c r="M117" s="9">
        <v>64</v>
      </c>
      <c r="N117" s="9">
        <v>0</v>
      </c>
      <c r="O117" s="9">
        <v>64</v>
      </c>
      <c r="P117" s="9">
        <v>0</v>
      </c>
      <c r="Q117" s="9">
        <v>64</v>
      </c>
      <c r="R117" s="9">
        <v>0</v>
      </c>
      <c r="S117" s="9">
        <v>64</v>
      </c>
      <c r="T117" s="9"/>
      <c r="U117" s="4">
        <f t="shared" si="2"/>
        <v>0</v>
      </c>
      <c r="W117" s="4">
        <v>40</v>
      </c>
      <c r="X117" s="4">
        <v>49</v>
      </c>
      <c r="Y117" s="4">
        <v>38</v>
      </c>
      <c r="Z117" s="4">
        <v>41</v>
      </c>
      <c r="AA117" s="4">
        <v>39</v>
      </c>
      <c r="AB117" s="4">
        <v>81</v>
      </c>
      <c r="AC117" s="4">
        <v>43</v>
      </c>
      <c r="AD117" s="4">
        <v>57</v>
      </c>
      <c r="AE117" s="4">
        <v>48</v>
      </c>
      <c r="AF117" s="4">
        <v>49</v>
      </c>
      <c r="AG117" s="4">
        <v>51</v>
      </c>
      <c r="AH117" s="4">
        <v>99</v>
      </c>
      <c r="AI117" s="7">
        <f t="shared" si="3"/>
        <v>1083</v>
      </c>
      <c r="AJ117" s="7"/>
    </row>
    <row r="118" spans="1:36" x14ac:dyDescent="0.3">
      <c r="A118" s="12" t="s">
        <v>1015</v>
      </c>
      <c r="B118" s="12" t="s">
        <v>863</v>
      </c>
      <c r="C118" s="12" t="s">
        <v>1012</v>
      </c>
      <c r="D118" s="13">
        <v>7301312</v>
      </c>
      <c r="E118" s="12" t="s">
        <v>612</v>
      </c>
      <c r="F118" s="12" t="s">
        <v>3</v>
      </c>
      <c r="G118" s="9">
        <v>11000</v>
      </c>
      <c r="H118" s="9">
        <v>13000</v>
      </c>
      <c r="I118" s="9">
        <v>11000</v>
      </c>
      <c r="J118" s="9">
        <v>15000</v>
      </c>
      <c r="K118" s="9">
        <v>11000</v>
      </c>
      <c r="L118" s="9">
        <v>20000</v>
      </c>
      <c r="M118" s="9">
        <v>11000</v>
      </c>
      <c r="N118" s="9">
        <v>12600</v>
      </c>
      <c r="O118" s="9">
        <v>11000</v>
      </c>
      <c r="P118" s="9">
        <v>18000</v>
      </c>
      <c r="Q118" s="9">
        <v>11000</v>
      </c>
      <c r="R118" s="9">
        <v>0</v>
      </c>
      <c r="S118" s="9">
        <v>11000</v>
      </c>
      <c r="T118" s="9"/>
      <c r="U118" s="4">
        <f t="shared" si="2"/>
        <v>78600</v>
      </c>
      <c r="W118" s="4">
        <v>8000</v>
      </c>
      <c r="X118" s="4">
        <v>7762</v>
      </c>
      <c r="Y118" s="4">
        <v>8000</v>
      </c>
      <c r="Z118" s="4">
        <v>7560</v>
      </c>
      <c r="AA118" s="4">
        <v>8000</v>
      </c>
      <c r="AB118" s="4">
        <v>9872</v>
      </c>
      <c r="AC118" s="4">
        <v>9000</v>
      </c>
      <c r="AD118" s="4">
        <v>11796</v>
      </c>
      <c r="AE118" s="4">
        <v>11000</v>
      </c>
      <c r="AF118" s="4">
        <v>10610</v>
      </c>
      <c r="AG118" s="4">
        <v>12000</v>
      </c>
      <c r="AH118" s="4">
        <v>9480</v>
      </c>
      <c r="AI118" s="7">
        <f t="shared" si="3"/>
        <v>347280</v>
      </c>
      <c r="AJ118" s="7"/>
    </row>
    <row r="119" spans="1:36" x14ac:dyDescent="0.3">
      <c r="A119" s="12" t="s">
        <v>1015</v>
      </c>
      <c r="B119" s="12" t="s">
        <v>863</v>
      </c>
      <c r="C119" s="12" t="s">
        <v>1012</v>
      </c>
      <c r="D119" s="13">
        <v>7301322</v>
      </c>
      <c r="E119" s="12" t="s">
        <v>613</v>
      </c>
      <c r="F119" s="12" t="s">
        <v>3</v>
      </c>
      <c r="G119" s="9">
        <v>500</v>
      </c>
      <c r="H119" s="9">
        <v>0</v>
      </c>
      <c r="I119" s="9">
        <v>500</v>
      </c>
      <c r="J119" s="9">
        <v>0</v>
      </c>
      <c r="K119" s="9">
        <v>500</v>
      </c>
      <c r="L119" s="9">
        <v>0</v>
      </c>
      <c r="M119" s="9">
        <v>500</v>
      </c>
      <c r="N119" s="9">
        <v>0</v>
      </c>
      <c r="O119" s="9">
        <v>500</v>
      </c>
      <c r="P119" s="9">
        <v>0</v>
      </c>
      <c r="Q119" s="9">
        <v>500</v>
      </c>
      <c r="R119" s="9">
        <v>0</v>
      </c>
      <c r="S119" s="9">
        <v>500</v>
      </c>
      <c r="T119" s="9"/>
      <c r="U119" s="4">
        <f t="shared" si="2"/>
        <v>0</v>
      </c>
      <c r="W119" s="4">
        <v>500</v>
      </c>
      <c r="X119" s="4">
        <v>236</v>
      </c>
      <c r="Y119" s="4">
        <v>500</v>
      </c>
      <c r="Z119" s="4">
        <v>243</v>
      </c>
      <c r="AA119" s="4">
        <v>500</v>
      </c>
      <c r="AB119" s="4">
        <v>212</v>
      </c>
      <c r="AC119" s="4">
        <v>500</v>
      </c>
      <c r="AD119" s="4">
        <v>0</v>
      </c>
      <c r="AE119" s="4">
        <v>150</v>
      </c>
      <c r="AF119" s="4">
        <v>357</v>
      </c>
      <c r="AG119" s="4">
        <v>200</v>
      </c>
      <c r="AH119" s="4">
        <v>405</v>
      </c>
      <c r="AI119" s="7">
        <f t="shared" si="3"/>
        <v>7303</v>
      </c>
      <c r="AJ119" s="7"/>
    </row>
    <row r="120" spans="1:36" x14ac:dyDescent="0.3">
      <c r="A120" s="12" t="s">
        <v>1015</v>
      </c>
      <c r="B120" s="12" t="s">
        <v>863</v>
      </c>
      <c r="C120" s="12" t="s">
        <v>1012</v>
      </c>
      <c r="D120" s="13">
        <v>7301323</v>
      </c>
      <c r="E120" s="12" t="s">
        <v>614</v>
      </c>
      <c r="F120" s="12" t="s">
        <v>3</v>
      </c>
      <c r="G120" s="9">
        <v>400</v>
      </c>
      <c r="H120" s="9">
        <v>0</v>
      </c>
      <c r="I120" s="9">
        <v>200</v>
      </c>
      <c r="J120" s="9">
        <v>0</v>
      </c>
      <c r="K120" s="9">
        <v>200</v>
      </c>
      <c r="L120" s="9">
        <v>0</v>
      </c>
      <c r="M120" s="9">
        <v>200</v>
      </c>
      <c r="N120" s="9">
        <v>0</v>
      </c>
      <c r="O120" s="9">
        <v>200</v>
      </c>
      <c r="P120" s="9">
        <v>0</v>
      </c>
      <c r="Q120" s="9">
        <v>200</v>
      </c>
      <c r="R120" s="9">
        <v>0</v>
      </c>
      <c r="S120" s="9">
        <v>200</v>
      </c>
      <c r="T120" s="9"/>
      <c r="U120" s="4">
        <f t="shared" si="2"/>
        <v>0</v>
      </c>
      <c r="W120" s="4">
        <v>300</v>
      </c>
      <c r="X120" s="4">
        <v>97</v>
      </c>
      <c r="Y120" s="4">
        <v>300</v>
      </c>
      <c r="Z120" s="4">
        <v>99</v>
      </c>
      <c r="AA120" s="4">
        <v>300</v>
      </c>
      <c r="AB120" s="4">
        <v>106</v>
      </c>
      <c r="AC120" s="4">
        <v>300</v>
      </c>
      <c r="AD120" s="4">
        <v>93</v>
      </c>
      <c r="AE120" s="4">
        <v>100</v>
      </c>
      <c r="AF120" s="4">
        <v>145</v>
      </c>
      <c r="AG120" s="4">
        <v>120</v>
      </c>
      <c r="AH120" s="4">
        <v>236</v>
      </c>
      <c r="AI120" s="7">
        <f t="shared" si="3"/>
        <v>3796</v>
      </c>
      <c r="AJ120" s="7"/>
    </row>
    <row r="121" spans="1:36" x14ac:dyDescent="0.3">
      <c r="A121" s="12" t="s">
        <v>1011</v>
      </c>
      <c r="B121" s="12" t="s">
        <v>863</v>
      </c>
      <c r="C121" s="12" t="s">
        <v>1012</v>
      </c>
      <c r="D121" s="13">
        <v>7301352</v>
      </c>
      <c r="E121" s="12" t="s">
        <v>615</v>
      </c>
      <c r="F121" s="12" t="s">
        <v>3</v>
      </c>
      <c r="G121" s="9">
        <v>87</v>
      </c>
      <c r="H121" s="9">
        <v>0</v>
      </c>
      <c r="I121" s="9">
        <v>87</v>
      </c>
      <c r="J121" s="9">
        <v>0</v>
      </c>
      <c r="K121" s="9">
        <v>87</v>
      </c>
      <c r="L121" s="9">
        <v>0</v>
      </c>
      <c r="M121" s="9">
        <v>87</v>
      </c>
      <c r="N121" s="9">
        <v>0</v>
      </c>
      <c r="O121" s="9">
        <v>87</v>
      </c>
      <c r="P121" s="9">
        <v>0</v>
      </c>
      <c r="Q121" s="9">
        <v>87</v>
      </c>
      <c r="R121" s="9">
        <v>0</v>
      </c>
      <c r="S121" s="9">
        <v>87</v>
      </c>
      <c r="T121" s="9"/>
      <c r="U121" s="4">
        <f t="shared" si="2"/>
        <v>0</v>
      </c>
      <c r="W121" s="4">
        <v>83</v>
      </c>
      <c r="X121" s="4">
        <v>79</v>
      </c>
      <c r="Y121" s="4">
        <v>75</v>
      </c>
      <c r="Z121" s="4">
        <v>70</v>
      </c>
      <c r="AA121" s="4">
        <v>86</v>
      </c>
      <c r="AB121" s="4">
        <v>106</v>
      </c>
      <c r="AC121" s="4">
        <v>84</v>
      </c>
      <c r="AD121" s="4">
        <v>92</v>
      </c>
      <c r="AE121" s="4">
        <v>81</v>
      </c>
      <c r="AF121" s="4">
        <v>70</v>
      </c>
      <c r="AG121" s="4">
        <v>83</v>
      </c>
      <c r="AH121" s="4">
        <v>102</v>
      </c>
      <c r="AI121" s="7">
        <f t="shared" si="3"/>
        <v>1620</v>
      </c>
      <c r="AJ121" s="7"/>
    </row>
    <row r="122" spans="1:36" x14ac:dyDescent="0.3">
      <c r="A122" s="12" t="s">
        <v>1011</v>
      </c>
      <c r="B122" s="12" t="s">
        <v>863</v>
      </c>
      <c r="C122" s="12" t="s">
        <v>1012</v>
      </c>
      <c r="D122" s="13">
        <v>7301353</v>
      </c>
      <c r="E122" s="12" t="s">
        <v>616</v>
      </c>
      <c r="F122" s="12" t="s">
        <v>3</v>
      </c>
      <c r="G122" s="9">
        <v>288</v>
      </c>
      <c r="H122" s="9">
        <v>0</v>
      </c>
      <c r="I122" s="9">
        <v>292</v>
      </c>
      <c r="J122" s="9">
        <v>0</v>
      </c>
      <c r="K122" s="9">
        <v>295</v>
      </c>
      <c r="L122" s="9">
        <v>0</v>
      </c>
      <c r="M122" s="9">
        <v>298</v>
      </c>
      <c r="N122" s="9">
        <v>0</v>
      </c>
      <c r="O122" s="9">
        <v>302</v>
      </c>
      <c r="P122" s="9">
        <v>0</v>
      </c>
      <c r="Q122" s="9">
        <v>305</v>
      </c>
      <c r="R122" s="9">
        <v>0</v>
      </c>
      <c r="S122" s="9">
        <v>301.66666666666669</v>
      </c>
      <c r="T122" s="9"/>
      <c r="U122" s="4">
        <f t="shared" ref="U122:U169" si="4">SUM(T122,R122,P122,N122,L122,J122,H122)</f>
        <v>0</v>
      </c>
      <c r="W122" s="4">
        <v>245</v>
      </c>
      <c r="X122" s="4">
        <v>312</v>
      </c>
      <c r="Y122" s="4">
        <v>265</v>
      </c>
      <c r="Z122" s="4">
        <v>222</v>
      </c>
      <c r="AA122" s="4">
        <v>270</v>
      </c>
      <c r="AB122" s="4">
        <v>280</v>
      </c>
      <c r="AC122" s="4">
        <v>258</v>
      </c>
      <c r="AD122" s="4">
        <v>431</v>
      </c>
      <c r="AE122" s="4">
        <v>288</v>
      </c>
      <c r="AF122" s="4">
        <v>171</v>
      </c>
      <c r="AG122" s="4">
        <v>306</v>
      </c>
      <c r="AH122" s="4">
        <v>268</v>
      </c>
      <c r="AI122" s="7">
        <f t="shared" si="3"/>
        <v>5397.6666666666661</v>
      </c>
      <c r="AJ122" s="7"/>
    </row>
    <row r="123" spans="1:36" x14ac:dyDescent="0.3">
      <c r="A123" s="12" t="s">
        <v>1011</v>
      </c>
      <c r="B123" s="12" t="s">
        <v>863</v>
      </c>
      <c r="C123" s="12" t="s">
        <v>1012</v>
      </c>
      <c r="D123" s="13">
        <v>7301354</v>
      </c>
      <c r="E123" s="12" t="s">
        <v>617</v>
      </c>
      <c r="F123" s="12" t="s">
        <v>3</v>
      </c>
      <c r="G123" s="9">
        <v>1263</v>
      </c>
      <c r="H123" s="9">
        <v>0</v>
      </c>
      <c r="I123" s="9">
        <v>1250</v>
      </c>
      <c r="J123" s="9">
        <v>0</v>
      </c>
      <c r="K123" s="9">
        <v>1236</v>
      </c>
      <c r="L123" s="9">
        <v>0</v>
      </c>
      <c r="M123" s="9">
        <v>1223</v>
      </c>
      <c r="N123" s="9">
        <v>0</v>
      </c>
      <c r="O123" s="9">
        <v>1209</v>
      </c>
      <c r="P123" s="9">
        <v>0</v>
      </c>
      <c r="Q123" s="9">
        <v>1196</v>
      </c>
      <c r="R123" s="9">
        <v>0</v>
      </c>
      <c r="S123" s="9">
        <v>1209.3333333333333</v>
      </c>
      <c r="T123" s="9"/>
      <c r="U123" s="4">
        <f t="shared" si="4"/>
        <v>0</v>
      </c>
      <c r="W123" s="4">
        <v>1465</v>
      </c>
      <c r="X123" s="4">
        <v>1438</v>
      </c>
      <c r="Y123" s="4">
        <v>1468</v>
      </c>
      <c r="Z123" s="4">
        <v>1515</v>
      </c>
      <c r="AA123" s="4">
        <v>1406</v>
      </c>
      <c r="AB123" s="4">
        <v>1163</v>
      </c>
      <c r="AC123" s="4">
        <v>1349</v>
      </c>
      <c r="AD123" s="4">
        <v>1199</v>
      </c>
      <c r="AE123" s="4">
        <v>1281</v>
      </c>
      <c r="AF123" s="4">
        <v>1270</v>
      </c>
      <c r="AG123" s="4">
        <v>1170</v>
      </c>
      <c r="AH123" s="4">
        <v>1346</v>
      </c>
      <c r="AI123" s="7">
        <f t="shared" si="3"/>
        <v>24656.333333333336</v>
      </c>
      <c r="AJ123" s="7"/>
    </row>
    <row r="124" spans="1:36" x14ac:dyDescent="0.3">
      <c r="A124" s="12" t="s">
        <v>1015</v>
      </c>
      <c r="B124" s="12" t="s">
        <v>863</v>
      </c>
      <c r="C124" s="12" t="s">
        <v>1012</v>
      </c>
      <c r="D124" s="13">
        <v>7301355</v>
      </c>
      <c r="E124" s="12" t="s">
        <v>618</v>
      </c>
      <c r="F124" s="12" t="s">
        <v>3</v>
      </c>
      <c r="G124" s="9">
        <v>1000</v>
      </c>
      <c r="H124" s="9">
        <v>6000</v>
      </c>
      <c r="I124" s="9">
        <v>1000</v>
      </c>
      <c r="J124" s="9">
        <v>0</v>
      </c>
      <c r="K124" s="9">
        <v>1500</v>
      </c>
      <c r="L124" s="9">
        <v>0</v>
      </c>
      <c r="M124" s="9">
        <v>1000</v>
      </c>
      <c r="N124" s="9">
        <v>0</v>
      </c>
      <c r="O124" s="9">
        <v>1000</v>
      </c>
      <c r="P124" s="9">
        <v>0</v>
      </c>
      <c r="Q124" s="9">
        <v>1000</v>
      </c>
      <c r="R124" s="9">
        <v>0</v>
      </c>
      <c r="S124" s="9">
        <v>1000</v>
      </c>
      <c r="T124" s="9"/>
      <c r="U124" s="4">
        <f t="shared" si="4"/>
        <v>6000</v>
      </c>
      <c r="W124" s="4">
        <v>5000</v>
      </c>
      <c r="X124" s="4">
        <v>966</v>
      </c>
      <c r="Y124" s="4">
        <v>2000</v>
      </c>
      <c r="Z124" s="4">
        <v>921</v>
      </c>
      <c r="AA124" s="4">
        <v>1000</v>
      </c>
      <c r="AB124" s="4">
        <v>880</v>
      </c>
      <c r="AC124" s="4">
        <v>1500</v>
      </c>
      <c r="AD124" s="4">
        <v>960</v>
      </c>
      <c r="AE124" s="4">
        <v>6000</v>
      </c>
      <c r="AF124" s="4">
        <v>876</v>
      </c>
      <c r="AG124" s="4">
        <v>6000</v>
      </c>
      <c r="AH124" s="4">
        <v>735</v>
      </c>
      <c r="AI124" s="7">
        <f t="shared" si="3"/>
        <v>46338</v>
      </c>
      <c r="AJ124" s="7"/>
    </row>
    <row r="125" spans="1:36" x14ac:dyDescent="0.3">
      <c r="A125" s="12" t="s">
        <v>1011</v>
      </c>
      <c r="B125" s="12" t="s">
        <v>863</v>
      </c>
      <c r="C125" s="12" t="s">
        <v>1012</v>
      </c>
      <c r="D125" s="13">
        <v>7301356</v>
      </c>
      <c r="E125" s="12" t="s">
        <v>619</v>
      </c>
      <c r="F125" s="12" t="s">
        <v>3</v>
      </c>
      <c r="G125" s="9">
        <v>3000</v>
      </c>
      <c r="H125" s="9">
        <v>0</v>
      </c>
      <c r="I125" s="9">
        <v>2800</v>
      </c>
      <c r="J125" s="9">
        <v>0</v>
      </c>
      <c r="K125" s="9">
        <v>2800</v>
      </c>
      <c r="L125" s="9">
        <v>0</v>
      </c>
      <c r="M125" s="9">
        <v>2800</v>
      </c>
      <c r="N125" s="9">
        <v>3800</v>
      </c>
      <c r="O125" s="9">
        <v>3000</v>
      </c>
      <c r="P125" s="9">
        <v>0</v>
      </c>
      <c r="Q125" s="9">
        <v>3000</v>
      </c>
      <c r="R125" s="9">
        <v>3800</v>
      </c>
      <c r="S125" s="9">
        <v>2933.3333333333335</v>
      </c>
      <c r="T125" s="9"/>
      <c r="U125" s="4">
        <f t="shared" si="4"/>
        <v>7600</v>
      </c>
      <c r="W125" s="4">
        <v>2269</v>
      </c>
      <c r="X125" s="4">
        <v>2101</v>
      </c>
      <c r="Y125" s="4">
        <v>1850</v>
      </c>
      <c r="Z125" s="4">
        <v>2059</v>
      </c>
      <c r="AA125" s="4">
        <v>2400</v>
      </c>
      <c r="AB125" s="4">
        <v>3889</v>
      </c>
      <c r="AC125" s="4">
        <v>3000</v>
      </c>
      <c r="AD125" s="4">
        <v>2419</v>
      </c>
      <c r="AE125" s="4">
        <v>2500</v>
      </c>
      <c r="AF125" s="4">
        <v>2577</v>
      </c>
      <c r="AG125" s="4">
        <v>2700</v>
      </c>
      <c r="AH125" s="4">
        <v>2852</v>
      </c>
      <c r="AI125" s="7">
        <f t="shared" si="3"/>
        <v>66149.333333333328</v>
      </c>
      <c r="AJ125" s="7"/>
    </row>
    <row r="126" spans="1:36" x14ac:dyDescent="0.3">
      <c r="A126" s="12" t="s">
        <v>1015</v>
      </c>
      <c r="B126" s="12" t="s">
        <v>863</v>
      </c>
      <c r="C126" s="12" t="s">
        <v>1012</v>
      </c>
      <c r="D126" s="13">
        <v>7301372</v>
      </c>
      <c r="E126" s="12" t="s">
        <v>620</v>
      </c>
      <c r="F126" s="12" t="s">
        <v>3</v>
      </c>
      <c r="G126" s="9">
        <v>1000</v>
      </c>
      <c r="H126" s="9">
        <v>0</v>
      </c>
      <c r="I126" s="9">
        <v>800</v>
      </c>
      <c r="J126" s="9">
        <v>0</v>
      </c>
      <c r="K126" s="9">
        <v>800</v>
      </c>
      <c r="L126" s="9">
        <v>0</v>
      </c>
      <c r="M126" s="9">
        <v>800</v>
      </c>
      <c r="N126" s="9">
        <v>0</v>
      </c>
      <c r="O126" s="9">
        <v>800</v>
      </c>
      <c r="P126" s="9">
        <v>0</v>
      </c>
      <c r="Q126" s="9">
        <v>800</v>
      </c>
      <c r="R126" s="9">
        <v>0</v>
      </c>
      <c r="S126" s="9">
        <v>800</v>
      </c>
      <c r="T126" s="9"/>
      <c r="U126" s="4">
        <f t="shared" si="4"/>
        <v>0</v>
      </c>
      <c r="W126" s="4">
        <v>1000</v>
      </c>
      <c r="X126" s="4">
        <v>455</v>
      </c>
      <c r="Y126" s="4">
        <v>1000</v>
      </c>
      <c r="Z126" s="4">
        <v>411</v>
      </c>
      <c r="AA126" s="4">
        <v>1000</v>
      </c>
      <c r="AB126" s="4">
        <v>999</v>
      </c>
      <c r="AC126" s="4">
        <v>1000</v>
      </c>
      <c r="AD126" s="4">
        <v>506</v>
      </c>
      <c r="AE126" s="4">
        <v>500</v>
      </c>
      <c r="AF126" s="4">
        <v>615</v>
      </c>
      <c r="AG126" s="4">
        <v>600</v>
      </c>
      <c r="AH126" s="4">
        <v>528</v>
      </c>
      <c r="AI126" s="7">
        <f t="shared" si="3"/>
        <v>14414</v>
      </c>
      <c r="AJ126" s="7"/>
    </row>
    <row r="127" spans="1:36" x14ac:dyDescent="0.3">
      <c r="A127" s="12" t="s">
        <v>1015</v>
      </c>
      <c r="B127" s="12" t="s">
        <v>863</v>
      </c>
      <c r="C127" s="12" t="s">
        <v>1012</v>
      </c>
      <c r="D127" s="13">
        <v>7301373</v>
      </c>
      <c r="E127" s="12" t="s">
        <v>621</v>
      </c>
      <c r="F127" s="12" t="s">
        <v>3</v>
      </c>
      <c r="G127" s="9">
        <v>1500</v>
      </c>
      <c r="H127" s="9">
        <v>0</v>
      </c>
      <c r="I127" s="9">
        <v>1200</v>
      </c>
      <c r="J127" s="9">
        <v>0</v>
      </c>
      <c r="K127" s="9">
        <v>1200</v>
      </c>
      <c r="L127" s="9">
        <v>0</v>
      </c>
      <c r="M127" s="9">
        <v>1200</v>
      </c>
      <c r="N127" s="9">
        <v>0</v>
      </c>
      <c r="O127" s="9">
        <v>1200</v>
      </c>
      <c r="P127" s="9">
        <v>0</v>
      </c>
      <c r="Q127" s="9">
        <v>1200</v>
      </c>
      <c r="R127" s="9">
        <v>0</v>
      </c>
      <c r="S127" s="9">
        <v>1200</v>
      </c>
      <c r="T127" s="9"/>
      <c r="U127" s="4">
        <f t="shared" si="4"/>
        <v>0</v>
      </c>
      <c r="W127" s="4">
        <v>1000</v>
      </c>
      <c r="X127" s="4">
        <v>789</v>
      </c>
      <c r="Y127" s="4">
        <v>1000</v>
      </c>
      <c r="Z127" s="4">
        <v>773</v>
      </c>
      <c r="AA127" s="4">
        <v>1000</v>
      </c>
      <c r="AB127" s="4">
        <v>964</v>
      </c>
      <c r="AC127" s="4">
        <v>1000</v>
      </c>
      <c r="AD127" s="4">
        <v>1075</v>
      </c>
      <c r="AE127" s="4">
        <v>1000</v>
      </c>
      <c r="AF127" s="4">
        <v>1310</v>
      </c>
      <c r="AG127" s="4">
        <v>1300</v>
      </c>
      <c r="AH127" s="4">
        <v>1059</v>
      </c>
      <c r="AI127" s="7">
        <f t="shared" si="3"/>
        <v>20970</v>
      </c>
      <c r="AJ127" s="7"/>
    </row>
    <row r="128" spans="1:36" x14ac:dyDescent="0.3">
      <c r="A128" s="12" t="s">
        <v>1015</v>
      </c>
      <c r="B128" s="12" t="s">
        <v>863</v>
      </c>
      <c r="C128" s="12" t="s">
        <v>1012</v>
      </c>
      <c r="D128" s="13">
        <v>7301374</v>
      </c>
      <c r="E128" s="12" t="s">
        <v>622</v>
      </c>
      <c r="F128" s="12" t="s">
        <v>3</v>
      </c>
      <c r="G128" s="9">
        <v>2500</v>
      </c>
      <c r="H128" s="9">
        <v>1000</v>
      </c>
      <c r="I128" s="9">
        <v>2500</v>
      </c>
      <c r="J128" s="9">
        <v>5000</v>
      </c>
      <c r="K128" s="9">
        <v>2500</v>
      </c>
      <c r="L128" s="9">
        <v>3000</v>
      </c>
      <c r="M128" s="9">
        <v>2000</v>
      </c>
      <c r="N128" s="9">
        <v>3000</v>
      </c>
      <c r="O128" s="9">
        <v>2000</v>
      </c>
      <c r="P128" s="9">
        <v>2000</v>
      </c>
      <c r="Q128" s="9">
        <v>2000</v>
      </c>
      <c r="R128" s="9">
        <v>2000</v>
      </c>
      <c r="S128" s="9">
        <v>2000</v>
      </c>
      <c r="T128" s="9"/>
      <c r="U128" s="4">
        <f t="shared" si="4"/>
        <v>16000</v>
      </c>
      <c r="W128" s="4">
        <v>2000</v>
      </c>
      <c r="X128" s="4">
        <v>1980</v>
      </c>
      <c r="Y128" s="4">
        <v>2000</v>
      </c>
      <c r="Z128" s="4">
        <v>2280</v>
      </c>
      <c r="AA128" s="4">
        <v>2600</v>
      </c>
      <c r="AB128" s="4">
        <v>1740</v>
      </c>
      <c r="AC128" s="4">
        <v>2900</v>
      </c>
      <c r="AD128" s="4">
        <v>1080</v>
      </c>
      <c r="AE128" s="4">
        <v>2500</v>
      </c>
      <c r="AF128" s="4">
        <v>1620</v>
      </c>
      <c r="AG128" s="4">
        <v>2500</v>
      </c>
      <c r="AH128" s="4">
        <v>240</v>
      </c>
      <c r="AI128" s="7">
        <f t="shared" si="3"/>
        <v>70940</v>
      </c>
      <c r="AJ128" s="7"/>
    </row>
    <row r="129" spans="1:36" x14ac:dyDescent="0.3">
      <c r="A129" s="12" t="s">
        <v>1011</v>
      </c>
      <c r="B129" s="12" t="s">
        <v>863</v>
      </c>
      <c r="C129" s="12" t="s">
        <v>1012</v>
      </c>
      <c r="D129" s="13">
        <v>7301381</v>
      </c>
      <c r="E129" s="12" t="s">
        <v>623</v>
      </c>
      <c r="F129" s="12" t="s">
        <v>3</v>
      </c>
      <c r="G129" s="9">
        <v>300</v>
      </c>
      <c r="H129" s="9">
        <v>0</v>
      </c>
      <c r="I129" s="9">
        <v>300</v>
      </c>
      <c r="J129" s="9">
        <v>0</v>
      </c>
      <c r="K129" s="9">
        <v>300</v>
      </c>
      <c r="L129" s="9">
        <v>0</v>
      </c>
      <c r="M129" s="9">
        <v>300</v>
      </c>
      <c r="N129" s="9">
        <v>0</v>
      </c>
      <c r="O129" s="9">
        <v>300</v>
      </c>
      <c r="P129" s="9">
        <v>0</v>
      </c>
      <c r="Q129" s="9">
        <v>300</v>
      </c>
      <c r="R129" s="9">
        <v>0</v>
      </c>
      <c r="S129" s="9">
        <v>300</v>
      </c>
      <c r="T129" s="9"/>
      <c r="U129" s="4">
        <f t="shared" si="4"/>
        <v>0</v>
      </c>
      <c r="W129" s="4">
        <v>375</v>
      </c>
      <c r="X129" s="4">
        <v>252</v>
      </c>
      <c r="Y129" s="4">
        <v>310</v>
      </c>
      <c r="Z129" s="4">
        <v>355</v>
      </c>
      <c r="AA129" s="4">
        <v>327</v>
      </c>
      <c r="AB129" s="4">
        <v>181</v>
      </c>
      <c r="AC129" s="4">
        <v>317</v>
      </c>
      <c r="AD129" s="4">
        <v>294</v>
      </c>
      <c r="AE129" s="4">
        <v>323</v>
      </c>
      <c r="AF129" s="4">
        <v>380</v>
      </c>
      <c r="AG129" s="4">
        <v>322</v>
      </c>
      <c r="AH129" s="4">
        <v>277</v>
      </c>
      <c r="AI129" s="7">
        <f t="shared" si="3"/>
        <v>5813</v>
      </c>
      <c r="AJ129" s="7"/>
    </row>
    <row r="130" spans="1:36" x14ac:dyDescent="0.3">
      <c r="A130" s="12" t="s">
        <v>1011</v>
      </c>
      <c r="B130" s="12" t="s">
        <v>863</v>
      </c>
      <c r="C130" s="12" t="s">
        <v>1012</v>
      </c>
      <c r="D130" s="13">
        <v>7301382</v>
      </c>
      <c r="E130" s="12" t="s">
        <v>624</v>
      </c>
      <c r="F130" s="12" t="s">
        <v>3</v>
      </c>
      <c r="G130" s="9">
        <v>102</v>
      </c>
      <c r="H130" s="9">
        <v>0</v>
      </c>
      <c r="I130" s="9">
        <v>102</v>
      </c>
      <c r="J130" s="9">
        <v>0</v>
      </c>
      <c r="K130" s="9">
        <v>102</v>
      </c>
      <c r="L130" s="9">
        <v>0</v>
      </c>
      <c r="M130" s="9">
        <v>102</v>
      </c>
      <c r="N130" s="9">
        <v>0</v>
      </c>
      <c r="O130" s="9">
        <v>102</v>
      </c>
      <c r="P130" s="9">
        <v>0</v>
      </c>
      <c r="Q130" s="9">
        <v>102</v>
      </c>
      <c r="R130" s="9">
        <v>0</v>
      </c>
      <c r="S130" s="9">
        <v>102</v>
      </c>
      <c r="T130" s="9"/>
      <c r="U130" s="4">
        <f t="shared" si="4"/>
        <v>0</v>
      </c>
      <c r="W130" s="4">
        <v>81</v>
      </c>
      <c r="X130" s="4">
        <v>139</v>
      </c>
      <c r="Y130" s="4">
        <v>116</v>
      </c>
      <c r="Z130" s="4">
        <v>114</v>
      </c>
      <c r="AA130" s="4">
        <v>110</v>
      </c>
      <c r="AB130" s="4">
        <v>15</v>
      </c>
      <c r="AC130" s="4">
        <v>89</v>
      </c>
      <c r="AD130" s="4">
        <v>31</v>
      </c>
      <c r="AE130" s="4">
        <v>53</v>
      </c>
      <c r="AF130" s="4">
        <v>144</v>
      </c>
      <c r="AG130" s="4">
        <v>63</v>
      </c>
      <c r="AH130" s="4">
        <v>163</v>
      </c>
      <c r="AI130" s="7">
        <f t="shared" si="3"/>
        <v>1832</v>
      </c>
      <c r="AJ130" s="7"/>
    </row>
    <row r="131" spans="1:36" x14ac:dyDescent="0.3">
      <c r="A131" s="12" t="s">
        <v>1011</v>
      </c>
      <c r="B131" s="12" t="s">
        <v>863</v>
      </c>
      <c r="C131" s="12" t="s">
        <v>1012</v>
      </c>
      <c r="D131" s="13">
        <v>7301429</v>
      </c>
      <c r="E131" s="12" t="s">
        <v>625</v>
      </c>
      <c r="F131" s="12" t="s">
        <v>3</v>
      </c>
      <c r="G131" s="9">
        <v>55</v>
      </c>
      <c r="H131" s="9">
        <v>0</v>
      </c>
      <c r="I131" s="9">
        <v>55</v>
      </c>
      <c r="J131" s="9">
        <v>0</v>
      </c>
      <c r="K131" s="9">
        <v>55</v>
      </c>
      <c r="L131" s="9">
        <v>0</v>
      </c>
      <c r="M131" s="9">
        <v>55</v>
      </c>
      <c r="N131" s="9">
        <v>0</v>
      </c>
      <c r="O131" s="9">
        <v>55</v>
      </c>
      <c r="P131" s="9">
        <v>0</v>
      </c>
      <c r="Q131" s="9">
        <v>55</v>
      </c>
      <c r="R131" s="9">
        <v>0</v>
      </c>
      <c r="S131" s="9">
        <v>55</v>
      </c>
      <c r="T131" s="9"/>
      <c r="U131" s="4">
        <f t="shared" si="4"/>
        <v>0</v>
      </c>
      <c r="W131" s="4">
        <v>1701</v>
      </c>
      <c r="X131" s="4">
        <v>68</v>
      </c>
      <c r="Y131" s="4">
        <v>86</v>
      </c>
      <c r="Z131" s="4">
        <v>50</v>
      </c>
      <c r="AA131" s="4">
        <v>72</v>
      </c>
      <c r="AB131" s="4">
        <v>57</v>
      </c>
      <c r="AC131" s="4">
        <v>58</v>
      </c>
      <c r="AD131" s="4">
        <v>0</v>
      </c>
      <c r="AE131" s="4">
        <v>36</v>
      </c>
      <c r="AF131" s="4">
        <v>0</v>
      </c>
      <c r="AG131" s="4">
        <v>19</v>
      </c>
      <c r="AH131" s="4">
        <v>50</v>
      </c>
      <c r="AI131" s="7">
        <f t="shared" si="3"/>
        <v>2582</v>
      </c>
      <c r="AJ131" s="7"/>
    </row>
    <row r="132" spans="1:36" x14ac:dyDescent="0.3">
      <c r="A132" s="12" t="s">
        <v>1011</v>
      </c>
      <c r="B132" s="12" t="s">
        <v>863</v>
      </c>
      <c r="C132" s="12" t="s">
        <v>1012</v>
      </c>
      <c r="D132" s="13">
        <v>7301430</v>
      </c>
      <c r="E132" s="12" t="s">
        <v>626</v>
      </c>
      <c r="F132" s="12" t="s">
        <v>3</v>
      </c>
      <c r="G132" s="9">
        <v>55</v>
      </c>
      <c r="H132" s="9">
        <v>0</v>
      </c>
      <c r="I132" s="9">
        <v>55</v>
      </c>
      <c r="J132" s="9">
        <v>0</v>
      </c>
      <c r="K132" s="9">
        <v>55</v>
      </c>
      <c r="L132" s="9">
        <v>0</v>
      </c>
      <c r="M132" s="9">
        <v>55</v>
      </c>
      <c r="N132" s="9">
        <v>0</v>
      </c>
      <c r="O132" s="9">
        <v>55</v>
      </c>
      <c r="P132" s="9">
        <v>0</v>
      </c>
      <c r="Q132" s="9">
        <v>55</v>
      </c>
      <c r="R132" s="9">
        <v>0</v>
      </c>
      <c r="S132" s="9">
        <v>55</v>
      </c>
      <c r="T132" s="9"/>
      <c r="U132" s="4">
        <f t="shared" si="4"/>
        <v>0</v>
      </c>
      <c r="W132" s="4">
        <v>2072</v>
      </c>
      <c r="X132" s="4">
        <v>68</v>
      </c>
      <c r="Y132" s="4">
        <v>100</v>
      </c>
      <c r="Z132" s="4">
        <v>50</v>
      </c>
      <c r="AA132" s="4">
        <v>87</v>
      </c>
      <c r="AB132" s="4">
        <v>57</v>
      </c>
      <c r="AC132" s="4">
        <v>58</v>
      </c>
      <c r="AD132" s="4">
        <v>0</v>
      </c>
      <c r="AE132" s="4">
        <v>36</v>
      </c>
      <c r="AF132" s="4">
        <v>0</v>
      </c>
      <c r="AG132" s="4">
        <v>19</v>
      </c>
      <c r="AH132" s="4">
        <v>50</v>
      </c>
      <c r="AI132" s="7">
        <f t="shared" si="3"/>
        <v>2982</v>
      </c>
      <c r="AJ132" s="7"/>
    </row>
    <row r="133" spans="1:36" x14ac:dyDescent="0.3">
      <c r="A133" s="12" t="s">
        <v>1011</v>
      </c>
      <c r="B133" s="12" t="s">
        <v>863</v>
      </c>
      <c r="C133" s="12" t="s">
        <v>1012</v>
      </c>
      <c r="D133" s="13">
        <v>7301434</v>
      </c>
      <c r="E133" s="12" t="s">
        <v>627</v>
      </c>
      <c r="F133" s="12" t="s">
        <v>3</v>
      </c>
      <c r="G133" s="9">
        <v>55</v>
      </c>
      <c r="H133" s="9">
        <v>0</v>
      </c>
      <c r="I133" s="9">
        <v>55</v>
      </c>
      <c r="J133" s="9">
        <v>0</v>
      </c>
      <c r="K133" s="9">
        <v>55</v>
      </c>
      <c r="L133" s="9">
        <v>0</v>
      </c>
      <c r="M133" s="9">
        <v>55</v>
      </c>
      <c r="N133" s="9">
        <v>0</v>
      </c>
      <c r="O133" s="9">
        <v>55</v>
      </c>
      <c r="P133" s="9">
        <v>0</v>
      </c>
      <c r="Q133" s="9">
        <v>55</v>
      </c>
      <c r="R133" s="9">
        <v>0</v>
      </c>
      <c r="S133" s="9">
        <v>55</v>
      </c>
      <c r="T133" s="9"/>
      <c r="U133" s="4">
        <f t="shared" si="4"/>
        <v>0</v>
      </c>
      <c r="W133" s="4">
        <v>1701</v>
      </c>
      <c r="X133" s="4">
        <v>68</v>
      </c>
      <c r="Y133" s="4">
        <v>86</v>
      </c>
      <c r="Z133" s="4">
        <v>50</v>
      </c>
      <c r="AA133" s="4">
        <v>72</v>
      </c>
      <c r="AB133" s="4">
        <v>57</v>
      </c>
      <c r="AC133" s="4">
        <v>58</v>
      </c>
      <c r="AD133" s="4">
        <v>0</v>
      </c>
      <c r="AE133" s="4">
        <v>36</v>
      </c>
      <c r="AF133" s="4">
        <v>0</v>
      </c>
      <c r="AG133" s="4">
        <v>19</v>
      </c>
      <c r="AH133" s="4">
        <v>50</v>
      </c>
      <c r="AI133" s="7">
        <f t="shared" ref="AI133:AI196" si="5">SUM(G133:AH133)</f>
        <v>2582</v>
      </c>
      <c r="AJ133" s="7"/>
    </row>
    <row r="134" spans="1:36" x14ac:dyDescent="0.3">
      <c r="A134" s="12" t="s">
        <v>1011</v>
      </c>
      <c r="B134" s="12" t="s">
        <v>863</v>
      </c>
      <c r="C134" s="12" t="s">
        <v>1012</v>
      </c>
      <c r="D134" s="13">
        <v>7301435</v>
      </c>
      <c r="E134" s="12" t="s">
        <v>628</v>
      </c>
      <c r="F134" s="12" t="s">
        <v>3</v>
      </c>
      <c r="G134" s="9">
        <v>66</v>
      </c>
      <c r="H134" s="9">
        <v>0</v>
      </c>
      <c r="I134" s="9">
        <v>66</v>
      </c>
      <c r="J134" s="9">
        <v>0</v>
      </c>
      <c r="K134" s="9">
        <v>66</v>
      </c>
      <c r="L134" s="9">
        <v>0</v>
      </c>
      <c r="M134" s="9">
        <v>66</v>
      </c>
      <c r="N134" s="9">
        <v>0</v>
      </c>
      <c r="O134" s="9">
        <v>66</v>
      </c>
      <c r="P134" s="9">
        <v>0</v>
      </c>
      <c r="Q134" s="9">
        <v>66</v>
      </c>
      <c r="R134" s="9">
        <v>0</v>
      </c>
      <c r="S134" s="9">
        <v>66</v>
      </c>
      <c r="T134" s="9"/>
      <c r="U134" s="4">
        <f t="shared" si="4"/>
        <v>0</v>
      </c>
      <c r="W134" s="4">
        <v>3470</v>
      </c>
      <c r="X134" s="4">
        <v>90</v>
      </c>
      <c r="Y134" s="4">
        <v>144</v>
      </c>
      <c r="Z134" s="4">
        <v>76</v>
      </c>
      <c r="AA134" s="4">
        <v>93</v>
      </c>
      <c r="AB134" s="4">
        <v>54</v>
      </c>
      <c r="AC134" s="4">
        <v>73</v>
      </c>
      <c r="AD134" s="4">
        <v>0</v>
      </c>
      <c r="AE134" s="4">
        <v>43</v>
      </c>
      <c r="AF134" s="4">
        <v>0</v>
      </c>
      <c r="AG134" s="4">
        <v>18</v>
      </c>
      <c r="AH134" s="4">
        <v>42</v>
      </c>
      <c r="AI134" s="7">
        <f t="shared" si="5"/>
        <v>4565</v>
      </c>
      <c r="AJ134" s="7"/>
    </row>
    <row r="135" spans="1:36" x14ac:dyDescent="0.3">
      <c r="A135" s="12" t="s">
        <v>1011</v>
      </c>
      <c r="B135" s="12" t="s">
        <v>863</v>
      </c>
      <c r="C135" s="12" t="s">
        <v>1012</v>
      </c>
      <c r="D135" s="13">
        <v>7301458</v>
      </c>
      <c r="E135" s="12" t="s">
        <v>629</v>
      </c>
      <c r="F135" s="12" t="s">
        <v>3</v>
      </c>
      <c r="G135" s="9">
        <v>743</v>
      </c>
      <c r="H135" s="9">
        <v>0</v>
      </c>
      <c r="I135" s="9">
        <v>928</v>
      </c>
      <c r="J135" s="9">
        <v>0</v>
      </c>
      <c r="K135" s="9">
        <v>614</v>
      </c>
      <c r="L135" s="9">
        <v>0</v>
      </c>
      <c r="M135" s="9">
        <v>3339</v>
      </c>
      <c r="N135" s="9">
        <v>0</v>
      </c>
      <c r="O135" s="9">
        <v>5373</v>
      </c>
      <c r="P135" s="9">
        <v>0</v>
      </c>
      <c r="Q135" s="9">
        <v>4474</v>
      </c>
      <c r="R135" s="9">
        <v>0</v>
      </c>
      <c r="S135" s="9">
        <v>4395.333333333333</v>
      </c>
      <c r="T135" s="9"/>
      <c r="U135" s="4">
        <f t="shared" si="4"/>
        <v>0</v>
      </c>
      <c r="W135" s="4">
        <v>50000</v>
      </c>
      <c r="X135" s="4">
        <v>11558</v>
      </c>
      <c r="Y135" s="4">
        <v>8510</v>
      </c>
      <c r="Z135" s="4">
        <v>14547</v>
      </c>
      <c r="AA135" s="4">
        <v>10431</v>
      </c>
      <c r="AB135" s="4">
        <v>15056</v>
      </c>
      <c r="AC135" s="4">
        <v>13720</v>
      </c>
      <c r="AD135" s="4">
        <v>4357</v>
      </c>
      <c r="AE135" s="4">
        <v>11320</v>
      </c>
      <c r="AF135" s="4">
        <v>180</v>
      </c>
      <c r="AG135" s="4">
        <v>6531</v>
      </c>
      <c r="AH135" s="4">
        <v>1280</v>
      </c>
      <c r="AI135" s="7">
        <f t="shared" si="5"/>
        <v>167356.33333333331</v>
      </c>
      <c r="AJ135" s="7"/>
    </row>
    <row r="136" spans="1:36" x14ac:dyDescent="0.3">
      <c r="A136" s="12" t="s">
        <v>1011</v>
      </c>
      <c r="B136" s="12" t="s">
        <v>863</v>
      </c>
      <c r="C136" s="12" t="s">
        <v>1012</v>
      </c>
      <c r="D136" s="13">
        <v>7301513</v>
      </c>
      <c r="E136" s="12" t="s">
        <v>630</v>
      </c>
      <c r="F136" s="12" t="s">
        <v>3</v>
      </c>
      <c r="G136" s="9">
        <v>51</v>
      </c>
      <c r="H136" s="9">
        <v>0</v>
      </c>
      <c r="I136" s="9">
        <v>66</v>
      </c>
      <c r="J136" s="9">
        <v>0</v>
      </c>
      <c r="K136" s="9">
        <v>58</v>
      </c>
      <c r="L136" s="9">
        <v>0</v>
      </c>
      <c r="M136" s="9">
        <v>107</v>
      </c>
      <c r="N136" s="9">
        <v>0</v>
      </c>
      <c r="O136" s="9">
        <v>262</v>
      </c>
      <c r="P136" s="9">
        <v>0</v>
      </c>
      <c r="Q136" s="9">
        <v>198</v>
      </c>
      <c r="R136" s="9">
        <v>0</v>
      </c>
      <c r="S136" s="9">
        <v>189</v>
      </c>
      <c r="T136" s="9"/>
      <c r="U136" s="4">
        <f t="shared" si="4"/>
        <v>0</v>
      </c>
      <c r="W136" s="4">
        <v>2000</v>
      </c>
      <c r="X136" s="4">
        <v>364</v>
      </c>
      <c r="Y136" s="4">
        <v>427</v>
      </c>
      <c r="Z136" s="4">
        <v>368</v>
      </c>
      <c r="AA136" s="4">
        <v>354</v>
      </c>
      <c r="AB136" s="4">
        <v>463</v>
      </c>
      <c r="AC136" s="4">
        <v>398</v>
      </c>
      <c r="AD136" s="4">
        <v>61</v>
      </c>
      <c r="AE136" s="4">
        <v>297</v>
      </c>
      <c r="AF136" s="4">
        <v>0</v>
      </c>
      <c r="AG136" s="4">
        <v>175</v>
      </c>
      <c r="AH136" s="4">
        <v>3</v>
      </c>
      <c r="AI136" s="7">
        <f t="shared" si="5"/>
        <v>5841</v>
      </c>
      <c r="AJ136" s="7"/>
    </row>
    <row r="137" spans="1:36" x14ac:dyDescent="0.3">
      <c r="A137" s="12" t="s">
        <v>1011</v>
      </c>
      <c r="B137" s="12" t="s">
        <v>863</v>
      </c>
      <c r="C137" s="12" t="s">
        <v>1012</v>
      </c>
      <c r="D137" s="13">
        <v>7301581</v>
      </c>
      <c r="E137" s="12" t="s">
        <v>631</v>
      </c>
      <c r="F137" s="12" t="s">
        <v>3</v>
      </c>
      <c r="G137" s="9">
        <v>44</v>
      </c>
      <c r="H137" s="9">
        <v>0</v>
      </c>
      <c r="I137" s="9">
        <v>42</v>
      </c>
      <c r="J137" s="9">
        <v>0</v>
      </c>
      <c r="K137" s="9">
        <v>39</v>
      </c>
      <c r="L137" s="9">
        <v>0</v>
      </c>
      <c r="M137" s="9">
        <v>37</v>
      </c>
      <c r="N137" s="9">
        <v>0</v>
      </c>
      <c r="O137" s="9">
        <v>34</v>
      </c>
      <c r="P137" s="9">
        <v>0</v>
      </c>
      <c r="Q137" s="9">
        <v>32</v>
      </c>
      <c r="R137" s="9">
        <v>0</v>
      </c>
      <c r="S137" s="9">
        <v>34.333333333333336</v>
      </c>
      <c r="T137" s="9"/>
      <c r="U137" s="4">
        <f t="shared" si="4"/>
        <v>0</v>
      </c>
      <c r="W137" s="4">
        <v>68</v>
      </c>
      <c r="X137" s="4">
        <v>70</v>
      </c>
      <c r="Y137" s="4">
        <v>78</v>
      </c>
      <c r="Z137" s="4">
        <v>67</v>
      </c>
      <c r="AA137" s="4">
        <v>70</v>
      </c>
      <c r="AB137" s="4">
        <v>75</v>
      </c>
      <c r="AC137" s="4">
        <v>71</v>
      </c>
      <c r="AD137" s="4">
        <v>50</v>
      </c>
      <c r="AE137" s="4">
        <v>66</v>
      </c>
      <c r="AF137" s="4">
        <v>46</v>
      </c>
      <c r="AG137" s="4">
        <v>57</v>
      </c>
      <c r="AH137" s="4">
        <v>0</v>
      </c>
      <c r="AI137" s="7">
        <f t="shared" si="5"/>
        <v>980.33333333333326</v>
      </c>
      <c r="AJ137" s="7"/>
    </row>
    <row r="138" spans="1:36" x14ac:dyDescent="0.3">
      <c r="A138" s="12" t="s">
        <v>1011</v>
      </c>
      <c r="B138" s="12" t="s">
        <v>863</v>
      </c>
      <c r="C138" s="12" t="s">
        <v>1012</v>
      </c>
      <c r="D138" s="13">
        <v>7301582</v>
      </c>
      <c r="E138" s="12" t="s">
        <v>632</v>
      </c>
      <c r="F138" s="12" t="s">
        <v>3</v>
      </c>
      <c r="G138" s="9">
        <v>22</v>
      </c>
      <c r="H138" s="9">
        <v>0</v>
      </c>
      <c r="I138" s="9">
        <v>15</v>
      </c>
      <c r="J138" s="9">
        <v>0</v>
      </c>
      <c r="K138" s="9">
        <v>16</v>
      </c>
      <c r="L138" s="9">
        <v>0</v>
      </c>
      <c r="M138" s="9">
        <v>29</v>
      </c>
      <c r="N138" s="9">
        <v>0</v>
      </c>
      <c r="O138" s="9">
        <v>23</v>
      </c>
      <c r="P138" s="9">
        <v>0</v>
      </c>
      <c r="Q138" s="9">
        <v>26</v>
      </c>
      <c r="R138" s="9">
        <v>0</v>
      </c>
      <c r="S138" s="9">
        <v>26</v>
      </c>
      <c r="T138" s="9"/>
      <c r="U138" s="4">
        <f t="shared" si="4"/>
        <v>0</v>
      </c>
      <c r="W138" s="4">
        <v>50</v>
      </c>
      <c r="X138" s="4">
        <v>38</v>
      </c>
      <c r="Y138" s="4">
        <v>42</v>
      </c>
      <c r="Z138" s="4">
        <v>49</v>
      </c>
      <c r="AA138" s="4">
        <v>46</v>
      </c>
      <c r="AB138" s="4">
        <v>20</v>
      </c>
      <c r="AC138" s="4">
        <v>36</v>
      </c>
      <c r="AD138" s="4">
        <v>4</v>
      </c>
      <c r="AE138" s="4">
        <v>24</v>
      </c>
      <c r="AF138" s="4">
        <v>0</v>
      </c>
      <c r="AG138" s="4">
        <v>8</v>
      </c>
      <c r="AH138" s="4">
        <v>0</v>
      </c>
      <c r="AI138" s="7">
        <f t="shared" si="5"/>
        <v>474</v>
      </c>
      <c r="AJ138" s="7"/>
    </row>
    <row r="139" spans="1:36" x14ac:dyDescent="0.3">
      <c r="A139" s="12" t="s">
        <v>1011</v>
      </c>
      <c r="B139" s="12" t="s">
        <v>863</v>
      </c>
      <c r="C139" s="12" t="s">
        <v>1012</v>
      </c>
      <c r="D139" s="13">
        <v>7301635</v>
      </c>
      <c r="E139" s="12" t="s">
        <v>633</v>
      </c>
      <c r="F139" s="12" t="s">
        <v>3</v>
      </c>
      <c r="G139" s="9">
        <v>20</v>
      </c>
      <c r="H139" s="9">
        <v>0</v>
      </c>
      <c r="I139" s="9">
        <v>20</v>
      </c>
      <c r="J139" s="9">
        <v>0</v>
      </c>
      <c r="K139" s="9">
        <v>20</v>
      </c>
      <c r="L139" s="9">
        <v>0</v>
      </c>
      <c r="M139" s="9">
        <v>20</v>
      </c>
      <c r="N139" s="9">
        <v>0</v>
      </c>
      <c r="O139" s="9">
        <v>20</v>
      </c>
      <c r="P139" s="9">
        <v>0</v>
      </c>
      <c r="Q139" s="9">
        <v>20</v>
      </c>
      <c r="R139" s="9">
        <v>0</v>
      </c>
      <c r="S139" s="9">
        <v>20</v>
      </c>
      <c r="T139" s="9"/>
      <c r="U139" s="4">
        <f t="shared" si="4"/>
        <v>0</v>
      </c>
      <c r="W139" s="4">
        <v>10</v>
      </c>
      <c r="X139" s="4">
        <v>8</v>
      </c>
      <c r="Y139" s="4">
        <v>12</v>
      </c>
      <c r="Z139" s="4">
        <v>4</v>
      </c>
      <c r="AA139" s="4">
        <v>14</v>
      </c>
      <c r="AB139" s="4">
        <v>0</v>
      </c>
      <c r="AC139" s="4">
        <v>17</v>
      </c>
      <c r="AD139" s="4">
        <v>14</v>
      </c>
      <c r="AE139" s="4">
        <v>6</v>
      </c>
      <c r="AF139" s="4">
        <v>4</v>
      </c>
      <c r="AG139" s="4">
        <v>6</v>
      </c>
      <c r="AH139" s="4">
        <v>4</v>
      </c>
      <c r="AI139" s="7">
        <f t="shared" si="5"/>
        <v>239</v>
      </c>
      <c r="AJ139" s="7"/>
    </row>
    <row r="140" spans="1:36" x14ac:dyDescent="0.3">
      <c r="A140" s="12" t="s">
        <v>1011</v>
      </c>
      <c r="B140" s="12" t="s">
        <v>863</v>
      </c>
      <c r="C140" s="12" t="s">
        <v>1012</v>
      </c>
      <c r="D140" s="13">
        <v>7301636</v>
      </c>
      <c r="E140" s="12" t="s">
        <v>634</v>
      </c>
      <c r="F140" s="12" t="s">
        <v>3</v>
      </c>
      <c r="G140" s="9">
        <v>500</v>
      </c>
      <c r="H140" s="9">
        <v>0</v>
      </c>
      <c r="I140" s="9">
        <v>500</v>
      </c>
      <c r="J140" s="9">
        <v>0</v>
      </c>
      <c r="K140" s="9">
        <v>600</v>
      </c>
      <c r="L140" s="9">
        <v>0</v>
      </c>
      <c r="M140" s="9">
        <v>650</v>
      </c>
      <c r="N140" s="9">
        <v>0</v>
      </c>
      <c r="O140" s="9">
        <v>700</v>
      </c>
      <c r="P140" s="9">
        <v>0</v>
      </c>
      <c r="Q140" s="9">
        <v>750</v>
      </c>
      <c r="R140" s="9">
        <v>0</v>
      </c>
      <c r="S140" s="9">
        <v>700</v>
      </c>
      <c r="T140" s="9"/>
      <c r="U140" s="4">
        <f t="shared" si="4"/>
        <v>0</v>
      </c>
      <c r="W140" s="4">
        <v>100</v>
      </c>
      <c r="X140" s="4">
        <v>169</v>
      </c>
      <c r="Y140" s="4">
        <v>200</v>
      </c>
      <c r="Z140" s="4">
        <v>154</v>
      </c>
      <c r="AA140" s="4">
        <v>261</v>
      </c>
      <c r="AB140" s="4">
        <v>279</v>
      </c>
      <c r="AC140" s="4">
        <v>327</v>
      </c>
      <c r="AD140" s="4">
        <v>380</v>
      </c>
      <c r="AE140" s="4">
        <v>271</v>
      </c>
      <c r="AF140" s="4">
        <v>294</v>
      </c>
      <c r="AG140" s="4">
        <v>500</v>
      </c>
      <c r="AH140" s="4">
        <v>430</v>
      </c>
      <c r="AI140" s="7">
        <f t="shared" si="5"/>
        <v>7765</v>
      </c>
      <c r="AJ140" s="7"/>
    </row>
    <row r="141" spans="1:36" x14ac:dyDescent="0.3">
      <c r="A141" s="12" t="s">
        <v>1011</v>
      </c>
      <c r="B141" s="12" t="s">
        <v>863</v>
      </c>
      <c r="C141" s="12" t="s">
        <v>1012</v>
      </c>
      <c r="D141" s="13">
        <v>7301687</v>
      </c>
      <c r="E141" s="12" t="s">
        <v>635</v>
      </c>
      <c r="F141" s="12" t="s">
        <v>3</v>
      </c>
      <c r="G141" s="9">
        <v>39900</v>
      </c>
      <c r="H141" s="9">
        <v>0</v>
      </c>
      <c r="I141" s="9">
        <v>39900</v>
      </c>
      <c r="J141" s="9">
        <v>0</v>
      </c>
      <c r="K141" s="9">
        <v>39900</v>
      </c>
      <c r="L141" s="9">
        <v>0</v>
      </c>
      <c r="M141" s="9">
        <v>39900</v>
      </c>
      <c r="N141" s="9">
        <v>0</v>
      </c>
      <c r="O141" s="9">
        <v>39900</v>
      </c>
      <c r="P141" s="9">
        <v>0</v>
      </c>
      <c r="Q141" s="9">
        <v>39900</v>
      </c>
      <c r="R141" s="9">
        <v>0</v>
      </c>
      <c r="S141" s="9">
        <v>39900</v>
      </c>
      <c r="T141" s="9"/>
      <c r="U141" s="4">
        <f t="shared" si="4"/>
        <v>0</v>
      </c>
      <c r="W141" s="4">
        <v>40515</v>
      </c>
      <c r="X141" s="4">
        <v>39943</v>
      </c>
      <c r="Y141" s="4">
        <v>40378</v>
      </c>
      <c r="Z141" s="4">
        <v>42839</v>
      </c>
      <c r="AA141" s="4">
        <v>42256</v>
      </c>
      <c r="AB141" s="4">
        <v>46109</v>
      </c>
      <c r="AC141" s="4">
        <v>44072</v>
      </c>
      <c r="AD141" s="4">
        <v>36254</v>
      </c>
      <c r="AE141" s="4">
        <v>41556</v>
      </c>
      <c r="AF141" s="4">
        <v>32050</v>
      </c>
      <c r="AG141" s="4">
        <v>45000</v>
      </c>
      <c r="AH141" s="4">
        <v>36413</v>
      </c>
      <c r="AI141" s="7">
        <f t="shared" si="5"/>
        <v>766685</v>
      </c>
      <c r="AJ141" s="7"/>
    </row>
    <row r="142" spans="1:36" x14ac:dyDescent="0.3">
      <c r="A142" s="12" t="s">
        <v>1011</v>
      </c>
      <c r="B142" s="12" t="s">
        <v>863</v>
      </c>
      <c r="C142" s="12" t="s">
        <v>1012</v>
      </c>
      <c r="D142" s="13">
        <v>7301713</v>
      </c>
      <c r="E142" s="12" t="s">
        <v>636</v>
      </c>
      <c r="F142" s="12" t="s">
        <v>3</v>
      </c>
      <c r="G142" s="9">
        <v>15</v>
      </c>
      <c r="H142" s="9">
        <v>0</v>
      </c>
      <c r="I142" s="9">
        <v>15</v>
      </c>
      <c r="J142" s="9">
        <v>0</v>
      </c>
      <c r="K142" s="9">
        <v>20</v>
      </c>
      <c r="L142" s="9">
        <v>0</v>
      </c>
      <c r="M142" s="9">
        <v>15</v>
      </c>
      <c r="N142" s="9">
        <v>0</v>
      </c>
      <c r="O142" s="9">
        <v>15</v>
      </c>
      <c r="P142" s="9">
        <v>0</v>
      </c>
      <c r="Q142" s="9">
        <v>20</v>
      </c>
      <c r="R142" s="9">
        <v>0</v>
      </c>
      <c r="S142" s="9">
        <v>16.666666666666668</v>
      </c>
      <c r="T142" s="9"/>
      <c r="U142" s="4">
        <f t="shared" si="4"/>
        <v>0</v>
      </c>
      <c r="W142" s="4">
        <v>7</v>
      </c>
      <c r="X142" s="4">
        <v>19</v>
      </c>
      <c r="Y142" s="4">
        <v>11</v>
      </c>
      <c r="Z142" s="4">
        <v>13</v>
      </c>
      <c r="AA142" s="4">
        <v>14</v>
      </c>
      <c r="AB142" s="4">
        <v>35</v>
      </c>
      <c r="AC142" s="4">
        <v>17</v>
      </c>
      <c r="AD142" s="4">
        <v>16</v>
      </c>
      <c r="AE142" s="4">
        <v>17</v>
      </c>
      <c r="AF142" s="4">
        <v>3</v>
      </c>
      <c r="AG142" s="4">
        <v>18</v>
      </c>
      <c r="AH142" s="4">
        <v>6</v>
      </c>
      <c r="AI142" s="7">
        <f t="shared" si="5"/>
        <v>292.66666666666669</v>
      </c>
      <c r="AJ142" s="7"/>
    </row>
    <row r="143" spans="1:36" x14ac:dyDescent="0.3">
      <c r="A143" s="12" t="s">
        <v>1015</v>
      </c>
      <c r="B143" s="12" t="s">
        <v>863</v>
      </c>
      <c r="C143" s="12" t="s">
        <v>1012</v>
      </c>
      <c r="D143" s="13">
        <v>7301717</v>
      </c>
      <c r="E143" s="12" t="s">
        <v>637</v>
      </c>
      <c r="F143" s="12" t="s">
        <v>3</v>
      </c>
      <c r="G143" s="9">
        <v>4500</v>
      </c>
      <c r="H143" s="9">
        <v>0</v>
      </c>
      <c r="I143" s="9">
        <v>2000</v>
      </c>
      <c r="J143" s="9">
        <v>0</v>
      </c>
      <c r="K143" s="9">
        <v>2000</v>
      </c>
      <c r="L143" s="9">
        <v>0</v>
      </c>
      <c r="M143" s="9">
        <v>2000</v>
      </c>
      <c r="N143" s="9">
        <v>0</v>
      </c>
      <c r="O143" s="9">
        <v>4500</v>
      </c>
      <c r="P143" s="9">
        <v>0</v>
      </c>
      <c r="Q143" s="9">
        <v>0</v>
      </c>
      <c r="R143" s="9">
        <v>0</v>
      </c>
      <c r="S143" s="9">
        <v>2166.6666666666665</v>
      </c>
      <c r="T143" s="9"/>
      <c r="U143" s="4">
        <f t="shared" si="4"/>
        <v>0</v>
      </c>
      <c r="W143" s="4">
        <v>1000</v>
      </c>
      <c r="X143" s="4">
        <v>236</v>
      </c>
      <c r="Y143" s="4">
        <v>3000</v>
      </c>
      <c r="Z143" s="4">
        <v>441</v>
      </c>
      <c r="AA143" s="4">
        <v>3000</v>
      </c>
      <c r="AB143" s="4">
        <v>631</v>
      </c>
      <c r="AC143" s="4">
        <v>2000</v>
      </c>
      <c r="AD143" s="4">
        <v>446</v>
      </c>
      <c r="AE143" s="4">
        <v>350</v>
      </c>
      <c r="AF143" s="4">
        <v>831</v>
      </c>
      <c r="AG143" s="4">
        <v>650</v>
      </c>
      <c r="AH143" s="4">
        <v>690</v>
      </c>
      <c r="AI143" s="7">
        <f t="shared" si="5"/>
        <v>30441.666666666668</v>
      </c>
      <c r="AJ143" s="7"/>
    </row>
    <row r="144" spans="1:36" x14ac:dyDescent="0.3">
      <c r="A144" s="12" t="s">
        <v>1015</v>
      </c>
      <c r="B144" s="12" t="s">
        <v>863</v>
      </c>
      <c r="C144" s="12" t="s">
        <v>1012</v>
      </c>
      <c r="D144" s="13">
        <v>7301718</v>
      </c>
      <c r="E144" s="12" t="s">
        <v>638</v>
      </c>
      <c r="F144" s="12" t="s">
        <v>3</v>
      </c>
      <c r="G144" s="9">
        <v>7600</v>
      </c>
      <c r="H144" s="9">
        <v>0</v>
      </c>
      <c r="I144" s="9">
        <v>1000</v>
      </c>
      <c r="J144" s="9">
        <v>0</v>
      </c>
      <c r="K144" s="9">
        <v>1000</v>
      </c>
      <c r="L144" s="9">
        <v>0</v>
      </c>
      <c r="M144" s="9">
        <v>1000</v>
      </c>
      <c r="N144" s="9">
        <v>0</v>
      </c>
      <c r="O144" s="9">
        <v>1000</v>
      </c>
      <c r="P144" s="9">
        <v>0</v>
      </c>
      <c r="Q144" s="9">
        <v>1000</v>
      </c>
      <c r="R144" s="9">
        <v>0</v>
      </c>
      <c r="S144" s="9">
        <v>1000</v>
      </c>
      <c r="T144" s="9"/>
      <c r="U144" s="4">
        <f t="shared" si="4"/>
        <v>0</v>
      </c>
      <c r="W144" s="4">
        <v>500</v>
      </c>
      <c r="X144" s="4">
        <v>158</v>
      </c>
      <c r="Y144" s="4">
        <v>300</v>
      </c>
      <c r="Z144" s="4">
        <v>171</v>
      </c>
      <c r="AA144" s="4">
        <v>1000</v>
      </c>
      <c r="AB144" s="4">
        <v>109</v>
      </c>
      <c r="AC144" s="4">
        <v>1000</v>
      </c>
      <c r="AD144" s="4">
        <v>221</v>
      </c>
      <c r="AE144" s="4">
        <v>200</v>
      </c>
      <c r="AF144" s="4">
        <v>272</v>
      </c>
      <c r="AG144" s="4">
        <v>200</v>
      </c>
      <c r="AH144" s="4">
        <v>379</v>
      </c>
      <c r="AI144" s="7">
        <f t="shared" si="5"/>
        <v>18110</v>
      </c>
      <c r="AJ144" s="7"/>
    </row>
    <row r="145" spans="1:36" x14ac:dyDescent="0.3">
      <c r="A145" s="12" t="s">
        <v>1011</v>
      </c>
      <c r="B145" s="12" t="s">
        <v>863</v>
      </c>
      <c r="C145" s="12" t="s">
        <v>1012</v>
      </c>
      <c r="D145" s="13">
        <v>7301743</v>
      </c>
      <c r="E145" s="12" t="s">
        <v>639</v>
      </c>
      <c r="F145" s="12" t="s">
        <v>3</v>
      </c>
      <c r="G145" s="9">
        <v>6</v>
      </c>
      <c r="H145" s="9">
        <v>0</v>
      </c>
      <c r="I145" s="9">
        <v>6</v>
      </c>
      <c r="J145" s="9">
        <v>0</v>
      </c>
      <c r="K145" s="9">
        <v>6</v>
      </c>
      <c r="L145" s="9">
        <v>10</v>
      </c>
      <c r="M145" s="9">
        <v>6</v>
      </c>
      <c r="N145" s="9">
        <v>0</v>
      </c>
      <c r="O145" s="9">
        <v>6</v>
      </c>
      <c r="P145" s="9">
        <v>10</v>
      </c>
      <c r="Q145" s="9">
        <v>6</v>
      </c>
      <c r="R145" s="9">
        <v>0</v>
      </c>
      <c r="S145" s="9">
        <v>6</v>
      </c>
      <c r="T145" s="9"/>
      <c r="U145" s="4">
        <f t="shared" si="4"/>
        <v>20</v>
      </c>
      <c r="W145" s="4">
        <v>3</v>
      </c>
      <c r="X145" s="4">
        <v>9</v>
      </c>
      <c r="Y145" s="4">
        <v>5</v>
      </c>
      <c r="Z145" s="4">
        <v>10</v>
      </c>
      <c r="AA145" s="4">
        <v>7</v>
      </c>
      <c r="AB145" s="4">
        <v>3</v>
      </c>
      <c r="AC145" s="4">
        <v>7</v>
      </c>
      <c r="AD145" s="4">
        <v>4</v>
      </c>
      <c r="AE145" s="4">
        <v>7</v>
      </c>
      <c r="AF145" s="4">
        <v>5</v>
      </c>
      <c r="AG145" s="4">
        <v>4</v>
      </c>
      <c r="AH145" s="4">
        <v>3</v>
      </c>
      <c r="AI145" s="7">
        <f t="shared" si="5"/>
        <v>149</v>
      </c>
      <c r="AJ145" s="7"/>
    </row>
    <row r="146" spans="1:36" x14ac:dyDescent="0.3">
      <c r="A146" s="12" t="s">
        <v>1015</v>
      </c>
      <c r="B146" s="12" t="s">
        <v>863</v>
      </c>
      <c r="C146" s="12" t="s">
        <v>1012</v>
      </c>
      <c r="D146" s="13">
        <v>7301764</v>
      </c>
      <c r="E146" s="12" t="s">
        <v>640</v>
      </c>
      <c r="F146" s="12" t="s">
        <v>3</v>
      </c>
      <c r="G146" s="9">
        <v>100000</v>
      </c>
      <c r="H146" s="9">
        <v>183326</v>
      </c>
      <c r="I146" s="9">
        <v>100000</v>
      </c>
      <c r="J146" s="9">
        <v>149994</v>
      </c>
      <c r="K146" s="9">
        <v>300000</v>
      </c>
      <c r="L146" s="9">
        <v>183326</v>
      </c>
      <c r="M146" s="9">
        <v>100000</v>
      </c>
      <c r="N146" s="9">
        <v>149994</v>
      </c>
      <c r="O146" s="9">
        <v>100000</v>
      </c>
      <c r="P146" s="9">
        <v>116662</v>
      </c>
      <c r="Q146" s="9">
        <v>120000</v>
      </c>
      <c r="R146" s="9">
        <v>0</v>
      </c>
      <c r="S146" s="9">
        <v>106666.66666666667</v>
      </c>
      <c r="T146" s="9"/>
      <c r="U146" s="4">
        <f t="shared" si="4"/>
        <v>783302</v>
      </c>
      <c r="W146" s="4">
        <v>90000</v>
      </c>
      <c r="X146" s="4">
        <v>93636</v>
      </c>
      <c r="Y146" s="4">
        <v>100000</v>
      </c>
      <c r="Z146" s="4">
        <v>102437</v>
      </c>
      <c r="AA146" s="4">
        <v>100000</v>
      </c>
      <c r="AB146" s="4">
        <v>103102</v>
      </c>
      <c r="AC146" s="4">
        <v>100000</v>
      </c>
      <c r="AD146" s="4">
        <v>97506</v>
      </c>
      <c r="AE146" s="4">
        <v>100000</v>
      </c>
      <c r="AF146" s="4">
        <v>91783</v>
      </c>
      <c r="AG146" s="4">
        <v>100000</v>
      </c>
      <c r="AH146" s="4">
        <v>91982</v>
      </c>
      <c r="AI146" s="7">
        <f t="shared" si="5"/>
        <v>3663716.666666667</v>
      </c>
      <c r="AJ146" s="7"/>
    </row>
    <row r="147" spans="1:36" x14ac:dyDescent="0.3">
      <c r="A147" s="12" t="s">
        <v>1015</v>
      </c>
      <c r="B147" s="12" t="s">
        <v>863</v>
      </c>
      <c r="C147" s="12" t="s">
        <v>1012</v>
      </c>
      <c r="D147" s="13">
        <v>7301795</v>
      </c>
      <c r="E147" s="12" t="s">
        <v>641</v>
      </c>
      <c r="F147" s="12" t="s">
        <v>3</v>
      </c>
      <c r="G147" s="9">
        <v>1155</v>
      </c>
      <c r="H147" s="9">
        <v>0</v>
      </c>
      <c r="I147" s="9">
        <v>1155</v>
      </c>
      <c r="J147" s="9">
        <v>0</v>
      </c>
      <c r="K147" s="9">
        <v>1155</v>
      </c>
      <c r="L147" s="9">
        <v>0</v>
      </c>
      <c r="M147" s="9">
        <v>1155</v>
      </c>
      <c r="N147" s="9">
        <v>0</v>
      </c>
      <c r="O147" s="9">
        <v>1155</v>
      </c>
      <c r="P147" s="9">
        <v>0</v>
      </c>
      <c r="Q147" s="9">
        <v>1155</v>
      </c>
      <c r="R147" s="9">
        <v>0</v>
      </c>
      <c r="S147" s="9">
        <v>1155</v>
      </c>
      <c r="T147" s="9"/>
      <c r="U147" s="4">
        <f t="shared" si="4"/>
        <v>0</v>
      </c>
      <c r="W147" s="4">
        <v>0</v>
      </c>
      <c r="X147" s="4">
        <v>1522</v>
      </c>
      <c r="Y147" s="4">
        <v>2000</v>
      </c>
      <c r="Z147" s="4">
        <v>1260</v>
      </c>
      <c r="AA147" s="4">
        <v>1708</v>
      </c>
      <c r="AB147" s="4">
        <v>1370</v>
      </c>
      <c r="AC147" s="4">
        <v>43000</v>
      </c>
      <c r="AD147" s="4">
        <v>1300</v>
      </c>
      <c r="AE147" s="4">
        <v>1310</v>
      </c>
      <c r="AF147" s="4">
        <v>690</v>
      </c>
      <c r="AG147" s="4">
        <v>1120</v>
      </c>
      <c r="AH147" s="4">
        <v>790</v>
      </c>
      <c r="AI147" s="7">
        <f t="shared" si="5"/>
        <v>64155</v>
      </c>
      <c r="AJ147" s="7"/>
    </row>
    <row r="148" spans="1:36" x14ac:dyDescent="0.3">
      <c r="A148" s="12" t="s">
        <v>1011</v>
      </c>
      <c r="B148" s="12" t="s">
        <v>863</v>
      </c>
      <c r="C148" s="12" t="s">
        <v>1012</v>
      </c>
      <c r="D148" s="13">
        <v>7301800</v>
      </c>
      <c r="E148" s="12" t="s">
        <v>642</v>
      </c>
      <c r="F148" s="12" t="s">
        <v>3</v>
      </c>
      <c r="G148" s="9">
        <v>498</v>
      </c>
      <c r="H148" s="9">
        <v>0</v>
      </c>
      <c r="I148" s="9">
        <v>494</v>
      </c>
      <c r="J148" s="9">
        <v>0</v>
      </c>
      <c r="K148" s="9">
        <v>489</v>
      </c>
      <c r="L148" s="9">
        <v>3000</v>
      </c>
      <c r="M148" s="9">
        <v>484</v>
      </c>
      <c r="N148" s="9">
        <v>0</v>
      </c>
      <c r="O148" s="9">
        <v>479</v>
      </c>
      <c r="P148" s="9">
        <v>0</v>
      </c>
      <c r="Q148" s="9">
        <v>474</v>
      </c>
      <c r="R148" s="9">
        <v>0</v>
      </c>
      <c r="S148" s="9">
        <v>479</v>
      </c>
      <c r="T148" s="9"/>
      <c r="U148" s="4">
        <f t="shared" si="4"/>
        <v>3000</v>
      </c>
      <c r="W148" s="4">
        <v>552</v>
      </c>
      <c r="X148" s="4">
        <v>687</v>
      </c>
      <c r="Y148" s="4">
        <v>577</v>
      </c>
      <c r="Z148" s="4">
        <v>441</v>
      </c>
      <c r="AA148" s="4">
        <v>533</v>
      </c>
      <c r="AB148" s="4">
        <v>464</v>
      </c>
      <c r="AC148" s="4">
        <v>444</v>
      </c>
      <c r="AD148" s="4">
        <v>514</v>
      </c>
      <c r="AE148" s="4">
        <v>495</v>
      </c>
      <c r="AF148" s="4">
        <v>560</v>
      </c>
      <c r="AG148" s="4">
        <v>492</v>
      </c>
      <c r="AH148" s="4">
        <v>451</v>
      </c>
      <c r="AI148" s="7">
        <f t="shared" si="5"/>
        <v>15607</v>
      </c>
      <c r="AJ148" s="7"/>
    </row>
    <row r="149" spans="1:36" x14ac:dyDescent="0.3">
      <c r="A149" s="12" t="s">
        <v>1011</v>
      </c>
      <c r="B149" s="12" t="s">
        <v>863</v>
      </c>
      <c r="C149" s="12" t="s">
        <v>1012</v>
      </c>
      <c r="D149" s="13">
        <v>7301801</v>
      </c>
      <c r="E149" s="12" t="s">
        <v>643</v>
      </c>
      <c r="F149" s="12" t="s">
        <v>3</v>
      </c>
      <c r="G149" s="9">
        <v>716</v>
      </c>
      <c r="H149" s="9">
        <v>3000</v>
      </c>
      <c r="I149" s="9">
        <v>716</v>
      </c>
      <c r="J149" s="9">
        <v>0</v>
      </c>
      <c r="K149" s="9">
        <v>716</v>
      </c>
      <c r="L149" s="9">
        <v>0</v>
      </c>
      <c r="M149" s="9">
        <v>716</v>
      </c>
      <c r="N149" s="9">
        <v>3000</v>
      </c>
      <c r="O149" s="9">
        <v>716</v>
      </c>
      <c r="P149" s="9">
        <v>0</v>
      </c>
      <c r="Q149" s="9">
        <v>716</v>
      </c>
      <c r="R149" s="9">
        <v>0</v>
      </c>
      <c r="S149" s="9">
        <v>716</v>
      </c>
      <c r="T149" s="9"/>
      <c r="U149" s="4">
        <f t="shared" si="4"/>
        <v>6000</v>
      </c>
      <c r="W149" s="4">
        <v>714</v>
      </c>
      <c r="X149" s="4">
        <v>855</v>
      </c>
      <c r="Y149" s="4">
        <v>866</v>
      </c>
      <c r="Z149" s="4">
        <v>1092</v>
      </c>
      <c r="AA149" s="4">
        <v>953</v>
      </c>
      <c r="AB149" s="4">
        <v>708</v>
      </c>
      <c r="AC149" s="4">
        <v>885</v>
      </c>
      <c r="AD149" s="4">
        <v>718</v>
      </c>
      <c r="AE149" s="4">
        <v>839</v>
      </c>
      <c r="AF149" s="4">
        <v>560</v>
      </c>
      <c r="AG149" s="4">
        <v>662</v>
      </c>
      <c r="AH149" s="4">
        <v>671</v>
      </c>
      <c r="AI149" s="7">
        <f t="shared" si="5"/>
        <v>26535</v>
      </c>
      <c r="AJ149" s="7"/>
    </row>
    <row r="150" spans="1:36" x14ac:dyDescent="0.3">
      <c r="A150" s="12" t="s">
        <v>1011</v>
      </c>
      <c r="B150" s="12" t="s">
        <v>863</v>
      </c>
      <c r="C150" s="12" t="s">
        <v>1012</v>
      </c>
      <c r="D150" s="13">
        <v>7301808</v>
      </c>
      <c r="E150" s="12" t="s">
        <v>644</v>
      </c>
      <c r="F150" s="12" t="s">
        <v>3</v>
      </c>
      <c r="G150" s="9">
        <v>120</v>
      </c>
      <c r="H150" s="9">
        <v>1557</v>
      </c>
      <c r="I150" s="9">
        <v>120</v>
      </c>
      <c r="J150" s="9">
        <v>0</v>
      </c>
      <c r="K150" s="9">
        <v>120</v>
      </c>
      <c r="L150" s="9">
        <v>0</v>
      </c>
      <c r="M150" s="9">
        <v>120</v>
      </c>
      <c r="N150" s="9">
        <v>0</v>
      </c>
      <c r="O150" s="9">
        <v>120</v>
      </c>
      <c r="P150" s="9">
        <v>0</v>
      </c>
      <c r="Q150" s="9">
        <v>120</v>
      </c>
      <c r="R150" s="9">
        <v>0</v>
      </c>
      <c r="S150" s="9">
        <v>120</v>
      </c>
      <c r="T150" s="9"/>
      <c r="U150" s="4">
        <f t="shared" si="4"/>
        <v>1557</v>
      </c>
      <c r="W150" s="4">
        <v>150</v>
      </c>
      <c r="X150" s="4">
        <v>250</v>
      </c>
      <c r="Y150" s="4">
        <v>300</v>
      </c>
      <c r="Z150" s="4">
        <v>350</v>
      </c>
      <c r="AA150" s="4">
        <v>420</v>
      </c>
      <c r="AB150" s="4">
        <v>150</v>
      </c>
      <c r="AC150" s="4">
        <v>350</v>
      </c>
      <c r="AD150" s="4">
        <v>440</v>
      </c>
      <c r="AE150" s="4">
        <v>300</v>
      </c>
      <c r="AF150" s="4">
        <v>150</v>
      </c>
      <c r="AG150" s="4">
        <v>200</v>
      </c>
      <c r="AH150" s="4">
        <v>200</v>
      </c>
      <c r="AI150" s="7">
        <f t="shared" si="5"/>
        <v>7214</v>
      </c>
      <c r="AJ150" s="7"/>
    </row>
    <row r="151" spans="1:36" x14ac:dyDescent="0.3">
      <c r="A151" s="12" t="s">
        <v>1015</v>
      </c>
      <c r="B151" s="12" t="s">
        <v>863</v>
      </c>
      <c r="C151" s="12" t="s">
        <v>1012</v>
      </c>
      <c r="D151" s="13">
        <v>7301830</v>
      </c>
      <c r="E151" s="12" t="s">
        <v>645</v>
      </c>
      <c r="F151" s="12" t="s">
        <v>3</v>
      </c>
      <c r="G151" s="9">
        <v>1000</v>
      </c>
      <c r="H151" s="9">
        <v>0</v>
      </c>
      <c r="I151" s="9">
        <v>1000</v>
      </c>
      <c r="J151" s="9">
        <v>0</v>
      </c>
      <c r="K151" s="9">
        <v>1000</v>
      </c>
      <c r="L151" s="9">
        <v>0</v>
      </c>
      <c r="M151" s="9">
        <v>1000</v>
      </c>
      <c r="N151" s="9">
        <v>0</v>
      </c>
      <c r="O151" s="9">
        <v>1000</v>
      </c>
      <c r="P151" s="9">
        <v>0</v>
      </c>
      <c r="Q151" s="9">
        <v>1000</v>
      </c>
      <c r="R151" s="9">
        <v>0</v>
      </c>
      <c r="S151" s="9">
        <v>1000</v>
      </c>
      <c r="T151" s="9"/>
      <c r="U151" s="4">
        <f t="shared" si="4"/>
        <v>0</v>
      </c>
      <c r="W151" s="4">
        <v>900</v>
      </c>
      <c r="X151" s="4">
        <v>708</v>
      </c>
      <c r="Y151" s="4">
        <v>800</v>
      </c>
      <c r="Z151" s="4">
        <v>795</v>
      </c>
      <c r="AA151" s="4">
        <v>800</v>
      </c>
      <c r="AB151" s="4">
        <v>748</v>
      </c>
      <c r="AC151" s="4">
        <v>900</v>
      </c>
      <c r="AD151" s="4">
        <v>987</v>
      </c>
      <c r="AE151" s="4">
        <v>900</v>
      </c>
      <c r="AF151" s="4">
        <v>896</v>
      </c>
      <c r="AG151" s="4">
        <v>900</v>
      </c>
      <c r="AH151" s="4">
        <v>1027</v>
      </c>
      <c r="AI151" s="7">
        <f t="shared" si="5"/>
        <v>17361</v>
      </c>
      <c r="AJ151" s="7"/>
    </row>
    <row r="152" spans="1:36" x14ac:dyDescent="0.3">
      <c r="A152" s="12" t="s">
        <v>1015</v>
      </c>
      <c r="B152" s="12" t="s">
        <v>863</v>
      </c>
      <c r="C152" s="12" t="s">
        <v>1012</v>
      </c>
      <c r="D152" s="13">
        <v>7301831</v>
      </c>
      <c r="E152" s="12" t="s">
        <v>646</v>
      </c>
      <c r="F152" s="12" t="s">
        <v>3</v>
      </c>
      <c r="G152" s="9">
        <v>2000</v>
      </c>
      <c r="H152" s="9">
        <v>0</v>
      </c>
      <c r="I152" s="9">
        <v>2000</v>
      </c>
      <c r="J152" s="9">
        <v>0</v>
      </c>
      <c r="K152" s="9">
        <v>1800</v>
      </c>
      <c r="L152" s="9">
        <v>4000</v>
      </c>
      <c r="M152" s="9">
        <v>1800</v>
      </c>
      <c r="N152" s="9">
        <v>0</v>
      </c>
      <c r="O152" s="9">
        <v>1800</v>
      </c>
      <c r="P152" s="9">
        <v>4000</v>
      </c>
      <c r="Q152" s="9">
        <v>2000</v>
      </c>
      <c r="R152" s="9">
        <v>0</v>
      </c>
      <c r="S152" s="9">
        <v>1866.6666666666667</v>
      </c>
      <c r="T152" s="9"/>
      <c r="U152" s="4">
        <f t="shared" si="4"/>
        <v>8000</v>
      </c>
      <c r="W152" s="4">
        <v>1500</v>
      </c>
      <c r="X152" s="4">
        <v>1315</v>
      </c>
      <c r="Y152" s="4">
        <v>1500</v>
      </c>
      <c r="Z152" s="4">
        <v>1405</v>
      </c>
      <c r="AA152" s="4">
        <v>1500</v>
      </c>
      <c r="AB152" s="4">
        <v>1486</v>
      </c>
      <c r="AC152" s="4">
        <v>1400</v>
      </c>
      <c r="AD152" s="4">
        <v>1802</v>
      </c>
      <c r="AE152" s="4">
        <v>1800</v>
      </c>
      <c r="AF152" s="4">
        <v>1878</v>
      </c>
      <c r="AG152" s="4">
        <v>1800</v>
      </c>
      <c r="AH152" s="4">
        <v>2218</v>
      </c>
      <c r="AI152" s="7">
        <f t="shared" si="5"/>
        <v>48870.666666666672</v>
      </c>
      <c r="AJ152" s="7"/>
    </row>
    <row r="153" spans="1:36" x14ac:dyDescent="0.3">
      <c r="A153" s="12" t="s">
        <v>1015</v>
      </c>
      <c r="B153" s="12" t="s">
        <v>863</v>
      </c>
      <c r="C153" s="12" t="s">
        <v>1012</v>
      </c>
      <c r="D153" s="13">
        <v>7301855</v>
      </c>
      <c r="E153" s="12" t="s">
        <v>647</v>
      </c>
      <c r="F153" s="12" t="s">
        <v>3</v>
      </c>
      <c r="G153" s="9">
        <v>150000</v>
      </c>
      <c r="H153" s="9">
        <v>0</v>
      </c>
      <c r="I153" s="9">
        <v>150000</v>
      </c>
      <c r="J153" s="9">
        <v>100000</v>
      </c>
      <c r="K153" s="9">
        <v>200000</v>
      </c>
      <c r="L153" s="9">
        <v>200000</v>
      </c>
      <c r="M153" s="9">
        <v>150000</v>
      </c>
      <c r="N153" s="9">
        <v>100000</v>
      </c>
      <c r="O153" s="9">
        <v>150000</v>
      </c>
      <c r="P153" s="9">
        <v>100000</v>
      </c>
      <c r="Q153" s="9">
        <v>150000</v>
      </c>
      <c r="R153" s="9">
        <v>100000</v>
      </c>
      <c r="S153" s="9">
        <v>150000</v>
      </c>
      <c r="T153" s="9"/>
      <c r="U153" s="4">
        <f t="shared" si="4"/>
        <v>600000</v>
      </c>
      <c r="W153" s="4">
        <v>135000</v>
      </c>
      <c r="X153" s="4">
        <v>124372</v>
      </c>
      <c r="Y153" s="4">
        <v>140000</v>
      </c>
      <c r="Z153" s="4">
        <v>126570</v>
      </c>
      <c r="AA153" s="4">
        <v>140000</v>
      </c>
      <c r="AB153" s="4">
        <v>130380</v>
      </c>
      <c r="AC153" s="4">
        <v>140000</v>
      </c>
      <c r="AD153" s="4">
        <v>137760</v>
      </c>
      <c r="AE153" s="4">
        <v>140000</v>
      </c>
      <c r="AF153" s="4">
        <v>108123</v>
      </c>
      <c r="AG153" s="4">
        <v>150000</v>
      </c>
      <c r="AH153" s="4">
        <v>116612</v>
      </c>
      <c r="AI153" s="7">
        <f t="shared" si="5"/>
        <v>3888817</v>
      </c>
      <c r="AJ153" s="7"/>
    </row>
    <row r="154" spans="1:36" x14ac:dyDescent="0.3">
      <c r="A154" s="12" t="s">
        <v>1015</v>
      </c>
      <c r="B154" s="12" t="s">
        <v>863</v>
      </c>
      <c r="C154" s="12" t="s">
        <v>1012</v>
      </c>
      <c r="D154" s="13">
        <v>7301856</v>
      </c>
      <c r="E154" s="12" t="s">
        <v>648</v>
      </c>
      <c r="F154" s="12" t="s">
        <v>3</v>
      </c>
      <c r="G154" s="9">
        <v>60000</v>
      </c>
      <c r="H154" s="9">
        <v>200000</v>
      </c>
      <c r="I154" s="9">
        <v>60000</v>
      </c>
      <c r="J154" s="9">
        <v>100000</v>
      </c>
      <c r="K154" s="9">
        <v>65000</v>
      </c>
      <c r="L154" s="9">
        <v>100000</v>
      </c>
      <c r="M154" s="9">
        <v>65000</v>
      </c>
      <c r="N154" s="9">
        <v>0</v>
      </c>
      <c r="O154" s="9">
        <v>65000</v>
      </c>
      <c r="P154" s="9">
        <v>100000</v>
      </c>
      <c r="Q154" s="9">
        <v>65000</v>
      </c>
      <c r="R154" s="9">
        <v>0</v>
      </c>
      <c r="S154" s="9">
        <v>65000</v>
      </c>
      <c r="T154" s="9"/>
      <c r="U154" s="4">
        <f t="shared" si="4"/>
        <v>500000</v>
      </c>
      <c r="W154" s="4">
        <v>65000</v>
      </c>
      <c r="X154" s="4">
        <v>53349</v>
      </c>
      <c r="Y154" s="4">
        <v>60000</v>
      </c>
      <c r="Z154" s="4">
        <v>51695</v>
      </c>
      <c r="AA154" s="4">
        <v>60000</v>
      </c>
      <c r="AB154" s="4">
        <v>62027</v>
      </c>
      <c r="AC154" s="4">
        <v>60000</v>
      </c>
      <c r="AD154" s="4">
        <v>59827</v>
      </c>
      <c r="AE154" s="4">
        <v>60000</v>
      </c>
      <c r="AF154" s="4">
        <v>46774</v>
      </c>
      <c r="AG154" s="4">
        <v>60000</v>
      </c>
      <c r="AH154" s="4">
        <v>47327</v>
      </c>
      <c r="AI154" s="7">
        <f t="shared" si="5"/>
        <v>2130999</v>
      </c>
      <c r="AJ154" s="7"/>
    </row>
    <row r="155" spans="1:36" x14ac:dyDescent="0.3">
      <c r="A155" s="12" t="s">
        <v>1011</v>
      </c>
      <c r="B155" s="12" t="s">
        <v>863</v>
      </c>
      <c r="C155" s="12" t="s">
        <v>1012</v>
      </c>
      <c r="D155" s="13">
        <v>7301860</v>
      </c>
      <c r="E155" s="12" t="s">
        <v>649</v>
      </c>
      <c r="F155" s="12" t="s">
        <v>3</v>
      </c>
      <c r="G155" s="9">
        <v>292</v>
      </c>
      <c r="H155" s="9">
        <v>0</v>
      </c>
      <c r="I155" s="9">
        <v>292</v>
      </c>
      <c r="J155" s="9">
        <v>0</v>
      </c>
      <c r="K155" s="9">
        <v>292</v>
      </c>
      <c r="L155" s="9">
        <v>0</v>
      </c>
      <c r="M155" s="9">
        <v>292</v>
      </c>
      <c r="N155" s="9">
        <v>0</v>
      </c>
      <c r="O155" s="9">
        <v>292</v>
      </c>
      <c r="P155" s="9">
        <v>0</v>
      </c>
      <c r="Q155" s="9">
        <v>292</v>
      </c>
      <c r="R155" s="9">
        <v>0</v>
      </c>
      <c r="S155" s="9">
        <v>292</v>
      </c>
      <c r="T155" s="9"/>
      <c r="U155" s="4">
        <f t="shared" si="4"/>
        <v>0</v>
      </c>
      <c r="W155" s="4">
        <v>50</v>
      </c>
      <c r="X155" s="4">
        <v>0</v>
      </c>
      <c r="Y155" s="4">
        <v>0</v>
      </c>
      <c r="Z155" s="4">
        <v>1</v>
      </c>
      <c r="AA155" s="4">
        <v>0</v>
      </c>
      <c r="AB155" s="4">
        <v>524</v>
      </c>
      <c r="AC155" s="4">
        <v>175</v>
      </c>
      <c r="AD155" s="4">
        <v>302</v>
      </c>
      <c r="AE155" s="4">
        <v>276</v>
      </c>
      <c r="AF155" s="4">
        <v>223</v>
      </c>
      <c r="AG155" s="4">
        <v>350</v>
      </c>
      <c r="AH155" s="4">
        <v>399</v>
      </c>
      <c r="AI155" s="7">
        <f t="shared" si="5"/>
        <v>4344</v>
      </c>
      <c r="AJ155" s="7"/>
    </row>
    <row r="156" spans="1:36" x14ac:dyDescent="0.3">
      <c r="A156" s="12" t="s">
        <v>1011</v>
      </c>
      <c r="B156" s="12" t="s">
        <v>863</v>
      </c>
      <c r="C156" s="12" t="s">
        <v>1012</v>
      </c>
      <c r="D156" s="13">
        <v>7301861</v>
      </c>
      <c r="E156" s="12" t="s">
        <v>650</v>
      </c>
      <c r="F156" s="12" t="s">
        <v>3</v>
      </c>
      <c r="G156" s="9">
        <v>22</v>
      </c>
      <c r="H156" s="9">
        <v>0</v>
      </c>
      <c r="I156" s="9">
        <v>26</v>
      </c>
      <c r="J156" s="9">
        <v>0</v>
      </c>
      <c r="K156" s="9">
        <v>25</v>
      </c>
      <c r="L156" s="9">
        <v>0</v>
      </c>
      <c r="M156" s="9">
        <v>65</v>
      </c>
      <c r="N156" s="9">
        <v>0</v>
      </c>
      <c r="O156" s="9">
        <v>67</v>
      </c>
      <c r="P156" s="9">
        <v>0</v>
      </c>
      <c r="Q156" s="9">
        <v>75</v>
      </c>
      <c r="R156" s="9">
        <v>0</v>
      </c>
      <c r="S156" s="9">
        <v>69</v>
      </c>
      <c r="T156" s="9"/>
      <c r="U156" s="4">
        <f t="shared" si="4"/>
        <v>0</v>
      </c>
      <c r="W156" s="4">
        <v>102</v>
      </c>
      <c r="X156" s="4">
        <v>102</v>
      </c>
      <c r="Y156" s="4">
        <v>107</v>
      </c>
      <c r="Z156" s="4">
        <v>106</v>
      </c>
      <c r="AA156" s="4">
        <v>111</v>
      </c>
      <c r="AB156" s="4">
        <v>40</v>
      </c>
      <c r="AC156" s="4">
        <v>83</v>
      </c>
      <c r="AD156" s="4">
        <v>75</v>
      </c>
      <c r="AE156" s="4">
        <v>74</v>
      </c>
      <c r="AF156" s="4">
        <v>86</v>
      </c>
      <c r="AG156" s="4">
        <v>67</v>
      </c>
      <c r="AH156" s="4">
        <v>71</v>
      </c>
      <c r="AI156" s="7">
        <f t="shared" si="5"/>
        <v>1373</v>
      </c>
      <c r="AJ156" s="7"/>
    </row>
    <row r="157" spans="1:36" x14ac:dyDescent="0.3">
      <c r="A157" s="12" t="s">
        <v>1011</v>
      </c>
      <c r="B157" s="12" t="s">
        <v>863</v>
      </c>
      <c r="C157" s="12" t="s">
        <v>1012</v>
      </c>
      <c r="D157" s="13">
        <v>7301897</v>
      </c>
      <c r="E157" s="12" t="s">
        <v>651</v>
      </c>
      <c r="F157" s="12" t="s">
        <v>3</v>
      </c>
      <c r="G157" s="9">
        <v>1614</v>
      </c>
      <c r="H157" s="9">
        <v>2000</v>
      </c>
      <c r="I157" s="9">
        <v>1614</v>
      </c>
      <c r="J157" s="9">
        <v>2000</v>
      </c>
      <c r="K157" s="9">
        <v>1614</v>
      </c>
      <c r="L157" s="9">
        <v>4000</v>
      </c>
      <c r="M157" s="9">
        <v>1614</v>
      </c>
      <c r="N157" s="9">
        <v>2000</v>
      </c>
      <c r="O157" s="9">
        <v>1614</v>
      </c>
      <c r="P157" s="9">
        <v>2000</v>
      </c>
      <c r="Q157" s="9">
        <v>1614</v>
      </c>
      <c r="R157" s="9">
        <v>2000</v>
      </c>
      <c r="S157" s="9">
        <v>1614</v>
      </c>
      <c r="T157" s="9"/>
      <c r="U157" s="4">
        <f t="shared" si="4"/>
        <v>14000</v>
      </c>
      <c r="W157" s="4">
        <v>2000</v>
      </c>
      <c r="X157" s="4">
        <v>1658</v>
      </c>
      <c r="Y157" s="4">
        <v>1711</v>
      </c>
      <c r="Z157" s="4">
        <v>1852</v>
      </c>
      <c r="AA157" s="4">
        <v>1741</v>
      </c>
      <c r="AB157" s="4">
        <v>1530</v>
      </c>
      <c r="AC157" s="4">
        <v>1694</v>
      </c>
      <c r="AD157" s="4">
        <v>1990</v>
      </c>
      <c r="AE157" s="4">
        <v>1751</v>
      </c>
      <c r="AF157" s="4">
        <v>1697</v>
      </c>
      <c r="AG157" s="4">
        <v>1997</v>
      </c>
      <c r="AH157" s="4">
        <v>1077</v>
      </c>
      <c r="AI157" s="7">
        <f t="shared" si="5"/>
        <v>59996</v>
      </c>
      <c r="AJ157" s="7"/>
    </row>
    <row r="158" spans="1:36" x14ac:dyDescent="0.3">
      <c r="A158" s="12" t="s">
        <v>1011</v>
      </c>
      <c r="B158" s="12" t="s">
        <v>863</v>
      </c>
      <c r="C158" s="12" t="s">
        <v>1012</v>
      </c>
      <c r="D158" s="13">
        <v>7301898</v>
      </c>
      <c r="E158" s="12" t="s">
        <v>652</v>
      </c>
      <c r="F158" s="12" t="s">
        <v>3</v>
      </c>
      <c r="G158" s="9">
        <v>5233</v>
      </c>
      <c r="H158" s="9">
        <v>0</v>
      </c>
      <c r="I158" s="9">
        <v>5174</v>
      </c>
      <c r="J158" s="9">
        <v>20000</v>
      </c>
      <c r="K158" s="9">
        <v>5116</v>
      </c>
      <c r="L158" s="9">
        <v>0</v>
      </c>
      <c r="M158" s="9">
        <v>5057</v>
      </c>
      <c r="N158" s="9">
        <v>20000</v>
      </c>
      <c r="O158" s="9">
        <v>4998</v>
      </c>
      <c r="P158" s="9">
        <v>0</v>
      </c>
      <c r="Q158" s="9">
        <v>4939</v>
      </c>
      <c r="R158" s="9">
        <v>0</v>
      </c>
      <c r="S158" s="9">
        <v>4998</v>
      </c>
      <c r="T158" s="9"/>
      <c r="U158" s="4">
        <f t="shared" si="4"/>
        <v>40000</v>
      </c>
      <c r="W158" s="4">
        <v>6200</v>
      </c>
      <c r="X158" s="4">
        <v>6475</v>
      </c>
      <c r="Y158" s="4">
        <v>6126</v>
      </c>
      <c r="Z158" s="4">
        <v>6386</v>
      </c>
      <c r="AA158" s="4">
        <v>5996</v>
      </c>
      <c r="AB158" s="4">
        <v>5071</v>
      </c>
      <c r="AC158" s="4">
        <v>5873</v>
      </c>
      <c r="AD158" s="4">
        <v>6159</v>
      </c>
      <c r="AE158" s="4">
        <v>6871</v>
      </c>
      <c r="AF158" s="4">
        <v>4925</v>
      </c>
      <c r="AG158" s="4">
        <v>6076</v>
      </c>
      <c r="AH158" s="4">
        <v>4228</v>
      </c>
      <c r="AI158" s="7">
        <f t="shared" si="5"/>
        <v>185901</v>
      </c>
      <c r="AJ158" s="7"/>
    </row>
    <row r="159" spans="1:36" x14ac:dyDescent="0.3">
      <c r="A159" s="12" t="s">
        <v>1015</v>
      </c>
      <c r="B159" s="12" t="s">
        <v>863</v>
      </c>
      <c r="C159" s="12" t="s">
        <v>1012</v>
      </c>
      <c r="D159" s="13">
        <v>7301899</v>
      </c>
      <c r="E159" s="12" t="s">
        <v>653</v>
      </c>
      <c r="F159" s="12" t="s">
        <v>3</v>
      </c>
      <c r="G159" s="9">
        <v>0</v>
      </c>
      <c r="H159" s="9">
        <v>0</v>
      </c>
      <c r="I159" s="9">
        <v>0</v>
      </c>
      <c r="J159" s="9">
        <v>0</v>
      </c>
      <c r="K159" s="9">
        <v>3000</v>
      </c>
      <c r="L159" s="9">
        <v>9000</v>
      </c>
      <c r="M159" s="9">
        <v>7000</v>
      </c>
      <c r="N159" s="9">
        <v>0</v>
      </c>
      <c r="O159" s="9">
        <v>7000</v>
      </c>
      <c r="P159" s="9">
        <v>6750</v>
      </c>
      <c r="Q159" s="9">
        <v>7000</v>
      </c>
      <c r="R159" s="9">
        <v>6750</v>
      </c>
      <c r="S159" s="9">
        <v>7000</v>
      </c>
      <c r="T159" s="9"/>
      <c r="U159" s="4">
        <f t="shared" si="4"/>
        <v>22500</v>
      </c>
      <c r="W159" s="4">
        <v>3000</v>
      </c>
      <c r="X159" s="4">
        <v>3470</v>
      </c>
      <c r="Y159" s="4">
        <v>3800</v>
      </c>
      <c r="Z159" s="4">
        <v>2929</v>
      </c>
      <c r="AA159" s="4">
        <v>3500</v>
      </c>
      <c r="AB159" s="4">
        <v>3606</v>
      </c>
      <c r="AC159" s="4">
        <v>3300</v>
      </c>
      <c r="AD159" s="4">
        <v>3321</v>
      </c>
      <c r="AE159" s="4">
        <v>3500</v>
      </c>
      <c r="AF159" s="4">
        <v>3654</v>
      </c>
      <c r="AG159" s="4">
        <v>3500</v>
      </c>
      <c r="AH159" s="4">
        <v>4562</v>
      </c>
      <c r="AI159" s="7">
        <f t="shared" si="5"/>
        <v>118142</v>
      </c>
      <c r="AJ159" s="7"/>
    </row>
    <row r="160" spans="1:36" x14ac:dyDescent="0.3">
      <c r="A160" s="12" t="s">
        <v>1015</v>
      </c>
      <c r="B160" s="12" t="s">
        <v>863</v>
      </c>
      <c r="C160" s="12" t="s">
        <v>1012</v>
      </c>
      <c r="D160" s="13">
        <v>7301956</v>
      </c>
      <c r="E160" s="12" t="s">
        <v>654</v>
      </c>
      <c r="F160" s="12" t="s">
        <v>3</v>
      </c>
      <c r="G160" s="9">
        <v>4000</v>
      </c>
      <c r="H160" s="9">
        <v>0</v>
      </c>
      <c r="I160" s="9">
        <v>4000</v>
      </c>
      <c r="J160" s="9">
        <v>0</v>
      </c>
      <c r="K160" s="9">
        <v>4000</v>
      </c>
      <c r="L160" s="9">
        <v>0</v>
      </c>
      <c r="M160" s="9">
        <v>5000</v>
      </c>
      <c r="N160" s="9">
        <v>0</v>
      </c>
      <c r="O160" s="9">
        <v>5000</v>
      </c>
      <c r="P160" s="9">
        <v>0</v>
      </c>
      <c r="Q160" s="9">
        <v>6000</v>
      </c>
      <c r="R160" s="9">
        <v>0</v>
      </c>
      <c r="S160" s="9">
        <v>5333.333333333333</v>
      </c>
      <c r="T160" s="9"/>
      <c r="U160" s="4">
        <f t="shared" si="4"/>
        <v>0</v>
      </c>
      <c r="W160" s="4">
        <v>867</v>
      </c>
      <c r="X160" s="4">
        <v>550</v>
      </c>
      <c r="Y160" s="4">
        <v>1000</v>
      </c>
      <c r="Z160" s="4">
        <v>610</v>
      </c>
      <c r="AA160" s="4">
        <v>800</v>
      </c>
      <c r="AB160" s="4">
        <v>1020</v>
      </c>
      <c r="AC160" s="4">
        <v>3000</v>
      </c>
      <c r="AD160" s="4">
        <v>4930</v>
      </c>
      <c r="AE160" s="4">
        <v>3000</v>
      </c>
      <c r="AF160" s="4">
        <v>3130</v>
      </c>
      <c r="AG160" s="4">
        <v>3500</v>
      </c>
      <c r="AH160" s="4">
        <v>1190</v>
      </c>
      <c r="AI160" s="7">
        <f t="shared" si="5"/>
        <v>56930.333333333336</v>
      </c>
      <c r="AJ160" s="7"/>
    </row>
    <row r="161" spans="1:36" x14ac:dyDescent="0.3">
      <c r="A161" s="12" t="s">
        <v>1011</v>
      </c>
      <c r="B161" s="12" t="s">
        <v>863</v>
      </c>
      <c r="C161" s="12" t="s">
        <v>1012</v>
      </c>
      <c r="D161" s="13">
        <v>7301977</v>
      </c>
      <c r="E161" s="12" t="s">
        <v>655</v>
      </c>
      <c r="F161" s="12" t="s">
        <v>3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0</v>
      </c>
      <c r="T161" s="9"/>
      <c r="U161" s="4">
        <f t="shared" si="4"/>
        <v>0</v>
      </c>
      <c r="W161" s="4">
        <v>200</v>
      </c>
      <c r="X161" s="4">
        <v>10</v>
      </c>
      <c r="Y161" s="4">
        <v>30</v>
      </c>
      <c r="Z161" s="4">
        <v>10</v>
      </c>
      <c r="AA161" s="4">
        <v>17</v>
      </c>
      <c r="AB161" s="4">
        <v>0</v>
      </c>
      <c r="AC161" s="4">
        <v>7</v>
      </c>
      <c r="AD161" s="4">
        <v>2</v>
      </c>
      <c r="AE161" s="4">
        <v>4</v>
      </c>
      <c r="AF161" s="4">
        <v>0</v>
      </c>
      <c r="AG161" s="4">
        <v>1</v>
      </c>
      <c r="AH161" s="4">
        <v>0</v>
      </c>
      <c r="AI161" s="7">
        <f t="shared" si="5"/>
        <v>281</v>
      </c>
      <c r="AJ161" s="7"/>
    </row>
    <row r="162" spans="1:36" x14ac:dyDescent="0.3">
      <c r="A162" s="12" t="s">
        <v>1015</v>
      </c>
      <c r="B162" s="12" t="s">
        <v>863</v>
      </c>
      <c r="C162" s="12" t="s">
        <v>1012</v>
      </c>
      <c r="D162" s="13">
        <v>7301978</v>
      </c>
      <c r="E162" s="12" t="s">
        <v>656</v>
      </c>
      <c r="F162" s="12" t="s">
        <v>3</v>
      </c>
      <c r="G162" s="9">
        <v>8000</v>
      </c>
      <c r="H162" s="9">
        <v>60000</v>
      </c>
      <c r="I162" s="9">
        <v>8800</v>
      </c>
      <c r="J162" s="9">
        <v>0</v>
      </c>
      <c r="K162" s="9">
        <v>8800</v>
      </c>
      <c r="L162" s="9">
        <v>0</v>
      </c>
      <c r="M162" s="9">
        <v>7000</v>
      </c>
      <c r="N162" s="9">
        <v>0</v>
      </c>
      <c r="O162" s="9">
        <v>8000</v>
      </c>
      <c r="P162" s="9">
        <v>0</v>
      </c>
      <c r="Q162" s="9">
        <v>8000</v>
      </c>
      <c r="R162" s="9">
        <v>0</v>
      </c>
      <c r="S162" s="9">
        <v>7666.666666666667</v>
      </c>
      <c r="T162" s="9"/>
      <c r="U162" s="4">
        <f t="shared" si="4"/>
        <v>60000</v>
      </c>
      <c r="W162" s="4">
        <v>25000</v>
      </c>
      <c r="X162" s="4">
        <v>7958</v>
      </c>
      <c r="Y162" s="4">
        <v>10000</v>
      </c>
      <c r="Z162" s="4">
        <v>7054</v>
      </c>
      <c r="AA162" s="4">
        <v>10000</v>
      </c>
      <c r="AB162" s="4">
        <v>8345</v>
      </c>
      <c r="AC162" s="4">
        <v>10000</v>
      </c>
      <c r="AD162" s="4">
        <v>7685</v>
      </c>
      <c r="AE162" s="4">
        <v>8800</v>
      </c>
      <c r="AF162" s="4">
        <v>5610</v>
      </c>
      <c r="AG162" s="4">
        <v>8000</v>
      </c>
      <c r="AH162" s="4">
        <v>5642</v>
      </c>
      <c r="AI162" s="7">
        <f t="shared" si="5"/>
        <v>290360.66666666669</v>
      </c>
      <c r="AJ162" s="7"/>
    </row>
    <row r="163" spans="1:36" x14ac:dyDescent="0.3">
      <c r="A163" s="12" t="s">
        <v>1015</v>
      </c>
      <c r="B163" s="12" t="s">
        <v>863</v>
      </c>
      <c r="C163" s="12" t="s">
        <v>1012</v>
      </c>
      <c r="D163" s="13">
        <v>7301979</v>
      </c>
      <c r="E163" s="12" t="s">
        <v>657</v>
      </c>
      <c r="F163" s="12" t="s">
        <v>3</v>
      </c>
      <c r="G163" s="9">
        <v>55000</v>
      </c>
      <c r="H163" s="9">
        <v>33333</v>
      </c>
      <c r="I163" s="9">
        <v>55000</v>
      </c>
      <c r="J163" s="9">
        <v>99999</v>
      </c>
      <c r="K163" s="9">
        <v>65000</v>
      </c>
      <c r="L163" s="9">
        <v>99999</v>
      </c>
      <c r="M163" s="9">
        <v>65000</v>
      </c>
      <c r="N163" s="9">
        <v>99999</v>
      </c>
      <c r="O163" s="9">
        <v>65000</v>
      </c>
      <c r="P163" s="9">
        <v>0</v>
      </c>
      <c r="Q163" s="9">
        <v>65000</v>
      </c>
      <c r="R163" s="9">
        <v>0</v>
      </c>
      <c r="S163" s="9">
        <v>65000</v>
      </c>
      <c r="T163" s="9"/>
      <c r="U163" s="4">
        <f t="shared" si="4"/>
        <v>333330</v>
      </c>
      <c r="W163" s="4">
        <v>50000</v>
      </c>
      <c r="X163" s="4">
        <v>48897</v>
      </c>
      <c r="Y163" s="4">
        <v>55000</v>
      </c>
      <c r="Z163" s="4">
        <v>55483</v>
      </c>
      <c r="AA163" s="4">
        <v>55000</v>
      </c>
      <c r="AB163" s="4">
        <v>59765</v>
      </c>
      <c r="AC163" s="4">
        <v>55000</v>
      </c>
      <c r="AD163" s="4">
        <v>59211</v>
      </c>
      <c r="AE163" s="4">
        <v>55000</v>
      </c>
      <c r="AF163" s="4">
        <v>52843</v>
      </c>
      <c r="AG163" s="4">
        <v>55000</v>
      </c>
      <c r="AH163" s="4">
        <v>55082</v>
      </c>
      <c r="AI163" s="7">
        <f t="shared" si="5"/>
        <v>1757941</v>
      </c>
      <c r="AJ163" s="7"/>
    </row>
    <row r="164" spans="1:36" x14ac:dyDescent="0.3">
      <c r="A164" s="12" t="s">
        <v>1015</v>
      </c>
      <c r="B164" s="12" t="s">
        <v>863</v>
      </c>
      <c r="C164" s="12" t="s">
        <v>1012</v>
      </c>
      <c r="D164" s="13">
        <v>7301983</v>
      </c>
      <c r="E164" s="12" t="s">
        <v>658</v>
      </c>
      <c r="F164" s="12" t="s">
        <v>3</v>
      </c>
      <c r="G164" s="9">
        <v>600</v>
      </c>
      <c r="H164" s="9">
        <v>0</v>
      </c>
      <c r="I164" s="9">
        <v>600</v>
      </c>
      <c r="J164" s="9">
        <v>0</v>
      </c>
      <c r="K164" s="9">
        <v>1000</v>
      </c>
      <c r="L164" s="9">
        <v>0</v>
      </c>
      <c r="M164" s="9">
        <v>1200</v>
      </c>
      <c r="N164" s="9">
        <v>0</v>
      </c>
      <c r="O164" s="9">
        <v>1200</v>
      </c>
      <c r="P164" s="9">
        <v>0</v>
      </c>
      <c r="Q164" s="9">
        <v>1500</v>
      </c>
      <c r="R164" s="9">
        <v>0</v>
      </c>
      <c r="S164" s="9">
        <v>1300</v>
      </c>
      <c r="T164" s="9"/>
      <c r="U164" s="4">
        <f t="shared" si="4"/>
        <v>0</v>
      </c>
      <c r="W164" s="4">
        <v>2000</v>
      </c>
      <c r="X164" s="4">
        <v>368</v>
      </c>
      <c r="Y164" s="4">
        <v>2000</v>
      </c>
      <c r="Z164" s="4">
        <v>250</v>
      </c>
      <c r="AA164" s="4">
        <v>700</v>
      </c>
      <c r="AB164" s="4">
        <v>320</v>
      </c>
      <c r="AC164" s="4">
        <v>1200</v>
      </c>
      <c r="AD164" s="4">
        <v>247</v>
      </c>
      <c r="AE164" s="4">
        <v>800</v>
      </c>
      <c r="AF164" s="4">
        <v>281</v>
      </c>
      <c r="AG164" s="4">
        <v>700</v>
      </c>
      <c r="AH164" s="4">
        <v>180</v>
      </c>
      <c r="AI164" s="7">
        <f t="shared" si="5"/>
        <v>16446</v>
      </c>
      <c r="AJ164" s="7"/>
    </row>
    <row r="165" spans="1:36" x14ac:dyDescent="0.3">
      <c r="A165" s="12" t="s">
        <v>1015</v>
      </c>
      <c r="B165" s="12" t="s">
        <v>863</v>
      </c>
      <c r="C165" s="12" t="s">
        <v>1012</v>
      </c>
      <c r="D165" s="13">
        <v>7301984</v>
      </c>
      <c r="E165" s="12" t="s">
        <v>659</v>
      </c>
      <c r="F165" s="12" t="s">
        <v>3</v>
      </c>
      <c r="G165" s="9">
        <v>6000</v>
      </c>
      <c r="H165" s="9">
        <v>0</v>
      </c>
      <c r="I165" s="9">
        <v>4000</v>
      </c>
      <c r="J165" s="9">
        <v>0</v>
      </c>
      <c r="K165" s="9">
        <v>8000</v>
      </c>
      <c r="L165" s="9">
        <v>29988</v>
      </c>
      <c r="M165" s="9">
        <v>8000</v>
      </c>
      <c r="N165" s="9">
        <v>0</v>
      </c>
      <c r="O165" s="9">
        <v>9000</v>
      </c>
      <c r="P165" s="9">
        <v>0</v>
      </c>
      <c r="Q165" s="9">
        <v>9000</v>
      </c>
      <c r="R165" s="9">
        <v>0</v>
      </c>
      <c r="S165" s="9">
        <v>8666.6666666666661</v>
      </c>
      <c r="T165" s="9"/>
      <c r="U165" s="4">
        <f t="shared" si="4"/>
        <v>29988</v>
      </c>
      <c r="W165" s="4">
        <v>10000</v>
      </c>
      <c r="X165" s="4">
        <v>6023</v>
      </c>
      <c r="Y165" s="4">
        <v>10000</v>
      </c>
      <c r="Z165" s="4">
        <v>5623</v>
      </c>
      <c r="AA165" s="4">
        <v>6000</v>
      </c>
      <c r="AB165" s="4">
        <v>6310</v>
      </c>
      <c r="AC165" s="4">
        <v>6000</v>
      </c>
      <c r="AD165" s="4">
        <v>6125</v>
      </c>
      <c r="AE165" s="4">
        <v>4000</v>
      </c>
      <c r="AF165" s="4">
        <v>5255</v>
      </c>
      <c r="AG165" s="4">
        <v>6000</v>
      </c>
      <c r="AH165" s="4">
        <v>6760</v>
      </c>
      <c r="AI165" s="7">
        <f t="shared" si="5"/>
        <v>190738.66666666669</v>
      </c>
      <c r="AJ165" s="7"/>
    </row>
    <row r="166" spans="1:36" x14ac:dyDescent="0.3">
      <c r="A166" s="12" t="s">
        <v>1015</v>
      </c>
      <c r="B166" s="12" t="s">
        <v>863</v>
      </c>
      <c r="C166" s="12" t="s">
        <v>1012</v>
      </c>
      <c r="D166" s="13">
        <v>7301985</v>
      </c>
      <c r="E166" s="12" t="s">
        <v>660</v>
      </c>
      <c r="F166" s="12" t="s">
        <v>3</v>
      </c>
      <c r="G166" s="9">
        <v>2000</v>
      </c>
      <c r="H166" s="9">
        <v>0</v>
      </c>
      <c r="I166" s="9">
        <v>2000</v>
      </c>
      <c r="J166" s="9">
        <v>0</v>
      </c>
      <c r="K166" s="9">
        <v>10000</v>
      </c>
      <c r="L166" s="9">
        <v>0</v>
      </c>
      <c r="M166" s="9">
        <v>10000</v>
      </c>
      <c r="N166" s="9">
        <v>0</v>
      </c>
      <c r="O166" s="9">
        <v>10000</v>
      </c>
      <c r="P166" s="9">
        <v>0</v>
      </c>
      <c r="Q166" s="9">
        <v>10000</v>
      </c>
      <c r="R166" s="9">
        <v>0</v>
      </c>
      <c r="S166" s="9">
        <v>10000</v>
      </c>
      <c r="T166" s="9"/>
      <c r="U166" s="4">
        <f t="shared" si="4"/>
        <v>0</v>
      </c>
      <c r="W166" s="4">
        <v>27000</v>
      </c>
      <c r="X166" s="4">
        <v>23406</v>
      </c>
      <c r="Y166" s="4">
        <v>55000</v>
      </c>
      <c r="Z166" s="4">
        <v>2464</v>
      </c>
      <c r="AA166" s="4">
        <v>6000</v>
      </c>
      <c r="AB166" s="4">
        <v>29</v>
      </c>
      <c r="AC166" s="4">
        <v>5000</v>
      </c>
      <c r="AD166" s="4">
        <v>50</v>
      </c>
      <c r="AE166" s="4">
        <v>5000</v>
      </c>
      <c r="AF166" s="4">
        <v>47</v>
      </c>
      <c r="AG166" s="4">
        <v>4000</v>
      </c>
      <c r="AH166" s="4">
        <v>41</v>
      </c>
      <c r="AI166" s="7">
        <f t="shared" si="5"/>
        <v>182037</v>
      </c>
      <c r="AJ166" s="7"/>
    </row>
    <row r="167" spans="1:36" x14ac:dyDescent="0.3">
      <c r="A167" s="12" t="s">
        <v>1015</v>
      </c>
      <c r="B167" s="12" t="s">
        <v>863</v>
      </c>
      <c r="C167" s="12" t="s">
        <v>1012</v>
      </c>
      <c r="D167" s="13">
        <v>7301997</v>
      </c>
      <c r="E167" s="12" t="s">
        <v>661</v>
      </c>
      <c r="F167" s="12" t="s">
        <v>3</v>
      </c>
      <c r="G167" s="9">
        <v>300</v>
      </c>
      <c r="H167" s="9">
        <v>0</v>
      </c>
      <c r="I167" s="9">
        <v>300</v>
      </c>
      <c r="J167" s="9">
        <v>0</v>
      </c>
      <c r="K167" s="9">
        <v>300</v>
      </c>
      <c r="L167" s="9">
        <v>0</v>
      </c>
      <c r="M167" s="9">
        <v>300</v>
      </c>
      <c r="N167" s="9">
        <v>0</v>
      </c>
      <c r="O167" s="9">
        <v>300</v>
      </c>
      <c r="P167" s="9">
        <v>0</v>
      </c>
      <c r="Q167" s="9">
        <v>300</v>
      </c>
      <c r="R167" s="9">
        <v>0</v>
      </c>
      <c r="S167" s="9">
        <v>300</v>
      </c>
      <c r="T167" s="9"/>
      <c r="U167" s="4">
        <f t="shared" si="4"/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126</v>
      </c>
      <c r="AE167" s="4">
        <v>200</v>
      </c>
      <c r="AF167" s="4">
        <v>221</v>
      </c>
      <c r="AG167" s="4">
        <v>250</v>
      </c>
      <c r="AH167" s="4">
        <v>266</v>
      </c>
      <c r="AI167" s="7">
        <f t="shared" si="5"/>
        <v>3163</v>
      </c>
      <c r="AJ167" s="7"/>
    </row>
    <row r="168" spans="1:36" x14ac:dyDescent="0.3">
      <c r="A168" s="12" t="s">
        <v>1011</v>
      </c>
      <c r="B168" s="12" t="s">
        <v>863</v>
      </c>
      <c r="C168" s="12" t="s">
        <v>1012</v>
      </c>
      <c r="D168" s="13">
        <v>7301999</v>
      </c>
      <c r="E168" s="12" t="s">
        <v>662</v>
      </c>
      <c r="F168" s="12" t="s">
        <v>3</v>
      </c>
      <c r="G168" s="9">
        <v>27273</v>
      </c>
      <c r="H168" s="9">
        <v>39000</v>
      </c>
      <c r="I168" s="9">
        <v>27827</v>
      </c>
      <c r="J168" s="9">
        <v>39000</v>
      </c>
      <c r="K168" s="9">
        <v>28381</v>
      </c>
      <c r="L168" s="9">
        <v>46000</v>
      </c>
      <c r="M168" s="9">
        <v>28936</v>
      </c>
      <c r="N168" s="9">
        <v>38000</v>
      </c>
      <c r="O168" s="9">
        <v>29490</v>
      </c>
      <c r="P168" s="9">
        <v>38000</v>
      </c>
      <c r="Q168" s="9">
        <v>30045</v>
      </c>
      <c r="R168" s="9">
        <v>36500</v>
      </c>
      <c r="S168" s="9">
        <v>29490.333333333332</v>
      </c>
      <c r="T168" s="9"/>
      <c r="U168" s="4">
        <f t="shared" si="4"/>
        <v>236500</v>
      </c>
      <c r="W168" s="4">
        <v>22948</v>
      </c>
      <c r="X168" s="4">
        <v>22837</v>
      </c>
      <c r="Y168" s="4">
        <v>21248</v>
      </c>
      <c r="Z168" s="4">
        <v>19749</v>
      </c>
      <c r="AA168" s="4">
        <v>22010</v>
      </c>
      <c r="AB168" s="4">
        <v>27390</v>
      </c>
      <c r="AC168" s="4">
        <v>25693</v>
      </c>
      <c r="AD168" s="4">
        <v>27339</v>
      </c>
      <c r="AE168" s="4">
        <v>27864</v>
      </c>
      <c r="AF168" s="4">
        <v>25193</v>
      </c>
      <c r="AG168" s="4">
        <v>28012</v>
      </c>
      <c r="AH168" s="4">
        <v>27585</v>
      </c>
      <c r="AI168" s="7">
        <f t="shared" si="5"/>
        <v>972310.33333333326</v>
      </c>
      <c r="AJ168" s="7"/>
    </row>
    <row r="169" spans="1:36" x14ac:dyDescent="0.3">
      <c r="A169" s="12" t="s">
        <v>1015</v>
      </c>
      <c r="B169" s="12" t="s">
        <v>863</v>
      </c>
      <c r="C169" s="12" t="s">
        <v>1012</v>
      </c>
      <c r="D169" s="13">
        <v>7302044</v>
      </c>
      <c r="E169" s="12" t="s">
        <v>663</v>
      </c>
      <c r="F169" s="12" t="s">
        <v>3</v>
      </c>
      <c r="G169" s="9">
        <v>100</v>
      </c>
      <c r="H169" s="9">
        <v>0</v>
      </c>
      <c r="I169" s="9">
        <v>150</v>
      </c>
      <c r="J169" s="9">
        <v>0</v>
      </c>
      <c r="K169" s="9">
        <v>150</v>
      </c>
      <c r="L169" s="9">
        <v>0</v>
      </c>
      <c r="M169" s="9">
        <v>150</v>
      </c>
      <c r="N169" s="9">
        <v>0</v>
      </c>
      <c r="O169" s="9">
        <v>150</v>
      </c>
      <c r="P169" s="9">
        <v>0</v>
      </c>
      <c r="Q169" s="9">
        <v>150</v>
      </c>
      <c r="R169" s="9">
        <v>0</v>
      </c>
      <c r="S169" s="9">
        <v>150</v>
      </c>
      <c r="T169" s="9"/>
      <c r="U169" s="4">
        <f t="shared" si="4"/>
        <v>0</v>
      </c>
      <c r="W169" s="4">
        <v>50</v>
      </c>
      <c r="X169" s="4">
        <v>131</v>
      </c>
      <c r="Y169" s="4">
        <v>100</v>
      </c>
      <c r="Z169" s="4">
        <v>174</v>
      </c>
      <c r="AA169" s="4">
        <v>150</v>
      </c>
      <c r="AB169" s="4">
        <v>18</v>
      </c>
      <c r="AC169" s="4">
        <v>200</v>
      </c>
      <c r="AD169" s="4">
        <v>0</v>
      </c>
      <c r="AE169" s="4">
        <v>200</v>
      </c>
      <c r="AF169" s="4">
        <v>72</v>
      </c>
      <c r="AG169" s="4">
        <v>150</v>
      </c>
      <c r="AH169" s="4">
        <v>0</v>
      </c>
      <c r="AI169" s="7">
        <f t="shared" si="5"/>
        <v>2245</v>
      </c>
      <c r="AJ169" s="7"/>
    </row>
    <row r="170" spans="1:36" x14ac:dyDescent="0.3">
      <c r="A170" s="12" t="s">
        <v>1011</v>
      </c>
      <c r="B170" s="12" t="s">
        <v>863</v>
      </c>
      <c r="C170" s="12" t="s">
        <v>1012</v>
      </c>
      <c r="D170" s="13">
        <v>7302046</v>
      </c>
      <c r="E170" s="12" t="s">
        <v>664</v>
      </c>
      <c r="F170" s="12" t="s">
        <v>3</v>
      </c>
      <c r="G170" s="9">
        <v>6</v>
      </c>
      <c r="H170" s="9">
        <v>10</v>
      </c>
      <c r="I170" s="9">
        <v>6</v>
      </c>
      <c r="J170" s="9">
        <v>10</v>
      </c>
      <c r="K170" s="9">
        <v>6</v>
      </c>
      <c r="L170" s="9">
        <v>10</v>
      </c>
      <c r="M170" s="9">
        <v>6</v>
      </c>
      <c r="N170" s="9">
        <v>10</v>
      </c>
      <c r="O170" s="9">
        <v>6</v>
      </c>
      <c r="P170" s="9">
        <v>10</v>
      </c>
      <c r="Q170" s="9">
        <v>6</v>
      </c>
      <c r="R170" s="9">
        <v>10</v>
      </c>
      <c r="S170" s="9">
        <v>6</v>
      </c>
      <c r="T170" s="9"/>
      <c r="U170" s="4">
        <f t="shared" ref="U170:U224" si="6">SUM(T170,R170,P170,N170,L170,J170,H170)</f>
        <v>60</v>
      </c>
      <c r="W170" s="4">
        <v>3</v>
      </c>
      <c r="X170" s="4">
        <v>2</v>
      </c>
      <c r="Y170" s="4">
        <v>3</v>
      </c>
      <c r="Z170" s="4">
        <v>7</v>
      </c>
      <c r="AA170" s="4">
        <v>4</v>
      </c>
      <c r="AB170" s="4">
        <v>4</v>
      </c>
      <c r="AC170" s="4">
        <v>4</v>
      </c>
      <c r="AD170" s="4">
        <v>10</v>
      </c>
      <c r="AE170" s="4">
        <v>8</v>
      </c>
      <c r="AF170" s="4">
        <v>9</v>
      </c>
      <c r="AG170" s="4">
        <v>8</v>
      </c>
      <c r="AH170" s="4">
        <v>4</v>
      </c>
      <c r="AI170" s="7">
        <f t="shared" si="5"/>
        <v>228</v>
      </c>
      <c r="AJ170" s="7"/>
    </row>
    <row r="171" spans="1:36" x14ac:dyDescent="0.3">
      <c r="A171" s="12" t="s">
        <v>1015</v>
      </c>
      <c r="B171" s="12" t="s">
        <v>863</v>
      </c>
      <c r="C171" s="12" t="s">
        <v>1012</v>
      </c>
      <c r="D171" s="13">
        <v>7302060</v>
      </c>
      <c r="E171" s="12" t="s">
        <v>665</v>
      </c>
      <c r="F171" s="12" t="s">
        <v>3</v>
      </c>
      <c r="G171" s="9">
        <v>200</v>
      </c>
      <c r="H171" s="9">
        <v>16667</v>
      </c>
      <c r="I171" s="9">
        <v>2500</v>
      </c>
      <c r="J171" s="9">
        <v>16667</v>
      </c>
      <c r="K171" s="9">
        <v>3000</v>
      </c>
      <c r="L171" s="9">
        <v>0</v>
      </c>
      <c r="M171" s="9">
        <v>2000</v>
      </c>
      <c r="N171" s="9">
        <v>0</v>
      </c>
      <c r="O171" s="9">
        <v>2000</v>
      </c>
      <c r="P171" s="9">
        <v>0</v>
      </c>
      <c r="Q171" s="9">
        <v>2000</v>
      </c>
      <c r="R171" s="9">
        <v>0</v>
      </c>
      <c r="S171" s="9">
        <v>2000</v>
      </c>
      <c r="T171" s="9"/>
      <c r="U171" s="4">
        <f t="shared" si="6"/>
        <v>33334</v>
      </c>
      <c r="W171" s="4">
        <v>0</v>
      </c>
      <c r="X171" s="4">
        <v>0</v>
      </c>
      <c r="Y171" s="4">
        <v>0</v>
      </c>
      <c r="Z171" s="4">
        <v>0</v>
      </c>
      <c r="AA171" s="4">
        <v>7000</v>
      </c>
      <c r="AB171" s="4">
        <v>3505</v>
      </c>
      <c r="AC171" s="4">
        <v>3500</v>
      </c>
      <c r="AD171" s="4">
        <v>1993</v>
      </c>
      <c r="AE171" s="4">
        <v>2000</v>
      </c>
      <c r="AF171" s="4">
        <v>1274</v>
      </c>
      <c r="AG171" s="4">
        <v>2000</v>
      </c>
      <c r="AH171" s="4">
        <v>1694</v>
      </c>
      <c r="AI171" s="7">
        <f t="shared" si="5"/>
        <v>103334</v>
      </c>
      <c r="AJ171" s="7"/>
    </row>
    <row r="172" spans="1:36" x14ac:dyDescent="0.3">
      <c r="A172" s="12" t="s">
        <v>1015</v>
      </c>
      <c r="B172" s="12" t="s">
        <v>863</v>
      </c>
      <c r="C172" s="12" t="s">
        <v>1012</v>
      </c>
      <c r="D172" s="13">
        <v>7302061</v>
      </c>
      <c r="E172" s="12" t="s">
        <v>666</v>
      </c>
      <c r="F172" s="12" t="s">
        <v>3</v>
      </c>
      <c r="G172" s="9">
        <v>300</v>
      </c>
      <c r="H172" s="9">
        <v>300</v>
      </c>
      <c r="I172" s="9">
        <v>350</v>
      </c>
      <c r="J172" s="9">
        <v>300</v>
      </c>
      <c r="K172" s="9">
        <v>300</v>
      </c>
      <c r="L172" s="9">
        <v>500</v>
      </c>
      <c r="M172" s="9">
        <v>300</v>
      </c>
      <c r="N172" s="9">
        <v>300</v>
      </c>
      <c r="O172" s="9">
        <v>300</v>
      </c>
      <c r="P172" s="9">
        <v>300</v>
      </c>
      <c r="Q172" s="9">
        <v>300</v>
      </c>
      <c r="R172" s="9">
        <v>300</v>
      </c>
      <c r="S172" s="9">
        <v>300</v>
      </c>
      <c r="T172" s="9"/>
      <c r="U172" s="4">
        <f t="shared" si="6"/>
        <v>2000</v>
      </c>
      <c r="W172" s="4">
        <v>300</v>
      </c>
      <c r="X172" s="4">
        <v>298</v>
      </c>
      <c r="Y172" s="4">
        <v>150</v>
      </c>
      <c r="Z172" s="4">
        <v>166</v>
      </c>
      <c r="AA172" s="4">
        <v>500</v>
      </c>
      <c r="AB172" s="4">
        <v>12</v>
      </c>
      <c r="AC172" s="4">
        <v>400</v>
      </c>
      <c r="AD172" s="4">
        <v>296</v>
      </c>
      <c r="AE172" s="4">
        <v>350</v>
      </c>
      <c r="AF172" s="4">
        <v>82</v>
      </c>
      <c r="AG172" s="4">
        <v>300</v>
      </c>
      <c r="AH172" s="4">
        <v>132</v>
      </c>
      <c r="AI172" s="7">
        <f t="shared" si="5"/>
        <v>9136</v>
      </c>
      <c r="AJ172" s="7"/>
    </row>
    <row r="173" spans="1:36" x14ac:dyDescent="0.3">
      <c r="A173" s="12" t="s">
        <v>1015</v>
      </c>
      <c r="B173" s="12" t="s">
        <v>863</v>
      </c>
      <c r="C173" s="12" t="s">
        <v>1012</v>
      </c>
      <c r="D173" s="13">
        <v>7302062</v>
      </c>
      <c r="E173" s="12" t="s">
        <v>667</v>
      </c>
      <c r="F173" s="12" t="s">
        <v>3</v>
      </c>
      <c r="G173" s="9">
        <v>3000</v>
      </c>
      <c r="H173" s="9">
        <v>0</v>
      </c>
      <c r="I173" s="9">
        <v>4000</v>
      </c>
      <c r="J173" s="9">
        <v>0</v>
      </c>
      <c r="K173" s="9">
        <v>3000</v>
      </c>
      <c r="L173" s="9">
        <v>8340</v>
      </c>
      <c r="M173" s="9">
        <v>4000</v>
      </c>
      <c r="N173" s="9">
        <v>0</v>
      </c>
      <c r="O173" s="9">
        <v>3000</v>
      </c>
      <c r="P173" s="9">
        <v>0</v>
      </c>
      <c r="Q173" s="9">
        <v>4000</v>
      </c>
      <c r="R173" s="9">
        <v>0</v>
      </c>
      <c r="S173" s="9">
        <v>3666.6666666666665</v>
      </c>
      <c r="T173" s="9"/>
      <c r="U173" s="4">
        <f t="shared" si="6"/>
        <v>8340</v>
      </c>
      <c r="W173" s="4">
        <v>3500</v>
      </c>
      <c r="X173" s="4">
        <v>3143</v>
      </c>
      <c r="Y173" s="4">
        <v>3500</v>
      </c>
      <c r="Z173" s="4">
        <v>1895</v>
      </c>
      <c r="AA173" s="4">
        <v>2500</v>
      </c>
      <c r="AB173" s="4">
        <v>3593</v>
      </c>
      <c r="AC173" s="4">
        <v>3500</v>
      </c>
      <c r="AD173" s="4">
        <v>2003</v>
      </c>
      <c r="AE173" s="4">
        <v>3000</v>
      </c>
      <c r="AF173" s="4">
        <v>3308</v>
      </c>
      <c r="AG173" s="4">
        <v>3000</v>
      </c>
      <c r="AH173" s="4">
        <v>3133</v>
      </c>
      <c r="AI173" s="7">
        <f t="shared" si="5"/>
        <v>77421.666666666657</v>
      </c>
      <c r="AJ173" s="7"/>
    </row>
    <row r="174" spans="1:36" x14ac:dyDescent="0.3">
      <c r="A174" s="12" t="s">
        <v>1011</v>
      </c>
      <c r="B174" s="12" t="s">
        <v>863</v>
      </c>
      <c r="C174" s="12" t="s">
        <v>1012</v>
      </c>
      <c r="D174" s="13">
        <v>7302158</v>
      </c>
      <c r="E174" s="12" t="s">
        <v>668</v>
      </c>
      <c r="F174" s="12" t="s">
        <v>3</v>
      </c>
      <c r="G174" s="9">
        <v>41</v>
      </c>
      <c r="H174" s="9">
        <v>0</v>
      </c>
      <c r="I174" s="9">
        <v>41</v>
      </c>
      <c r="J174" s="9">
        <v>0</v>
      </c>
      <c r="K174" s="9">
        <v>41</v>
      </c>
      <c r="L174" s="9">
        <v>0</v>
      </c>
      <c r="M174" s="9">
        <v>41</v>
      </c>
      <c r="N174" s="9">
        <v>0</v>
      </c>
      <c r="O174" s="9">
        <v>41</v>
      </c>
      <c r="P174" s="9">
        <v>0</v>
      </c>
      <c r="Q174" s="9">
        <v>41</v>
      </c>
      <c r="R174" s="9">
        <v>0</v>
      </c>
      <c r="S174" s="9">
        <v>41</v>
      </c>
      <c r="T174" s="9"/>
      <c r="U174" s="4">
        <f t="shared" si="6"/>
        <v>0</v>
      </c>
      <c r="W174" s="4">
        <v>18</v>
      </c>
      <c r="X174" s="4">
        <v>25</v>
      </c>
      <c r="Y174" s="4">
        <v>22</v>
      </c>
      <c r="Z174" s="4">
        <v>30</v>
      </c>
      <c r="AA174" s="4">
        <v>26</v>
      </c>
      <c r="AB174" s="4">
        <v>66</v>
      </c>
      <c r="AC174" s="4">
        <v>40</v>
      </c>
      <c r="AD174" s="4">
        <v>31</v>
      </c>
      <c r="AE174" s="4">
        <v>42</v>
      </c>
      <c r="AF174" s="4">
        <v>33</v>
      </c>
      <c r="AG174" s="4">
        <v>43</v>
      </c>
      <c r="AH174" s="4">
        <v>61</v>
      </c>
      <c r="AI174" s="7">
        <f t="shared" si="5"/>
        <v>724</v>
      </c>
      <c r="AJ174" s="7"/>
    </row>
    <row r="175" spans="1:36" x14ac:dyDescent="0.3">
      <c r="A175" s="12" t="s">
        <v>1011</v>
      </c>
      <c r="B175" s="12" t="s">
        <v>863</v>
      </c>
      <c r="C175" s="12" t="s">
        <v>1012</v>
      </c>
      <c r="D175" s="13">
        <v>7302159</v>
      </c>
      <c r="E175" s="12" t="s">
        <v>669</v>
      </c>
      <c r="F175" s="12" t="s">
        <v>3</v>
      </c>
      <c r="G175" s="9">
        <v>31</v>
      </c>
      <c r="H175" s="9">
        <v>0</v>
      </c>
      <c r="I175" s="9">
        <v>31</v>
      </c>
      <c r="J175" s="9">
        <v>0</v>
      </c>
      <c r="K175" s="9">
        <v>31</v>
      </c>
      <c r="L175" s="9">
        <v>0</v>
      </c>
      <c r="M175" s="9">
        <v>31</v>
      </c>
      <c r="N175" s="9">
        <v>0</v>
      </c>
      <c r="O175" s="9">
        <v>31</v>
      </c>
      <c r="P175" s="9">
        <v>0</v>
      </c>
      <c r="Q175" s="9">
        <v>31</v>
      </c>
      <c r="R175" s="9">
        <v>0</v>
      </c>
      <c r="S175" s="9">
        <v>31</v>
      </c>
      <c r="T175" s="9"/>
      <c r="U175" s="4">
        <f t="shared" si="6"/>
        <v>0</v>
      </c>
      <c r="W175" s="4">
        <v>14</v>
      </c>
      <c r="X175" s="4">
        <v>23</v>
      </c>
      <c r="Y175" s="4">
        <v>17</v>
      </c>
      <c r="Z175" s="4">
        <v>26</v>
      </c>
      <c r="AA175" s="4">
        <v>22</v>
      </c>
      <c r="AB175" s="4">
        <v>47</v>
      </c>
      <c r="AC175" s="4">
        <v>32</v>
      </c>
      <c r="AD175" s="4">
        <v>16</v>
      </c>
      <c r="AE175" s="4">
        <v>30</v>
      </c>
      <c r="AF175" s="4">
        <v>30</v>
      </c>
      <c r="AG175" s="4">
        <v>31</v>
      </c>
      <c r="AH175" s="4">
        <v>43</v>
      </c>
      <c r="AI175" s="7">
        <f t="shared" si="5"/>
        <v>548</v>
      </c>
      <c r="AJ175" s="7"/>
    </row>
    <row r="176" spans="1:36" x14ac:dyDescent="0.3">
      <c r="A176" s="12" t="s">
        <v>1015</v>
      </c>
      <c r="B176" s="12" t="s">
        <v>863</v>
      </c>
      <c r="C176" s="12" t="s">
        <v>1012</v>
      </c>
      <c r="D176" s="13">
        <v>7302164</v>
      </c>
      <c r="E176" s="12" t="s">
        <v>670</v>
      </c>
      <c r="F176" s="12" t="s">
        <v>3</v>
      </c>
      <c r="G176" s="9">
        <v>100</v>
      </c>
      <c r="H176" s="9">
        <v>0</v>
      </c>
      <c r="I176" s="9">
        <v>100</v>
      </c>
      <c r="J176" s="9">
        <v>0</v>
      </c>
      <c r="K176" s="9">
        <v>100</v>
      </c>
      <c r="L176" s="9">
        <v>0</v>
      </c>
      <c r="M176" s="9">
        <v>100</v>
      </c>
      <c r="N176" s="9">
        <v>0</v>
      </c>
      <c r="O176" s="9">
        <v>100</v>
      </c>
      <c r="P176" s="9">
        <v>0</v>
      </c>
      <c r="Q176" s="9">
        <v>100</v>
      </c>
      <c r="R176" s="9">
        <v>0</v>
      </c>
      <c r="S176" s="9">
        <v>100</v>
      </c>
      <c r="T176" s="9"/>
      <c r="U176" s="4">
        <f t="shared" si="6"/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60</v>
      </c>
      <c r="AE176" s="4">
        <v>60</v>
      </c>
      <c r="AF176" s="4">
        <v>95</v>
      </c>
      <c r="AG176" s="4">
        <v>90</v>
      </c>
      <c r="AH176" s="4">
        <v>88</v>
      </c>
      <c r="AI176" s="7">
        <f t="shared" si="5"/>
        <v>1093</v>
      </c>
      <c r="AJ176" s="7"/>
    </row>
    <row r="177" spans="1:36" x14ac:dyDescent="0.3">
      <c r="A177" s="12" t="s">
        <v>1015</v>
      </c>
      <c r="B177" s="12" t="s">
        <v>863</v>
      </c>
      <c r="C177" s="12" t="s">
        <v>1012</v>
      </c>
      <c r="D177" s="13">
        <v>7302171</v>
      </c>
      <c r="E177" s="12" t="s">
        <v>671</v>
      </c>
      <c r="F177" s="12" t="s">
        <v>3</v>
      </c>
      <c r="G177" s="9">
        <v>2600</v>
      </c>
      <c r="H177" s="9">
        <v>0</v>
      </c>
      <c r="I177" s="9">
        <v>2700</v>
      </c>
      <c r="J177" s="9">
        <v>0</v>
      </c>
      <c r="K177" s="9">
        <v>2700</v>
      </c>
      <c r="L177" s="9">
        <v>0</v>
      </c>
      <c r="M177" s="9">
        <v>2700</v>
      </c>
      <c r="N177" s="9">
        <v>0</v>
      </c>
      <c r="O177" s="9">
        <v>2700</v>
      </c>
      <c r="P177" s="9">
        <v>0</v>
      </c>
      <c r="Q177" s="9">
        <v>2700</v>
      </c>
      <c r="R177" s="9">
        <v>0</v>
      </c>
      <c r="S177" s="9">
        <v>2700</v>
      </c>
      <c r="T177" s="9"/>
      <c r="U177" s="4">
        <f t="shared" si="6"/>
        <v>0</v>
      </c>
      <c r="W177" s="4">
        <v>2600</v>
      </c>
      <c r="X177" s="4">
        <v>1562</v>
      </c>
      <c r="Y177" s="4">
        <v>2500</v>
      </c>
      <c r="Z177" s="4">
        <v>1997</v>
      </c>
      <c r="AA177" s="4">
        <v>2500</v>
      </c>
      <c r="AB177" s="4">
        <v>3624</v>
      </c>
      <c r="AC177" s="4">
        <v>3000</v>
      </c>
      <c r="AD177" s="4">
        <v>2101</v>
      </c>
      <c r="AE177" s="4">
        <v>2500</v>
      </c>
      <c r="AF177" s="4">
        <v>1249</v>
      </c>
      <c r="AG177" s="4">
        <v>2500</v>
      </c>
      <c r="AH177" s="4">
        <v>4092</v>
      </c>
      <c r="AI177" s="7">
        <f t="shared" si="5"/>
        <v>49025</v>
      </c>
      <c r="AJ177" s="7"/>
    </row>
    <row r="178" spans="1:36" x14ac:dyDescent="0.3">
      <c r="A178" s="12" t="s">
        <v>1025</v>
      </c>
      <c r="B178" s="12" t="s">
        <v>863</v>
      </c>
      <c r="C178" s="12" t="s">
        <v>1012</v>
      </c>
      <c r="D178" s="13">
        <v>7302173</v>
      </c>
      <c r="E178" s="12" t="s">
        <v>672</v>
      </c>
      <c r="F178" s="12" t="s">
        <v>3</v>
      </c>
      <c r="G178" s="9">
        <v>1000</v>
      </c>
      <c r="H178" s="9">
        <v>0</v>
      </c>
      <c r="I178" s="9">
        <v>2500</v>
      </c>
      <c r="J178" s="9">
        <v>0</v>
      </c>
      <c r="K178" s="9">
        <v>2500</v>
      </c>
      <c r="L178" s="9">
        <v>0</v>
      </c>
      <c r="M178" s="9">
        <v>1500</v>
      </c>
      <c r="N178" s="9">
        <v>0</v>
      </c>
      <c r="O178" s="9">
        <v>1500</v>
      </c>
      <c r="P178" s="9">
        <v>0</v>
      </c>
      <c r="Q178" s="9">
        <v>2000</v>
      </c>
      <c r="R178" s="9">
        <v>0</v>
      </c>
      <c r="S178" s="9">
        <v>1666.6666666666667</v>
      </c>
      <c r="T178" s="9"/>
      <c r="U178" s="4">
        <f t="shared" si="6"/>
        <v>0</v>
      </c>
      <c r="W178" s="4">
        <v>3000</v>
      </c>
      <c r="X178" s="4">
        <v>57</v>
      </c>
      <c r="Y178" s="4">
        <v>1000</v>
      </c>
      <c r="Z178" s="4">
        <v>177</v>
      </c>
      <c r="AA178" s="4">
        <v>2000</v>
      </c>
      <c r="AB178" s="4">
        <v>723</v>
      </c>
      <c r="AC178" s="4">
        <v>770</v>
      </c>
      <c r="AD178" s="4">
        <v>515</v>
      </c>
      <c r="AE178" s="4">
        <v>750</v>
      </c>
      <c r="AF178" s="4">
        <v>457</v>
      </c>
      <c r="AG178" s="4">
        <v>800</v>
      </c>
      <c r="AH178" s="4">
        <v>1610</v>
      </c>
      <c r="AI178" s="7">
        <f t="shared" si="5"/>
        <v>24525.666666666664</v>
      </c>
      <c r="AJ178" s="7"/>
    </row>
    <row r="179" spans="1:36" x14ac:dyDescent="0.3">
      <c r="A179" s="12" t="s">
        <v>1015</v>
      </c>
      <c r="B179" s="12" t="s">
        <v>863</v>
      </c>
      <c r="C179" s="12" t="s">
        <v>1012</v>
      </c>
      <c r="D179" s="13">
        <v>7302174</v>
      </c>
      <c r="E179" s="12" t="s">
        <v>673</v>
      </c>
      <c r="F179" s="12" t="s">
        <v>3</v>
      </c>
      <c r="G179" s="9">
        <v>13350</v>
      </c>
      <c r="H179" s="9">
        <v>0</v>
      </c>
      <c r="I179" s="9">
        <v>5000</v>
      </c>
      <c r="J179" s="9">
        <v>0</v>
      </c>
      <c r="K179" s="9">
        <v>3000</v>
      </c>
      <c r="L179" s="9">
        <v>0</v>
      </c>
      <c r="M179" s="9">
        <v>2500</v>
      </c>
      <c r="N179" s="9">
        <v>0</v>
      </c>
      <c r="O179" s="9">
        <v>2500</v>
      </c>
      <c r="P179" s="9">
        <v>0</v>
      </c>
      <c r="Q179" s="9">
        <v>2500</v>
      </c>
      <c r="R179" s="9">
        <v>0</v>
      </c>
      <c r="S179" s="9">
        <v>2500</v>
      </c>
      <c r="T179" s="9"/>
      <c r="U179" s="4">
        <f t="shared" si="6"/>
        <v>0</v>
      </c>
      <c r="W179" s="4">
        <v>1000</v>
      </c>
      <c r="X179" s="4">
        <v>513</v>
      </c>
      <c r="Y179" s="4">
        <v>2500</v>
      </c>
      <c r="Z179" s="4">
        <v>1737</v>
      </c>
      <c r="AA179" s="4">
        <v>2000</v>
      </c>
      <c r="AB179" s="4">
        <v>2136</v>
      </c>
      <c r="AC179" s="4">
        <v>2500</v>
      </c>
      <c r="AD179" s="4">
        <v>1540</v>
      </c>
      <c r="AE179" s="4">
        <v>2500</v>
      </c>
      <c r="AF179" s="4">
        <v>1666</v>
      </c>
      <c r="AG179" s="4">
        <v>2000</v>
      </c>
      <c r="AH179" s="4">
        <v>1850</v>
      </c>
      <c r="AI179" s="7">
        <f t="shared" si="5"/>
        <v>53292</v>
      </c>
      <c r="AJ179" s="7"/>
    </row>
    <row r="180" spans="1:36" x14ac:dyDescent="0.3">
      <c r="A180" s="12" t="s">
        <v>1015</v>
      </c>
      <c r="B180" s="12" t="s">
        <v>863</v>
      </c>
      <c r="C180" s="12" t="s">
        <v>1012</v>
      </c>
      <c r="D180" s="13">
        <v>7302175</v>
      </c>
      <c r="E180" s="12" t="s">
        <v>674</v>
      </c>
      <c r="F180" s="12" t="s">
        <v>3</v>
      </c>
      <c r="G180" s="9">
        <v>13350</v>
      </c>
      <c r="H180" s="9">
        <v>10000</v>
      </c>
      <c r="I180" s="9">
        <v>3000</v>
      </c>
      <c r="J180" s="9">
        <v>0</v>
      </c>
      <c r="K180" s="9">
        <v>3000</v>
      </c>
      <c r="L180" s="9">
        <v>10000</v>
      </c>
      <c r="M180" s="9">
        <v>2500</v>
      </c>
      <c r="N180" s="9">
        <v>0</v>
      </c>
      <c r="O180" s="9">
        <v>2500</v>
      </c>
      <c r="P180" s="9">
        <v>0</v>
      </c>
      <c r="Q180" s="9">
        <v>2500</v>
      </c>
      <c r="R180" s="9">
        <v>0</v>
      </c>
      <c r="S180" s="9">
        <v>2500</v>
      </c>
      <c r="T180" s="9"/>
      <c r="U180" s="4">
        <f t="shared" si="6"/>
        <v>20000</v>
      </c>
      <c r="W180" s="4">
        <v>1000</v>
      </c>
      <c r="X180" s="4">
        <v>651</v>
      </c>
      <c r="Y180" s="4">
        <v>3000</v>
      </c>
      <c r="Z180" s="4">
        <v>1780</v>
      </c>
      <c r="AA180" s="4">
        <v>2000</v>
      </c>
      <c r="AB180" s="4">
        <v>3890</v>
      </c>
      <c r="AC180" s="4">
        <v>4000</v>
      </c>
      <c r="AD180" s="4">
        <v>3183</v>
      </c>
      <c r="AE180" s="4">
        <v>4000</v>
      </c>
      <c r="AF180" s="4">
        <v>2710</v>
      </c>
      <c r="AG180" s="4">
        <v>3000</v>
      </c>
      <c r="AH180" s="4">
        <v>2300</v>
      </c>
      <c r="AI180" s="7">
        <f t="shared" si="5"/>
        <v>100864</v>
      </c>
      <c r="AJ180" s="7"/>
    </row>
    <row r="181" spans="1:36" x14ac:dyDescent="0.3">
      <c r="A181" s="12" t="s">
        <v>1015</v>
      </c>
      <c r="B181" s="12" t="s">
        <v>863</v>
      </c>
      <c r="C181" s="12" t="s">
        <v>1012</v>
      </c>
      <c r="D181" s="13">
        <v>7302178</v>
      </c>
      <c r="E181" s="12" t="s">
        <v>675</v>
      </c>
      <c r="F181" s="12" t="s">
        <v>3</v>
      </c>
      <c r="G181" s="9">
        <v>4200</v>
      </c>
      <c r="H181" s="9">
        <v>0</v>
      </c>
      <c r="I181" s="9">
        <v>4000</v>
      </c>
      <c r="J181" s="9">
        <v>0</v>
      </c>
      <c r="K181" s="9">
        <v>3500</v>
      </c>
      <c r="L181" s="9">
        <v>0</v>
      </c>
      <c r="M181" s="9">
        <v>3500</v>
      </c>
      <c r="N181" s="9">
        <v>20000</v>
      </c>
      <c r="O181" s="9">
        <v>4000</v>
      </c>
      <c r="P181" s="9">
        <v>0</v>
      </c>
      <c r="Q181" s="9">
        <v>3500</v>
      </c>
      <c r="R181" s="9">
        <v>0</v>
      </c>
      <c r="S181" s="9">
        <v>3666.6666666666665</v>
      </c>
      <c r="T181" s="9"/>
      <c r="U181" s="4">
        <f t="shared" si="6"/>
        <v>20000</v>
      </c>
      <c r="W181" s="4">
        <v>2160</v>
      </c>
      <c r="X181" s="4">
        <v>3240</v>
      </c>
      <c r="Y181" s="4">
        <v>2160</v>
      </c>
      <c r="Z181" s="4">
        <v>3240</v>
      </c>
      <c r="AA181" s="4">
        <v>2160</v>
      </c>
      <c r="AB181" s="4">
        <v>5400</v>
      </c>
      <c r="AC181" s="4">
        <v>3960</v>
      </c>
      <c r="AD181" s="4">
        <v>3240</v>
      </c>
      <c r="AE181" s="4">
        <v>4000</v>
      </c>
      <c r="AF181" s="4">
        <v>3240</v>
      </c>
      <c r="AG181" s="4">
        <v>4000</v>
      </c>
      <c r="AH181" s="4">
        <v>5400</v>
      </c>
      <c r="AI181" s="7">
        <f t="shared" si="5"/>
        <v>108566.66666666666</v>
      </c>
      <c r="AJ181" s="7"/>
    </row>
    <row r="182" spans="1:36" x14ac:dyDescent="0.3">
      <c r="A182" s="12" t="s">
        <v>1015</v>
      </c>
      <c r="B182" s="12" t="s">
        <v>863</v>
      </c>
      <c r="C182" s="12" t="s">
        <v>1012</v>
      </c>
      <c r="D182" s="13">
        <v>7302210</v>
      </c>
      <c r="E182" s="12" t="s">
        <v>676</v>
      </c>
      <c r="F182" s="12" t="s">
        <v>3</v>
      </c>
      <c r="G182" s="9">
        <v>16000</v>
      </c>
      <c r="H182" s="9">
        <v>20000</v>
      </c>
      <c r="I182" s="9">
        <v>16000</v>
      </c>
      <c r="J182" s="9">
        <v>20000</v>
      </c>
      <c r="K182" s="9">
        <v>16000</v>
      </c>
      <c r="L182" s="9">
        <v>0</v>
      </c>
      <c r="M182" s="9">
        <v>16000</v>
      </c>
      <c r="N182" s="9">
        <v>20000</v>
      </c>
      <c r="O182" s="9">
        <v>16000</v>
      </c>
      <c r="P182" s="9">
        <v>0</v>
      </c>
      <c r="Q182" s="9">
        <v>16000</v>
      </c>
      <c r="R182" s="9">
        <v>20000</v>
      </c>
      <c r="S182" s="9">
        <v>16000</v>
      </c>
      <c r="T182" s="9"/>
      <c r="U182" s="4">
        <f t="shared" si="6"/>
        <v>80000</v>
      </c>
      <c r="W182" s="4">
        <v>13000</v>
      </c>
      <c r="X182" s="4">
        <v>12442</v>
      </c>
      <c r="Y182" s="4">
        <v>13000</v>
      </c>
      <c r="Z182" s="4">
        <v>12745</v>
      </c>
      <c r="AA182" s="4">
        <v>13000</v>
      </c>
      <c r="AB182" s="4">
        <v>17163</v>
      </c>
      <c r="AC182" s="4">
        <v>18000</v>
      </c>
      <c r="AD182" s="4">
        <v>20020</v>
      </c>
      <c r="AE182" s="4">
        <v>20000</v>
      </c>
      <c r="AF182" s="4">
        <v>16865</v>
      </c>
      <c r="AG182" s="4">
        <v>20000</v>
      </c>
      <c r="AH182" s="4">
        <v>14936</v>
      </c>
      <c r="AI182" s="7">
        <f t="shared" si="5"/>
        <v>463171</v>
      </c>
      <c r="AJ182" s="7"/>
    </row>
    <row r="183" spans="1:36" x14ac:dyDescent="0.3">
      <c r="A183" s="12" t="s">
        <v>1011</v>
      </c>
      <c r="B183" s="12" t="s">
        <v>863</v>
      </c>
      <c r="C183" s="12" t="s">
        <v>1012</v>
      </c>
      <c r="D183" s="13">
        <v>7302214</v>
      </c>
      <c r="E183" s="12" t="s">
        <v>677</v>
      </c>
      <c r="F183" s="12" t="s">
        <v>3</v>
      </c>
      <c r="G183" s="9">
        <v>743</v>
      </c>
      <c r="H183" s="9">
        <v>0</v>
      </c>
      <c r="I183" s="9">
        <v>743</v>
      </c>
      <c r="J183" s="9">
        <v>0</v>
      </c>
      <c r="K183" s="9">
        <v>743</v>
      </c>
      <c r="L183" s="9">
        <v>0</v>
      </c>
      <c r="M183" s="9">
        <v>743</v>
      </c>
      <c r="N183" s="9">
        <v>0</v>
      </c>
      <c r="O183" s="9">
        <v>743</v>
      </c>
      <c r="P183" s="9">
        <v>0</v>
      </c>
      <c r="Q183" s="9">
        <v>743</v>
      </c>
      <c r="R183" s="9">
        <v>0</v>
      </c>
      <c r="S183" s="9">
        <v>743</v>
      </c>
      <c r="T183" s="9"/>
      <c r="U183" s="4">
        <f t="shared" si="6"/>
        <v>0</v>
      </c>
      <c r="W183" s="4">
        <v>314</v>
      </c>
      <c r="X183" s="4">
        <v>612</v>
      </c>
      <c r="Y183" s="4">
        <v>429</v>
      </c>
      <c r="Z183" s="4">
        <v>692</v>
      </c>
      <c r="AA183" s="4">
        <v>537</v>
      </c>
      <c r="AB183" s="4">
        <v>643</v>
      </c>
      <c r="AC183" s="4">
        <v>649</v>
      </c>
      <c r="AD183" s="4">
        <v>696</v>
      </c>
      <c r="AE183" s="4">
        <v>677</v>
      </c>
      <c r="AF183" s="4">
        <v>858</v>
      </c>
      <c r="AG183" s="4">
        <v>732</v>
      </c>
      <c r="AH183" s="4">
        <v>907</v>
      </c>
      <c r="AI183" s="7">
        <f t="shared" si="5"/>
        <v>12947</v>
      </c>
      <c r="AJ183" s="7"/>
    </row>
    <row r="184" spans="1:36" x14ac:dyDescent="0.3">
      <c r="A184" s="12" t="s">
        <v>1026</v>
      </c>
      <c r="B184" s="12" t="s">
        <v>864</v>
      </c>
      <c r="C184" s="12" t="s">
        <v>1039</v>
      </c>
      <c r="D184" s="13">
        <v>7302215</v>
      </c>
      <c r="E184" s="12" t="s">
        <v>678</v>
      </c>
      <c r="F184" s="12" t="s">
        <v>3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9">
        <v>0</v>
      </c>
      <c r="O184" s="9">
        <v>600</v>
      </c>
      <c r="P184" s="9">
        <v>0</v>
      </c>
      <c r="Q184" s="9">
        <v>900</v>
      </c>
      <c r="R184" s="9">
        <v>0</v>
      </c>
      <c r="S184" s="9">
        <v>500</v>
      </c>
      <c r="T184" s="9"/>
      <c r="U184" s="4">
        <f t="shared" si="6"/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7">
        <f t="shared" si="5"/>
        <v>2000</v>
      </c>
      <c r="AJ184" s="7"/>
    </row>
    <row r="185" spans="1:36" x14ac:dyDescent="0.3">
      <c r="A185" s="12" t="s">
        <v>1026</v>
      </c>
      <c r="B185" s="12" t="s">
        <v>864</v>
      </c>
      <c r="C185" s="12" t="s">
        <v>1012</v>
      </c>
      <c r="D185" s="13">
        <v>7302216</v>
      </c>
      <c r="E185" s="12" t="s">
        <v>679</v>
      </c>
      <c r="F185" s="12" t="s">
        <v>3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300</v>
      </c>
      <c r="P185" s="9">
        <v>0</v>
      </c>
      <c r="Q185" s="9">
        <v>450</v>
      </c>
      <c r="R185" s="9">
        <v>0</v>
      </c>
      <c r="S185" s="9">
        <v>250</v>
      </c>
      <c r="T185" s="9"/>
      <c r="U185" s="4">
        <f t="shared" si="6"/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7">
        <f t="shared" si="5"/>
        <v>1000</v>
      </c>
      <c r="AJ185" s="7"/>
    </row>
    <row r="186" spans="1:36" x14ac:dyDescent="0.3">
      <c r="A186" s="12" t="s">
        <v>1015</v>
      </c>
      <c r="B186" s="12" t="s">
        <v>863</v>
      </c>
      <c r="C186" s="12" t="s">
        <v>1012</v>
      </c>
      <c r="D186" s="13">
        <v>7302217</v>
      </c>
      <c r="E186" s="12" t="s">
        <v>680</v>
      </c>
      <c r="F186" s="12" t="s">
        <v>3</v>
      </c>
      <c r="G186" s="9">
        <v>315</v>
      </c>
      <c r="H186" s="9">
        <v>0</v>
      </c>
      <c r="I186" s="9">
        <v>315</v>
      </c>
      <c r="J186" s="9">
        <v>0</v>
      </c>
      <c r="K186" s="9">
        <v>315</v>
      </c>
      <c r="L186" s="9">
        <v>0</v>
      </c>
      <c r="M186" s="9">
        <v>315</v>
      </c>
      <c r="N186" s="9">
        <v>0</v>
      </c>
      <c r="O186" s="9">
        <v>315</v>
      </c>
      <c r="P186" s="9">
        <v>0</v>
      </c>
      <c r="Q186" s="9">
        <v>315</v>
      </c>
      <c r="R186" s="9">
        <v>0</v>
      </c>
      <c r="S186" s="9">
        <v>315</v>
      </c>
      <c r="T186" s="9"/>
      <c r="U186" s="4">
        <f t="shared" si="6"/>
        <v>0</v>
      </c>
      <c r="W186" s="4">
        <v>0</v>
      </c>
      <c r="X186" s="4">
        <v>0</v>
      </c>
      <c r="Y186" s="4">
        <v>0</v>
      </c>
      <c r="Z186" s="4">
        <v>140</v>
      </c>
      <c r="AA186" s="4">
        <v>523</v>
      </c>
      <c r="AB186" s="4">
        <v>280</v>
      </c>
      <c r="AC186" s="4">
        <v>313</v>
      </c>
      <c r="AD186" s="4">
        <v>190</v>
      </c>
      <c r="AE186" s="4">
        <v>203</v>
      </c>
      <c r="AF186" s="4">
        <v>410</v>
      </c>
      <c r="AG186" s="4">
        <v>293</v>
      </c>
      <c r="AH186" s="4">
        <v>350</v>
      </c>
      <c r="AI186" s="7">
        <f t="shared" si="5"/>
        <v>4907</v>
      </c>
      <c r="AJ186" s="7"/>
    </row>
    <row r="187" spans="1:36" x14ac:dyDescent="0.3">
      <c r="A187" s="12" t="s">
        <v>1015</v>
      </c>
      <c r="B187" s="12" t="s">
        <v>863</v>
      </c>
      <c r="C187" s="12" t="s">
        <v>1012</v>
      </c>
      <c r="D187" s="13">
        <v>7302218</v>
      </c>
      <c r="E187" s="12" t="s">
        <v>681</v>
      </c>
      <c r="F187" s="12" t="s">
        <v>3</v>
      </c>
      <c r="G187" s="9">
        <v>126</v>
      </c>
      <c r="H187" s="9">
        <v>0</v>
      </c>
      <c r="I187" s="9">
        <v>126</v>
      </c>
      <c r="J187" s="9">
        <v>0</v>
      </c>
      <c r="K187" s="9">
        <v>101</v>
      </c>
      <c r="L187" s="9">
        <v>0</v>
      </c>
      <c r="M187" s="9">
        <v>168</v>
      </c>
      <c r="N187" s="9">
        <v>0</v>
      </c>
      <c r="O187" s="9">
        <v>148</v>
      </c>
      <c r="P187" s="9">
        <v>0</v>
      </c>
      <c r="Q187" s="9">
        <v>421</v>
      </c>
      <c r="R187" s="9">
        <v>0</v>
      </c>
      <c r="S187" s="9">
        <v>245.66666666666666</v>
      </c>
      <c r="T187" s="9"/>
      <c r="U187" s="4">
        <f t="shared" si="6"/>
        <v>0</v>
      </c>
      <c r="W187" s="4">
        <v>0</v>
      </c>
      <c r="X187" s="4">
        <v>0</v>
      </c>
      <c r="Y187" s="4">
        <v>0</v>
      </c>
      <c r="Z187" s="4">
        <v>130</v>
      </c>
      <c r="AA187" s="4">
        <v>573</v>
      </c>
      <c r="AB187" s="4">
        <v>100</v>
      </c>
      <c r="AC187" s="4">
        <v>237</v>
      </c>
      <c r="AD187" s="4">
        <v>90</v>
      </c>
      <c r="AE187" s="4">
        <v>107</v>
      </c>
      <c r="AF187" s="4">
        <v>230</v>
      </c>
      <c r="AG187" s="4">
        <v>140</v>
      </c>
      <c r="AH187" s="4">
        <v>370</v>
      </c>
      <c r="AI187" s="7">
        <f t="shared" si="5"/>
        <v>3312.666666666667</v>
      </c>
      <c r="AJ187" s="7"/>
    </row>
    <row r="188" spans="1:36" x14ac:dyDescent="0.3">
      <c r="A188" s="12" t="s">
        <v>1015</v>
      </c>
      <c r="B188" s="12" t="s">
        <v>863</v>
      </c>
      <c r="C188" s="12" t="s">
        <v>1012</v>
      </c>
      <c r="D188" s="13">
        <v>7302219</v>
      </c>
      <c r="E188" s="12" t="s">
        <v>682</v>
      </c>
      <c r="F188" s="12" t="s">
        <v>3</v>
      </c>
      <c r="G188" s="9">
        <v>643</v>
      </c>
      <c r="H188" s="9">
        <v>0</v>
      </c>
      <c r="I188" s="9">
        <v>643</v>
      </c>
      <c r="J188" s="9">
        <v>1644</v>
      </c>
      <c r="K188" s="9">
        <v>643</v>
      </c>
      <c r="L188" s="9">
        <v>0</v>
      </c>
      <c r="M188" s="9">
        <v>643</v>
      </c>
      <c r="N188" s="9">
        <v>0</v>
      </c>
      <c r="O188" s="9">
        <v>643</v>
      </c>
      <c r="P188" s="9">
        <v>0</v>
      </c>
      <c r="Q188" s="9">
        <v>643</v>
      </c>
      <c r="R188" s="9">
        <v>0</v>
      </c>
      <c r="S188" s="9">
        <v>643</v>
      </c>
      <c r="T188" s="9"/>
      <c r="U188" s="4">
        <f t="shared" si="6"/>
        <v>1644</v>
      </c>
      <c r="W188" s="4">
        <v>0</v>
      </c>
      <c r="X188" s="4">
        <v>0</v>
      </c>
      <c r="Y188" s="4">
        <v>0</v>
      </c>
      <c r="Z188" s="4">
        <v>440</v>
      </c>
      <c r="AA188" s="4">
        <v>1093</v>
      </c>
      <c r="AB188" s="4">
        <v>500</v>
      </c>
      <c r="AC188" s="4">
        <v>600</v>
      </c>
      <c r="AD188" s="4">
        <v>460</v>
      </c>
      <c r="AE188" s="4">
        <v>467</v>
      </c>
      <c r="AF188" s="4">
        <v>500</v>
      </c>
      <c r="AG188" s="4">
        <v>487</v>
      </c>
      <c r="AH188" s="4">
        <v>1100</v>
      </c>
      <c r="AI188" s="7">
        <f t="shared" si="5"/>
        <v>13436</v>
      </c>
      <c r="AJ188" s="7"/>
    </row>
    <row r="189" spans="1:36" x14ac:dyDescent="0.3">
      <c r="A189" s="12" t="s">
        <v>1015</v>
      </c>
      <c r="B189" s="12" t="s">
        <v>863</v>
      </c>
      <c r="C189" s="12" t="s">
        <v>1012</v>
      </c>
      <c r="D189" s="13">
        <v>7302251</v>
      </c>
      <c r="E189" s="12" t="s">
        <v>683</v>
      </c>
      <c r="F189" s="12" t="s">
        <v>3</v>
      </c>
      <c r="G189" s="9">
        <v>25000</v>
      </c>
      <c r="H189" s="9">
        <v>0</v>
      </c>
      <c r="I189" s="9">
        <v>10000</v>
      </c>
      <c r="J189" s="9">
        <v>20000</v>
      </c>
      <c r="K189" s="9">
        <v>5000</v>
      </c>
      <c r="L189" s="9">
        <v>20000</v>
      </c>
      <c r="M189" s="9">
        <v>30000</v>
      </c>
      <c r="N189" s="9">
        <v>20000</v>
      </c>
      <c r="O189" s="9">
        <v>45000</v>
      </c>
      <c r="P189" s="9">
        <v>20000</v>
      </c>
      <c r="Q189" s="9">
        <v>45000</v>
      </c>
      <c r="R189" s="9">
        <v>20000</v>
      </c>
      <c r="S189" s="9">
        <v>40000</v>
      </c>
      <c r="T189" s="9"/>
      <c r="U189" s="4">
        <f t="shared" si="6"/>
        <v>100000</v>
      </c>
      <c r="W189" s="4">
        <v>20000</v>
      </c>
      <c r="X189" s="4">
        <v>0</v>
      </c>
      <c r="Y189" s="4">
        <v>30000</v>
      </c>
      <c r="Z189" s="4">
        <v>0</v>
      </c>
      <c r="AA189" s="4">
        <v>30000</v>
      </c>
      <c r="AB189" s="4">
        <v>0</v>
      </c>
      <c r="AC189" s="4">
        <v>20000</v>
      </c>
      <c r="AD189" s="4">
        <v>0</v>
      </c>
      <c r="AE189" s="4">
        <v>45000</v>
      </c>
      <c r="AF189" s="4">
        <v>0</v>
      </c>
      <c r="AG189" s="4">
        <v>25000</v>
      </c>
      <c r="AH189" s="4">
        <v>0</v>
      </c>
      <c r="AI189" s="7">
        <f t="shared" si="5"/>
        <v>570000</v>
      </c>
      <c r="AJ189" s="7"/>
    </row>
    <row r="190" spans="1:36" x14ac:dyDescent="0.3">
      <c r="A190" s="12" t="s">
        <v>1011</v>
      </c>
      <c r="B190" s="12" t="s">
        <v>863</v>
      </c>
      <c r="C190" s="12" t="s">
        <v>1012</v>
      </c>
      <c r="D190" s="13">
        <v>7302272</v>
      </c>
      <c r="E190" s="12" t="s">
        <v>684</v>
      </c>
      <c r="F190" s="12" t="s">
        <v>3</v>
      </c>
      <c r="G190" s="9">
        <v>5813</v>
      </c>
      <c r="H190" s="9">
        <v>10000</v>
      </c>
      <c r="I190" s="9">
        <v>6685</v>
      </c>
      <c r="J190" s="9">
        <v>10000</v>
      </c>
      <c r="K190" s="9">
        <v>7557</v>
      </c>
      <c r="L190" s="9">
        <v>10000</v>
      </c>
      <c r="M190" s="9">
        <v>7557</v>
      </c>
      <c r="N190" s="9">
        <v>0</v>
      </c>
      <c r="O190" s="9">
        <v>7557</v>
      </c>
      <c r="P190" s="9">
        <v>0</v>
      </c>
      <c r="Q190" s="9">
        <v>7557</v>
      </c>
      <c r="R190" s="9">
        <v>0</v>
      </c>
      <c r="S190" s="9">
        <v>7557</v>
      </c>
      <c r="T190" s="9"/>
      <c r="U190" s="4">
        <f t="shared" si="6"/>
        <v>30000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103</v>
      </c>
      <c r="AC190" s="4">
        <v>5813.2299270072999</v>
      </c>
      <c r="AD190" s="4">
        <v>2412</v>
      </c>
      <c r="AE190" s="4">
        <v>4000</v>
      </c>
      <c r="AF190" s="4">
        <v>2998</v>
      </c>
      <c r="AG190" s="4">
        <v>1838</v>
      </c>
      <c r="AH190" s="4">
        <v>3035</v>
      </c>
      <c r="AI190" s="7">
        <f t="shared" si="5"/>
        <v>130482.2299270073</v>
      </c>
      <c r="AJ190" s="7"/>
    </row>
    <row r="191" spans="1:36" x14ac:dyDescent="0.3">
      <c r="A191" s="12" t="s">
        <v>1011</v>
      </c>
      <c r="B191" s="12" t="s">
        <v>863</v>
      </c>
      <c r="C191" s="12" t="s">
        <v>1012</v>
      </c>
      <c r="D191" s="13">
        <v>7302277</v>
      </c>
      <c r="E191" s="12" t="s">
        <v>685</v>
      </c>
      <c r="F191" s="12" t="s">
        <v>3</v>
      </c>
      <c r="G191" s="9">
        <v>62</v>
      </c>
      <c r="H191" s="9">
        <v>0</v>
      </c>
      <c r="I191" s="9">
        <v>62</v>
      </c>
      <c r="J191" s="9">
        <v>0</v>
      </c>
      <c r="K191" s="9">
        <v>62</v>
      </c>
      <c r="L191" s="9">
        <v>0</v>
      </c>
      <c r="M191" s="9">
        <v>62</v>
      </c>
      <c r="N191" s="9">
        <v>0</v>
      </c>
      <c r="O191" s="9">
        <v>62</v>
      </c>
      <c r="P191" s="9">
        <v>0</v>
      </c>
      <c r="Q191" s="9">
        <v>62</v>
      </c>
      <c r="R191" s="9">
        <v>0</v>
      </c>
      <c r="S191" s="9">
        <v>62</v>
      </c>
      <c r="T191" s="9"/>
      <c r="U191" s="4">
        <f t="shared" si="6"/>
        <v>0</v>
      </c>
      <c r="W191" s="4">
        <v>0</v>
      </c>
      <c r="X191" s="4">
        <v>0</v>
      </c>
      <c r="Y191" s="4">
        <v>0</v>
      </c>
      <c r="Z191" s="4">
        <v>0</v>
      </c>
      <c r="AA191" s="4">
        <v>5</v>
      </c>
      <c r="AB191" s="4">
        <v>0</v>
      </c>
      <c r="AC191" s="4">
        <v>0</v>
      </c>
      <c r="AD191" s="4">
        <v>0</v>
      </c>
      <c r="AE191" s="4">
        <v>0</v>
      </c>
      <c r="AF191" s="4">
        <v>109</v>
      </c>
      <c r="AG191" s="4">
        <v>100</v>
      </c>
      <c r="AH191" s="4">
        <v>15</v>
      </c>
      <c r="AI191" s="7">
        <f t="shared" si="5"/>
        <v>663</v>
      </c>
      <c r="AJ191" s="7"/>
    </row>
    <row r="192" spans="1:36" x14ac:dyDescent="0.3">
      <c r="A192" s="12" t="s">
        <v>1011</v>
      </c>
      <c r="B192" s="12" t="s">
        <v>863</v>
      </c>
      <c r="C192" s="12" t="s">
        <v>1012</v>
      </c>
      <c r="D192" s="13">
        <v>7302278</v>
      </c>
      <c r="E192" s="12" t="s">
        <v>686</v>
      </c>
      <c r="F192" s="12" t="s">
        <v>3</v>
      </c>
      <c r="G192" s="9">
        <v>92</v>
      </c>
      <c r="H192" s="9">
        <v>0</v>
      </c>
      <c r="I192" s="9">
        <v>92</v>
      </c>
      <c r="J192" s="9">
        <v>0</v>
      </c>
      <c r="K192" s="9">
        <v>92</v>
      </c>
      <c r="L192" s="9">
        <v>0</v>
      </c>
      <c r="M192" s="9">
        <v>92</v>
      </c>
      <c r="N192" s="9">
        <v>0</v>
      </c>
      <c r="O192" s="9">
        <v>92</v>
      </c>
      <c r="P192" s="9">
        <v>0</v>
      </c>
      <c r="Q192" s="9">
        <v>92</v>
      </c>
      <c r="R192" s="9">
        <v>0</v>
      </c>
      <c r="S192" s="9">
        <v>92</v>
      </c>
      <c r="T192" s="9"/>
      <c r="U192" s="4">
        <f t="shared" si="6"/>
        <v>0</v>
      </c>
      <c r="W192" s="4">
        <v>0</v>
      </c>
      <c r="X192" s="4">
        <v>0</v>
      </c>
      <c r="Y192" s="4">
        <v>0</v>
      </c>
      <c r="Z192" s="4">
        <v>0</v>
      </c>
      <c r="AA192" s="4">
        <v>3</v>
      </c>
      <c r="AB192" s="4">
        <v>0</v>
      </c>
      <c r="AC192" s="4">
        <v>0</v>
      </c>
      <c r="AD192" s="4">
        <v>0</v>
      </c>
      <c r="AE192" s="4">
        <v>0</v>
      </c>
      <c r="AF192" s="4">
        <v>106</v>
      </c>
      <c r="AG192" s="4">
        <v>100</v>
      </c>
      <c r="AH192" s="4">
        <v>77</v>
      </c>
      <c r="AI192" s="7">
        <f t="shared" si="5"/>
        <v>930</v>
      </c>
      <c r="AJ192" s="7"/>
    </row>
    <row r="193" spans="1:36" x14ac:dyDescent="0.3">
      <c r="A193" s="12" t="s">
        <v>1015</v>
      </c>
      <c r="B193" s="12" t="s">
        <v>863</v>
      </c>
      <c r="C193" s="12" t="s">
        <v>1012</v>
      </c>
      <c r="D193" s="13">
        <v>7302296</v>
      </c>
      <c r="E193" s="12" t="s">
        <v>688</v>
      </c>
      <c r="F193" s="12" t="s">
        <v>3</v>
      </c>
      <c r="G193" s="9">
        <v>0</v>
      </c>
      <c r="H193" s="9">
        <v>0</v>
      </c>
      <c r="I193" s="9">
        <v>0</v>
      </c>
      <c r="J193" s="9">
        <v>0</v>
      </c>
      <c r="K193" s="9">
        <v>3000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>
        <v>0</v>
      </c>
      <c r="T193" s="9"/>
      <c r="U193" s="4">
        <f t="shared" si="6"/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5200</v>
      </c>
      <c r="AG193" s="4">
        <v>0</v>
      </c>
      <c r="AH193" s="4">
        <v>0</v>
      </c>
      <c r="AI193" s="7">
        <f t="shared" si="5"/>
        <v>8200</v>
      </c>
      <c r="AJ193" s="7"/>
    </row>
    <row r="194" spans="1:36" x14ac:dyDescent="0.3">
      <c r="A194" s="12" t="s">
        <v>1015</v>
      </c>
      <c r="B194" s="12" t="s">
        <v>863</v>
      </c>
      <c r="C194" s="12" t="s">
        <v>1012</v>
      </c>
      <c r="D194" s="13">
        <v>7302297</v>
      </c>
      <c r="E194" s="12" t="s">
        <v>689</v>
      </c>
      <c r="F194" s="12" t="s">
        <v>3</v>
      </c>
      <c r="G194" s="9">
        <v>0</v>
      </c>
      <c r="H194" s="9">
        <v>0</v>
      </c>
      <c r="I194" s="9">
        <v>0</v>
      </c>
      <c r="J194" s="9">
        <v>0</v>
      </c>
      <c r="K194" s="9">
        <v>3000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  <c r="R194" s="9">
        <v>0</v>
      </c>
      <c r="S194" s="9">
        <v>0</v>
      </c>
      <c r="T194" s="9"/>
      <c r="U194" s="4">
        <f t="shared" si="6"/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5040</v>
      </c>
      <c r="AG194" s="4">
        <v>0</v>
      </c>
      <c r="AH194" s="4">
        <v>0</v>
      </c>
      <c r="AI194" s="7">
        <f t="shared" si="5"/>
        <v>8040</v>
      </c>
      <c r="AJ194" s="7"/>
    </row>
    <row r="195" spans="1:36" x14ac:dyDescent="0.3">
      <c r="A195" s="12" t="s">
        <v>1015</v>
      </c>
      <c r="B195" s="12" t="s">
        <v>863</v>
      </c>
      <c r="C195" s="12" t="s">
        <v>1012</v>
      </c>
      <c r="D195" s="13">
        <v>7302303</v>
      </c>
      <c r="E195" s="12" t="s">
        <v>690</v>
      </c>
      <c r="F195" s="12" t="s">
        <v>3</v>
      </c>
      <c r="G195" s="9">
        <v>0</v>
      </c>
      <c r="H195" s="9">
        <v>0</v>
      </c>
      <c r="I195" s="9">
        <v>0</v>
      </c>
      <c r="J195" s="9">
        <v>0</v>
      </c>
      <c r="K195" s="9">
        <v>0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>
        <v>0</v>
      </c>
      <c r="T195" s="9"/>
      <c r="U195" s="4">
        <f t="shared" si="6"/>
        <v>0</v>
      </c>
      <c r="W195" s="4">
        <v>3000</v>
      </c>
      <c r="X195" s="4">
        <v>1262</v>
      </c>
      <c r="Y195" s="4">
        <v>3000</v>
      </c>
      <c r="Z195" s="4">
        <v>1236</v>
      </c>
      <c r="AA195" s="4">
        <v>3000</v>
      </c>
      <c r="AB195" s="4">
        <v>2149</v>
      </c>
      <c r="AC195" s="4">
        <v>3000</v>
      </c>
      <c r="AD195" s="4">
        <v>3622</v>
      </c>
      <c r="AE195" s="4">
        <v>4000</v>
      </c>
      <c r="AF195" s="4">
        <v>3014</v>
      </c>
      <c r="AG195" s="4">
        <v>4000</v>
      </c>
      <c r="AH195" s="4">
        <v>4247</v>
      </c>
      <c r="AI195" s="7">
        <f t="shared" si="5"/>
        <v>35530</v>
      </c>
      <c r="AJ195" s="7"/>
    </row>
    <row r="196" spans="1:36" x14ac:dyDescent="0.3">
      <c r="A196" s="12" t="s">
        <v>1015</v>
      </c>
      <c r="B196" s="12" t="s">
        <v>863</v>
      </c>
      <c r="C196" s="12" t="s">
        <v>1012</v>
      </c>
      <c r="D196" s="13">
        <v>7302304</v>
      </c>
      <c r="E196" s="12" t="s">
        <v>691</v>
      </c>
      <c r="F196" s="12" t="s">
        <v>3</v>
      </c>
      <c r="G196" s="9">
        <v>5000</v>
      </c>
      <c r="H196" s="9">
        <v>8333</v>
      </c>
      <c r="I196" s="9">
        <v>6000</v>
      </c>
      <c r="J196" s="9">
        <v>16666</v>
      </c>
      <c r="K196" s="9">
        <v>7000</v>
      </c>
      <c r="L196" s="9">
        <v>0</v>
      </c>
      <c r="M196" s="9">
        <v>7000</v>
      </c>
      <c r="N196" s="9">
        <v>8333</v>
      </c>
      <c r="O196" s="9">
        <v>7000</v>
      </c>
      <c r="P196" s="9">
        <v>0</v>
      </c>
      <c r="Q196" s="9">
        <v>6000</v>
      </c>
      <c r="R196" s="9">
        <v>0</v>
      </c>
      <c r="S196" s="9">
        <v>6666.666666666667</v>
      </c>
      <c r="T196" s="9"/>
      <c r="U196" s="4">
        <f t="shared" si="6"/>
        <v>33332</v>
      </c>
      <c r="W196" s="4">
        <v>3500</v>
      </c>
      <c r="X196" s="4">
        <v>329</v>
      </c>
      <c r="Y196" s="4">
        <v>3500</v>
      </c>
      <c r="Z196" s="4">
        <v>986</v>
      </c>
      <c r="AA196" s="4">
        <v>3500</v>
      </c>
      <c r="AB196" s="4">
        <v>5550</v>
      </c>
      <c r="AC196" s="4">
        <v>5000</v>
      </c>
      <c r="AD196" s="4">
        <v>11842</v>
      </c>
      <c r="AE196" s="4">
        <v>3000</v>
      </c>
      <c r="AF196" s="4">
        <v>3692</v>
      </c>
      <c r="AG196" s="4">
        <v>4000</v>
      </c>
      <c r="AH196" s="4">
        <v>2834</v>
      </c>
      <c r="AI196" s="7">
        <f t="shared" si="5"/>
        <v>159063.66666666669</v>
      </c>
      <c r="AJ196" s="7"/>
    </row>
    <row r="197" spans="1:36" x14ac:dyDescent="0.3">
      <c r="A197" s="12" t="s">
        <v>1015</v>
      </c>
      <c r="B197" s="12" t="s">
        <v>863</v>
      </c>
      <c r="C197" s="12" t="s">
        <v>1012</v>
      </c>
      <c r="D197" s="13">
        <v>7302339</v>
      </c>
      <c r="E197" s="12" t="s">
        <v>692</v>
      </c>
      <c r="F197" s="12" t="s">
        <v>3</v>
      </c>
      <c r="G197" s="9">
        <v>15000</v>
      </c>
      <c r="H197" s="9">
        <v>0</v>
      </c>
      <c r="I197" s="9">
        <v>15000</v>
      </c>
      <c r="J197" s="9">
        <v>19607</v>
      </c>
      <c r="K197" s="9">
        <v>10000</v>
      </c>
      <c r="L197" s="9">
        <v>19000</v>
      </c>
      <c r="M197" s="9">
        <v>10000</v>
      </c>
      <c r="N197" s="9">
        <v>37000</v>
      </c>
      <c r="O197" s="9">
        <v>10000</v>
      </c>
      <c r="P197" s="9">
        <v>19000</v>
      </c>
      <c r="Q197" s="9">
        <v>10000</v>
      </c>
      <c r="R197" s="9">
        <v>0</v>
      </c>
      <c r="S197" s="9">
        <v>10000</v>
      </c>
      <c r="T197" s="9"/>
      <c r="U197" s="4">
        <f t="shared" si="6"/>
        <v>94607</v>
      </c>
      <c r="W197" s="4">
        <v>0</v>
      </c>
      <c r="X197" s="4">
        <v>0</v>
      </c>
      <c r="Y197" s="4">
        <v>1000</v>
      </c>
      <c r="Z197" s="4">
        <v>0</v>
      </c>
      <c r="AA197" s="4">
        <v>25000</v>
      </c>
      <c r="AB197" s="4">
        <v>28579</v>
      </c>
      <c r="AC197" s="4">
        <v>21000</v>
      </c>
      <c r="AD197" s="4">
        <v>8200</v>
      </c>
      <c r="AE197" s="4">
        <v>20000</v>
      </c>
      <c r="AF197" s="4">
        <v>14820</v>
      </c>
      <c r="AG197" s="4">
        <v>20000</v>
      </c>
      <c r="AH197" s="4">
        <v>10442</v>
      </c>
      <c r="AI197" s="7">
        <f t="shared" ref="AI197:AI260" si="7">SUM(G197:AH197)</f>
        <v>418255</v>
      </c>
      <c r="AJ197" s="7"/>
    </row>
    <row r="198" spans="1:36" x14ac:dyDescent="0.3">
      <c r="A198" s="12" t="s">
        <v>1015</v>
      </c>
      <c r="B198" s="12" t="s">
        <v>863</v>
      </c>
      <c r="C198" s="12" t="s">
        <v>1012</v>
      </c>
      <c r="D198" s="13">
        <v>7302340</v>
      </c>
      <c r="E198" s="12" t="s">
        <v>693</v>
      </c>
      <c r="F198" s="12" t="s">
        <v>3</v>
      </c>
      <c r="G198" s="9">
        <v>10000</v>
      </c>
      <c r="H198" s="9">
        <v>0</v>
      </c>
      <c r="I198" s="9">
        <v>10000</v>
      </c>
      <c r="J198" s="9">
        <v>34998</v>
      </c>
      <c r="K198" s="9">
        <v>10001</v>
      </c>
      <c r="L198" s="9">
        <v>34998</v>
      </c>
      <c r="M198" s="9">
        <v>8001</v>
      </c>
      <c r="N198" s="9">
        <v>0</v>
      </c>
      <c r="O198" s="9">
        <v>7000</v>
      </c>
      <c r="P198" s="9">
        <v>0</v>
      </c>
      <c r="Q198" s="9">
        <v>7000</v>
      </c>
      <c r="R198" s="9">
        <v>0</v>
      </c>
      <c r="S198" s="9">
        <v>7333.666666666667</v>
      </c>
      <c r="T198" s="9"/>
      <c r="U198" s="4">
        <f t="shared" si="6"/>
        <v>69996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1330</v>
      </c>
      <c r="AE198" s="4">
        <v>10000</v>
      </c>
      <c r="AF198" s="4">
        <v>8270</v>
      </c>
      <c r="AG198" s="4">
        <v>10000</v>
      </c>
      <c r="AH198" s="4">
        <v>5472</v>
      </c>
      <c r="AI198" s="7">
        <f t="shared" si="7"/>
        <v>234399.66666666669</v>
      </c>
      <c r="AJ198" s="7"/>
    </row>
    <row r="199" spans="1:36" x14ac:dyDescent="0.3">
      <c r="A199" s="12" t="s">
        <v>1015</v>
      </c>
      <c r="B199" s="12" t="s">
        <v>863</v>
      </c>
      <c r="C199" s="12" t="s">
        <v>1012</v>
      </c>
      <c r="D199" s="13">
        <v>7302355</v>
      </c>
      <c r="E199" s="12" t="s">
        <v>694</v>
      </c>
      <c r="F199" s="12" t="s">
        <v>3</v>
      </c>
      <c r="G199" s="9">
        <v>7000</v>
      </c>
      <c r="H199" s="9">
        <v>15000</v>
      </c>
      <c r="I199" s="9">
        <v>7000</v>
      </c>
      <c r="J199" s="9">
        <v>10000</v>
      </c>
      <c r="K199" s="9">
        <v>7500</v>
      </c>
      <c r="L199" s="9">
        <v>5000</v>
      </c>
      <c r="M199" s="9">
        <v>7500</v>
      </c>
      <c r="N199" s="9">
        <v>10000</v>
      </c>
      <c r="O199" s="9">
        <v>7000</v>
      </c>
      <c r="P199" s="9">
        <v>0</v>
      </c>
      <c r="Q199" s="9">
        <v>7000</v>
      </c>
      <c r="R199" s="9">
        <v>0</v>
      </c>
      <c r="S199" s="9">
        <v>7166.666666666667</v>
      </c>
      <c r="T199" s="9"/>
      <c r="U199" s="4">
        <f t="shared" si="6"/>
        <v>40000</v>
      </c>
      <c r="W199" s="4">
        <v>0</v>
      </c>
      <c r="X199" s="4">
        <v>0</v>
      </c>
      <c r="Y199" s="4">
        <v>6000</v>
      </c>
      <c r="Z199" s="4">
        <v>7449</v>
      </c>
      <c r="AA199" s="4">
        <v>7000</v>
      </c>
      <c r="AB199" s="4">
        <v>7487</v>
      </c>
      <c r="AC199" s="4">
        <v>7500</v>
      </c>
      <c r="AD199" s="4">
        <v>6377</v>
      </c>
      <c r="AE199" s="4">
        <v>7000</v>
      </c>
      <c r="AF199" s="4">
        <v>6004</v>
      </c>
      <c r="AG199" s="4">
        <v>7000</v>
      </c>
      <c r="AH199" s="4">
        <v>6389</v>
      </c>
      <c r="AI199" s="7">
        <f t="shared" si="7"/>
        <v>198372.66666666669</v>
      </c>
      <c r="AJ199" s="7"/>
    </row>
    <row r="200" spans="1:36" x14ac:dyDescent="0.3">
      <c r="A200" s="12" t="s">
        <v>1015</v>
      </c>
      <c r="B200" s="12" t="s">
        <v>863</v>
      </c>
      <c r="C200" s="12" t="s">
        <v>1012</v>
      </c>
      <c r="D200" s="13">
        <v>7302356</v>
      </c>
      <c r="E200" s="12" t="s">
        <v>695</v>
      </c>
      <c r="F200" s="12" t="s">
        <v>3</v>
      </c>
      <c r="G200" s="9">
        <v>1800</v>
      </c>
      <c r="H200" s="9">
        <v>0</v>
      </c>
      <c r="I200" s="9">
        <v>2000</v>
      </c>
      <c r="J200" s="9">
        <v>3333</v>
      </c>
      <c r="K200" s="9">
        <v>1800</v>
      </c>
      <c r="L200" s="9">
        <v>3333</v>
      </c>
      <c r="M200" s="9">
        <v>1800</v>
      </c>
      <c r="N200" s="9">
        <v>0</v>
      </c>
      <c r="O200" s="9">
        <v>2000</v>
      </c>
      <c r="P200" s="9">
        <v>3333</v>
      </c>
      <c r="Q200" s="9">
        <v>1800</v>
      </c>
      <c r="R200" s="9">
        <v>0</v>
      </c>
      <c r="S200" s="9">
        <v>1866.6666666666667</v>
      </c>
      <c r="T200" s="9"/>
      <c r="U200" s="4">
        <f t="shared" si="6"/>
        <v>9999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2500</v>
      </c>
      <c r="AD200" s="4">
        <v>2119</v>
      </c>
      <c r="AE200" s="4">
        <v>2000</v>
      </c>
      <c r="AF200" s="4">
        <v>1601</v>
      </c>
      <c r="AG200" s="4">
        <v>1800</v>
      </c>
      <c r="AH200" s="4">
        <v>1537</v>
      </c>
      <c r="AI200" s="7">
        <f t="shared" si="7"/>
        <v>44621.666666666672</v>
      </c>
      <c r="AJ200" s="7"/>
    </row>
    <row r="201" spans="1:36" x14ac:dyDescent="0.3">
      <c r="A201" s="12" t="s">
        <v>1015</v>
      </c>
      <c r="B201" s="12" t="s">
        <v>863</v>
      </c>
      <c r="C201" s="12" t="s">
        <v>1012</v>
      </c>
      <c r="D201" s="13">
        <v>7302374</v>
      </c>
      <c r="E201" s="12" t="s">
        <v>696</v>
      </c>
      <c r="F201" s="12" t="s">
        <v>3</v>
      </c>
      <c r="G201" s="9">
        <v>50000</v>
      </c>
      <c r="H201" s="9">
        <v>0</v>
      </c>
      <c r="I201" s="9">
        <v>250000</v>
      </c>
      <c r="J201" s="9">
        <v>50000</v>
      </c>
      <c r="K201" s="9">
        <v>265000</v>
      </c>
      <c r="L201" s="9">
        <v>0</v>
      </c>
      <c r="M201" s="9">
        <v>250000</v>
      </c>
      <c r="N201" s="9">
        <v>150000</v>
      </c>
      <c r="O201" s="9">
        <v>230000</v>
      </c>
      <c r="P201" s="9">
        <v>500000</v>
      </c>
      <c r="Q201" s="9">
        <v>230000</v>
      </c>
      <c r="R201" s="9">
        <v>500000</v>
      </c>
      <c r="S201" s="9">
        <v>236666.66666666666</v>
      </c>
      <c r="T201" s="9"/>
      <c r="U201" s="4">
        <f t="shared" si="6"/>
        <v>1200000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220000</v>
      </c>
      <c r="AH201" s="4">
        <v>0</v>
      </c>
      <c r="AI201" s="7">
        <f t="shared" si="7"/>
        <v>4131666.6666666665</v>
      </c>
      <c r="AJ201" s="7"/>
    </row>
    <row r="202" spans="1:36" x14ac:dyDescent="0.3">
      <c r="A202" s="12" t="s">
        <v>1015</v>
      </c>
      <c r="B202" s="12" t="s">
        <v>863</v>
      </c>
      <c r="C202" s="12" t="s">
        <v>1012</v>
      </c>
      <c r="D202" s="13">
        <v>7302375</v>
      </c>
      <c r="E202" s="12" t="s">
        <v>697</v>
      </c>
      <c r="F202" s="12" t="s">
        <v>3</v>
      </c>
      <c r="G202" s="9">
        <v>15000</v>
      </c>
      <c r="H202" s="9">
        <v>50000</v>
      </c>
      <c r="I202" s="9">
        <v>15000</v>
      </c>
      <c r="J202" s="9">
        <v>0</v>
      </c>
      <c r="K202" s="9">
        <v>35000</v>
      </c>
      <c r="L202" s="9">
        <v>50000</v>
      </c>
      <c r="M202" s="9">
        <v>35000</v>
      </c>
      <c r="N202" s="9">
        <v>0</v>
      </c>
      <c r="O202" s="9">
        <v>30000</v>
      </c>
      <c r="P202" s="9">
        <v>50000</v>
      </c>
      <c r="Q202" s="9">
        <v>15000</v>
      </c>
      <c r="R202" s="9">
        <v>0</v>
      </c>
      <c r="S202" s="9">
        <v>26666.666666666668</v>
      </c>
      <c r="T202" s="9"/>
      <c r="U202" s="4">
        <f t="shared" si="6"/>
        <v>150000</v>
      </c>
      <c r="W202" s="4">
        <v>0</v>
      </c>
      <c r="X202" s="4">
        <v>540</v>
      </c>
      <c r="Y202" s="4">
        <v>15000</v>
      </c>
      <c r="Z202" s="4">
        <v>13790</v>
      </c>
      <c r="AA202" s="4">
        <v>25000</v>
      </c>
      <c r="AB202" s="4">
        <v>12300</v>
      </c>
      <c r="AC202" s="4">
        <v>20000</v>
      </c>
      <c r="AD202" s="4">
        <v>17383</v>
      </c>
      <c r="AE202" s="4">
        <v>14000</v>
      </c>
      <c r="AF202" s="4">
        <v>13469</v>
      </c>
      <c r="AG202" s="4">
        <v>15000</v>
      </c>
      <c r="AH202" s="4">
        <v>11647</v>
      </c>
      <c r="AI202" s="7">
        <f t="shared" si="7"/>
        <v>629795.66666666674</v>
      </c>
      <c r="AJ202" s="7"/>
    </row>
    <row r="203" spans="1:36" x14ac:dyDescent="0.3">
      <c r="A203" s="12" t="s">
        <v>1015</v>
      </c>
      <c r="B203" s="12" t="s">
        <v>863</v>
      </c>
      <c r="C203" s="12" t="s">
        <v>1012</v>
      </c>
      <c r="D203" s="13">
        <v>7302378</v>
      </c>
      <c r="E203" s="12" t="s">
        <v>698</v>
      </c>
      <c r="F203" s="12" t="s">
        <v>3</v>
      </c>
      <c r="G203" s="9">
        <v>1600</v>
      </c>
      <c r="H203" s="9">
        <v>23331</v>
      </c>
      <c r="I203" s="9">
        <v>1400</v>
      </c>
      <c r="J203" s="9">
        <v>9999</v>
      </c>
      <c r="K203" s="9">
        <v>12000</v>
      </c>
      <c r="L203" s="9">
        <v>29997</v>
      </c>
      <c r="M203" s="9">
        <v>12000</v>
      </c>
      <c r="N203" s="9">
        <v>16665</v>
      </c>
      <c r="O203" s="9">
        <v>12000</v>
      </c>
      <c r="P203" s="9">
        <v>23331</v>
      </c>
      <c r="Q203" s="9">
        <v>12000</v>
      </c>
      <c r="R203" s="9">
        <v>23331</v>
      </c>
      <c r="S203" s="9">
        <v>12000</v>
      </c>
      <c r="T203" s="9"/>
      <c r="U203" s="4">
        <f t="shared" si="6"/>
        <v>126654</v>
      </c>
      <c r="W203" s="4">
        <v>10000</v>
      </c>
      <c r="X203" s="4">
        <v>11411</v>
      </c>
      <c r="Y203" s="4">
        <v>6000</v>
      </c>
      <c r="Z203" s="4">
        <v>6475</v>
      </c>
      <c r="AA203" s="4">
        <v>9000</v>
      </c>
      <c r="AB203" s="4">
        <v>9529</v>
      </c>
      <c r="AC203" s="4">
        <v>9500</v>
      </c>
      <c r="AD203" s="4">
        <v>9468</v>
      </c>
      <c r="AE203" s="4">
        <v>10000</v>
      </c>
      <c r="AF203" s="4">
        <v>17677</v>
      </c>
      <c r="AG203" s="4">
        <v>20000</v>
      </c>
      <c r="AH203" s="4">
        <v>11763</v>
      </c>
      <c r="AI203" s="7">
        <f t="shared" si="7"/>
        <v>447131</v>
      </c>
      <c r="AJ203" s="7"/>
    </row>
    <row r="204" spans="1:36" x14ac:dyDescent="0.3">
      <c r="A204" s="12" t="s">
        <v>1015</v>
      </c>
      <c r="B204" s="12" t="s">
        <v>863</v>
      </c>
      <c r="C204" s="12" t="s">
        <v>1012</v>
      </c>
      <c r="D204" s="13">
        <v>7302422</v>
      </c>
      <c r="E204" s="12" t="s">
        <v>699</v>
      </c>
      <c r="F204" s="12" t="s">
        <v>3</v>
      </c>
      <c r="G204" s="9">
        <v>150</v>
      </c>
      <c r="H204" s="9">
        <v>0</v>
      </c>
      <c r="I204" s="9">
        <v>0</v>
      </c>
      <c r="J204" s="9">
        <v>0</v>
      </c>
      <c r="K204" s="9">
        <v>0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v>0</v>
      </c>
      <c r="R204" s="9">
        <v>0</v>
      </c>
      <c r="S204" s="9">
        <v>0</v>
      </c>
      <c r="T204" s="9"/>
      <c r="U204" s="4">
        <f t="shared" si="6"/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163</v>
      </c>
      <c r="AE204" s="4">
        <v>500</v>
      </c>
      <c r="AF204" s="4">
        <v>129</v>
      </c>
      <c r="AG204" s="4">
        <v>800</v>
      </c>
      <c r="AH204" s="4">
        <v>171</v>
      </c>
      <c r="AI204" s="7">
        <f t="shared" si="7"/>
        <v>1913</v>
      </c>
      <c r="AJ204" s="7"/>
    </row>
    <row r="205" spans="1:36" x14ac:dyDescent="0.3">
      <c r="A205" s="12" t="s">
        <v>1015</v>
      </c>
      <c r="B205" s="12" t="s">
        <v>863</v>
      </c>
      <c r="C205" s="12" t="s">
        <v>1012</v>
      </c>
      <c r="D205" s="13">
        <v>7302424</v>
      </c>
      <c r="E205" s="12" t="s">
        <v>701</v>
      </c>
      <c r="F205" s="12" t="s">
        <v>3</v>
      </c>
      <c r="G205" s="9">
        <v>7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>
        <v>0</v>
      </c>
      <c r="T205" s="9"/>
      <c r="U205" s="4">
        <f t="shared" si="6"/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8</v>
      </c>
      <c r="AE205" s="4">
        <v>5</v>
      </c>
      <c r="AF205" s="4">
        <v>7</v>
      </c>
      <c r="AG205" s="4">
        <v>6</v>
      </c>
      <c r="AH205" s="4">
        <v>9</v>
      </c>
      <c r="AI205" s="7">
        <f t="shared" si="7"/>
        <v>42</v>
      </c>
      <c r="AJ205" s="7"/>
    </row>
    <row r="206" spans="1:36" x14ac:dyDescent="0.3">
      <c r="A206" s="12" t="s">
        <v>1015</v>
      </c>
      <c r="B206" s="12" t="s">
        <v>863</v>
      </c>
      <c r="C206" s="12" t="s">
        <v>1012</v>
      </c>
      <c r="D206" s="13">
        <v>7302425</v>
      </c>
      <c r="E206" s="12" t="s">
        <v>702</v>
      </c>
      <c r="F206" s="12" t="s">
        <v>3</v>
      </c>
      <c r="G206" s="9">
        <v>52</v>
      </c>
      <c r="H206" s="9">
        <v>0</v>
      </c>
      <c r="I206" s="9">
        <v>52</v>
      </c>
      <c r="J206" s="9">
        <v>0</v>
      </c>
      <c r="K206" s="9">
        <v>52</v>
      </c>
      <c r="L206" s="9">
        <v>0</v>
      </c>
      <c r="M206" s="9">
        <v>52</v>
      </c>
      <c r="N206" s="9">
        <v>0</v>
      </c>
      <c r="O206" s="9">
        <v>52</v>
      </c>
      <c r="P206" s="9">
        <v>0</v>
      </c>
      <c r="Q206" s="9">
        <v>52</v>
      </c>
      <c r="R206" s="9">
        <v>0</v>
      </c>
      <c r="S206" s="9">
        <v>52</v>
      </c>
      <c r="T206" s="9"/>
      <c r="U206" s="4">
        <f t="shared" si="6"/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59</v>
      </c>
      <c r="AE206" s="4">
        <v>40</v>
      </c>
      <c r="AF206" s="4">
        <v>55</v>
      </c>
      <c r="AG206" s="4">
        <v>500</v>
      </c>
      <c r="AH206" s="4">
        <v>57</v>
      </c>
      <c r="AI206" s="7">
        <f t="shared" si="7"/>
        <v>1075</v>
      </c>
      <c r="AJ206" s="7"/>
    </row>
    <row r="207" spans="1:36" x14ac:dyDescent="0.3">
      <c r="A207" s="12" t="s">
        <v>1015</v>
      </c>
      <c r="B207" s="12" t="s">
        <v>863</v>
      </c>
      <c r="C207" s="12" t="s">
        <v>1012</v>
      </c>
      <c r="D207" s="13">
        <v>7302426</v>
      </c>
      <c r="E207" s="12" t="s">
        <v>703</v>
      </c>
      <c r="F207" s="12" t="s">
        <v>3</v>
      </c>
      <c r="G207" s="9">
        <v>36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  <c r="R207" s="9">
        <v>0</v>
      </c>
      <c r="S207" s="9">
        <v>0</v>
      </c>
      <c r="T207" s="9"/>
      <c r="U207" s="4">
        <f t="shared" si="6"/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43</v>
      </c>
      <c r="AE207" s="4">
        <v>40</v>
      </c>
      <c r="AF207" s="4">
        <v>36</v>
      </c>
      <c r="AG207" s="4">
        <v>500</v>
      </c>
      <c r="AH207" s="4">
        <v>34</v>
      </c>
      <c r="AI207" s="7">
        <f t="shared" si="7"/>
        <v>689</v>
      </c>
      <c r="AJ207" s="7"/>
    </row>
    <row r="208" spans="1:36" x14ac:dyDescent="0.3">
      <c r="A208" s="12" t="s">
        <v>1015</v>
      </c>
      <c r="B208" s="12" t="s">
        <v>863</v>
      </c>
      <c r="C208" s="12" t="s">
        <v>1012</v>
      </c>
      <c r="D208" s="13">
        <v>7302428</v>
      </c>
      <c r="E208" s="12" t="s">
        <v>704</v>
      </c>
      <c r="F208" s="12" t="s">
        <v>3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0</v>
      </c>
      <c r="S208" s="9">
        <v>0</v>
      </c>
      <c r="T208" s="9"/>
      <c r="U208" s="4">
        <f t="shared" si="6"/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4</v>
      </c>
      <c r="AE208" s="4">
        <v>2</v>
      </c>
      <c r="AF208" s="4">
        <v>2</v>
      </c>
      <c r="AG208" s="4">
        <v>2</v>
      </c>
      <c r="AH208" s="4">
        <v>3</v>
      </c>
      <c r="AI208" s="7">
        <f t="shared" si="7"/>
        <v>13</v>
      </c>
      <c r="AJ208" s="7"/>
    </row>
    <row r="209" spans="1:36" x14ac:dyDescent="0.3">
      <c r="A209" s="12" t="s">
        <v>1011</v>
      </c>
      <c r="B209" s="12" t="s">
        <v>863</v>
      </c>
      <c r="C209" s="12" t="s">
        <v>1012</v>
      </c>
      <c r="D209" s="13">
        <v>7302441</v>
      </c>
      <c r="E209" s="12" t="s">
        <v>705</v>
      </c>
      <c r="F209" s="12" t="s">
        <v>3</v>
      </c>
      <c r="G209" s="9">
        <v>1</v>
      </c>
      <c r="H209" s="9">
        <v>0</v>
      </c>
      <c r="I209" s="9">
        <v>1</v>
      </c>
      <c r="J209" s="9">
        <v>0</v>
      </c>
      <c r="K209" s="9">
        <v>1</v>
      </c>
      <c r="L209" s="9">
        <v>0</v>
      </c>
      <c r="M209" s="9">
        <v>1</v>
      </c>
      <c r="N209" s="9">
        <v>0</v>
      </c>
      <c r="O209" s="9">
        <v>1</v>
      </c>
      <c r="P209" s="9">
        <v>0</v>
      </c>
      <c r="Q209" s="9">
        <v>1</v>
      </c>
      <c r="R209" s="9">
        <v>0</v>
      </c>
      <c r="S209" s="9">
        <v>1</v>
      </c>
      <c r="T209" s="9"/>
      <c r="U209" s="4">
        <f t="shared" si="6"/>
        <v>0</v>
      </c>
      <c r="W209" s="4">
        <v>5000</v>
      </c>
      <c r="X209" s="4">
        <v>0</v>
      </c>
      <c r="Y209" s="4">
        <v>5000</v>
      </c>
      <c r="Z209" s="4">
        <v>10</v>
      </c>
      <c r="AA209" s="4">
        <v>750</v>
      </c>
      <c r="AB209" s="4">
        <v>2</v>
      </c>
      <c r="AC209" s="4">
        <v>4</v>
      </c>
      <c r="AD209" s="4">
        <v>23</v>
      </c>
      <c r="AE209" s="4">
        <v>12</v>
      </c>
      <c r="AF209" s="4">
        <v>2</v>
      </c>
      <c r="AG209" s="4">
        <v>9</v>
      </c>
      <c r="AH209" s="4">
        <v>0</v>
      </c>
      <c r="AI209" s="7">
        <f t="shared" si="7"/>
        <v>10819</v>
      </c>
      <c r="AJ209" s="7"/>
    </row>
    <row r="210" spans="1:36" x14ac:dyDescent="0.3">
      <c r="A210" s="12" t="s">
        <v>1015</v>
      </c>
      <c r="B210" s="12" t="s">
        <v>863</v>
      </c>
      <c r="C210" s="12" t="s">
        <v>1012</v>
      </c>
      <c r="D210" s="13">
        <v>7302447</v>
      </c>
      <c r="E210" s="12" t="s">
        <v>706</v>
      </c>
      <c r="F210" s="12" t="s">
        <v>3</v>
      </c>
      <c r="G210" s="9">
        <v>500</v>
      </c>
      <c r="H210" s="9">
        <v>0</v>
      </c>
      <c r="I210" s="9">
        <v>1000</v>
      </c>
      <c r="J210" s="9">
        <v>0</v>
      </c>
      <c r="K210" s="9">
        <v>1500</v>
      </c>
      <c r="L210" s="9">
        <v>0</v>
      </c>
      <c r="M210" s="9">
        <v>1000</v>
      </c>
      <c r="N210" s="9">
        <v>0</v>
      </c>
      <c r="O210" s="9">
        <v>1000</v>
      </c>
      <c r="P210" s="9">
        <v>0</v>
      </c>
      <c r="Q210" s="9">
        <v>1000</v>
      </c>
      <c r="R210" s="9">
        <v>0</v>
      </c>
      <c r="S210" s="9">
        <v>1000</v>
      </c>
      <c r="T210" s="9"/>
      <c r="U210" s="4">
        <f t="shared" si="6"/>
        <v>0</v>
      </c>
      <c r="W210" s="4">
        <v>400</v>
      </c>
      <c r="X210" s="4">
        <v>184</v>
      </c>
      <c r="Y210" s="4">
        <v>100</v>
      </c>
      <c r="Z210" s="4">
        <v>201</v>
      </c>
      <c r="AA210" s="4">
        <v>600</v>
      </c>
      <c r="AB210" s="4">
        <v>38</v>
      </c>
      <c r="AC210" s="4">
        <v>1500</v>
      </c>
      <c r="AD210" s="4">
        <v>5135</v>
      </c>
      <c r="AE210" s="4">
        <v>8000</v>
      </c>
      <c r="AF210" s="4">
        <v>1056</v>
      </c>
      <c r="AG210" s="4">
        <v>1500</v>
      </c>
      <c r="AH210" s="4">
        <v>59</v>
      </c>
      <c r="AI210" s="7">
        <f t="shared" si="7"/>
        <v>25773</v>
      </c>
      <c r="AJ210" s="7"/>
    </row>
    <row r="211" spans="1:36" x14ac:dyDescent="0.3">
      <c r="A211" s="12" t="s">
        <v>1011</v>
      </c>
      <c r="B211" s="12" t="s">
        <v>863</v>
      </c>
      <c r="C211" s="12" t="s">
        <v>1012</v>
      </c>
      <c r="D211" s="13">
        <v>7302461</v>
      </c>
      <c r="E211" s="12" t="s">
        <v>707</v>
      </c>
      <c r="F211" s="12" t="s">
        <v>3</v>
      </c>
      <c r="G211" s="9">
        <v>6</v>
      </c>
      <c r="H211" s="9">
        <v>10</v>
      </c>
      <c r="I211" s="9">
        <v>6</v>
      </c>
      <c r="J211" s="9">
        <v>0</v>
      </c>
      <c r="K211" s="9">
        <v>6</v>
      </c>
      <c r="L211" s="9">
        <v>10</v>
      </c>
      <c r="M211" s="9">
        <v>6</v>
      </c>
      <c r="N211" s="9">
        <v>10</v>
      </c>
      <c r="O211" s="9">
        <v>6</v>
      </c>
      <c r="P211" s="9">
        <v>10</v>
      </c>
      <c r="Q211" s="9">
        <v>6</v>
      </c>
      <c r="R211" s="9">
        <v>10</v>
      </c>
      <c r="S211" s="9">
        <v>6</v>
      </c>
      <c r="T211" s="9"/>
      <c r="U211" s="4">
        <f t="shared" si="6"/>
        <v>50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12</v>
      </c>
      <c r="AC211" s="4">
        <v>6</v>
      </c>
      <c r="AD211" s="4">
        <v>6</v>
      </c>
      <c r="AE211" s="4">
        <v>9</v>
      </c>
      <c r="AF211" s="4">
        <v>4</v>
      </c>
      <c r="AG211" s="4">
        <v>7</v>
      </c>
      <c r="AH211" s="4">
        <v>3</v>
      </c>
      <c r="AI211" s="7">
        <f t="shared" si="7"/>
        <v>189</v>
      </c>
      <c r="AJ211" s="7"/>
    </row>
    <row r="212" spans="1:36" x14ac:dyDescent="0.3">
      <c r="A212" s="12" t="s">
        <v>1011</v>
      </c>
      <c r="B212" s="12" t="s">
        <v>863</v>
      </c>
      <c r="C212" s="12" t="s">
        <v>1012</v>
      </c>
      <c r="D212" s="13">
        <v>7302464</v>
      </c>
      <c r="E212" s="12" t="s">
        <v>708</v>
      </c>
      <c r="F212" s="12" t="s">
        <v>3</v>
      </c>
      <c r="G212" s="9">
        <v>2648</v>
      </c>
      <c r="H212" s="9">
        <v>19500</v>
      </c>
      <c r="I212" s="9">
        <v>2648</v>
      </c>
      <c r="J212" s="9">
        <v>15000</v>
      </c>
      <c r="K212" s="9">
        <v>5296</v>
      </c>
      <c r="L212" s="9">
        <v>15000</v>
      </c>
      <c r="M212" s="9">
        <v>7944</v>
      </c>
      <c r="N212" s="9">
        <v>0</v>
      </c>
      <c r="O212" s="9">
        <v>13240</v>
      </c>
      <c r="P212" s="9">
        <v>0</v>
      </c>
      <c r="Q212" s="9">
        <v>13240</v>
      </c>
      <c r="R212" s="9">
        <v>0</v>
      </c>
      <c r="S212" s="9">
        <v>11474.666666666666</v>
      </c>
      <c r="T212" s="9"/>
      <c r="U212" s="4">
        <f t="shared" si="6"/>
        <v>49500</v>
      </c>
      <c r="W212" s="4">
        <v>0</v>
      </c>
      <c r="X212" s="4">
        <v>3</v>
      </c>
      <c r="Y212" s="4">
        <v>1</v>
      </c>
      <c r="Z212" s="4">
        <v>2</v>
      </c>
      <c r="AA212" s="4">
        <v>2</v>
      </c>
      <c r="AB212" s="4">
        <v>118</v>
      </c>
      <c r="AC212" s="4">
        <v>1324.0440565253532</v>
      </c>
      <c r="AD212" s="4">
        <v>501</v>
      </c>
      <c r="AE212" s="4">
        <v>4000</v>
      </c>
      <c r="AF212" s="4">
        <v>2432</v>
      </c>
      <c r="AG212" s="4">
        <v>1017</v>
      </c>
      <c r="AH212" s="4">
        <v>1667</v>
      </c>
      <c r="AI212" s="7">
        <f t="shared" si="7"/>
        <v>166557.71072319205</v>
      </c>
      <c r="AJ212" s="7"/>
    </row>
    <row r="213" spans="1:36" x14ac:dyDescent="0.3">
      <c r="A213" s="12" t="s">
        <v>1025</v>
      </c>
      <c r="B213" s="12" t="s">
        <v>864</v>
      </c>
      <c r="C213" s="12" t="s">
        <v>1012</v>
      </c>
      <c r="D213" s="13">
        <v>7302499</v>
      </c>
      <c r="E213" s="12" t="s">
        <v>719</v>
      </c>
      <c r="F213" s="12" t="s">
        <v>3</v>
      </c>
      <c r="G213" s="9">
        <v>3000</v>
      </c>
      <c r="H213" s="9">
        <v>0</v>
      </c>
      <c r="I213" s="9">
        <v>0</v>
      </c>
      <c r="J213" s="9">
        <v>0</v>
      </c>
      <c r="K213" s="9">
        <v>0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0</v>
      </c>
      <c r="S213" s="9">
        <v>0</v>
      </c>
      <c r="T213" s="9"/>
      <c r="U213" s="4">
        <f t="shared" si="6"/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1000</v>
      </c>
      <c r="AF213" s="4">
        <v>0</v>
      </c>
      <c r="AG213" s="4">
        <v>3000</v>
      </c>
      <c r="AH213" s="4">
        <v>0</v>
      </c>
      <c r="AI213" s="7">
        <f t="shared" si="7"/>
        <v>7000</v>
      </c>
      <c r="AJ213" s="7"/>
    </row>
    <row r="214" spans="1:36" x14ac:dyDescent="0.3">
      <c r="A214" s="12" t="s">
        <v>1015</v>
      </c>
      <c r="B214" s="12" t="s">
        <v>863</v>
      </c>
      <c r="C214" s="12" t="s">
        <v>1012</v>
      </c>
      <c r="D214" s="13">
        <v>7400021</v>
      </c>
      <c r="E214" s="12" t="s">
        <v>717</v>
      </c>
      <c r="F214" s="12" t="s">
        <v>3</v>
      </c>
      <c r="G214" s="9">
        <v>20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0</v>
      </c>
      <c r="S214" s="9">
        <v>0</v>
      </c>
      <c r="T214" s="9"/>
      <c r="U214" s="4">
        <f t="shared" si="6"/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11</v>
      </c>
      <c r="AE214" s="4">
        <v>5</v>
      </c>
      <c r="AF214" s="4">
        <v>13</v>
      </c>
      <c r="AG214" s="4">
        <v>500</v>
      </c>
      <c r="AH214" s="4">
        <v>26</v>
      </c>
      <c r="AI214" s="7">
        <f t="shared" si="7"/>
        <v>575</v>
      </c>
      <c r="AJ214" s="7"/>
    </row>
    <row r="215" spans="1:36" x14ac:dyDescent="0.3">
      <c r="A215" s="12" t="s">
        <v>1015</v>
      </c>
      <c r="B215" s="12" t="s">
        <v>863</v>
      </c>
      <c r="C215" s="12" t="s">
        <v>1012</v>
      </c>
      <c r="D215" s="13">
        <v>7400022</v>
      </c>
      <c r="E215" s="12" t="s">
        <v>716</v>
      </c>
      <c r="F215" s="12" t="s">
        <v>3</v>
      </c>
      <c r="G215" s="9">
        <v>15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0</v>
      </c>
      <c r="S215" s="9">
        <v>0</v>
      </c>
      <c r="T215" s="9"/>
      <c r="U215" s="4">
        <f t="shared" si="6"/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8</v>
      </c>
      <c r="AE215" s="4">
        <v>5</v>
      </c>
      <c r="AF215" s="4">
        <v>7</v>
      </c>
      <c r="AG215" s="4">
        <v>500</v>
      </c>
      <c r="AH215" s="4">
        <v>16</v>
      </c>
      <c r="AI215" s="7">
        <f t="shared" si="7"/>
        <v>551</v>
      </c>
      <c r="AJ215" s="7"/>
    </row>
    <row r="216" spans="1:36" x14ac:dyDescent="0.3">
      <c r="A216" s="12" t="s">
        <v>1015</v>
      </c>
      <c r="B216" s="12" t="s">
        <v>863</v>
      </c>
      <c r="C216" s="12" t="s">
        <v>1012</v>
      </c>
      <c r="D216" s="13">
        <v>7400051</v>
      </c>
      <c r="E216" s="12" t="s">
        <v>711</v>
      </c>
      <c r="F216" s="12" t="s">
        <v>3</v>
      </c>
      <c r="G216" s="9">
        <v>12000</v>
      </c>
      <c r="H216" s="9">
        <v>0</v>
      </c>
      <c r="I216" s="9">
        <v>10000</v>
      </c>
      <c r="J216" s="9">
        <v>0</v>
      </c>
      <c r="K216" s="9">
        <v>12000</v>
      </c>
      <c r="L216" s="9">
        <v>60000</v>
      </c>
      <c r="M216" s="9">
        <v>10000</v>
      </c>
      <c r="N216" s="9">
        <v>0</v>
      </c>
      <c r="O216" s="9">
        <v>10000</v>
      </c>
      <c r="P216" s="9">
        <v>0</v>
      </c>
      <c r="Q216" s="9">
        <v>10000</v>
      </c>
      <c r="R216" s="9">
        <v>60000</v>
      </c>
      <c r="S216" s="9">
        <v>10000</v>
      </c>
      <c r="T216" s="9"/>
      <c r="U216" s="4">
        <f t="shared" si="6"/>
        <v>120000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15355</v>
      </c>
      <c r="AC216" s="4">
        <v>24331</v>
      </c>
      <c r="AD216" s="4">
        <v>19150</v>
      </c>
      <c r="AE216" s="4">
        <v>12000</v>
      </c>
      <c r="AF216" s="4">
        <v>8800</v>
      </c>
      <c r="AG216" s="4">
        <v>8500</v>
      </c>
      <c r="AH216" s="4">
        <v>7900</v>
      </c>
      <c r="AI216" s="7">
        <f t="shared" si="7"/>
        <v>410036</v>
      </c>
      <c r="AJ216" s="7"/>
    </row>
    <row r="217" spans="1:36" x14ac:dyDescent="0.3">
      <c r="A217" s="12" t="s">
        <v>1025</v>
      </c>
      <c r="B217" s="12" t="s">
        <v>863</v>
      </c>
      <c r="C217" s="12" t="s">
        <v>1012</v>
      </c>
      <c r="D217" s="13">
        <v>7400060</v>
      </c>
      <c r="E217" s="12" t="s">
        <v>724</v>
      </c>
      <c r="F217" s="12" t="s">
        <v>3</v>
      </c>
      <c r="G217" s="9">
        <v>1000</v>
      </c>
      <c r="H217" s="9">
        <v>0</v>
      </c>
      <c r="I217" s="9">
        <v>5000</v>
      </c>
      <c r="J217" s="9">
        <v>0</v>
      </c>
      <c r="K217" s="9">
        <v>5500</v>
      </c>
      <c r="L217" s="9">
        <v>0</v>
      </c>
      <c r="M217" s="9">
        <v>6000</v>
      </c>
      <c r="N217" s="9">
        <v>0</v>
      </c>
      <c r="O217" s="9">
        <v>6000</v>
      </c>
      <c r="P217" s="9">
        <v>0</v>
      </c>
      <c r="Q217" s="9">
        <v>5500</v>
      </c>
      <c r="R217" s="9">
        <v>0</v>
      </c>
      <c r="S217" s="9">
        <v>5833.333333333333</v>
      </c>
      <c r="T217" s="9"/>
      <c r="U217" s="4">
        <f t="shared" si="6"/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7">
        <f t="shared" si="7"/>
        <v>34833.333333333336</v>
      </c>
      <c r="AJ217" s="7"/>
    </row>
    <row r="218" spans="1:36" x14ac:dyDescent="0.3">
      <c r="A218" s="12" t="s">
        <v>1025</v>
      </c>
      <c r="B218" s="12" t="s">
        <v>863</v>
      </c>
      <c r="C218" s="12" t="s">
        <v>1012</v>
      </c>
      <c r="D218" s="13">
        <v>7400061</v>
      </c>
      <c r="E218" s="12" t="s">
        <v>725</v>
      </c>
      <c r="F218" s="12" t="s">
        <v>3</v>
      </c>
      <c r="G218" s="9">
        <v>0</v>
      </c>
      <c r="H218" s="9">
        <v>0</v>
      </c>
      <c r="I218" s="9">
        <v>5000</v>
      </c>
      <c r="J218" s="9">
        <v>0</v>
      </c>
      <c r="K218" s="9">
        <v>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9"/>
      <c r="U218" s="4">
        <f t="shared" si="6"/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7">
        <f t="shared" si="7"/>
        <v>5000</v>
      </c>
      <c r="AJ218" s="7"/>
    </row>
    <row r="219" spans="1:36" x14ac:dyDescent="0.3">
      <c r="A219" s="12" t="s">
        <v>1015</v>
      </c>
      <c r="B219" s="12" t="s">
        <v>863</v>
      </c>
      <c r="C219" s="12" t="s">
        <v>1012</v>
      </c>
      <c r="D219" s="13">
        <v>7400082</v>
      </c>
      <c r="E219" s="12" t="s">
        <v>718</v>
      </c>
      <c r="F219" s="12" t="s">
        <v>3</v>
      </c>
      <c r="G219" s="9">
        <v>2000</v>
      </c>
      <c r="H219" s="9">
        <v>0</v>
      </c>
      <c r="I219" s="9">
        <v>1500</v>
      </c>
      <c r="J219" s="9">
        <v>0</v>
      </c>
      <c r="K219" s="9">
        <v>1500</v>
      </c>
      <c r="L219" s="9">
        <v>0</v>
      </c>
      <c r="M219" s="9">
        <v>1500</v>
      </c>
      <c r="N219" s="9">
        <v>0</v>
      </c>
      <c r="O219" s="9">
        <v>1500</v>
      </c>
      <c r="P219" s="9">
        <v>0</v>
      </c>
      <c r="Q219" s="9">
        <v>1500</v>
      </c>
      <c r="R219" s="9">
        <v>0</v>
      </c>
      <c r="S219" s="9">
        <v>1500</v>
      </c>
      <c r="T219" s="9"/>
      <c r="U219" s="4">
        <f t="shared" si="6"/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150</v>
      </c>
      <c r="AH219" s="4">
        <v>3</v>
      </c>
      <c r="AI219" s="7">
        <f t="shared" si="7"/>
        <v>11153</v>
      </c>
      <c r="AJ219" s="7"/>
    </row>
    <row r="220" spans="1:36" x14ac:dyDescent="0.3">
      <c r="A220" s="12" t="s">
        <v>1015</v>
      </c>
      <c r="B220" s="12" t="s">
        <v>863</v>
      </c>
      <c r="C220" s="12" t="s">
        <v>1012</v>
      </c>
      <c r="D220" s="13">
        <v>7400097</v>
      </c>
      <c r="E220" s="12" t="s">
        <v>726</v>
      </c>
      <c r="F220" s="12" t="s">
        <v>3</v>
      </c>
      <c r="G220" s="9">
        <v>4000</v>
      </c>
      <c r="H220" s="9">
        <v>0</v>
      </c>
      <c r="I220" s="9">
        <v>4000</v>
      </c>
      <c r="J220" s="9">
        <v>0</v>
      </c>
      <c r="K220" s="9">
        <v>4000</v>
      </c>
      <c r="L220" s="9">
        <v>0</v>
      </c>
      <c r="M220" s="9">
        <v>4000</v>
      </c>
      <c r="N220" s="9">
        <v>20000</v>
      </c>
      <c r="O220" s="9">
        <v>4000</v>
      </c>
      <c r="P220" s="9">
        <v>0</v>
      </c>
      <c r="Q220" s="9">
        <v>4000</v>
      </c>
      <c r="R220" s="9">
        <v>0</v>
      </c>
      <c r="S220" s="9">
        <v>4000</v>
      </c>
      <c r="T220" s="9"/>
      <c r="U220" s="4">
        <f t="shared" si="6"/>
        <v>20000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3000</v>
      </c>
      <c r="AF220" s="4">
        <v>0</v>
      </c>
      <c r="AG220" s="4">
        <v>3000</v>
      </c>
      <c r="AH220" s="4">
        <v>0</v>
      </c>
      <c r="AI220" s="7">
        <f t="shared" si="7"/>
        <v>74000</v>
      </c>
      <c r="AJ220" s="7"/>
    </row>
    <row r="221" spans="1:36" x14ac:dyDescent="0.3">
      <c r="A221" s="12" t="s">
        <v>1035</v>
      </c>
      <c r="B221" s="12" t="s">
        <v>864</v>
      </c>
      <c r="C221" s="12" t="s">
        <v>867</v>
      </c>
      <c r="D221" s="13">
        <v>9000001</v>
      </c>
      <c r="E221" s="12" t="s">
        <v>328</v>
      </c>
      <c r="F221" s="12" t="s">
        <v>3</v>
      </c>
      <c r="G221" s="9">
        <v>19866</v>
      </c>
      <c r="H221" s="9">
        <v>0</v>
      </c>
      <c r="I221" s="9">
        <v>19866</v>
      </c>
      <c r="J221" s="9">
        <v>80000</v>
      </c>
      <c r="K221" s="9">
        <v>19866</v>
      </c>
      <c r="L221" s="9">
        <v>0</v>
      </c>
      <c r="M221" s="9">
        <v>19866</v>
      </c>
      <c r="N221" s="9">
        <v>0</v>
      </c>
      <c r="O221" s="9">
        <v>19866</v>
      </c>
      <c r="P221" s="9">
        <v>0</v>
      </c>
      <c r="Q221" s="9">
        <v>19866</v>
      </c>
      <c r="R221" s="9">
        <v>0</v>
      </c>
      <c r="S221" s="9">
        <v>19866</v>
      </c>
      <c r="T221" s="9"/>
      <c r="U221" s="4">
        <f t="shared" si="6"/>
        <v>80000</v>
      </c>
      <c r="W221" s="4">
        <v>20000</v>
      </c>
      <c r="X221" s="4">
        <v>15233</v>
      </c>
      <c r="Y221" s="4">
        <v>14835</v>
      </c>
      <c r="Z221" s="4">
        <v>18319</v>
      </c>
      <c r="AA221" s="4">
        <v>14515</v>
      </c>
      <c r="AB221" s="4">
        <v>12722</v>
      </c>
      <c r="AC221" s="4">
        <v>13759</v>
      </c>
      <c r="AD221" s="4">
        <v>30429</v>
      </c>
      <c r="AE221" s="4">
        <v>16507</v>
      </c>
      <c r="AF221" s="4">
        <v>17656</v>
      </c>
      <c r="AG221" s="4">
        <v>17392</v>
      </c>
      <c r="AH221" s="4">
        <v>16940</v>
      </c>
      <c r="AI221" s="7">
        <f t="shared" si="7"/>
        <v>507369</v>
      </c>
      <c r="AJ221" s="7"/>
    </row>
    <row r="222" spans="1:36" x14ac:dyDescent="0.3">
      <c r="A222" s="12" t="s">
        <v>1045</v>
      </c>
      <c r="B222" s="12" t="s">
        <v>863</v>
      </c>
      <c r="C222" s="12" t="s">
        <v>867</v>
      </c>
      <c r="D222" s="13">
        <v>9000005</v>
      </c>
      <c r="E222" s="12" t="s">
        <v>329</v>
      </c>
      <c r="F222" s="12" t="s">
        <v>3</v>
      </c>
      <c r="G222" s="9">
        <v>748</v>
      </c>
      <c r="H222" s="9">
        <v>0</v>
      </c>
      <c r="I222" s="9">
        <v>729</v>
      </c>
      <c r="J222" s="9">
        <v>2940</v>
      </c>
      <c r="K222" s="9">
        <v>710</v>
      </c>
      <c r="L222" s="9">
        <v>0</v>
      </c>
      <c r="M222" s="9">
        <v>691</v>
      </c>
      <c r="N222" s="9">
        <v>0</v>
      </c>
      <c r="O222" s="9">
        <v>672</v>
      </c>
      <c r="P222" s="9">
        <v>0</v>
      </c>
      <c r="Q222" s="9">
        <v>653</v>
      </c>
      <c r="R222" s="9">
        <v>0</v>
      </c>
      <c r="S222" s="9">
        <v>672</v>
      </c>
      <c r="T222" s="9"/>
      <c r="U222" s="4">
        <f t="shared" si="6"/>
        <v>2940</v>
      </c>
      <c r="W222" s="4">
        <v>1000</v>
      </c>
      <c r="X222" s="4">
        <v>849</v>
      </c>
      <c r="Y222" s="4">
        <v>878</v>
      </c>
      <c r="Z222" s="4">
        <v>1096</v>
      </c>
      <c r="AA222" s="4">
        <v>949</v>
      </c>
      <c r="AB222" s="4">
        <v>709</v>
      </c>
      <c r="AC222" s="4">
        <v>845</v>
      </c>
      <c r="AD222" s="4">
        <v>658</v>
      </c>
      <c r="AE222" s="4">
        <v>787</v>
      </c>
      <c r="AF222" s="4">
        <v>717</v>
      </c>
      <c r="AG222" s="4">
        <v>712</v>
      </c>
      <c r="AH222" s="4">
        <v>866</v>
      </c>
      <c r="AI222" s="7">
        <f t="shared" si="7"/>
        <v>20821</v>
      </c>
      <c r="AJ222" s="7"/>
    </row>
    <row r="223" spans="1:36" x14ac:dyDescent="0.3">
      <c r="A223" s="12" t="s">
        <v>1044</v>
      </c>
      <c r="B223" s="12" t="s">
        <v>863</v>
      </c>
      <c r="C223" s="12" t="s">
        <v>5</v>
      </c>
      <c r="D223" s="13">
        <v>9000006</v>
      </c>
      <c r="E223" s="12" t="s">
        <v>330</v>
      </c>
      <c r="F223" s="12" t="s">
        <v>3</v>
      </c>
      <c r="G223" s="9">
        <v>10598</v>
      </c>
      <c r="H223" s="9">
        <v>14112</v>
      </c>
      <c r="I223" s="9">
        <v>10598</v>
      </c>
      <c r="J223" s="9">
        <v>11760</v>
      </c>
      <c r="K223" s="9">
        <v>10598</v>
      </c>
      <c r="L223" s="9">
        <v>11760</v>
      </c>
      <c r="M223" s="9">
        <v>10598</v>
      </c>
      <c r="N223" s="9">
        <v>11760</v>
      </c>
      <c r="O223" s="9">
        <v>10598</v>
      </c>
      <c r="P223" s="9">
        <v>14112</v>
      </c>
      <c r="Q223" s="9">
        <v>10598</v>
      </c>
      <c r="R223" s="9">
        <v>12936</v>
      </c>
      <c r="S223" s="9">
        <v>10598</v>
      </c>
      <c r="T223" s="9"/>
      <c r="U223" s="4">
        <f t="shared" si="6"/>
        <v>76440</v>
      </c>
      <c r="W223" s="4">
        <v>25000</v>
      </c>
      <c r="X223" s="4">
        <v>10400</v>
      </c>
      <c r="Y223" s="4">
        <v>11825</v>
      </c>
      <c r="Z223" s="4">
        <v>12612</v>
      </c>
      <c r="AA223" s="4">
        <v>12603</v>
      </c>
      <c r="AB223" s="4">
        <v>10284</v>
      </c>
      <c r="AC223" s="4">
        <v>11890</v>
      </c>
      <c r="AD223" s="4">
        <v>11640</v>
      </c>
      <c r="AE223" s="4">
        <v>12557</v>
      </c>
      <c r="AF223" s="4">
        <v>11781</v>
      </c>
      <c r="AG223" s="4">
        <v>12880</v>
      </c>
      <c r="AH223" s="4">
        <v>7771</v>
      </c>
      <c r="AI223" s="7">
        <f t="shared" si="7"/>
        <v>378309</v>
      </c>
      <c r="AJ223" s="7"/>
    </row>
    <row r="224" spans="1:36" x14ac:dyDescent="0.3">
      <c r="A224" s="12" t="s">
        <v>1035</v>
      </c>
      <c r="B224" s="12" t="s">
        <v>864</v>
      </c>
      <c r="C224" s="12" t="s">
        <v>867</v>
      </c>
      <c r="D224" s="13">
        <v>9000007</v>
      </c>
      <c r="E224" s="12" t="s">
        <v>331</v>
      </c>
      <c r="F224" s="12" t="s">
        <v>3</v>
      </c>
      <c r="G224" s="9">
        <v>2427</v>
      </c>
      <c r="H224" s="9">
        <v>4000</v>
      </c>
      <c r="I224" s="9">
        <v>2427</v>
      </c>
      <c r="J224" s="9">
        <v>4000</v>
      </c>
      <c r="K224" s="9">
        <v>2427</v>
      </c>
      <c r="L224" s="9">
        <v>6000</v>
      </c>
      <c r="M224" s="9">
        <v>2427</v>
      </c>
      <c r="N224" s="9">
        <v>0</v>
      </c>
      <c r="O224" s="9">
        <v>2427</v>
      </c>
      <c r="P224" s="9">
        <v>0</v>
      </c>
      <c r="Q224" s="9">
        <v>2427</v>
      </c>
      <c r="R224" s="9">
        <v>4000</v>
      </c>
      <c r="S224" s="9">
        <v>2427</v>
      </c>
      <c r="T224" s="9"/>
      <c r="U224" s="4">
        <f t="shared" si="6"/>
        <v>18000</v>
      </c>
      <c r="W224" s="4">
        <v>4000</v>
      </c>
      <c r="X224" s="4">
        <v>2015</v>
      </c>
      <c r="Y224" s="4">
        <v>1997</v>
      </c>
      <c r="Z224" s="4">
        <v>2739</v>
      </c>
      <c r="AA224" s="4">
        <v>2329</v>
      </c>
      <c r="AB224" s="4">
        <v>1901</v>
      </c>
      <c r="AC224" s="4">
        <v>2218</v>
      </c>
      <c r="AD224" s="4">
        <v>2827</v>
      </c>
      <c r="AE224" s="4">
        <v>2489</v>
      </c>
      <c r="AF224" s="4">
        <v>2902</v>
      </c>
      <c r="AG224" s="4">
        <v>2543</v>
      </c>
      <c r="AH224" s="4">
        <v>1802</v>
      </c>
      <c r="AI224" s="7">
        <f t="shared" si="7"/>
        <v>82751</v>
      </c>
      <c r="AJ224" s="7"/>
    </row>
    <row r="225" spans="1:36" x14ac:dyDescent="0.3">
      <c r="A225" s="12" t="s">
        <v>1043</v>
      </c>
      <c r="B225" s="12" t="str">
        <f>INDEX([1]오송!$C:$C,MATCH(D225,[1]오송!$D:$D,0))</f>
        <v>오송</v>
      </c>
      <c r="C225" s="12" t="s">
        <v>5</v>
      </c>
      <c r="D225" s="13">
        <v>9000008</v>
      </c>
      <c r="E225" s="12" t="s">
        <v>202</v>
      </c>
      <c r="F225" s="12" t="s">
        <v>3</v>
      </c>
      <c r="G225" s="9">
        <v>4500</v>
      </c>
      <c r="H225" s="9">
        <v>17736</v>
      </c>
      <c r="I225" s="9">
        <v>4500</v>
      </c>
      <c r="J225" s="9">
        <v>0</v>
      </c>
      <c r="K225" s="9">
        <v>4400</v>
      </c>
      <c r="L225" s="9">
        <v>0</v>
      </c>
      <c r="M225" s="9">
        <v>4400</v>
      </c>
      <c r="N225" s="9">
        <v>0</v>
      </c>
      <c r="O225" s="9">
        <v>4300</v>
      </c>
      <c r="P225" s="9">
        <v>0</v>
      </c>
      <c r="Q225" s="9">
        <v>4300</v>
      </c>
      <c r="R225" s="9">
        <v>3763.2</v>
      </c>
      <c r="S225" s="9">
        <v>4333.333333333333</v>
      </c>
      <c r="T225" s="9"/>
      <c r="U225" s="4">
        <f t="shared" ref="U225:U285" si="8">SUM(T225,R225,P225,N225,L225,J225,H225)</f>
        <v>21499.200000000001</v>
      </c>
      <c r="W225" s="4">
        <v>5179</v>
      </c>
      <c r="X225" s="4">
        <v>4312</v>
      </c>
      <c r="Y225" s="4">
        <v>4720</v>
      </c>
      <c r="Z225" s="4">
        <v>4598</v>
      </c>
      <c r="AA225" s="4">
        <v>4651</v>
      </c>
      <c r="AB225" s="4">
        <v>4363</v>
      </c>
      <c r="AC225" s="4">
        <v>4347</v>
      </c>
      <c r="AD225" s="4">
        <v>5168</v>
      </c>
      <c r="AE225" s="4">
        <v>4442</v>
      </c>
      <c r="AF225" s="4">
        <v>4570</v>
      </c>
      <c r="AG225" s="4">
        <v>4500</v>
      </c>
      <c r="AH225" s="4">
        <v>4789</v>
      </c>
      <c r="AI225" s="7">
        <f t="shared" si="7"/>
        <v>129370.73333333334</v>
      </c>
      <c r="AJ225" s="7"/>
    </row>
    <row r="226" spans="1:36" x14ac:dyDescent="0.3">
      <c r="A226" s="12" t="s">
        <v>1046</v>
      </c>
      <c r="B226" s="12" t="s">
        <v>863</v>
      </c>
      <c r="C226" s="12" t="s">
        <v>5</v>
      </c>
      <c r="D226" s="13">
        <v>9000009</v>
      </c>
      <c r="E226" s="12" t="s">
        <v>332</v>
      </c>
      <c r="F226" s="12" t="s">
        <v>3</v>
      </c>
      <c r="G226" s="9">
        <v>3000</v>
      </c>
      <c r="H226" s="9">
        <v>0</v>
      </c>
      <c r="I226" s="9">
        <v>3200</v>
      </c>
      <c r="J226" s="9">
        <v>0</v>
      </c>
      <c r="K226" s="9">
        <v>2500</v>
      </c>
      <c r="L226" s="9">
        <v>0</v>
      </c>
      <c r="M226" s="9">
        <v>2500</v>
      </c>
      <c r="N226" s="9">
        <v>0</v>
      </c>
      <c r="O226" s="9">
        <v>2700</v>
      </c>
      <c r="P226" s="9">
        <v>0</v>
      </c>
      <c r="Q226" s="9">
        <v>3000</v>
      </c>
      <c r="R226" s="9">
        <v>0</v>
      </c>
      <c r="S226" s="9">
        <v>2733.3333333333335</v>
      </c>
      <c r="T226" s="9"/>
      <c r="U226" s="4">
        <f t="shared" si="8"/>
        <v>0</v>
      </c>
      <c r="W226" s="4">
        <v>2800</v>
      </c>
      <c r="X226" s="4">
        <v>2618</v>
      </c>
      <c r="Y226" s="4">
        <v>3000</v>
      </c>
      <c r="Z226" s="4">
        <v>2874</v>
      </c>
      <c r="AA226" s="4">
        <v>3000</v>
      </c>
      <c r="AB226" s="4">
        <v>2870</v>
      </c>
      <c r="AC226" s="4">
        <v>3000</v>
      </c>
      <c r="AD226" s="4">
        <v>2772</v>
      </c>
      <c r="AE226" s="4">
        <v>3200</v>
      </c>
      <c r="AF226" s="4">
        <v>2725</v>
      </c>
      <c r="AG226" s="4">
        <v>2800</v>
      </c>
      <c r="AH226" s="4">
        <v>5090</v>
      </c>
      <c r="AI226" s="7">
        <f t="shared" si="7"/>
        <v>56382.333333333328</v>
      </c>
      <c r="AJ226" s="7"/>
    </row>
    <row r="227" spans="1:36" x14ac:dyDescent="0.3">
      <c r="A227" s="12" t="s">
        <v>1044</v>
      </c>
      <c r="B227" s="12" t="s">
        <v>863</v>
      </c>
      <c r="C227" s="12" t="s">
        <v>5</v>
      </c>
      <c r="D227" s="13">
        <v>9000010</v>
      </c>
      <c r="E227" s="12" t="s">
        <v>333</v>
      </c>
      <c r="F227" s="12" t="s">
        <v>3</v>
      </c>
      <c r="G227" s="9">
        <v>3557</v>
      </c>
      <c r="H227" s="9">
        <v>0</v>
      </c>
      <c r="I227" s="9">
        <v>3535</v>
      </c>
      <c r="J227" s="9">
        <v>14112</v>
      </c>
      <c r="K227" s="9">
        <v>3514</v>
      </c>
      <c r="L227" s="9">
        <v>0</v>
      </c>
      <c r="M227" s="9">
        <v>3492</v>
      </c>
      <c r="N227" s="9">
        <v>0</v>
      </c>
      <c r="O227" s="9">
        <v>3471</v>
      </c>
      <c r="P227" s="9">
        <v>9408</v>
      </c>
      <c r="Q227" s="9">
        <v>3450</v>
      </c>
      <c r="R227" s="9">
        <v>0</v>
      </c>
      <c r="S227" s="9">
        <v>3471</v>
      </c>
      <c r="T227" s="9"/>
      <c r="U227" s="4">
        <f t="shared" si="8"/>
        <v>23520</v>
      </c>
      <c r="W227" s="4">
        <v>3716</v>
      </c>
      <c r="X227" s="4">
        <v>4162</v>
      </c>
      <c r="Y227" s="4">
        <v>3980</v>
      </c>
      <c r="Z227" s="4">
        <v>4430</v>
      </c>
      <c r="AA227" s="4">
        <v>4307</v>
      </c>
      <c r="AB227" s="4">
        <v>3040</v>
      </c>
      <c r="AC227" s="4">
        <v>4007</v>
      </c>
      <c r="AD227" s="4">
        <v>3648</v>
      </c>
      <c r="AE227" s="4">
        <v>3867</v>
      </c>
      <c r="AF227" s="4">
        <v>3284</v>
      </c>
      <c r="AG227" s="4">
        <v>3632</v>
      </c>
      <c r="AH227" s="4">
        <v>3721</v>
      </c>
      <c r="AI227" s="7">
        <f t="shared" si="7"/>
        <v>117324</v>
      </c>
      <c r="AJ227" s="7"/>
    </row>
    <row r="228" spans="1:36" x14ac:dyDescent="0.3">
      <c r="A228" s="12" t="s">
        <v>1044</v>
      </c>
      <c r="B228" s="12" t="s">
        <v>863</v>
      </c>
      <c r="C228" s="12" t="s">
        <v>5</v>
      </c>
      <c r="D228" s="13">
        <v>9000027</v>
      </c>
      <c r="E228" s="12" t="s">
        <v>334</v>
      </c>
      <c r="F228" s="12" t="s">
        <v>3</v>
      </c>
      <c r="G228" s="9">
        <v>529</v>
      </c>
      <c r="H228" s="9">
        <v>0</v>
      </c>
      <c r="I228" s="9">
        <v>525</v>
      </c>
      <c r="J228" s="9">
        <v>0</v>
      </c>
      <c r="K228" s="9">
        <v>521</v>
      </c>
      <c r="L228" s="9">
        <v>0</v>
      </c>
      <c r="M228" s="9">
        <v>517</v>
      </c>
      <c r="N228" s="9">
        <v>2744</v>
      </c>
      <c r="O228" s="9">
        <v>513</v>
      </c>
      <c r="P228" s="9">
        <v>0</v>
      </c>
      <c r="Q228" s="9">
        <v>509</v>
      </c>
      <c r="R228" s="9">
        <v>0</v>
      </c>
      <c r="S228" s="9">
        <v>513</v>
      </c>
      <c r="T228" s="9"/>
      <c r="U228" s="4">
        <f t="shared" si="8"/>
        <v>2744</v>
      </c>
      <c r="W228" s="4">
        <v>620</v>
      </c>
      <c r="X228" s="4">
        <v>403</v>
      </c>
      <c r="Y228" s="4">
        <v>614</v>
      </c>
      <c r="Z228" s="4">
        <v>581</v>
      </c>
      <c r="AA228" s="4">
        <v>599</v>
      </c>
      <c r="AB228" s="4">
        <v>451</v>
      </c>
      <c r="AC228" s="4">
        <v>538</v>
      </c>
      <c r="AD228" s="4">
        <v>654</v>
      </c>
      <c r="AE228" s="4">
        <v>571</v>
      </c>
      <c r="AF228" s="4">
        <v>546</v>
      </c>
      <c r="AG228" s="4">
        <v>552</v>
      </c>
      <c r="AH228" s="4">
        <v>509</v>
      </c>
      <c r="AI228" s="7">
        <f t="shared" si="7"/>
        <v>15753</v>
      </c>
      <c r="AJ228" s="7"/>
    </row>
    <row r="229" spans="1:36" x14ac:dyDescent="0.3">
      <c r="A229" s="12" t="s">
        <v>866</v>
      </c>
      <c r="B229" s="12" t="s">
        <v>864</v>
      </c>
      <c r="C229" s="12" t="s">
        <v>867</v>
      </c>
      <c r="D229" s="13">
        <v>9000029</v>
      </c>
      <c r="E229" s="12" t="s">
        <v>335</v>
      </c>
      <c r="F229" s="12" t="s">
        <v>3</v>
      </c>
      <c r="G229" s="9">
        <v>202</v>
      </c>
      <c r="H229" s="9">
        <v>1450</v>
      </c>
      <c r="I229" s="9">
        <v>201</v>
      </c>
      <c r="J229" s="9" t="s">
        <v>861</v>
      </c>
      <c r="K229" s="9">
        <v>200</v>
      </c>
      <c r="L229" s="9" t="s">
        <v>861</v>
      </c>
      <c r="M229" s="9">
        <v>199</v>
      </c>
      <c r="N229" s="9">
        <v>0</v>
      </c>
      <c r="O229" s="9">
        <v>198</v>
      </c>
      <c r="P229" s="9">
        <v>0</v>
      </c>
      <c r="Q229" s="9">
        <v>198</v>
      </c>
      <c r="R229" s="9">
        <v>0</v>
      </c>
      <c r="S229" s="9">
        <v>198.33333333333334</v>
      </c>
      <c r="T229" s="9"/>
      <c r="U229" s="4">
        <f t="shared" si="8"/>
        <v>1450</v>
      </c>
      <c r="W229" s="4">
        <v>203</v>
      </c>
      <c r="X229" s="4">
        <v>222</v>
      </c>
      <c r="Y229" s="4">
        <v>206</v>
      </c>
      <c r="Z229" s="4">
        <v>195</v>
      </c>
      <c r="AA229" s="4">
        <v>201</v>
      </c>
      <c r="AB229" s="4">
        <v>197</v>
      </c>
      <c r="AC229" s="4">
        <v>201</v>
      </c>
      <c r="AD229" s="4">
        <v>215</v>
      </c>
      <c r="AE229" s="4">
        <v>212</v>
      </c>
      <c r="AF229" s="4">
        <v>182</v>
      </c>
      <c r="AG229" s="4">
        <v>201</v>
      </c>
      <c r="AH229" s="4">
        <v>220</v>
      </c>
      <c r="AI229" s="7">
        <f t="shared" si="7"/>
        <v>6751.3333333333339</v>
      </c>
      <c r="AJ229" s="7"/>
    </row>
    <row r="230" spans="1:36" x14ac:dyDescent="0.3">
      <c r="A230" s="12" t="s">
        <v>1044</v>
      </c>
      <c r="B230" s="12" t="s">
        <v>863</v>
      </c>
      <c r="C230" s="12" t="s">
        <v>5</v>
      </c>
      <c r="D230" s="13">
        <v>9000030</v>
      </c>
      <c r="E230" s="12" t="s">
        <v>336</v>
      </c>
      <c r="F230" s="12" t="s">
        <v>3</v>
      </c>
      <c r="G230" s="9">
        <v>15817</v>
      </c>
      <c r="H230" s="9">
        <v>0</v>
      </c>
      <c r="I230" s="9">
        <v>15817</v>
      </c>
      <c r="J230" s="9">
        <v>62720</v>
      </c>
      <c r="K230" s="9">
        <v>15817</v>
      </c>
      <c r="L230" s="9">
        <v>0</v>
      </c>
      <c r="M230" s="9">
        <v>15817</v>
      </c>
      <c r="N230" s="9">
        <v>0</v>
      </c>
      <c r="O230" s="9">
        <v>15817</v>
      </c>
      <c r="P230" s="9">
        <v>0</v>
      </c>
      <c r="Q230" s="9">
        <v>15817</v>
      </c>
      <c r="R230" s="9">
        <v>0</v>
      </c>
      <c r="S230" s="9">
        <v>15817</v>
      </c>
      <c r="T230" s="9"/>
      <c r="U230" s="4">
        <f t="shared" si="8"/>
        <v>62720</v>
      </c>
      <c r="W230" s="4">
        <v>25000</v>
      </c>
      <c r="X230" s="4">
        <v>10191</v>
      </c>
      <c r="Y230" s="4">
        <v>18666</v>
      </c>
      <c r="Z230" s="4">
        <v>15959</v>
      </c>
      <c r="AA230" s="4">
        <v>19787</v>
      </c>
      <c r="AB230" s="4">
        <v>13946</v>
      </c>
      <c r="AC230" s="4">
        <v>18903</v>
      </c>
      <c r="AD230" s="4">
        <v>23608</v>
      </c>
      <c r="AE230" s="4">
        <v>19767</v>
      </c>
      <c r="AF230" s="4">
        <v>13592</v>
      </c>
      <c r="AG230" s="4">
        <v>15740</v>
      </c>
      <c r="AH230" s="4">
        <v>13845</v>
      </c>
      <c r="AI230" s="7">
        <f t="shared" si="7"/>
        <v>445163</v>
      </c>
      <c r="AJ230" s="7"/>
    </row>
    <row r="231" spans="1:36" x14ac:dyDescent="0.3">
      <c r="A231" s="12" t="s">
        <v>1044</v>
      </c>
      <c r="B231" s="12" t="s">
        <v>863</v>
      </c>
      <c r="C231" s="12" t="s">
        <v>5</v>
      </c>
      <c r="D231" s="13">
        <v>9000035</v>
      </c>
      <c r="E231" s="12" t="s">
        <v>337</v>
      </c>
      <c r="F231" s="12" t="s">
        <v>3</v>
      </c>
      <c r="G231" s="9">
        <v>15000</v>
      </c>
      <c r="H231" s="9">
        <v>0</v>
      </c>
      <c r="I231" s="9">
        <v>12000</v>
      </c>
      <c r="J231" s="9">
        <v>0</v>
      </c>
      <c r="K231" s="9">
        <v>7500</v>
      </c>
      <c r="L231" s="9">
        <v>0</v>
      </c>
      <c r="M231" s="9">
        <v>8000</v>
      </c>
      <c r="N231" s="9">
        <v>0</v>
      </c>
      <c r="O231" s="9">
        <v>7600</v>
      </c>
      <c r="P231" s="9">
        <v>0</v>
      </c>
      <c r="Q231" s="9">
        <v>7800</v>
      </c>
      <c r="R231" s="9">
        <v>0</v>
      </c>
      <c r="S231" s="9">
        <v>7800</v>
      </c>
      <c r="T231" s="9"/>
      <c r="U231" s="4">
        <f t="shared" si="8"/>
        <v>0</v>
      </c>
      <c r="W231" s="4">
        <v>7500</v>
      </c>
      <c r="X231" s="4">
        <v>7658</v>
      </c>
      <c r="Y231" s="4">
        <v>9000</v>
      </c>
      <c r="Z231" s="4">
        <v>9883</v>
      </c>
      <c r="AA231" s="4">
        <v>8000</v>
      </c>
      <c r="AB231" s="4">
        <v>7885</v>
      </c>
      <c r="AC231" s="4">
        <v>8000</v>
      </c>
      <c r="AD231" s="4">
        <v>8730</v>
      </c>
      <c r="AE231" s="4">
        <v>10000</v>
      </c>
      <c r="AF231" s="4">
        <v>8800</v>
      </c>
      <c r="AG231" s="4">
        <v>15000</v>
      </c>
      <c r="AH231" s="4">
        <v>17056</v>
      </c>
      <c r="AI231" s="7">
        <f t="shared" si="7"/>
        <v>183212</v>
      </c>
      <c r="AJ231" s="7"/>
    </row>
    <row r="232" spans="1:36" x14ac:dyDescent="0.3">
      <c r="A232" s="12" t="s">
        <v>1044</v>
      </c>
      <c r="B232" s="12" t="s">
        <v>863</v>
      </c>
      <c r="C232" s="12" t="s">
        <v>5</v>
      </c>
      <c r="D232" s="13">
        <v>9000041</v>
      </c>
      <c r="E232" s="12" t="s">
        <v>338</v>
      </c>
      <c r="F232" s="12" t="s">
        <v>3</v>
      </c>
      <c r="G232" s="9">
        <v>13445</v>
      </c>
      <c r="H232" s="9">
        <v>0</v>
      </c>
      <c r="I232" s="9">
        <v>13422</v>
      </c>
      <c r="J232" s="9">
        <v>78400</v>
      </c>
      <c r="K232" s="9">
        <v>13398</v>
      </c>
      <c r="L232" s="9">
        <v>0</v>
      </c>
      <c r="M232" s="9">
        <v>13374</v>
      </c>
      <c r="N232" s="9">
        <v>0</v>
      </c>
      <c r="O232" s="9">
        <v>13351</v>
      </c>
      <c r="P232" s="9">
        <v>0</v>
      </c>
      <c r="Q232" s="9">
        <v>13327</v>
      </c>
      <c r="R232" s="9">
        <v>0</v>
      </c>
      <c r="S232" s="9">
        <v>13350.666666666666</v>
      </c>
      <c r="T232" s="9"/>
      <c r="U232" s="4">
        <f t="shared" si="8"/>
        <v>78400</v>
      </c>
      <c r="W232" s="4">
        <v>12374</v>
      </c>
      <c r="X232" s="4">
        <v>16741</v>
      </c>
      <c r="Y232" s="4">
        <v>14613</v>
      </c>
      <c r="Z232" s="4">
        <v>16798</v>
      </c>
      <c r="AA232" s="4">
        <v>16744</v>
      </c>
      <c r="AB232" s="4">
        <v>10325</v>
      </c>
      <c r="AC232" s="4">
        <v>14717</v>
      </c>
      <c r="AD232" s="4">
        <v>12108</v>
      </c>
      <c r="AE232" s="4">
        <v>13640</v>
      </c>
      <c r="AF232" s="4">
        <v>14696</v>
      </c>
      <c r="AG232" s="4">
        <v>13553</v>
      </c>
      <c r="AH232" s="4">
        <v>13101</v>
      </c>
      <c r="AI232" s="7">
        <f t="shared" si="7"/>
        <v>419877.66666666663</v>
      </c>
      <c r="AJ232" s="7"/>
    </row>
    <row r="233" spans="1:36" x14ac:dyDescent="0.3">
      <c r="A233" s="12" t="s">
        <v>1042</v>
      </c>
      <c r="B233" s="12" t="str">
        <f>INDEX([1]오송!$C:$C,MATCH(D233,[1]오송!$D:$D,0))</f>
        <v>오송</v>
      </c>
      <c r="C233" s="12" t="s">
        <v>5</v>
      </c>
      <c r="D233" s="13">
        <v>9000044</v>
      </c>
      <c r="E233" s="12" t="s">
        <v>203</v>
      </c>
      <c r="F233" s="12" t="s">
        <v>3</v>
      </c>
      <c r="G233" s="9">
        <v>11743</v>
      </c>
      <c r="H233" s="9">
        <v>16093</v>
      </c>
      <c r="I233" s="9">
        <v>11646</v>
      </c>
      <c r="J233" s="9">
        <v>17150</v>
      </c>
      <c r="K233" s="9">
        <v>11549</v>
      </c>
      <c r="L233" s="9">
        <v>17150</v>
      </c>
      <c r="M233" s="9">
        <v>11452</v>
      </c>
      <c r="N233" s="9">
        <v>10290</v>
      </c>
      <c r="O233" s="9">
        <v>11355</v>
      </c>
      <c r="P233" s="9">
        <v>17150</v>
      </c>
      <c r="Q233" s="9">
        <v>11258</v>
      </c>
      <c r="R233" s="9">
        <v>6860</v>
      </c>
      <c r="S233" s="9">
        <v>11355</v>
      </c>
      <c r="T233" s="9"/>
      <c r="U233" s="4">
        <f t="shared" si="8"/>
        <v>84693</v>
      </c>
      <c r="W233" s="4">
        <v>12279</v>
      </c>
      <c r="X233" s="4">
        <v>12394</v>
      </c>
      <c r="Y233" s="4">
        <v>11893</v>
      </c>
      <c r="Z233" s="4">
        <v>13920</v>
      </c>
      <c r="AA233" s="4">
        <v>12627</v>
      </c>
      <c r="AB233" s="4">
        <v>9907</v>
      </c>
      <c r="AC233" s="4">
        <v>12190</v>
      </c>
      <c r="AD233" s="4">
        <v>13249</v>
      </c>
      <c r="AE233" s="4">
        <v>12338</v>
      </c>
      <c r="AF233" s="4">
        <v>12995</v>
      </c>
      <c r="AG233" s="4">
        <v>12437</v>
      </c>
      <c r="AH233" s="4">
        <v>10298</v>
      </c>
      <c r="AI233" s="7">
        <f t="shared" si="7"/>
        <v>396271</v>
      </c>
      <c r="AJ233" s="7"/>
    </row>
    <row r="234" spans="1:36" x14ac:dyDescent="0.3">
      <c r="A234" s="12" t="s">
        <v>1042</v>
      </c>
      <c r="B234" s="12" t="str">
        <f>INDEX([1]오송!$C:$C,MATCH(D234,[1]오송!$D:$D,0))</f>
        <v>오송</v>
      </c>
      <c r="C234" s="12" t="s">
        <v>5</v>
      </c>
      <c r="D234" s="13">
        <v>9000045</v>
      </c>
      <c r="E234" s="12" t="s">
        <v>204</v>
      </c>
      <c r="F234" s="12" t="s">
        <v>3</v>
      </c>
      <c r="G234" s="9">
        <v>23630</v>
      </c>
      <c r="H234" s="9">
        <v>26942</v>
      </c>
      <c r="I234" s="9">
        <v>23488</v>
      </c>
      <c r="J234" s="9">
        <v>10290</v>
      </c>
      <c r="K234" s="9">
        <v>23346</v>
      </c>
      <c r="L234" s="9">
        <v>24010</v>
      </c>
      <c r="M234" s="9">
        <v>23204</v>
      </c>
      <c r="N234" s="9">
        <v>32242</v>
      </c>
      <c r="O234" s="9">
        <v>23063</v>
      </c>
      <c r="P234" s="9">
        <v>27440</v>
      </c>
      <c r="Q234" s="9">
        <v>22921</v>
      </c>
      <c r="R234" s="9">
        <v>24010</v>
      </c>
      <c r="S234" s="9">
        <v>23062.666666666668</v>
      </c>
      <c r="T234" s="9"/>
      <c r="U234" s="4">
        <f t="shared" si="8"/>
        <v>144934</v>
      </c>
      <c r="W234" s="4">
        <v>24895</v>
      </c>
      <c r="X234" s="4">
        <v>24416</v>
      </c>
      <c r="Y234" s="4">
        <v>24278</v>
      </c>
      <c r="Z234" s="4">
        <v>26300</v>
      </c>
      <c r="AA234" s="4">
        <v>24799</v>
      </c>
      <c r="AB234" s="4">
        <v>22064</v>
      </c>
      <c r="AC234" s="4">
        <v>24103</v>
      </c>
      <c r="AD234" s="4">
        <v>24929</v>
      </c>
      <c r="AE234" s="4">
        <v>24206</v>
      </c>
      <c r="AF234" s="4">
        <v>25771</v>
      </c>
      <c r="AG234" s="4">
        <v>24607</v>
      </c>
      <c r="AH234" s="4">
        <v>21955</v>
      </c>
      <c r="AI234" s="7">
        <f t="shared" si="7"/>
        <v>744905.66666666674</v>
      </c>
      <c r="AJ234" s="7"/>
    </row>
    <row r="235" spans="1:36" x14ac:dyDescent="0.3">
      <c r="A235" s="12" t="s">
        <v>1044</v>
      </c>
      <c r="B235" s="12" t="s">
        <v>863</v>
      </c>
      <c r="C235" s="12" t="s">
        <v>5</v>
      </c>
      <c r="D235" s="13">
        <v>9000050</v>
      </c>
      <c r="E235" s="12" t="s">
        <v>339</v>
      </c>
      <c r="F235" s="12" t="s">
        <v>3</v>
      </c>
      <c r="G235" s="9">
        <v>22219</v>
      </c>
      <c r="H235" s="9">
        <v>29400</v>
      </c>
      <c r="I235" s="9">
        <v>21868</v>
      </c>
      <c r="J235" s="9">
        <v>23520</v>
      </c>
      <c r="K235" s="9">
        <v>21518</v>
      </c>
      <c r="L235" s="9">
        <v>23520</v>
      </c>
      <c r="M235" s="9">
        <v>21168</v>
      </c>
      <c r="N235" s="9">
        <v>29400</v>
      </c>
      <c r="O235" s="9">
        <v>20817</v>
      </c>
      <c r="P235" s="9">
        <v>29400</v>
      </c>
      <c r="Q235" s="9">
        <v>20467</v>
      </c>
      <c r="R235" s="9">
        <v>29400</v>
      </c>
      <c r="S235" s="9">
        <v>20817.333333333332</v>
      </c>
      <c r="T235" s="9"/>
      <c r="U235" s="4">
        <f t="shared" si="8"/>
        <v>164640</v>
      </c>
      <c r="W235" s="4">
        <v>25593</v>
      </c>
      <c r="X235" s="4">
        <v>23373</v>
      </c>
      <c r="Y235" s="4">
        <v>23799</v>
      </c>
      <c r="Z235" s="4">
        <v>24029</v>
      </c>
      <c r="AA235" s="4">
        <v>22858</v>
      </c>
      <c r="AB235" s="4">
        <v>19358</v>
      </c>
      <c r="AC235" s="4">
        <v>21197</v>
      </c>
      <c r="AD235" s="4">
        <v>24220</v>
      </c>
      <c r="AE235" s="4">
        <v>21470</v>
      </c>
      <c r="AF235" s="4">
        <v>24813</v>
      </c>
      <c r="AG235" s="4">
        <v>21720</v>
      </c>
      <c r="AH235" s="4">
        <v>23424</v>
      </c>
      <c r="AI235" s="7">
        <f t="shared" si="7"/>
        <v>754008.33333333326</v>
      </c>
      <c r="AJ235" s="7"/>
    </row>
    <row r="236" spans="1:36" x14ac:dyDescent="0.3">
      <c r="A236" s="12" t="s">
        <v>1042</v>
      </c>
      <c r="B236" s="12" t="str">
        <f>INDEX([1]오송!$C:$C,MATCH(D236,[1]오송!$D:$D,0))</f>
        <v>오송</v>
      </c>
      <c r="C236" s="12" t="s">
        <v>5</v>
      </c>
      <c r="D236" s="13">
        <v>9000057</v>
      </c>
      <c r="E236" s="12" t="s">
        <v>205</v>
      </c>
      <c r="F236" s="12" t="s">
        <v>3</v>
      </c>
      <c r="G236" s="9">
        <v>26945</v>
      </c>
      <c r="H236" s="9">
        <v>31850</v>
      </c>
      <c r="I236" s="9">
        <v>26815</v>
      </c>
      <c r="J236" s="9">
        <v>31850</v>
      </c>
      <c r="K236" s="9">
        <v>26686</v>
      </c>
      <c r="L236" s="9">
        <v>25480</v>
      </c>
      <c r="M236" s="9">
        <v>26556</v>
      </c>
      <c r="N236" s="9">
        <v>12740</v>
      </c>
      <c r="O236" s="9">
        <v>26426</v>
      </c>
      <c r="P236" s="9">
        <v>34398</v>
      </c>
      <c r="Q236" s="9">
        <v>26297</v>
      </c>
      <c r="R236" s="9">
        <v>31850</v>
      </c>
      <c r="S236" s="9">
        <v>26426.333333333332</v>
      </c>
      <c r="T236" s="9"/>
      <c r="U236" s="4">
        <f t="shared" si="8"/>
        <v>168168</v>
      </c>
      <c r="W236" s="4">
        <v>29564</v>
      </c>
      <c r="X236" s="4">
        <v>27502</v>
      </c>
      <c r="Y236" s="4">
        <v>28202</v>
      </c>
      <c r="Z236" s="4">
        <v>30113</v>
      </c>
      <c r="AA236" s="4">
        <v>28940</v>
      </c>
      <c r="AB236" s="4">
        <v>22156</v>
      </c>
      <c r="AC236" s="4">
        <v>26425</v>
      </c>
      <c r="AD236" s="4">
        <v>33100</v>
      </c>
      <c r="AE236" s="4">
        <v>28382</v>
      </c>
      <c r="AF236" s="4">
        <v>27354</v>
      </c>
      <c r="AG236" s="4">
        <v>28372</v>
      </c>
      <c r="AH236" s="4">
        <v>24558</v>
      </c>
      <c r="AI236" s="7">
        <f t="shared" si="7"/>
        <v>857155.33333333326</v>
      </c>
      <c r="AJ236" s="7"/>
    </row>
    <row r="237" spans="1:36" x14ac:dyDescent="0.3">
      <c r="A237" s="12" t="s">
        <v>1042</v>
      </c>
      <c r="B237" s="12" t="str">
        <f>INDEX([1]오송!$C:$C,MATCH(D237,[1]오송!$D:$D,0))</f>
        <v>오송</v>
      </c>
      <c r="C237" s="12" t="s">
        <v>5</v>
      </c>
      <c r="D237" s="13">
        <v>9000058</v>
      </c>
      <c r="E237" s="12" t="s">
        <v>206</v>
      </c>
      <c r="F237" s="12" t="s">
        <v>3</v>
      </c>
      <c r="G237" s="9">
        <v>36380</v>
      </c>
      <c r="H237" s="9">
        <v>52920</v>
      </c>
      <c r="I237" s="9">
        <v>36257</v>
      </c>
      <c r="J237" s="9">
        <v>44100</v>
      </c>
      <c r="K237" s="9">
        <v>36133</v>
      </c>
      <c r="L237" s="9">
        <v>44100</v>
      </c>
      <c r="M237" s="9">
        <v>36009</v>
      </c>
      <c r="N237" s="9">
        <v>44100</v>
      </c>
      <c r="O237" s="9">
        <v>35886</v>
      </c>
      <c r="P237" s="9">
        <v>35280</v>
      </c>
      <c r="Q237" s="9">
        <v>35762</v>
      </c>
      <c r="R237" s="9">
        <v>26460</v>
      </c>
      <c r="S237" s="9">
        <v>35885.666666666664</v>
      </c>
      <c r="T237" s="9"/>
      <c r="U237" s="4">
        <f t="shared" si="8"/>
        <v>246960</v>
      </c>
      <c r="W237" s="4">
        <v>38653</v>
      </c>
      <c r="X237" s="4">
        <v>36854</v>
      </c>
      <c r="Y237" s="4">
        <v>37459</v>
      </c>
      <c r="Z237" s="4">
        <v>40021</v>
      </c>
      <c r="AA237" s="4">
        <v>37754</v>
      </c>
      <c r="AB237" s="4">
        <v>31411</v>
      </c>
      <c r="AC237" s="4">
        <v>35390</v>
      </c>
      <c r="AD237" s="4">
        <v>42395</v>
      </c>
      <c r="AE237" s="4">
        <v>36964</v>
      </c>
      <c r="AF237" s="4">
        <v>32295</v>
      </c>
      <c r="AG237" s="4">
        <v>35700</v>
      </c>
      <c r="AH237" s="4">
        <v>37957</v>
      </c>
      <c r="AI237" s="7">
        <f t="shared" si="7"/>
        <v>1189085.6666666667</v>
      </c>
      <c r="AJ237" s="7"/>
    </row>
    <row r="238" spans="1:36" x14ac:dyDescent="0.3">
      <c r="A238" s="12" t="s">
        <v>1042</v>
      </c>
      <c r="B238" s="12" t="str">
        <f>INDEX([1]오송!$C:$C,MATCH(D238,[1]오송!$D:$D,0))</f>
        <v>오송</v>
      </c>
      <c r="C238" s="12" t="s">
        <v>5</v>
      </c>
      <c r="D238" s="13">
        <v>9000059</v>
      </c>
      <c r="E238" s="12" t="s">
        <v>207</v>
      </c>
      <c r="F238" s="12" t="s">
        <v>3</v>
      </c>
      <c r="G238" s="9">
        <v>10702</v>
      </c>
      <c r="H238" s="9">
        <v>14112</v>
      </c>
      <c r="I238" s="9">
        <v>10719</v>
      </c>
      <c r="J238" s="9">
        <v>12348</v>
      </c>
      <c r="K238" s="9">
        <v>10737</v>
      </c>
      <c r="L238" s="9">
        <v>12348</v>
      </c>
      <c r="M238" s="9">
        <v>10754</v>
      </c>
      <c r="N238" s="9">
        <v>14112</v>
      </c>
      <c r="O238" s="9">
        <v>10771</v>
      </c>
      <c r="P238" s="9">
        <v>14112</v>
      </c>
      <c r="Q238" s="9">
        <v>10789</v>
      </c>
      <c r="R238" s="9">
        <v>10584</v>
      </c>
      <c r="S238" s="9">
        <v>10771.333333333334</v>
      </c>
      <c r="T238" s="9"/>
      <c r="U238" s="4">
        <f t="shared" si="8"/>
        <v>77616</v>
      </c>
      <c r="W238" s="4">
        <v>11078</v>
      </c>
      <c r="X238" s="4">
        <v>10382</v>
      </c>
      <c r="Y238" s="4">
        <v>10666</v>
      </c>
      <c r="Z238" s="4">
        <v>10525</v>
      </c>
      <c r="AA238" s="4">
        <v>10601</v>
      </c>
      <c r="AB238" s="4">
        <v>8869</v>
      </c>
      <c r="AC238" s="4">
        <v>10044</v>
      </c>
      <c r="AD238" s="4">
        <v>12726</v>
      </c>
      <c r="AE238" s="4">
        <v>10915</v>
      </c>
      <c r="AF238" s="4">
        <v>10378</v>
      </c>
      <c r="AG238" s="4">
        <v>10654</v>
      </c>
      <c r="AH238" s="4">
        <v>10639</v>
      </c>
      <c r="AI238" s="7">
        <f t="shared" si="7"/>
        <v>357952.33333333337</v>
      </c>
      <c r="AJ238" s="7"/>
    </row>
    <row r="239" spans="1:36" x14ac:dyDescent="0.3">
      <c r="A239" s="12" t="s">
        <v>1042</v>
      </c>
      <c r="B239" s="12" t="str">
        <f>INDEX([1]오송!$C:$C,MATCH(D239,[1]오송!$D:$D,0))</f>
        <v>오송</v>
      </c>
      <c r="C239" s="12" t="s">
        <v>5</v>
      </c>
      <c r="D239" s="13">
        <v>9000060</v>
      </c>
      <c r="E239" s="12" t="s">
        <v>208</v>
      </c>
      <c r="F239" s="12" t="s">
        <v>3</v>
      </c>
      <c r="G239" s="9">
        <v>1761</v>
      </c>
      <c r="H239" s="9">
        <v>1911</v>
      </c>
      <c r="I239" s="9">
        <v>1759</v>
      </c>
      <c r="J239" s="9">
        <v>1911</v>
      </c>
      <c r="K239" s="9">
        <v>1758</v>
      </c>
      <c r="L239" s="9">
        <v>1274</v>
      </c>
      <c r="M239" s="9">
        <v>1756</v>
      </c>
      <c r="N239" s="9">
        <v>2548</v>
      </c>
      <c r="O239" s="9">
        <v>1754</v>
      </c>
      <c r="P239" s="9">
        <v>1274</v>
      </c>
      <c r="Q239" s="9">
        <v>1752</v>
      </c>
      <c r="R239" s="9">
        <v>1274</v>
      </c>
      <c r="S239" s="9">
        <v>1754</v>
      </c>
      <c r="T239" s="9"/>
      <c r="U239" s="4">
        <f t="shared" si="8"/>
        <v>10192</v>
      </c>
      <c r="W239" s="4">
        <v>1766</v>
      </c>
      <c r="X239" s="4">
        <v>1661</v>
      </c>
      <c r="Y239" s="4">
        <v>1762</v>
      </c>
      <c r="Z239" s="4">
        <v>1865</v>
      </c>
      <c r="AA239" s="4">
        <v>1736</v>
      </c>
      <c r="AB239" s="4">
        <v>1652</v>
      </c>
      <c r="AC239" s="4">
        <v>1697</v>
      </c>
      <c r="AD239" s="4">
        <v>2074</v>
      </c>
      <c r="AE239" s="4">
        <v>1805</v>
      </c>
      <c r="AF239" s="4">
        <v>1716</v>
      </c>
      <c r="AG239" s="4">
        <v>1771</v>
      </c>
      <c r="AH239" s="4">
        <v>1688</v>
      </c>
      <c r="AI239" s="7">
        <f t="shared" si="7"/>
        <v>53871</v>
      </c>
      <c r="AJ239" s="7"/>
    </row>
    <row r="240" spans="1:36" x14ac:dyDescent="0.3">
      <c r="A240" s="12" t="s">
        <v>1044</v>
      </c>
      <c r="B240" s="12" t="s">
        <v>863</v>
      </c>
      <c r="C240" s="12" t="s">
        <v>5</v>
      </c>
      <c r="D240" s="13">
        <v>9000061</v>
      </c>
      <c r="E240" s="12" t="s">
        <v>340</v>
      </c>
      <c r="F240" s="12" t="s">
        <v>3</v>
      </c>
      <c r="G240" s="9">
        <v>2067</v>
      </c>
      <c r="H240" s="9">
        <v>6860</v>
      </c>
      <c r="I240" s="9">
        <v>2072</v>
      </c>
      <c r="J240" s="9">
        <v>0</v>
      </c>
      <c r="K240" s="9">
        <v>2076</v>
      </c>
      <c r="L240" s="9">
        <v>0</v>
      </c>
      <c r="M240" s="9">
        <v>2081</v>
      </c>
      <c r="N240" s="9">
        <v>0</v>
      </c>
      <c r="O240" s="9">
        <v>2085</v>
      </c>
      <c r="P240" s="9">
        <v>5880</v>
      </c>
      <c r="Q240" s="9">
        <v>2089</v>
      </c>
      <c r="R240" s="9">
        <v>0</v>
      </c>
      <c r="S240" s="9">
        <v>2085</v>
      </c>
      <c r="T240" s="9"/>
      <c r="U240" s="4">
        <f t="shared" si="8"/>
        <v>12740</v>
      </c>
      <c r="W240" s="4">
        <v>2088</v>
      </c>
      <c r="X240" s="4">
        <v>2029</v>
      </c>
      <c r="Y240" s="4">
        <v>2007</v>
      </c>
      <c r="Z240" s="4">
        <v>1741</v>
      </c>
      <c r="AA240" s="4">
        <v>1742</v>
      </c>
      <c r="AB240" s="4">
        <v>2297</v>
      </c>
      <c r="AC240" s="4">
        <v>2035</v>
      </c>
      <c r="AD240" s="4">
        <v>2182</v>
      </c>
      <c r="AE240" s="4">
        <v>2086</v>
      </c>
      <c r="AF240" s="4">
        <v>1856</v>
      </c>
      <c r="AG240" s="4">
        <v>2040</v>
      </c>
      <c r="AH240" s="4">
        <v>2166</v>
      </c>
      <c r="AI240" s="7">
        <f t="shared" si="7"/>
        <v>64304</v>
      </c>
      <c r="AJ240" s="7"/>
    </row>
    <row r="241" spans="1:36" x14ac:dyDescent="0.3">
      <c r="A241" s="12" t="s">
        <v>1044</v>
      </c>
      <c r="B241" s="12" t="s">
        <v>863</v>
      </c>
      <c r="C241" s="12" t="s">
        <v>5</v>
      </c>
      <c r="D241" s="13">
        <v>9000063</v>
      </c>
      <c r="E241" s="12" t="s">
        <v>341</v>
      </c>
      <c r="F241" s="12" t="s">
        <v>3</v>
      </c>
      <c r="G241" s="9">
        <v>6638</v>
      </c>
      <c r="H241" s="9">
        <v>0</v>
      </c>
      <c r="I241" s="9">
        <v>6638</v>
      </c>
      <c r="J241" s="9">
        <v>0</v>
      </c>
      <c r="K241" s="9">
        <v>6638</v>
      </c>
      <c r="L241" s="9">
        <v>0</v>
      </c>
      <c r="M241" s="9">
        <v>6638</v>
      </c>
      <c r="N241" s="9">
        <v>0</v>
      </c>
      <c r="O241" s="9">
        <v>6638</v>
      </c>
      <c r="P241" s="9">
        <v>0</v>
      </c>
      <c r="Q241" s="9">
        <v>6638</v>
      </c>
      <c r="R241" s="9">
        <v>0</v>
      </c>
      <c r="S241" s="9">
        <v>6638</v>
      </c>
      <c r="T241" s="9"/>
      <c r="U241" s="4">
        <f t="shared" si="8"/>
        <v>0</v>
      </c>
      <c r="W241" s="4">
        <v>8100</v>
      </c>
      <c r="X241" s="4">
        <v>5347</v>
      </c>
      <c r="Y241" s="4">
        <v>6924</v>
      </c>
      <c r="Z241" s="4">
        <v>4859</v>
      </c>
      <c r="AA241" s="4">
        <v>4753</v>
      </c>
      <c r="AB241" s="4">
        <v>4272</v>
      </c>
      <c r="AC241" s="4">
        <v>4826</v>
      </c>
      <c r="AD241" s="4">
        <v>9994</v>
      </c>
      <c r="AE241" s="4">
        <v>9000</v>
      </c>
      <c r="AF241" s="4">
        <v>7020</v>
      </c>
      <c r="AG241" s="4">
        <v>9000</v>
      </c>
      <c r="AH241" s="4">
        <v>7350</v>
      </c>
      <c r="AI241" s="7">
        <f t="shared" si="7"/>
        <v>127911</v>
      </c>
      <c r="AJ241" s="7"/>
    </row>
    <row r="242" spans="1:36" x14ac:dyDescent="0.3">
      <c r="A242" s="12" t="s">
        <v>1042</v>
      </c>
      <c r="B242" s="12" t="str">
        <f>INDEX([1]오송!$C:$C,MATCH(D242,[1]오송!$D:$D,0))</f>
        <v>오송</v>
      </c>
      <c r="C242" s="12" t="s">
        <v>5</v>
      </c>
      <c r="D242" s="13">
        <v>9000065</v>
      </c>
      <c r="E242" s="12" t="s">
        <v>209</v>
      </c>
      <c r="F242" s="12" t="s">
        <v>3</v>
      </c>
      <c r="G242" s="9">
        <v>111950</v>
      </c>
      <c r="H242" s="9">
        <v>63699.51</v>
      </c>
      <c r="I242" s="9">
        <v>56950</v>
      </c>
      <c r="J242" s="9">
        <v>84932.68</v>
      </c>
      <c r="K242" s="9">
        <v>75950</v>
      </c>
      <c r="L242" s="9">
        <v>106165.84999999999</v>
      </c>
      <c r="M242" s="9">
        <v>76950</v>
      </c>
      <c r="N242" s="9">
        <v>84932.68</v>
      </c>
      <c r="O242" s="9">
        <v>76950</v>
      </c>
      <c r="P242" s="9">
        <v>84932.68</v>
      </c>
      <c r="Q242" s="9">
        <v>76950</v>
      </c>
      <c r="R242" s="9">
        <v>84932.68</v>
      </c>
      <c r="S242" s="9">
        <v>76950</v>
      </c>
      <c r="T242" s="9"/>
      <c r="U242" s="4">
        <f t="shared" si="8"/>
        <v>509596.07999999996</v>
      </c>
      <c r="W242" s="4">
        <v>76107.666666666672</v>
      </c>
      <c r="X242" s="4">
        <v>74995</v>
      </c>
      <c r="Y242" s="4">
        <v>56107.666666666664</v>
      </c>
      <c r="Z242" s="4">
        <v>9050</v>
      </c>
      <c r="AA242" s="4">
        <v>0</v>
      </c>
      <c r="AB242" s="4">
        <v>134652</v>
      </c>
      <c r="AC242" s="4">
        <v>0</v>
      </c>
      <c r="AD242" s="4">
        <v>93236</v>
      </c>
      <c r="AE242" s="4">
        <v>81950</v>
      </c>
      <c r="AF242" s="4">
        <v>62532</v>
      </c>
      <c r="AG242" s="4">
        <v>101950</v>
      </c>
      <c r="AH242" s="4">
        <v>103233</v>
      </c>
      <c r="AI242" s="7">
        <f t="shared" si="7"/>
        <v>2365655.4933333332</v>
      </c>
      <c r="AJ242" s="7"/>
    </row>
    <row r="243" spans="1:36" x14ac:dyDescent="0.3">
      <c r="A243" s="12" t="s">
        <v>1042</v>
      </c>
      <c r="B243" s="12" t="str">
        <f>INDEX([1]오송!$C:$C,MATCH(D243,[1]오송!$D:$D,0))</f>
        <v>오송</v>
      </c>
      <c r="C243" s="12" t="s">
        <v>5</v>
      </c>
      <c r="D243" s="13">
        <v>9000066</v>
      </c>
      <c r="E243" s="12" t="s">
        <v>210</v>
      </c>
      <c r="F243" s="12" t="s">
        <v>3</v>
      </c>
      <c r="G243" s="9">
        <v>6294</v>
      </c>
      <c r="H243" s="9">
        <v>6281.17</v>
      </c>
      <c r="I243" s="9">
        <v>5194</v>
      </c>
      <c r="J243" s="9">
        <v>8492.68</v>
      </c>
      <c r="K243" s="9">
        <v>5794</v>
      </c>
      <c r="L243" s="9">
        <v>6369.51</v>
      </c>
      <c r="M243" s="9">
        <v>5794</v>
      </c>
      <c r="N243" s="9">
        <v>8492.68</v>
      </c>
      <c r="O243" s="9">
        <v>5794</v>
      </c>
      <c r="P243" s="9">
        <v>4246.34</v>
      </c>
      <c r="Q243" s="9">
        <v>5794</v>
      </c>
      <c r="R243" s="9">
        <v>8492.68</v>
      </c>
      <c r="S243" s="9">
        <v>5794</v>
      </c>
      <c r="T243" s="9"/>
      <c r="U243" s="4">
        <f t="shared" si="8"/>
        <v>42375.06</v>
      </c>
      <c r="W243" s="4">
        <v>5744.333333333333</v>
      </c>
      <c r="X243" s="4">
        <v>710</v>
      </c>
      <c r="Y243" s="4">
        <v>10244.333333333334</v>
      </c>
      <c r="Z243" s="4">
        <v>707</v>
      </c>
      <c r="AA243" s="4">
        <v>0</v>
      </c>
      <c r="AB243" s="4">
        <v>8437</v>
      </c>
      <c r="AC243" s="4">
        <v>0</v>
      </c>
      <c r="AD243" s="4">
        <v>10166</v>
      </c>
      <c r="AE243" s="4">
        <v>8194</v>
      </c>
      <c r="AF243" s="4">
        <v>4073</v>
      </c>
      <c r="AG243" s="4">
        <v>10194</v>
      </c>
      <c r="AH243" s="4">
        <v>10363</v>
      </c>
      <c r="AI243" s="7">
        <f t="shared" si="7"/>
        <v>194040.78666666665</v>
      </c>
      <c r="AJ243" s="7"/>
    </row>
    <row r="244" spans="1:36" x14ac:dyDescent="0.3">
      <c r="A244" s="12" t="s">
        <v>1044</v>
      </c>
      <c r="B244" s="12" t="s">
        <v>863</v>
      </c>
      <c r="C244" s="12" t="s">
        <v>5</v>
      </c>
      <c r="D244" s="13">
        <v>9000069</v>
      </c>
      <c r="E244" s="12" t="s">
        <v>342</v>
      </c>
      <c r="F244" s="12" t="s">
        <v>3</v>
      </c>
      <c r="G244" s="9">
        <v>573</v>
      </c>
      <c r="H244" s="9">
        <v>0</v>
      </c>
      <c r="I244" s="9">
        <v>570</v>
      </c>
      <c r="J244" s="9">
        <v>0</v>
      </c>
      <c r="K244" s="9">
        <v>567</v>
      </c>
      <c r="L244" s="9">
        <v>0</v>
      </c>
      <c r="M244" s="9">
        <v>564</v>
      </c>
      <c r="N244" s="9">
        <v>2940</v>
      </c>
      <c r="O244" s="9">
        <v>561</v>
      </c>
      <c r="P244" s="9">
        <v>0</v>
      </c>
      <c r="Q244" s="9">
        <v>558</v>
      </c>
      <c r="R244" s="9">
        <v>0</v>
      </c>
      <c r="S244" s="9">
        <v>561</v>
      </c>
      <c r="T244" s="9"/>
      <c r="U244" s="4">
        <f t="shared" si="8"/>
        <v>2940</v>
      </c>
      <c r="W244" s="4">
        <v>627</v>
      </c>
      <c r="X244" s="4">
        <v>571</v>
      </c>
      <c r="Y244" s="4">
        <v>588</v>
      </c>
      <c r="Z244" s="4">
        <v>620</v>
      </c>
      <c r="AA244" s="4">
        <v>597</v>
      </c>
      <c r="AB244" s="4">
        <v>599</v>
      </c>
      <c r="AC244" s="4">
        <v>588</v>
      </c>
      <c r="AD244" s="4">
        <v>546</v>
      </c>
      <c r="AE244" s="4">
        <v>578</v>
      </c>
      <c r="AF244" s="4">
        <v>625</v>
      </c>
      <c r="AG244" s="4">
        <v>609</v>
      </c>
      <c r="AH244" s="4">
        <v>508</v>
      </c>
      <c r="AI244" s="7">
        <f t="shared" si="7"/>
        <v>16890</v>
      </c>
      <c r="AJ244" s="7"/>
    </row>
    <row r="245" spans="1:36" x14ac:dyDescent="0.3">
      <c r="A245" s="12" t="s">
        <v>1042</v>
      </c>
      <c r="B245" s="12" t="str">
        <f>INDEX([1]오송!$C:$C,MATCH(D245,[1]오송!$D:$D,0))</f>
        <v>오송</v>
      </c>
      <c r="C245" s="12" t="s">
        <v>5</v>
      </c>
      <c r="D245" s="13">
        <v>9000072</v>
      </c>
      <c r="E245" s="12" t="s">
        <v>211</v>
      </c>
      <c r="F245" s="12" t="s">
        <v>3</v>
      </c>
      <c r="G245" s="9">
        <v>31066</v>
      </c>
      <c r="H245" s="9">
        <v>53736</v>
      </c>
      <c r="I245" s="9">
        <v>36066</v>
      </c>
      <c r="J245" s="9">
        <v>45732.68</v>
      </c>
      <c r="K245" s="9">
        <v>45066</v>
      </c>
      <c r="L245" s="9">
        <v>45732.68</v>
      </c>
      <c r="M245" s="9">
        <v>40066</v>
      </c>
      <c r="N245" s="9">
        <v>22866.34</v>
      </c>
      <c r="O245" s="9">
        <v>41066</v>
      </c>
      <c r="P245" s="9">
        <v>45732.68</v>
      </c>
      <c r="Q245" s="9">
        <v>41066</v>
      </c>
      <c r="R245" s="9">
        <v>27439.607999999997</v>
      </c>
      <c r="S245" s="9">
        <v>40732.666666666664</v>
      </c>
      <c r="T245" s="9"/>
      <c r="U245" s="4">
        <f t="shared" si="8"/>
        <v>241239.98799999998</v>
      </c>
      <c r="W245" s="4">
        <v>45345</v>
      </c>
      <c r="X245" s="4">
        <v>45120</v>
      </c>
      <c r="Y245" s="4">
        <v>25345</v>
      </c>
      <c r="Z245" s="4">
        <v>4971</v>
      </c>
      <c r="AA245" s="4">
        <v>0</v>
      </c>
      <c r="AB245" s="4">
        <v>54991</v>
      </c>
      <c r="AC245" s="4">
        <v>0</v>
      </c>
      <c r="AD245" s="4">
        <v>6486</v>
      </c>
      <c r="AE245" s="4">
        <v>81066</v>
      </c>
      <c r="AF245" s="4">
        <v>36829</v>
      </c>
      <c r="AG245" s="4">
        <v>91066</v>
      </c>
      <c r="AH245" s="4">
        <v>101926</v>
      </c>
      <c r="AI245" s="7">
        <f t="shared" si="7"/>
        <v>1250753.6426666668</v>
      </c>
      <c r="AJ245" s="7"/>
    </row>
    <row r="246" spans="1:36" x14ac:dyDescent="0.3">
      <c r="A246" s="12" t="s">
        <v>1042</v>
      </c>
      <c r="B246" s="12" t="str">
        <f>INDEX([1]오송!$C:$C,MATCH(D246,[1]오송!$D:$D,0))</f>
        <v>오송</v>
      </c>
      <c r="C246" s="12" t="s">
        <v>5</v>
      </c>
      <c r="D246" s="13">
        <v>9000073</v>
      </c>
      <c r="E246" s="12" t="s">
        <v>212</v>
      </c>
      <c r="F246" s="12" t="s">
        <v>3</v>
      </c>
      <c r="G246" s="9">
        <v>3862</v>
      </c>
      <c r="H246" s="9">
        <v>3520</v>
      </c>
      <c r="I246" s="9">
        <v>462</v>
      </c>
      <c r="J246" s="9">
        <v>0</v>
      </c>
      <c r="K246" s="9">
        <v>1662</v>
      </c>
      <c r="L246" s="9">
        <v>0</v>
      </c>
      <c r="M246" s="9">
        <v>262</v>
      </c>
      <c r="N246" s="9">
        <v>2286.34</v>
      </c>
      <c r="O246" s="9">
        <v>262</v>
      </c>
      <c r="P246" s="9">
        <v>0</v>
      </c>
      <c r="Q246" s="9">
        <v>262</v>
      </c>
      <c r="R246" s="9">
        <v>1829.0720000000001</v>
      </c>
      <c r="S246" s="9">
        <v>262</v>
      </c>
      <c r="T246" s="9"/>
      <c r="U246" s="4">
        <f t="shared" si="8"/>
        <v>7635.4120000000003</v>
      </c>
      <c r="W246" s="4">
        <v>1243</v>
      </c>
      <c r="X246" s="4">
        <v>1193</v>
      </c>
      <c r="Y246" s="4">
        <v>1243</v>
      </c>
      <c r="Z246" s="4">
        <v>231</v>
      </c>
      <c r="AA246" s="4">
        <v>0</v>
      </c>
      <c r="AB246" s="4">
        <v>243</v>
      </c>
      <c r="AC246" s="4">
        <v>0</v>
      </c>
      <c r="AD246" s="4">
        <v>238</v>
      </c>
      <c r="AE246" s="4">
        <v>4862</v>
      </c>
      <c r="AF246" s="4">
        <v>442</v>
      </c>
      <c r="AG246" s="4">
        <v>6012</v>
      </c>
      <c r="AH246" s="4">
        <v>7165</v>
      </c>
      <c r="AI246" s="7">
        <f t="shared" si="7"/>
        <v>45176.824000000001</v>
      </c>
      <c r="AJ246" s="7"/>
    </row>
    <row r="247" spans="1:36" x14ac:dyDescent="0.3">
      <c r="A247" s="12" t="s">
        <v>1044</v>
      </c>
      <c r="B247" s="12" t="s">
        <v>863</v>
      </c>
      <c r="C247" s="12" t="s">
        <v>5</v>
      </c>
      <c r="D247" s="13">
        <v>9000075</v>
      </c>
      <c r="E247" s="12" t="s">
        <v>343</v>
      </c>
      <c r="F247" s="12" t="s">
        <v>3</v>
      </c>
      <c r="G247" s="9">
        <v>131</v>
      </c>
      <c r="H247" s="9">
        <v>0</v>
      </c>
      <c r="I247" s="9">
        <v>131</v>
      </c>
      <c r="J247" s="9">
        <v>0</v>
      </c>
      <c r="K247" s="9">
        <v>132</v>
      </c>
      <c r="L247" s="9">
        <v>0</v>
      </c>
      <c r="M247" s="9">
        <v>132</v>
      </c>
      <c r="N247" s="9">
        <v>0</v>
      </c>
      <c r="O247" s="9">
        <v>132</v>
      </c>
      <c r="P247" s="9">
        <v>0</v>
      </c>
      <c r="Q247" s="9">
        <v>132</v>
      </c>
      <c r="R247" s="9">
        <v>0</v>
      </c>
      <c r="S247" s="9">
        <v>132</v>
      </c>
      <c r="T247" s="9"/>
      <c r="U247" s="4">
        <f t="shared" si="8"/>
        <v>0</v>
      </c>
      <c r="W247" s="4">
        <v>127</v>
      </c>
      <c r="X247" s="4">
        <v>166</v>
      </c>
      <c r="Y247" s="4">
        <v>133</v>
      </c>
      <c r="Z247" s="4">
        <v>128</v>
      </c>
      <c r="AA247" s="4">
        <v>134</v>
      </c>
      <c r="AB247" s="4">
        <v>125</v>
      </c>
      <c r="AC247" s="4">
        <v>139</v>
      </c>
      <c r="AD247" s="4">
        <v>145</v>
      </c>
      <c r="AE247" s="4">
        <v>157</v>
      </c>
      <c r="AF247" s="4">
        <v>164</v>
      </c>
      <c r="AG247" s="4">
        <v>160</v>
      </c>
      <c r="AH247" s="4">
        <v>71</v>
      </c>
      <c r="AI247" s="7">
        <f t="shared" si="7"/>
        <v>2571</v>
      </c>
      <c r="AJ247" s="7"/>
    </row>
    <row r="248" spans="1:36" x14ac:dyDescent="0.3">
      <c r="A248" s="12" t="s">
        <v>1042</v>
      </c>
      <c r="B248" s="12" t="str">
        <f>INDEX([1]오송!$C:$C,MATCH(D248,[1]오송!$D:$D,0))</f>
        <v>오송</v>
      </c>
      <c r="C248" s="12" t="s">
        <v>5</v>
      </c>
      <c r="D248" s="13">
        <v>9000080</v>
      </c>
      <c r="E248" s="12" t="s">
        <v>213</v>
      </c>
      <c r="F248" s="12" t="s">
        <v>3</v>
      </c>
      <c r="G248" s="9">
        <v>61592</v>
      </c>
      <c r="H248" s="9">
        <v>79135</v>
      </c>
      <c r="I248" s="9">
        <v>61789</v>
      </c>
      <c r="J248" s="9">
        <v>79380</v>
      </c>
      <c r="K248" s="9">
        <v>61986</v>
      </c>
      <c r="L248" s="9">
        <v>74970</v>
      </c>
      <c r="M248" s="9">
        <v>62183</v>
      </c>
      <c r="N248" s="9">
        <v>57330</v>
      </c>
      <c r="O248" s="9">
        <v>62380</v>
      </c>
      <c r="P248" s="9">
        <v>79380</v>
      </c>
      <c r="Q248" s="9">
        <v>62577</v>
      </c>
      <c r="R248" s="9">
        <v>52920</v>
      </c>
      <c r="S248" s="9">
        <v>62380</v>
      </c>
      <c r="T248" s="9"/>
      <c r="U248" s="4">
        <f t="shared" si="8"/>
        <v>423115</v>
      </c>
      <c r="W248" s="4">
        <v>58048</v>
      </c>
      <c r="X248" s="4">
        <v>57526</v>
      </c>
      <c r="Y248" s="4">
        <v>58350</v>
      </c>
      <c r="Z248" s="4">
        <v>66911</v>
      </c>
      <c r="AA248" s="4">
        <v>61697</v>
      </c>
      <c r="AB248" s="4">
        <v>43474</v>
      </c>
      <c r="AC248" s="4">
        <v>56798</v>
      </c>
      <c r="AD248" s="4">
        <v>75821</v>
      </c>
      <c r="AE248" s="4">
        <v>63380</v>
      </c>
      <c r="AF248" s="4">
        <v>57085</v>
      </c>
      <c r="AG248" s="4">
        <v>60923</v>
      </c>
      <c r="AH248" s="4">
        <v>63733</v>
      </c>
      <c r="AI248" s="7">
        <f t="shared" si="7"/>
        <v>2004863</v>
      </c>
      <c r="AJ248" s="7"/>
    </row>
    <row r="249" spans="1:36" x14ac:dyDescent="0.3">
      <c r="A249" s="12" t="s">
        <v>1044</v>
      </c>
      <c r="B249" s="12" t="s">
        <v>864</v>
      </c>
      <c r="C249" s="12" t="s">
        <v>5</v>
      </c>
      <c r="D249" s="13">
        <v>9000082</v>
      </c>
      <c r="E249" s="12" t="s">
        <v>344</v>
      </c>
      <c r="F249" s="12" t="s">
        <v>3</v>
      </c>
      <c r="G249" s="9">
        <v>0</v>
      </c>
      <c r="H249" s="9">
        <v>0</v>
      </c>
      <c r="I249" s="9">
        <v>0</v>
      </c>
      <c r="J249" s="9">
        <v>0</v>
      </c>
      <c r="K249" s="9">
        <v>0</v>
      </c>
      <c r="L249" s="9">
        <v>0</v>
      </c>
      <c r="M249" s="9">
        <v>0</v>
      </c>
      <c r="N249" s="9">
        <v>0</v>
      </c>
      <c r="O249" s="9">
        <v>0</v>
      </c>
      <c r="P249" s="9">
        <v>0</v>
      </c>
      <c r="Q249" s="9">
        <v>0</v>
      </c>
      <c r="R249" s="9">
        <v>0</v>
      </c>
      <c r="S249" s="9">
        <v>0</v>
      </c>
      <c r="T249" s="9"/>
      <c r="U249" s="4">
        <f t="shared" si="8"/>
        <v>0</v>
      </c>
      <c r="W249" s="4">
        <v>4850</v>
      </c>
      <c r="X249" s="4">
        <v>4760</v>
      </c>
      <c r="Y249" s="4">
        <v>1587</v>
      </c>
      <c r="Z249" s="4">
        <v>0</v>
      </c>
      <c r="AA249" s="4">
        <v>1587</v>
      </c>
      <c r="AB249" s="4">
        <v>0</v>
      </c>
      <c r="AC249" s="4">
        <v>1587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7">
        <f t="shared" si="7"/>
        <v>14371</v>
      </c>
      <c r="AJ249" s="7"/>
    </row>
    <row r="250" spans="1:36" x14ac:dyDescent="0.3">
      <c r="A250" s="12" t="s">
        <v>1044</v>
      </c>
      <c r="B250" s="12" t="s">
        <v>863</v>
      </c>
      <c r="C250" s="12" t="s">
        <v>5</v>
      </c>
      <c r="D250" s="13">
        <v>9000093</v>
      </c>
      <c r="E250" s="12" t="s">
        <v>345</v>
      </c>
      <c r="F250" s="12" t="s">
        <v>3</v>
      </c>
      <c r="G250" s="9">
        <v>527</v>
      </c>
      <c r="H250" s="9">
        <v>0</v>
      </c>
      <c r="I250" s="9">
        <v>518</v>
      </c>
      <c r="J250" s="9">
        <v>0</v>
      </c>
      <c r="K250" s="9">
        <v>509</v>
      </c>
      <c r="L250" s="9">
        <v>0</v>
      </c>
      <c r="M250" s="9">
        <v>500</v>
      </c>
      <c r="N250" s="9">
        <v>0</v>
      </c>
      <c r="O250" s="9">
        <v>491</v>
      </c>
      <c r="P250" s="9">
        <v>0</v>
      </c>
      <c r="Q250" s="9">
        <v>481</v>
      </c>
      <c r="R250" s="9">
        <v>0</v>
      </c>
      <c r="S250" s="9">
        <v>490.66666666666669</v>
      </c>
      <c r="T250" s="9"/>
      <c r="U250" s="4">
        <f t="shared" si="8"/>
        <v>0</v>
      </c>
      <c r="W250" s="4">
        <v>575</v>
      </c>
      <c r="X250" s="4">
        <v>603</v>
      </c>
      <c r="Y250" s="4">
        <v>557</v>
      </c>
      <c r="Z250" s="4">
        <v>711</v>
      </c>
      <c r="AA250" s="4">
        <v>607</v>
      </c>
      <c r="AB250" s="4">
        <v>648</v>
      </c>
      <c r="AC250" s="4">
        <v>602</v>
      </c>
      <c r="AD250" s="4">
        <v>374</v>
      </c>
      <c r="AE250" s="4">
        <v>528</v>
      </c>
      <c r="AF250" s="4">
        <v>540</v>
      </c>
      <c r="AG250" s="4">
        <v>522</v>
      </c>
      <c r="AH250" s="4">
        <v>538</v>
      </c>
      <c r="AI250" s="7">
        <f t="shared" si="7"/>
        <v>10321.666666666666</v>
      </c>
      <c r="AJ250" s="7"/>
    </row>
    <row r="251" spans="1:36" x14ac:dyDescent="0.3">
      <c r="A251" s="12" t="s">
        <v>1042</v>
      </c>
      <c r="B251" s="12" t="str">
        <f>INDEX([1]오송!$C:$C,MATCH(D251,[1]오송!$D:$D,0))</f>
        <v>오송</v>
      </c>
      <c r="C251" s="12" t="s">
        <v>5</v>
      </c>
      <c r="D251" s="13">
        <v>9000097</v>
      </c>
      <c r="E251" s="12" t="s">
        <v>214</v>
      </c>
      <c r="F251" s="12" t="s">
        <v>3</v>
      </c>
      <c r="G251" s="9">
        <v>26416</v>
      </c>
      <c r="H251" s="9">
        <v>0</v>
      </c>
      <c r="I251" s="9">
        <v>26713</v>
      </c>
      <c r="J251" s="9">
        <v>42466.34</v>
      </c>
      <c r="K251" s="9">
        <v>27010</v>
      </c>
      <c r="L251" s="9">
        <v>42466.34</v>
      </c>
      <c r="M251" s="9">
        <v>27307</v>
      </c>
      <c r="N251" s="9">
        <v>42466.34</v>
      </c>
      <c r="O251" s="9">
        <v>27604</v>
      </c>
      <c r="P251" s="9">
        <v>12739.902</v>
      </c>
      <c r="Q251" s="9">
        <v>27901</v>
      </c>
      <c r="R251" s="9">
        <v>21233.17</v>
      </c>
      <c r="S251" s="9">
        <v>27604</v>
      </c>
      <c r="T251" s="9"/>
      <c r="U251" s="4">
        <f t="shared" si="8"/>
        <v>161372.092</v>
      </c>
      <c r="W251" s="4">
        <v>23464</v>
      </c>
      <c r="X251" s="4">
        <v>24079</v>
      </c>
      <c r="Y251" s="4">
        <v>23672</v>
      </c>
      <c r="Z251" s="4">
        <v>21854</v>
      </c>
      <c r="AA251" s="4">
        <v>23568</v>
      </c>
      <c r="AB251" s="4">
        <v>26901</v>
      </c>
      <c r="AC251" s="4">
        <v>24816</v>
      </c>
      <c r="AD251" s="4">
        <v>26714</v>
      </c>
      <c r="AE251" s="4">
        <v>25474</v>
      </c>
      <c r="AF251" s="4">
        <v>25838</v>
      </c>
      <c r="AG251" s="4">
        <v>26235</v>
      </c>
      <c r="AH251" s="4">
        <v>26973</v>
      </c>
      <c r="AI251" s="7">
        <f t="shared" si="7"/>
        <v>812887.18400000001</v>
      </c>
      <c r="AJ251" s="7"/>
    </row>
    <row r="252" spans="1:36" x14ac:dyDescent="0.3">
      <c r="A252" s="12" t="s">
        <v>1042</v>
      </c>
      <c r="B252" s="12" t="str">
        <f>INDEX([1]오송!$C:$C,MATCH(D252,[1]오송!$D:$D,0))</f>
        <v>오송</v>
      </c>
      <c r="C252" s="12" t="s">
        <v>5</v>
      </c>
      <c r="D252" s="13">
        <v>9000098</v>
      </c>
      <c r="E252" s="12" t="s">
        <v>215</v>
      </c>
      <c r="F252" s="12" t="s">
        <v>3</v>
      </c>
      <c r="G252" s="9">
        <v>50013</v>
      </c>
      <c r="H252" s="9">
        <v>58864</v>
      </c>
      <c r="I252" s="9">
        <v>50216</v>
      </c>
      <c r="J252" s="9">
        <v>88200</v>
      </c>
      <c r="K252" s="9">
        <v>50419</v>
      </c>
      <c r="L252" s="9">
        <v>88200</v>
      </c>
      <c r="M252" s="9">
        <v>50621</v>
      </c>
      <c r="N252" s="9">
        <v>58800</v>
      </c>
      <c r="O252" s="9">
        <v>50824</v>
      </c>
      <c r="P252" s="9">
        <v>88200</v>
      </c>
      <c r="Q252" s="9">
        <v>51027</v>
      </c>
      <c r="R252" s="9">
        <v>29400</v>
      </c>
      <c r="S252" s="9">
        <v>50824</v>
      </c>
      <c r="T252" s="9"/>
      <c r="U252" s="4">
        <f t="shared" si="8"/>
        <v>411664</v>
      </c>
      <c r="W252" s="4">
        <v>49320</v>
      </c>
      <c r="X252" s="4">
        <v>46813</v>
      </c>
      <c r="Y252" s="4">
        <v>48702</v>
      </c>
      <c r="Z252" s="4">
        <v>43963</v>
      </c>
      <c r="AA252" s="4">
        <v>47531</v>
      </c>
      <c r="AB252" s="4">
        <v>52329</v>
      </c>
      <c r="AC252" s="4">
        <v>48711</v>
      </c>
      <c r="AD252" s="4">
        <v>52761</v>
      </c>
      <c r="AE252" s="4">
        <v>50239</v>
      </c>
      <c r="AF252" s="4">
        <v>48782</v>
      </c>
      <c r="AG252" s="4">
        <v>49996</v>
      </c>
      <c r="AH252" s="4">
        <v>50633</v>
      </c>
      <c r="AI252" s="7">
        <f t="shared" si="7"/>
        <v>1767052</v>
      </c>
      <c r="AJ252" s="7"/>
    </row>
    <row r="253" spans="1:36" x14ac:dyDescent="0.3">
      <c r="A253" s="12" t="s">
        <v>1042</v>
      </c>
      <c r="B253" s="12" t="str">
        <f>INDEX([1]오송!$C:$C,MATCH(D253,[1]오송!$D:$D,0))</f>
        <v>오송</v>
      </c>
      <c r="C253" s="12" t="s">
        <v>5</v>
      </c>
      <c r="D253" s="13">
        <v>9000099</v>
      </c>
      <c r="E253" s="12" t="s">
        <v>216</v>
      </c>
      <c r="F253" s="12" t="s">
        <v>3</v>
      </c>
      <c r="G253" s="9">
        <v>30374</v>
      </c>
      <c r="H253" s="9">
        <v>29400</v>
      </c>
      <c r="I253" s="9">
        <v>30614</v>
      </c>
      <c r="J253" s="9">
        <v>29400</v>
      </c>
      <c r="K253" s="9">
        <v>30854</v>
      </c>
      <c r="L253" s="9">
        <v>44100</v>
      </c>
      <c r="M253" s="9">
        <v>31094</v>
      </c>
      <c r="N253" s="9">
        <v>29400</v>
      </c>
      <c r="O253" s="9">
        <v>31335</v>
      </c>
      <c r="P253" s="9">
        <v>29400</v>
      </c>
      <c r="Q253" s="9">
        <v>31575</v>
      </c>
      <c r="R253" s="9">
        <v>44100</v>
      </c>
      <c r="S253" s="9">
        <v>31334.666666666668</v>
      </c>
      <c r="T253" s="9"/>
      <c r="U253" s="4">
        <f t="shared" si="8"/>
        <v>205800</v>
      </c>
      <c r="W253" s="4">
        <v>29174</v>
      </c>
      <c r="X253" s="4">
        <v>28059</v>
      </c>
      <c r="Y253" s="4">
        <v>27806</v>
      </c>
      <c r="Z253" s="4">
        <v>23794</v>
      </c>
      <c r="AA253" s="4">
        <v>27463</v>
      </c>
      <c r="AB253" s="4">
        <v>33768</v>
      </c>
      <c r="AC253" s="4">
        <v>29541</v>
      </c>
      <c r="AD253" s="4">
        <v>31725</v>
      </c>
      <c r="AE253" s="4">
        <v>30715</v>
      </c>
      <c r="AF253" s="4">
        <v>27659</v>
      </c>
      <c r="AG253" s="4">
        <v>29653</v>
      </c>
      <c r="AH253" s="4">
        <v>31178</v>
      </c>
      <c r="AI253" s="7">
        <f t="shared" si="7"/>
        <v>979315.66666666674</v>
      </c>
      <c r="AJ253" s="7"/>
    </row>
    <row r="254" spans="1:36" x14ac:dyDescent="0.3">
      <c r="A254" s="12" t="s">
        <v>1042</v>
      </c>
      <c r="B254" s="12" t="str">
        <f>INDEX([1]오송!$C:$C,MATCH(D254,[1]오송!$D:$D,0))</f>
        <v>오송</v>
      </c>
      <c r="C254" s="12" t="s">
        <v>5</v>
      </c>
      <c r="D254" s="13">
        <v>9000100</v>
      </c>
      <c r="E254" s="12" t="s">
        <v>217</v>
      </c>
      <c r="F254" s="12" t="s">
        <v>3</v>
      </c>
      <c r="G254" s="9">
        <v>89241</v>
      </c>
      <c r="H254" s="9">
        <v>63141</v>
      </c>
      <c r="I254" s="9">
        <v>89568</v>
      </c>
      <c r="J254" s="9">
        <v>109760</v>
      </c>
      <c r="K254" s="9">
        <v>89896</v>
      </c>
      <c r="L254" s="9">
        <v>101920</v>
      </c>
      <c r="M254" s="9">
        <v>90224</v>
      </c>
      <c r="N254" s="9">
        <v>101920</v>
      </c>
      <c r="O254" s="9">
        <v>90551</v>
      </c>
      <c r="P254" s="9">
        <v>101920</v>
      </c>
      <c r="Q254" s="9">
        <v>90879</v>
      </c>
      <c r="R254" s="9">
        <v>117600</v>
      </c>
      <c r="S254" s="9">
        <v>90551.333333333328</v>
      </c>
      <c r="T254" s="9"/>
      <c r="U254" s="4">
        <f t="shared" si="8"/>
        <v>596261</v>
      </c>
      <c r="W254" s="4">
        <v>88204</v>
      </c>
      <c r="X254" s="4">
        <v>85648</v>
      </c>
      <c r="Y254" s="4">
        <v>87285</v>
      </c>
      <c r="Z254" s="4">
        <v>73113</v>
      </c>
      <c r="AA254" s="4">
        <v>81941</v>
      </c>
      <c r="AB254" s="4">
        <v>98260</v>
      </c>
      <c r="AC254" s="4">
        <v>89361</v>
      </c>
      <c r="AD254" s="4">
        <v>92122</v>
      </c>
      <c r="AE254" s="4">
        <v>90984</v>
      </c>
      <c r="AF254" s="4">
        <v>84779</v>
      </c>
      <c r="AG254" s="4">
        <v>89019</v>
      </c>
      <c r="AH254" s="4">
        <v>92190</v>
      </c>
      <c r="AI254" s="7">
        <f t="shared" si="7"/>
        <v>2876338.333333333</v>
      </c>
      <c r="AJ254" s="7"/>
    </row>
    <row r="255" spans="1:36" x14ac:dyDescent="0.3">
      <c r="A255" s="12" t="s">
        <v>1044</v>
      </c>
      <c r="B255" s="12" t="s">
        <v>863</v>
      </c>
      <c r="C255" s="12" t="s">
        <v>5</v>
      </c>
      <c r="D255" s="13">
        <v>9000102</v>
      </c>
      <c r="E255" s="12" t="s">
        <v>346</v>
      </c>
      <c r="F255" s="12" t="s">
        <v>3</v>
      </c>
      <c r="G255" s="9">
        <v>50574</v>
      </c>
      <c r="H255" s="9">
        <v>78400</v>
      </c>
      <c r="I255" s="9">
        <v>50998</v>
      </c>
      <c r="J255" s="9">
        <v>78400</v>
      </c>
      <c r="K255" s="9">
        <v>51422</v>
      </c>
      <c r="L255" s="9">
        <v>78400</v>
      </c>
      <c r="M255" s="9">
        <v>51846</v>
      </c>
      <c r="N255" s="9">
        <v>78400</v>
      </c>
      <c r="O255" s="9">
        <v>52271</v>
      </c>
      <c r="P255" s="9">
        <v>78400</v>
      </c>
      <c r="Q255" s="9">
        <v>52695</v>
      </c>
      <c r="R255" s="9">
        <v>78400</v>
      </c>
      <c r="S255" s="9">
        <v>52270.666666666664</v>
      </c>
      <c r="T255" s="9"/>
      <c r="U255" s="4">
        <f t="shared" si="8"/>
        <v>470400</v>
      </c>
      <c r="W255" s="4">
        <v>80000</v>
      </c>
      <c r="X255" s="4">
        <v>44849</v>
      </c>
      <c r="Y255" s="4">
        <v>48654</v>
      </c>
      <c r="Z255" s="4">
        <v>56596</v>
      </c>
      <c r="AA255" s="4">
        <v>49038</v>
      </c>
      <c r="AB255" s="4">
        <v>38041</v>
      </c>
      <c r="AC255" s="4">
        <v>49147</v>
      </c>
      <c r="AD255" s="4">
        <v>55979</v>
      </c>
      <c r="AE255" s="4">
        <v>52241</v>
      </c>
      <c r="AF255" s="4">
        <v>52988</v>
      </c>
      <c r="AG255" s="4">
        <v>53586</v>
      </c>
      <c r="AH255" s="4">
        <v>43218</v>
      </c>
      <c r="AI255" s="7">
        <f t="shared" si="7"/>
        <v>1927213.6666666665</v>
      </c>
      <c r="AJ255" s="7"/>
    </row>
    <row r="256" spans="1:36" x14ac:dyDescent="0.3">
      <c r="A256" s="12" t="s">
        <v>1044</v>
      </c>
      <c r="B256" s="12" t="s">
        <v>863</v>
      </c>
      <c r="C256" s="12" t="s">
        <v>5</v>
      </c>
      <c r="D256" s="13">
        <v>9000103</v>
      </c>
      <c r="E256" s="12" t="s">
        <v>347</v>
      </c>
      <c r="F256" s="12" t="s">
        <v>3</v>
      </c>
      <c r="G256" s="9">
        <v>1750</v>
      </c>
      <c r="H256" s="9">
        <v>0</v>
      </c>
      <c r="I256" s="9">
        <v>1750</v>
      </c>
      <c r="J256" s="9">
        <v>0</v>
      </c>
      <c r="K256" s="9">
        <v>1750</v>
      </c>
      <c r="L256" s="9">
        <v>0</v>
      </c>
      <c r="M256" s="9">
        <v>1750</v>
      </c>
      <c r="N256" s="9">
        <v>3920</v>
      </c>
      <c r="O256" s="9">
        <v>1750</v>
      </c>
      <c r="P256" s="9">
        <v>0</v>
      </c>
      <c r="Q256" s="9">
        <v>1750</v>
      </c>
      <c r="R256" s="9">
        <v>0</v>
      </c>
      <c r="S256" s="9">
        <v>1750</v>
      </c>
      <c r="T256" s="9"/>
      <c r="U256" s="4">
        <f t="shared" si="8"/>
        <v>3920</v>
      </c>
      <c r="W256" s="4">
        <v>2100</v>
      </c>
      <c r="X256" s="4">
        <v>1529</v>
      </c>
      <c r="Y256" s="4">
        <v>1672</v>
      </c>
      <c r="Z256" s="4">
        <v>2168</v>
      </c>
      <c r="AA256" s="4">
        <v>1808</v>
      </c>
      <c r="AB256" s="4">
        <v>1163</v>
      </c>
      <c r="AC256" s="4">
        <v>1582</v>
      </c>
      <c r="AD256" s="4">
        <v>1626</v>
      </c>
      <c r="AE256" s="4">
        <v>1514</v>
      </c>
      <c r="AF256" s="4">
        <v>1676</v>
      </c>
      <c r="AG256" s="4">
        <v>1452</v>
      </c>
      <c r="AH256" s="4">
        <v>2105</v>
      </c>
      <c r="AI256" s="7">
        <f t="shared" si="7"/>
        <v>40485</v>
      </c>
      <c r="AJ256" s="7"/>
    </row>
    <row r="257" spans="1:36" x14ac:dyDescent="0.3">
      <c r="A257" s="12" t="s">
        <v>1044</v>
      </c>
      <c r="B257" s="12" t="s">
        <v>863</v>
      </c>
      <c r="C257" s="12" t="s">
        <v>5</v>
      </c>
      <c r="D257" s="13">
        <v>9000104</v>
      </c>
      <c r="E257" s="12" t="s">
        <v>348</v>
      </c>
      <c r="F257" s="12" t="s">
        <v>3</v>
      </c>
      <c r="G257" s="9">
        <v>793</v>
      </c>
      <c r="H257" s="9">
        <v>0</v>
      </c>
      <c r="I257" s="9">
        <v>793</v>
      </c>
      <c r="J257" s="9">
        <v>3266.0133659999997</v>
      </c>
      <c r="K257" s="9">
        <v>793</v>
      </c>
      <c r="L257" s="9">
        <v>0</v>
      </c>
      <c r="M257" s="9">
        <v>793</v>
      </c>
      <c r="N257" s="9">
        <v>0</v>
      </c>
      <c r="O257" s="9">
        <v>793</v>
      </c>
      <c r="P257" s="9">
        <v>0</v>
      </c>
      <c r="Q257" s="9">
        <v>793</v>
      </c>
      <c r="R257" s="9">
        <v>0</v>
      </c>
      <c r="S257" s="9">
        <v>793</v>
      </c>
      <c r="T257" s="9"/>
      <c r="U257" s="4">
        <f t="shared" si="8"/>
        <v>3266.0133659999997</v>
      </c>
      <c r="W257" s="4">
        <v>1040</v>
      </c>
      <c r="X257" s="4">
        <v>935</v>
      </c>
      <c r="Y257" s="4">
        <v>965</v>
      </c>
      <c r="Z257" s="4">
        <v>1240</v>
      </c>
      <c r="AA257" s="4">
        <v>1073</v>
      </c>
      <c r="AB257" s="4">
        <v>713</v>
      </c>
      <c r="AC257" s="4">
        <v>952</v>
      </c>
      <c r="AD257" s="4">
        <v>604</v>
      </c>
      <c r="AE257" s="4">
        <v>797</v>
      </c>
      <c r="AF257" s="4">
        <v>737</v>
      </c>
      <c r="AG257" s="4">
        <v>714</v>
      </c>
      <c r="AH257" s="4">
        <v>816</v>
      </c>
      <c r="AI257" s="7">
        <f t="shared" si="7"/>
        <v>22669.026731999998</v>
      </c>
      <c r="AJ257" s="7"/>
    </row>
    <row r="258" spans="1:36" x14ac:dyDescent="0.3">
      <c r="A258" s="12" t="s">
        <v>1042</v>
      </c>
      <c r="B258" s="12" t="str">
        <f>INDEX([1]오송!$C:$C,MATCH(D258,[1]오송!$D:$D,0))</f>
        <v>오송</v>
      </c>
      <c r="C258" s="12" t="s">
        <v>5</v>
      </c>
      <c r="D258" s="13">
        <v>9000105</v>
      </c>
      <c r="E258" s="12" t="s">
        <v>218</v>
      </c>
      <c r="F258" s="12" t="s">
        <v>3</v>
      </c>
      <c r="G258" s="9">
        <v>44166</v>
      </c>
      <c r="H258" s="9">
        <v>57200</v>
      </c>
      <c r="I258" s="9">
        <v>43743</v>
      </c>
      <c r="J258" s="9">
        <v>114332.68</v>
      </c>
      <c r="K258" s="9">
        <v>43321</v>
      </c>
      <c r="L258" s="9">
        <v>0</v>
      </c>
      <c r="M258" s="9">
        <v>42898</v>
      </c>
      <c r="N258" s="9">
        <v>0</v>
      </c>
      <c r="O258" s="9">
        <v>42475</v>
      </c>
      <c r="P258" s="9">
        <v>57166.34</v>
      </c>
      <c r="Q258" s="9">
        <v>42053</v>
      </c>
      <c r="R258" s="9">
        <v>34299.803999999996</v>
      </c>
      <c r="S258" s="9">
        <v>42475.333333333336</v>
      </c>
      <c r="T258" s="9"/>
      <c r="U258" s="4">
        <f t="shared" si="8"/>
        <v>262998.82400000002</v>
      </c>
      <c r="W258" s="4">
        <v>48894</v>
      </c>
      <c r="X258" s="4">
        <v>45097</v>
      </c>
      <c r="Y258" s="4">
        <v>45739</v>
      </c>
      <c r="Z258" s="4">
        <v>54055</v>
      </c>
      <c r="AA258" s="4">
        <v>47672</v>
      </c>
      <c r="AB258" s="4">
        <v>38450</v>
      </c>
      <c r="AC258" s="4">
        <v>44902</v>
      </c>
      <c r="AD258" s="4">
        <v>48048</v>
      </c>
      <c r="AE258" s="4">
        <v>46285</v>
      </c>
      <c r="AF258" s="4">
        <v>49329</v>
      </c>
      <c r="AG258" s="4">
        <v>46446</v>
      </c>
      <c r="AH258" s="4">
        <v>39751</v>
      </c>
      <c r="AI258" s="7">
        <f t="shared" si="7"/>
        <v>1381796.9813333335</v>
      </c>
      <c r="AJ258" s="7"/>
    </row>
    <row r="259" spans="1:36" x14ac:dyDescent="0.3">
      <c r="A259" s="12" t="s">
        <v>866</v>
      </c>
      <c r="B259" s="12" t="s">
        <v>864</v>
      </c>
      <c r="C259" s="12" t="s">
        <v>867</v>
      </c>
      <c r="D259" s="13">
        <v>9000119</v>
      </c>
      <c r="E259" s="12" t="s">
        <v>349</v>
      </c>
      <c r="F259" s="12" t="s">
        <v>3</v>
      </c>
      <c r="G259" s="9">
        <v>65543</v>
      </c>
      <c r="H259" s="9">
        <v>74250</v>
      </c>
      <c r="I259" s="9">
        <v>65543</v>
      </c>
      <c r="J259" s="9">
        <v>123750</v>
      </c>
      <c r="K259" s="9">
        <v>65543</v>
      </c>
      <c r="L259" s="9">
        <v>136125</v>
      </c>
      <c r="M259" s="9">
        <v>65543</v>
      </c>
      <c r="N259" s="9">
        <v>0</v>
      </c>
      <c r="O259" s="9">
        <v>65543</v>
      </c>
      <c r="P259" s="9">
        <v>0</v>
      </c>
      <c r="Q259" s="9">
        <v>65543</v>
      </c>
      <c r="R259" s="9">
        <v>0</v>
      </c>
      <c r="S259" s="9">
        <v>65543</v>
      </c>
      <c r="T259" s="9"/>
      <c r="U259" s="4">
        <f t="shared" si="8"/>
        <v>334125</v>
      </c>
      <c r="W259" s="4">
        <v>108900</v>
      </c>
      <c r="X259" s="4">
        <v>0</v>
      </c>
      <c r="Y259" s="4">
        <v>64947</v>
      </c>
      <c r="Z259" s="4">
        <v>96896</v>
      </c>
      <c r="AA259" s="4">
        <v>64832</v>
      </c>
      <c r="AB259" s="4">
        <v>84737</v>
      </c>
      <c r="AC259" s="4">
        <v>60544</v>
      </c>
      <c r="AD259" s="4">
        <v>36000</v>
      </c>
      <c r="AE259" s="4">
        <v>72544</v>
      </c>
      <c r="AF259" s="4">
        <v>0</v>
      </c>
      <c r="AG259" s="4">
        <v>40246</v>
      </c>
      <c r="AH259" s="4">
        <v>72040</v>
      </c>
      <c r="AI259" s="7">
        <f t="shared" si="7"/>
        <v>1828737</v>
      </c>
      <c r="AJ259" s="7"/>
    </row>
    <row r="260" spans="1:36" x14ac:dyDescent="0.3">
      <c r="A260" s="12" t="s">
        <v>1044</v>
      </c>
      <c r="B260" s="12" t="s">
        <v>863</v>
      </c>
      <c r="C260" s="12" t="s">
        <v>5</v>
      </c>
      <c r="D260" s="13">
        <v>9000122</v>
      </c>
      <c r="E260" s="12" t="s">
        <v>350</v>
      </c>
      <c r="F260" s="12" t="s">
        <v>3</v>
      </c>
      <c r="G260" s="9">
        <v>4642</v>
      </c>
      <c r="H260" s="9">
        <v>0</v>
      </c>
      <c r="I260" s="9">
        <v>4620</v>
      </c>
      <c r="J260" s="9">
        <v>0</v>
      </c>
      <c r="K260" s="9">
        <v>4599</v>
      </c>
      <c r="L260" s="9">
        <v>19800</v>
      </c>
      <c r="M260" s="9">
        <v>4577</v>
      </c>
      <c r="N260" s="9">
        <v>0</v>
      </c>
      <c r="O260" s="9">
        <v>4556</v>
      </c>
      <c r="P260" s="9">
        <v>0</v>
      </c>
      <c r="Q260" s="9">
        <v>4534</v>
      </c>
      <c r="R260" s="9">
        <v>0</v>
      </c>
      <c r="S260" s="9">
        <v>4555.666666666667</v>
      </c>
      <c r="T260" s="9"/>
      <c r="U260" s="4">
        <f t="shared" si="8"/>
        <v>19800</v>
      </c>
      <c r="W260" s="4">
        <v>5600</v>
      </c>
      <c r="X260" s="4">
        <v>4744</v>
      </c>
      <c r="Y260" s="4">
        <v>4542</v>
      </c>
      <c r="Z260" s="4">
        <v>4591</v>
      </c>
      <c r="AA260" s="4">
        <v>4351</v>
      </c>
      <c r="AB260" s="4">
        <v>3510</v>
      </c>
      <c r="AC260" s="4">
        <v>3780</v>
      </c>
      <c r="AD260" s="4">
        <v>4747</v>
      </c>
      <c r="AE260" s="4">
        <v>3849</v>
      </c>
      <c r="AF260" s="4">
        <v>5081</v>
      </c>
      <c r="AG260" s="4">
        <v>4093</v>
      </c>
      <c r="AH260" s="4">
        <v>5904</v>
      </c>
      <c r="AI260" s="7">
        <f t="shared" si="7"/>
        <v>126475.66666666666</v>
      </c>
      <c r="AJ260" s="7"/>
    </row>
    <row r="261" spans="1:36" x14ac:dyDescent="0.3">
      <c r="A261" s="12" t="s">
        <v>1044</v>
      </c>
      <c r="B261" s="12" t="s">
        <v>863</v>
      </c>
      <c r="C261" s="12" t="s">
        <v>5</v>
      </c>
      <c r="D261" s="13">
        <v>9000125</v>
      </c>
      <c r="E261" s="12" t="s">
        <v>351</v>
      </c>
      <c r="F261" s="12" t="s">
        <v>3</v>
      </c>
      <c r="G261" s="9">
        <v>1782</v>
      </c>
      <c r="H261" s="9">
        <v>0</v>
      </c>
      <c r="I261" s="9">
        <v>1751</v>
      </c>
      <c r="J261" s="9">
        <v>0</v>
      </c>
      <c r="K261" s="9">
        <v>1720</v>
      </c>
      <c r="L261" s="9">
        <v>0</v>
      </c>
      <c r="M261" s="9">
        <v>1690</v>
      </c>
      <c r="N261" s="9">
        <v>0</v>
      </c>
      <c r="O261" s="9">
        <v>1659</v>
      </c>
      <c r="P261" s="9">
        <v>0</v>
      </c>
      <c r="Q261" s="9">
        <v>1628</v>
      </c>
      <c r="R261" s="9">
        <v>0</v>
      </c>
      <c r="S261" s="9">
        <v>1659</v>
      </c>
      <c r="T261" s="9"/>
      <c r="U261" s="4">
        <f t="shared" si="8"/>
        <v>0</v>
      </c>
      <c r="W261" s="4">
        <v>2300</v>
      </c>
      <c r="X261" s="4">
        <v>1919</v>
      </c>
      <c r="Y261" s="4">
        <v>1873</v>
      </c>
      <c r="Z261" s="4">
        <v>1863</v>
      </c>
      <c r="AA261" s="4">
        <v>1888</v>
      </c>
      <c r="AB261" s="4">
        <v>3488</v>
      </c>
      <c r="AC261" s="4">
        <v>2387</v>
      </c>
      <c r="AD261" s="4">
        <v>1625</v>
      </c>
      <c r="AE261" s="4">
        <v>2191</v>
      </c>
      <c r="AF261" s="4">
        <v>1345</v>
      </c>
      <c r="AG261" s="4">
        <v>1898</v>
      </c>
      <c r="AH261" s="4">
        <v>1420</v>
      </c>
      <c r="AI261" s="7">
        <f t="shared" ref="AI261:AI324" si="9">SUM(G261:AH261)</f>
        <v>36086</v>
      </c>
      <c r="AJ261" s="7"/>
    </row>
    <row r="262" spans="1:36" x14ac:dyDescent="0.3">
      <c r="A262" s="12" t="s">
        <v>1044</v>
      </c>
      <c r="B262" s="12" t="s">
        <v>863</v>
      </c>
      <c r="C262" s="12" t="s">
        <v>5</v>
      </c>
      <c r="D262" s="13">
        <v>9000126</v>
      </c>
      <c r="E262" s="12" t="s">
        <v>352</v>
      </c>
      <c r="F262" s="12" t="s">
        <v>3</v>
      </c>
      <c r="G262" s="9">
        <v>7000</v>
      </c>
      <c r="H262" s="9">
        <v>16333.006653599996</v>
      </c>
      <c r="I262" s="9">
        <v>7000</v>
      </c>
      <c r="J262" s="9">
        <v>0</v>
      </c>
      <c r="K262" s="9">
        <v>7000</v>
      </c>
      <c r="L262" s="9">
        <v>0</v>
      </c>
      <c r="M262" s="9">
        <v>7000</v>
      </c>
      <c r="N262" s="9">
        <v>16332.68</v>
      </c>
      <c r="O262" s="9">
        <v>7000</v>
      </c>
      <c r="P262" s="9">
        <v>0</v>
      </c>
      <c r="Q262" s="9">
        <v>7000</v>
      </c>
      <c r="R262" s="9">
        <v>0</v>
      </c>
      <c r="S262" s="9">
        <v>7000</v>
      </c>
      <c r="T262" s="9"/>
      <c r="U262" s="4">
        <f t="shared" si="8"/>
        <v>32665.686653599994</v>
      </c>
      <c r="W262" s="4">
        <v>6000</v>
      </c>
      <c r="X262" s="4">
        <v>5780</v>
      </c>
      <c r="Y262" s="4">
        <v>6000</v>
      </c>
      <c r="Z262" s="4">
        <v>5720</v>
      </c>
      <c r="AA262" s="4">
        <v>6000</v>
      </c>
      <c r="AB262" s="4">
        <v>8020</v>
      </c>
      <c r="AC262" s="4">
        <v>8000</v>
      </c>
      <c r="AD262" s="4">
        <v>7427</v>
      </c>
      <c r="AE262" s="4">
        <v>6000</v>
      </c>
      <c r="AF262" s="4">
        <v>4971</v>
      </c>
      <c r="AG262" s="4">
        <v>7000</v>
      </c>
      <c r="AH262" s="4">
        <v>6495</v>
      </c>
      <c r="AI262" s="7">
        <f t="shared" si="9"/>
        <v>191744.37330719997</v>
      </c>
      <c r="AJ262" s="7"/>
    </row>
    <row r="263" spans="1:36" x14ac:dyDescent="0.3">
      <c r="A263" s="12" t="s">
        <v>1044</v>
      </c>
      <c r="B263" s="12" t="s">
        <v>863</v>
      </c>
      <c r="C263" s="12" t="s">
        <v>5</v>
      </c>
      <c r="D263" s="13">
        <v>9000131</v>
      </c>
      <c r="E263" s="12" t="s">
        <v>353</v>
      </c>
      <c r="F263" s="12" t="s">
        <v>3</v>
      </c>
      <c r="G263" s="9">
        <v>2452</v>
      </c>
      <c r="H263" s="9">
        <v>0</v>
      </c>
      <c r="I263" s="9">
        <v>2484</v>
      </c>
      <c r="J263" s="9">
        <v>0</v>
      </c>
      <c r="K263" s="9">
        <v>2517</v>
      </c>
      <c r="L263" s="9">
        <v>0</v>
      </c>
      <c r="M263" s="9">
        <v>2549</v>
      </c>
      <c r="N263" s="9">
        <v>0</v>
      </c>
      <c r="O263" s="9">
        <v>2581</v>
      </c>
      <c r="P263" s="9">
        <v>0</v>
      </c>
      <c r="Q263" s="9">
        <v>2613</v>
      </c>
      <c r="R263" s="9">
        <v>0</v>
      </c>
      <c r="S263" s="9">
        <v>2581</v>
      </c>
      <c r="T263" s="9"/>
      <c r="U263" s="4">
        <f t="shared" si="8"/>
        <v>0</v>
      </c>
      <c r="W263" s="4">
        <v>1964</v>
      </c>
      <c r="X263" s="4">
        <v>2334</v>
      </c>
      <c r="Y263" s="4">
        <v>2042</v>
      </c>
      <c r="Z263" s="4">
        <v>2429</v>
      </c>
      <c r="AA263" s="4">
        <v>2211</v>
      </c>
      <c r="AB263" s="4">
        <v>2174</v>
      </c>
      <c r="AC263" s="4">
        <v>2216</v>
      </c>
      <c r="AD263" s="4">
        <v>2797</v>
      </c>
      <c r="AE263" s="4">
        <v>2476</v>
      </c>
      <c r="AF263" s="4">
        <v>2680</v>
      </c>
      <c r="AG263" s="4">
        <v>2571</v>
      </c>
      <c r="AH263" s="4">
        <v>1933</v>
      </c>
      <c r="AI263" s="7">
        <f t="shared" si="9"/>
        <v>45604</v>
      </c>
      <c r="AJ263" s="7"/>
    </row>
    <row r="264" spans="1:36" x14ac:dyDescent="0.3">
      <c r="A264" s="12" t="s">
        <v>1044</v>
      </c>
      <c r="B264" s="12" t="s">
        <v>863</v>
      </c>
      <c r="C264" s="12" t="s">
        <v>5</v>
      </c>
      <c r="D264" s="13">
        <v>9000132</v>
      </c>
      <c r="E264" s="12" t="s">
        <v>354</v>
      </c>
      <c r="F264" s="12" t="s">
        <v>3</v>
      </c>
      <c r="G264" s="9">
        <v>208</v>
      </c>
      <c r="H264" s="9">
        <v>0</v>
      </c>
      <c r="I264" s="9">
        <v>208</v>
      </c>
      <c r="J264" s="9">
        <v>0</v>
      </c>
      <c r="K264" s="9">
        <v>208</v>
      </c>
      <c r="L264" s="9">
        <v>0</v>
      </c>
      <c r="M264" s="9">
        <v>208</v>
      </c>
      <c r="N264" s="9">
        <v>0</v>
      </c>
      <c r="O264" s="9">
        <v>208</v>
      </c>
      <c r="P264" s="9">
        <v>0</v>
      </c>
      <c r="Q264" s="9">
        <v>208</v>
      </c>
      <c r="R264" s="9">
        <v>0</v>
      </c>
      <c r="S264" s="9">
        <v>208</v>
      </c>
      <c r="T264" s="9"/>
      <c r="U264" s="4">
        <f t="shared" si="8"/>
        <v>0</v>
      </c>
      <c r="W264" s="4">
        <v>160</v>
      </c>
      <c r="X264" s="4">
        <v>142</v>
      </c>
      <c r="Y264" s="4">
        <v>151</v>
      </c>
      <c r="Z264" s="4">
        <v>171</v>
      </c>
      <c r="AA264" s="4">
        <v>150</v>
      </c>
      <c r="AB264" s="4">
        <v>156</v>
      </c>
      <c r="AC264" s="4">
        <v>153</v>
      </c>
      <c r="AD264" s="4">
        <v>247</v>
      </c>
      <c r="AE264" s="4">
        <v>176</v>
      </c>
      <c r="AF264" s="4">
        <v>260</v>
      </c>
      <c r="AG264" s="4">
        <v>208</v>
      </c>
      <c r="AH264" s="4">
        <v>181</v>
      </c>
      <c r="AI264" s="7">
        <f t="shared" si="9"/>
        <v>3611</v>
      </c>
      <c r="AJ264" s="7"/>
    </row>
    <row r="265" spans="1:36" x14ac:dyDescent="0.3">
      <c r="A265" s="12" t="s">
        <v>1044</v>
      </c>
      <c r="B265" s="12" t="s">
        <v>863</v>
      </c>
      <c r="C265" s="12" t="s">
        <v>5</v>
      </c>
      <c r="D265" s="13">
        <v>9000133</v>
      </c>
      <c r="E265" s="12" t="s">
        <v>355</v>
      </c>
      <c r="F265" s="12" t="s">
        <v>3</v>
      </c>
      <c r="G265" s="9">
        <v>82297</v>
      </c>
      <c r="H265" s="9">
        <v>85800.33</v>
      </c>
      <c r="I265" s="9">
        <v>62297</v>
      </c>
      <c r="J265" s="9">
        <v>85800</v>
      </c>
      <c r="K265" s="9">
        <v>98297</v>
      </c>
      <c r="L265" s="9">
        <v>85800</v>
      </c>
      <c r="M265" s="9">
        <v>78297</v>
      </c>
      <c r="N265" s="9">
        <v>85800</v>
      </c>
      <c r="O265" s="9">
        <v>59297</v>
      </c>
      <c r="P265" s="9">
        <v>85800</v>
      </c>
      <c r="Q265" s="9">
        <v>59297</v>
      </c>
      <c r="R265" s="9">
        <v>85800</v>
      </c>
      <c r="S265" s="9">
        <v>65630.333333333328</v>
      </c>
      <c r="T265" s="9"/>
      <c r="U265" s="4">
        <f t="shared" si="8"/>
        <v>514800.33</v>
      </c>
      <c r="W265" s="4">
        <v>57549.666666666664</v>
      </c>
      <c r="X265" s="4">
        <v>6716</v>
      </c>
      <c r="Y265" s="4">
        <v>93549.666666666672</v>
      </c>
      <c r="Z265" s="4">
        <v>5972</v>
      </c>
      <c r="AA265" s="4">
        <v>0</v>
      </c>
      <c r="AB265" s="4">
        <v>77171</v>
      </c>
      <c r="AC265" s="4">
        <v>0</v>
      </c>
      <c r="AD265" s="4">
        <v>91214</v>
      </c>
      <c r="AE265" s="4">
        <v>122297</v>
      </c>
      <c r="AF265" s="4">
        <v>59286</v>
      </c>
      <c r="AG265" s="4">
        <v>107297</v>
      </c>
      <c r="AH265" s="4">
        <v>86079</v>
      </c>
      <c r="AI265" s="7">
        <f t="shared" si="9"/>
        <v>2242144.3266666671</v>
      </c>
      <c r="AJ265" s="7"/>
    </row>
    <row r="266" spans="1:36" x14ac:dyDescent="0.3">
      <c r="A266" s="12" t="s">
        <v>1044</v>
      </c>
      <c r="B266" s="12" t="s">
        <v>863</v>
      </c>
      <c r="C266" s="12" t="s">
        <v>5</v>
      </c>
      <c r="D266" s="13">
        <v>9000140</v>
      </c>
      <c r="E266" s="12" t="s">
        <v>356</v>
      </c>
      <c r="F266" s="12" t="s">
        <v>3</v>
      </c>
      <c r="G266" s="9">
        <v>1630</v>
      </c>
      <c r="H266" s="9">
        <v>1528.8</v>
      </c>
      <c r="I266" s="9">
        <v>1632</v>
      </c>
      <c r="J266" s="9">
        <v>1528.8</v>
      </c>
      <c r="K266" s="9">
        <v>1635</v>
      </c>
      <c r="L266" s="9">
        <v>1528.8</v>
      </c>
      <c r="M266" s="9">
        <v>1638</v>
      </c>
      <c r="N266" s="9">
        <v>1528.8</v>
      </c>
      <c r="O266" s="9">
        <v>1641</v>
      </c>
      <c r="P266" s="9">
        <v>1528.8</v>
      </c>
      <c r="Q266" s="9">
        <v>1643</v>
      </c>
      <c r="R266" s="9">
        <v>1528.8</v>
      </c>
      <c r="S266" s="9">
        <v>1640.6666666666667</v>
      </c>
      <c r="T266" s="9"/>
      <c r="U266" s="4">
        <f t="shared" si="8"/>
        <v>9172.7999999999993</v>
      </c>
      <c r="W266" s="4">
        <v>1613</v>
      </c>
      <c r="X266" s="4">
        <v>1546</v>
      </c>
      <c r="Y266" s="4">
        <v>1664</v>
      </c>
      <c r="Z266" s="4">
        <v>1730</v>
      </c>
      <c r="AA266" s="4">
        <v>1659.5</v>
      </c>
      <c r="AB266" s="4">
        <v>1410</v>
      </c>
      <c r="AC266" s="4">
        <v>1671</v>
      </c>
      <c r="AD266" s="4">
        <v>1786</v>
      </c>
      <c r="AE266" s="4">
        <v>1704</v>
      </c>
      <c r="AF266" s="4">
        <v>1066</v>
      </c>
      <c r="AG266" s="4">
        <v>1521</v>
      </c>
      <c r="AH266" s="4">
        <v>2071</v>
      </c>
      <c r="AI266" s="7">
        <f t="shared" si="9"/>
        <v>49246.766666666663</v>
      </c>
      <c r="AJ266" s="7"/>
    </row>
    <row r="267" spans="1:36" x14ac:dyDescent="0.3">
      <c r="A267" s="12" t="s">
        <v>1044</v>
      </c>
      <c r="B267" s="12" t="s">
        <v>863</v>
      </c>
      <c r="C267" s="12" t="s">
        <v>5</v>
      </c>
      <c r="D267" s="13">
        <v>9000142</v>
      </c>
      <c r="E267" s="12" t="s">
        <v>357</v>
      </c>
      <c r="F267" s="12" t="s">
        <v>3</v>
      </c>
      <c r="G267" s="9">
        <v>28798</v>
      </c>
      <c r="H267" s="9">
        <v>25480</v>
      </c>
      <c r="I267" s="9">
        <v>29035</v>
      </c>
      <c r="J267" s="9">
        <v>25480</v>
      </c>
      <c r="K267" s="9">
        <v>29271</v>
      </c>
      <c r="L267" s="9">
        <v>25480</v>
      </c>
      <c r="M267" s="9">
        <v>29508</v>
      </c>
      <c r="N267" s="9">
        <v>25480</v>
      </c>
      <c r="O267" s="9">
        <v>29745</v>
      </c>
      <c r="P267" s="9">
        <v>25480</v>
      </c>
      <c r="Q267" s="9">
        <v>29981</v>
      </c>
      <c r="R267" s="9">
        <v>25480</v>
      </c>
      <c r="S267" s="9">
        <v>29744.666666666668</v>
      </c>
      <c r="T267" s="9"/>
      <c r="U267" s="4">
        <f t="shared" si="8"/>
        <v>152880</v>
      </c>
      <c r="W267" s="4">
        <v>26669</v>
      </c>
      <c r="X267" s="4">
        <v>30053</v>
      </c>
      <c r="Y267" s="4">
        <v>27601</v>
      </c>
      <c r="Z267" s="4">
        <v>21635</v>
      </c>
      <c r="AA267" s="4">
        <v>25834</v>
      </c>
      <c r="AB267" s="4">
        <v>28965</v>
      </c>
      <c r="AC267" s="4">
        <v>26858</v>
      </c>
      <c r="AD267" s="4">
        <v>31539</v>
      </c>
      <c r="AE267" s="4">
        <v>29423</v>
      </c>
      <c r="AF267" s="4">
        <v>27101</v>
      </c>
      <c r="AG267" s="4">
        <v>28900</v>
      </c>
      <c r="AH267" s="4">
        <v>29240</v>
      </c>
      <c r="AI267" s="7">
        <f t="shared" si="9"/>
        <v>845660.66666666674</v>
      </c>
      <c r="AJ267" s="7"/>
    </row>
    <row r="268" spans="1:36" x14ac:dyDescent="0.3">
      <c r="A268" s="12" t="s">
        <v>1042</v>
      </c>
      <c r="B268" s="12" t="str">
        <f>INDEX([1]오송!$C:$C,MATCH(D268,[1]오송!$D:$D,0))</f>
        <v>오송</v>
      </c>
      <c r="C268" s="12" t="s">
        <v>5</v>
      </c>
      <c r="D268" s="13">
        <v>9000146</v>
      </c>
      <c r="E268" s="12" t="s">
        <v>219</v>
      </c>
      <c r="F268" s="12" t="s">
        <v>3</v>
      </c>
      <c r="G268" s="9">
        <v>17455</v>
      </c>
      <c r="H268" s="9">
        <v>0</v>
      </c>
      <c r="I268" s="9">
        <v>20455</v>
      </c>
      <c r="J268" s="9">
        <v>21232.68</v>
      </c>
      <c r="K268" s="9">
        <v>19455</v>
      </c>
      <c r="L268" s="9">
        <v>21232.68</v>
      </c>
      <c r="M268" s="9">
        <v>17455</v>
      </c>
      <c r="N268" s="9">
        <v>21232.68</v>
      </c>
      <c r="O268" s="9">
        <v>18455</v>
      </c>
      <c r="P268" s="9">
        <v>21232.68</v>
      </c>
      <c r="Q268" s="9">
        <v>18455</v>
      </c>
      <c r="R268" s="9">
        <v>0</v>
      </c>
      <c r="S268" s="9">
        <v>18121.666666666668</v>
      </c>
      <c r="T268" s="9"/>
      <c r="U268" s="4">
        <f t="shared" si="8"/>
        <v>84930.72</v>
      </c>
      <c r="W268" s="4">
        <v>13457.333333333334</v>
      </c>
      <c r="X268" s="4">
        <v>13684</v>
      </c>
      <c r="Y268" s="4">
        <v>10457.333333333334</v>
      </c>
      <c r="Z268" s="4">
        <v>10482</v>
      </c>
      <c r="AA268" s="4">
        <v>0</v>
      </c>
      <c r="AB268" s="4">
        <v>18818</v>
      </c>
      <c r="AC268" s="4">
        <v>0</v>
      </c>
      <c r="AD268" s="4">
        <v>20447</v>
      </c>
      <c r="AE268" s="4">
        <v>21455</v>
      </c>
      <c r="AF268" s="4">
        <v>22288</v>
      </c>
      <c r="AG268" s="4">
        <v>16455</v>
      </c>
      <c r="AH268" s="4">
        <v>17061</v>
      </c>
      <c r="AI268" s="7">
        <f t="shared" si="9"/>
        <v>464317.77333333326</v>
      </c>
      <c r="AJ268" s="7"/>
    </row>
    <row r="269" spans="1:36" x14ac:dyDescent="0.3">
      <c r="A269" s="12" t="s">
        <v>1044</v>
      </c>
      <c r="B269" s="12" t="s">
        <v>863</v>
      </c>
      <c r="C269" s="12" t="s">
        <v>5</v>
      </c>
      <c r="D269" s="13">
        <v>9000154</v>
      </c>
      <c r="E269" s="12" t="s">
        <v>358</v>
      </c>
      <c r="F269" s="12" t="s">
        <v>3</v>
      </c>
      <c r="G269" s="9">
        <v>775</v>
      </c>
      <c r="H269" s="9">
        <v>0</v>
      </c>
      <c r="I269" s="9">
        <v>780</v>
      </c>
      <c r="J269" s="9">
        <v>0</v>
      </c>
      <c r="K269" s="9">
        <v>785</v>
      </c>
      <c r="L269" s="9">
        <v>0</v>
      </c>
      <c r="M269" s="9">
        <v>789</v>
      </c>
      <c r="N269" s="9">
        <v>0</v>
      </c>
      <c r="O269" s="9">
        <v>794</v>
      </c>
      <c r="P269" s="9">
        <v>9800</v>
      </c>
      <c r="Q269" s="9">
        <v>798</v>
      </c>
      <c r="R269" s="9">
        <v>0</v>
      </c>
      <c r="S269" s="9">
        <v>793.66666666666663</v>
      </c>
      <c r="T269" s="9"/>
      <c r="U269" s="4">
        <f t="shared" si="8"/>
        <v>9800</v>
      </c>
      <c r="W269" s="4">
        <v>752</v>
      </c>
      <c r="X269" s="4">
        <v>731</v>
      </c>
      <c r="Y269" s="4">
        <v>726</v>
      </c>
      <c r="Z269" s="4">
        <v>615</v>
      </c>
      <c r="AA269" s="4">
        <v>686</v>
      </c>
      <c r="AB269" s="4">
        <v>572</v>
      </c>
      <c r="AC269" s="4">
        <v>645</v>
      </c>
      <c r="AD269" s="4">
        <v>721</v>
      </c>
      <c r="AE269" s="4">
        <v>668</v>
      </c>
      <c r="AF269" s="4">
        <v>967</v>
      </c>
      <c r="AG269" s="4">
        <v>773</v>
      </c>
      <c r="AH269" s="4">
        <v>862</v>
      </c>
      <c r="AI269" s="7">
        <f t="shared" si="9"/>
        <v>33832.666666666664</v>
      </c>
      <c r="AJ269" s="7"/>
    </row>
    <row r="270" spans="1:36" x14ac:dyDescent="0.3">
      <c r="A270" s="12" t="s">
        <v>1044</v>
      </c>
      <c r="B270" s="12" t="s">
        <v>863</v>
      </c>
      <c r="C270" s="12" t="s">
        <v>5</v>
      </c>
      <c r="D270" s="13">
        <v>9000155</v>
      </c>
      <c r="E270" s="12" t="s">
        <v>359</v>
      </c>
      <c r="F270" s="12" t="s">
        <v>3</v>
      </c>
      <c r="G270" s="9">
        <v>1236</v>
      </c>
      <c r="H270" s="9">
        <v>0</v>
      </c>
      <c r="I270" s="9">
        <v>1228</v>
      </c>
      <c r="J270" s="9">
        <v>0</v>
      </c>
      <c r="K270" s="9">
        <v>1220</v>
      </c>
      <c r="L270" s="9">
        <v>0</v>
      </c>
      <c r="M270" s="9">
        <v>1212</v>
      </c>
      <c r="N270" s="9">
        <v>0</v>
      </c>
      <c r="O270" s="9">
        <v>1204</v>
      </c>
      <c r="P270" s="9">
        <v>0</v>
      </c>
      <c r="Q270" s="9">
        <v>1196</v>
      </c>
      <c r="R270" s="9">
        <v>4900</v>
      </c>
      <c r="S270" s="9">
        <v>1204</v>
      </c>
      <c r="T270" s="9"/>
      <c r="U270" s="4">
        <f t="shared" si="8"/>
        <v>4900</v>
      </c>
      <c r="W270" s="4">
        <v>1232</v>
      </c>
      <c r="X270" s="4">
        <v>1476</v>
      </c>
      <c r="Y270" s="4">
        <v>1246</v>
      </c>
      <c r="Z270" s="4">
        <v>1302</v>
      </c>
      <c r="AA270" s="4">
        <v>1264</v>
      </c>
      <c r="AB270" s="4">
        <v>923</v>
      </c>
      <c r="AC270" s="4">
        <v>1121</v>
      </c>
      <c r="AD270" s="4">
        <v>1081</v>
      </c>
      <c r="AE270" s="4">
        <v>1062</v>
      </c>
      <c r="AF270" s="4">
        <v>1611</v>
      </c>
      <c r="AG270" s="4">
        <v>1219</v>
      </c>
      <c r="AH270" s="4">
        <v>1264</v>
      </c>
      <c r="AI270" s="7">
        <f t="shared" si="9"/>
        <v>33101</v>
      </c>
      <c r="AJ270" s="7"/>
    </row>
    <row r="271" spans="1:36" x14ac:dyDescent="0.3">
      <c r="A271" s="12" t="s">
        <v>1044</v>
      </c>
      <c r="B271" s="12" t="s">
        <v>863</v>
      </c>
      <c r="C271" s="12" t="s">
        <v>5</v>
      </c>
      <c r="D271" s="13">
        <v>9000156</v>
      </c>
      <c r="E271" s="12" t="s">
        <v>360</v>
      </c>
      <c r="F271" s="12" t="s">
        <v>3</v>
      </c>
      <c r="G271" s="9">
        <v>2079</v>
      </c>
      <c r="H271" s="9">
        <v>4900</v>
      </c>
      <c r="I271" s="9">
        <v>2075</v>
      </c>
      <c r="J271" s="9">
        <v>4900</v>
      </c>
      <c r="K271" s="9">
        <v>2070</v>
      </c>
      <c r="L271" s="9">
        <v>0</v>
      </c>
      <c r="M271" s="9">
        <v>2066</v>
      </c>
      <c r="N271" s="9">
        <v>0</v>
      </c>
      <c r="O271" s="9">
        <v>2061</v>
      </c>
      <c r="P271" s="9">
        <v>2450</v>
      </c>
      <c r="Q271" s="9">
        <v>2056</v>
      </c>
      <c r="R271" s="9">
        <v>0</v>
      </c>
      <c r="S271" s="9">
        <v>2061</v>
      </c>
      <c r="T271" s="9"/>
      <c r="U271" s="4">
        <f t="shared" si="8"/>
        <v>12250</v>
      </c>
      <c r="W271" s="4">
        <v>2314</v>
      </c>
      <c r="X271" s="4">
        <v>1619</v>
      </c>
      <c r="Y271" s="4">
        <v>2095</v>
      </c>
      <c r="Z271" s="4">
        <v>2517</v>
      </c>
      <c r="AA271" s="4">
        <v>2322</v>
      </c>
      <c r="AB271" s="4">
        <v>1037</v>
      </c>
      <c r="AC271" s="4">
        <v>1808</v>
      </c>
      <c r="AD271" s="4">
        <v>2502</v>
      </c>
      <c r="AE271" s="4">
        <v>1937</v>
      </c>
      <c r="AF271" s="4">
        <v>2137</v>
      </c>
      <c r="AG271" s="4">
        <v>2017</v>
      </c>
      <c r="AH271" s="4">
        <v>2389</v>
      </c>
      <c r="AI271" s="7">
        <f t="shared" si="9"/>
        <v>63662</v>
      </c>
      <c r="AJ271" s="7"/>
    </row>
    <row r="272" spans="1:36" x14ac:dyDescent="0.3">
      <c r="A272" s="12" t="s">
        <v>1044</v>
      </c>
      <c r="B272" s="12" t="s">
        <v>863</v>
      </c>
      <c r="C272" s="12" t="s">
        <v>5</v>
      </c>
      <c r="D272" s="13">
        <v>9000167</v>
      </c>
      <c r="E272" s="12" t="s">
        <v>361</v>
      </c>
      <c r="F272" s="12" t="s">
        <v>3</v>
      </c>
      <c r="G272" s="9">
        <v>6905</v>
      </c>
      <c r="H272" s="9">
        <v>6532.6799999999994</v>
      </c>
      <c r="I272" s="9">
        <v>7229</v>
      </c>
      <c r="J272" s="9">
        <v>0</v>
      </c>
      <c r="K272" s="9">
        <v>7554</v>
      </c>
      <c r="L272" s="9">
        <v>6532.6799999999994</v>
      </c>
      <c r="M272" s="9">
        <v>7878</v>
      </c>
      <c r="N272" s="9">
        <v>0</v>
      </c>
      <c r="O272" s="9">
        <v>8202</v>
      </c>
      <c r="P272" s="9">
        <v>0</v>
      </c>
      <c r="Q272" s="9">
        <v>8526</v>
      </c>
      <c r="R272" s="9">
        <v>0</v>
      </c>
      <c r="S272" s="9">
        <v>8202</v>
      </c>
      <c r="T272" s="9"/>
      <c r="U272" s="4">
        <f t="shared" si="8"/>
        <v>13065.359999999999</v>
      </c>
      <c r="W272" s="4">
        <v>0</v>
      </c>
      <c r="X272" s="4">
        <v>0</v>
      </c>
      <c r="Y272" s="4">
        <v>4365</v>
      </c>
      <c r="Z272" s="4">
        <v>0</v>
      </c>
      <c r="AA272" s="4">
        <v>2188</v>
      </c>
      <c r="AB272" s="4">
        <v>6460</v>
      </c>
      <c r="AC272" s="4">
        <v>2153</v>
      </c>
      <c r="AD272" s="4">
        <v>6440</v>
      </c>
      <c r="AE272" s="4">
        <v>4300</v>
      </c>
      <c r="AF272" s="4">
        <v>6530</v>
      </c>
      <c r="AG272" s="4">
        <v>6477</v>
      </c>
      <c r="AH272" s="4">
        <v>6590</v>
      </c>
      <c r="AI272" s="7">
        <f t="shared" si="9"/>
        <v>126129.72</v>
      </c>
      <c r="AJ272" s="7"/>
    </row>
    <row r="273" spans="1:36" x14ac:dyDescent="0.3">
      <c r="A273" s="12" t="s">
        <v>1044</v>
      </c>
      <c r="B273" s="12" t="s">
        <v>863</v>
      </c>
      <c r="C273" s="12" t="s">
        <v>5</v>
      </c>
      <c r="D273" s="13">
        <v>9000170</v>
      </c>
      <c r="E273" s="12" t="s">
        <v>362</v>
      </c>
      <c r="F273" s="12" t="s">
        <v>3</v>
      </c>
      <c r="G273" s="9">
        <v>1833</v>
      </c>
      <c r="H273" s="9">
        <v>0</v>
      </c>
      <c r="I273" s="9">
        <v>1793</v>
      </c>
      <c r="J273" s="9">
        <v>0</v>
      </c>
      <c r="K273" s="9">
        <v>1753</v>
      </c>
      <c r="L273" s="9">
        <v>0</v>
      </c>
      <c r="M273" s="9">
        <v>1713</v>
      </c>
      <c r="N273" s="9">
        <v>0</v>
      </c>
      <c r="O273" s="9">
        <v>1672</v>
      </c>
      <c r="P273" s="9">
        <v>0</v>
      </c>
      <c r="Q273" s="9">
        <v>1632</v>
      </c>
      <c r="R273" s="9">
        <v>0</v>
      </c>
      <c r="S273" s="9">
        <v>1672.3333333333333</v>
      </c>
      <c r="T273" s="9"/>
      <c r="U273" s="4">
        <f t="shared" si="8"/>
        <v>0</v>
      </c>
      <c r="W273" s="4">
        <v>2645</v>
      </c>
      <c r="X273" s="4">
        <v>1990</v>
      </c>
      <c r="Y273" s="4">
        <v>2474</v>
      </c>
      <c r="Z273" s="4">
        <v>1879</v>
      </c>
      <c r="AA273" s="4">
        <v>2343</v>
      </c>
      <c r="AB273" s="4">
        <v>1880</v>
      </c>
      <c r="AC273" s="4">
        <v>2232</v>
      </c>
      <c r="AD273" s="4">
        <v>1473</v>
      </c>
      <c r="AE273" s="4">
        <v>1939</v>
      </c>
      <c r="AF273" s="4">
        <v>2405</v>
      </c>
      <c r="AG273" s="4">
        <v>1998</v>
      </c>
      <c r="AH273" s="4">
        <v>1734</v>
      </c>
      <c r="AI273" s="7">
        <f t="shared" si="9"/>
        <v>37060.333333333336</v>
      </c>
      <c r="AJ273" s="7"/>
    </row>
    <row r="274" spans="1:36" x14ac:dyDescent="0.3">
      <c r="A274" s="12" t="s">
        <v>1044</v>
      </c>
      <c r="B274" s="12" t="s">
        <v>863</v>
      </c>
      <c r="C274" s="12" t="s">
        <v>5</v>
      </c>
      <c r="D274" s="13">
        <v>9000183</v>
      </c>
      <c r="E274" s="12" t="s">
        <v>363</v>
      </c>
      <c r="F274" s="12" t="s">
        <v>3</v>
      </c>
      <c r="G274" s="9">
        <v>500</v>
      </c>
      <c r="H274" s="9">
        <v>3265.36</v>
      </c>
      <c r="I274" s="9">
        <v>500</v>
      </c>
      <c r="J274" s="9">
        <v>0</v>
      </c>
      <c r="K274" s="9">
        <v>500</v>
      </c>
      <c r="L274" s="9">
        <v>0</v>
      </c>
      <c r="M274" s="9">
        <v>500</v>
      </c>
      <c r="N274" s="9">
        <v>0</v>
      </c>
      <c r="O274" s="9">
        <v>500</v>
      </c>
      <c r="P274" s="9">
        <v>0</v>
      </c>
      <c r="Q274" s="9">
        <v>500</v>
      </c>
      <c r="R274" s="9">
        <v>0</v>
      </c>
      <c r="S274" s="9">
        <v>500</v>
      </c>
      <c r="T274" s="9"/>
      <c r="U274" s="4">
        <f t="shared" si="8"/>
        <v>3265.36</v>
      </c>
      <c r="W274" s="4">
        <v>500</v>
      </c>
      <c r="X274" s="4">
        <v>552</v>
      </c>
      <c r="Y274" s="4">
        <v>500</v>
      </c>
      <c r="Z274" s="4">
        <v>310</v>
      </c>
      <c r="AA274" s="4">
        <v>500</v>
      </c>
      <c r="AB274" s="4">
        <v>549</v>
      </c>
      <c r="AC274" s="4">
        <v>500</v>
      </c>
      <c r="AD274" s="4">
        <v>421</v>
      </c>
      <c r="AE274" s="4">
        <v>500</v>
      </c>
      <c r="AF274" s="4">
        <v>552</v>
      </c>
      <c r="AG274" s="4">
        <v>500</v>
      </c>
      <c r="AH274" s="4">
        <v>554</v>
      </c>
      <c r="AI274" s="7">
        <f t="shared" si="9"/>
        <v>15968.720000000001</v>
      </c>
      <c r="AJ274" s="7"/>
    </row>
    <row r="275" spans="1:36" x14ac:dyDescent="0.3">
      <c r="A275" s="12" t="s">
        <v>1044</v>
      </c>
      <c r="B275" s="12" t="s">
        <v>863</v>
      </c>
      <c r="C275" s="12" t="s">
        <v>5</v>
      </c>
      <c r="D275" s="13">
        <v>9000197</v>
      </c>
      <c r="E275" s="12" t="s">
        <v>364</v>
      </c>
      <c r="F275" s="12" t="s">
        <v>3</v>
      </c>
      <c r="G275" s="9">
        <v>0</v>
      </c>
      <c r="H275" s="9">
        <v>0</v>
      </c>
      <c r="I275" s="9">
        <v>0</v>
      </c>
      <c r="J275" s="9">
        <v>0</v>
      </c>
      <c r="K275" s="9">
        <v>0</v>
      </c>
      <c r="L275" s="9">
        <v>0</v>
      </c>
      <c r="M275" s="9">
        <v>0</v>
      </c>
      <c r="N275" s="9">
        <v>0</v>
      </c>
      <c r="O275" s="9">
        <v>0</v>
      </c>
      <c r="P275" s="9">
        <v>0</v>
      </c>
      <c r="Q275" s="9">
        <v>0</v>
      </c>
      <c r="R275" s="9">
        <v>0</v>
      </c>
      <c r="S275" s="9">
        <v>0</v>
      </c>
      <c r="T275" s="9"/>
      <c r="U275" s="4">
        <f t="shared" si="8"/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144310</v>
      </c>
      <c r="AC275" s="4">
        <v>48103</v>
      </c>
      <c r="AD275" s="4">
        <v>0</v>
      </c>
      <c r="AE275" s="4">
        <v>48103</v>
      </c>
      <c r="AF275" s="4">
        <v>0</v>
      </c>
      <c r="AG275" s="4">
        <v>48103</v>
      </c>
      <c r="AH275" s="4">
        <v>0</v>
      </c>
      <c r="AI275" s="7">
        <f t="shared" si="9"/>
        <v>288619</v>
      </c>
      <c r="AJ275" s="7"/>
    </row>
    <row r="276" spans="1:36" x14ac:dyDescent="0.3">
      <c r="A276" s="12" t="s">
        <v>865</v>
      </c>
      <c r="B276" s="12" t="s">
        <v>863</v>
      </c>
      <c r="C276" s="12" t="s">
        <v>5</v>
      </c>
      <c r="D276" s="13">
        <v>9000201</v>
      </c>
      <c r="E276" s="12" t="s">
        <v>365</v>
      </c>
      <c r="F276" s="12" t="s">
        <v>3</v>
      </c>
      <c r="G276" s="9">
        <v>6000</v>
      </c>
      <c r="H276" s="9">
        <v>0</v>
      </c>
      <c r="I276" s="9">
        <v>6000</v>
      </c>
      <c r="J276" s="9">
        <v>0</v>
      </c>
      <c r="K276" s="9">
        <v>6000</v>
      </c>
      <c r="L276" s="9">
        <v>0</v>
      </c>
      <c r="M276" s="9">
        <v>6000</v>
      </c>
      <c r="N276" s="9">
        <v>0</v>
      </c>
      <c r="O276" s="9">
        <v>6000</v>
      </c>
      <c r="P276" s="9">
        <v>0</v>
      </c>
      <c r="Q276" s="9">
        <v>6000</v>
      </c>
      <c r="R276" s="9">
        <v>0</v>
      </c>
      <c r="S276" s="9">
        <v>6000</v>
      </c>
      <c r="T276" s="9"/>
      <c r="U276" s="4">
        <f t="shared" si="8"/>
        <v>0</v>
      </c>
      <c r="W276" s="4">
        <v>0</v>
      </c>
      <c r="X276" s="4">
        <v>0</v>
      </c>
      <c r="Y276" s="4">
        <v>1015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6000</v>
      </c>
      <c r="AG276" s="4">
        <v>2000</v>
      </c>
      <c r="AH276" s="4">
        <v>0</v>
      </c>
      <c r="AI276" s="7">
        <f t="shared" si="9"/>
        <v>51015</v>
      </c>
      <c r="AJ276" s="7"/>
    </row>
    <row r="277" spans="1:36" x14ac:dyDescent="0.3">
      <c r="A277" s="12" t="s">
        <v>1042</v>
      </c>
      <c r="B277" s="12" t="str">
        <f>INDEX([1]오송!$C:$C,MATCH(D277,[1]오송!$D:$D,0))</f>
        <v>오송</v>
      </c>
      <c r="C277" s="12" t="s">
        <v>5</v>
      </c>
      <c r="D277" s="13">
        <v>9000226</v>
      </c>
      <c r="E277" s="12" t="s">
        <v>220</v>
      </c>
      <c r="F277" s="12" t="s">
        <v>3</v>
      </c>
      <c r="G277" s="9">
        <v>19296</v>
      </c>
      <c r="H277" s="9">
        <v>12962</v>
      </c>
      <c r="I277" s="9">
        <v>19071</v>
      </c>
      <c r="J277" s="9">
        <v>39600</v>
      </c>
      <c r="K277" s="9">
        <v>18846</v>
      </c>
      <c r="L277" s="9">
        <v>19800</v>
      </c>
      <c r="M277" s="9">
        <v>18621</v>
      </c>
      <c r="N277" s="9">
        <v>19800</v>
      </c>
      <c r="O277" s="9">
        <v>18396</v>
      </c>
      <c r="P277" s="9">
        <v>19800</v>
      </c>
      <c r="Q277" s="9">
        <v>18171</v>
      </c>
      <c r="R277" s="9">
        <v>19800</v>
      </c>
      <c r="S277" s="9">
        <v>18396</v>
      </c>
      <c r="T277" s="9"/>
      <c r="U277" s="4">
        <f t="shared" si="8"/>
        <v>131762</v>
      </c>
      <c r="W277" s="4">
        <v>21129</v>
      </c>
      <c r="X277" s="4">
        <v>22025</v>
      </c>
      <c r="Y277" s="4">
        <v>21235</v>
      </c>
      <c r="Z277" s="4">
        <v>18932</v>
      </c>
      <c r="AA277" s="4">
        <v>20340</v>
      </c>
      <c r="AB277" s="4">
        <v>21467</v>
      </c>
      <c r="AC277" s="4">
        <v>20164</v>
      </c>
      <c r="AD277" s="4">
        <v>22411</v>
      </c>
      <c r="AE277" s="4">
        <v>21059</v>
      </c>
      <c r="AF277" s="4">
        <v>17894</v>
      </c>
      <c r="AG277" s="4">
        <v>19910</v>
      </c>
      <c r="AH277" s="4">
        <v>18721</v>
      </c>
      <c r="AI277" s="7">
        <f t="shared" si="9"/>
        <v>639608</v>
      </c>
      <c r="AJ277" s="7"/>
    </row>
    <row r="278" spans="1:36" x14ac:dyDescent="0.3">
      <c r="A278" s="14" t="s">
        <v>1036</v>
      </c>
      <c r="B278" s="14" t="s">
        <v>1047</v>
      </c>
      <c r="C278" s="14" t="s">
        <v>5</v>
      </c>
      <c r="D278" s="13">
        <v>9000231</v>
      </c>
      <c r="E278" s="12" t="s">
        <v>366</v>
      </c>
      <c r="F278" s="12" t="s">
        <v>3</v>
      </c>
      <c r="G278" s="9">
        <v>9159</v>
      </c>
      <c r="H278" s="9">
        <v>0</v>
      </c>
      <c r="I278" s="9">
        <v>9159</v>
      </c>
      <c r="J278" s="9">
        <v>33333</v>
      </c>
      <c r="K278" s="9">
        <v>9159</v>
      </c>
      <c r="L278" s="9">
        <v>0</v>
      </c>
      <c r="M278" s="9">
        <v>9159</v>
      </c>
      <c r="N278" s="9">
        <v>0</v>
      </c>
      <c r="O278" s="9">
        <v>9159</v>
      </c>
      <c r="P278" s="9">
        <v>0</v>
      </c>
      <c r="Q278" s="9">
        <v>9159</v>
      </c>
      <c r="R278" s="9">
        <v>33333</v>
      </c>
      <c r="S278" s="9">
        <v>9159</v>
      </c>
      <c r="T278" s="9"/>
      <c r="U278" s="4">
        <f t="shared" si="8"/>
        <v>66666</v>
      </c>
      <c r="W278" s="4">
        <v>13000</v>
      </c>
      <c r="X278" s="4">
        <v>8140</v>
      </c>
      <c r="Y278" s="4">
        <v>7739</v>
      </c>
      <c r="Z278" s="4">
        <v>10071</v>
      </c>
      <c r="AA278" s="4">
        <v>7937</v>
      </c>
      <c r="AB278" s="4">
        <v>6238</v>
      </c>
      <c r="AC278" s="4">
        <v>8150</v>
      </c>
      <c r="AD278" s="4">
        <v>10006</v>
      </c>
      <c r="AE278" s="4">
        <v>8772</v>
      </c>
      <c r="AF278" s="4">
        <v>11446</v>
      </c>
      <c r="AG278" s="4">
        <v>9230</v>
      </c>
      <c r="AH278" s="4">
        <v>7359</v>
      </c>
      <c r="AI278" s="7">
        <f t="shared" si="9"/>
        <v>305533</v>
      </c>
      <c r="AJ278" s="7"/>
    </row>
    <row r="279" spans="1:36" x14ac:dyDescent="0.3">
      <c r="A279" s="14" t="s">
        <v>1036</v>
      </c>
      <c r="B279" s="14" t="s">
        <v>863</v>
      </c>
      <c r="C279" s="14" t="s">
        <v>5</v>
      </c>
      <c r="D279" s="13">
        <v>9000232</v>
      </c>
      <c r="E279" s="12" t="s">
        <v>367</v>
      </c>
      <c r="F279" s="12" t="s">
        <v>3</v>
      </c>
      <c r="G279" s="9">
        <v>3502</v>
      </c>
      <c r="H279" s="9">
        <v>0</v>
      </c>
      <c r="I279" s="9">
        <v>3448</v>
      </c>
      <c r="J279" s="9">
        <v>7500</v>
      </c>
      <c r="K279" s="9">
        <v>3393</v>
      </c>
      <c r="L279" s="9">
        <v>0</v>
      </c>
      <c r="M279" s="9">
        <v>3338</v>
      </c>
      <c r="N279" s="9">
        <v>0</v>
      </c>
      <c r="O279" s="9">
        <v>3284</v>
      </c>
      <c r="P279" s="9">
        <v>7500</v>
      </c>
      <c r="Q279" s="9">
        <v>3229</v>
      </c>
      <c r="R279" s="9">
        <v>0</v>
      </c>
      <c r="S279" s="9">
        <v>3283.6666666666665</v>
      </c>
      <c r="T279" s="9"/>
      <c r="U279" s="4">
        <f t="shared" si="8"/>
        <v>15000</v>
      </c>
      <c r="W279" s="4">
        <v>8000</v>
      </c>
      <c r="X279" s="4">
        <v>3597</v>
      </c>
      <c r="Y279" s="4">
        <v>4272</v>
      </c>
      <c r="Z279" s="4">
        <v>3841</v>
      </c>
      <c r="AA279" s="4">
        <v>4379</v>
      </c>
      <c r="AB279" s="4">
        <v>3299</v>
      </c>
      <c r="AC279" s="4">
        <v>3620</v>
      </c>
      <c r="AD279" s="4">
        <v>4354</v>
      </c>
      <c r="AE279" s="4">
        <v>3610</v>
      </c>
      <c r="AF279" s="4">
        <v>4197</v>
      </c>
      <c r="AG279" s="4">
        <v>3647</v>
      </c>
      <c r="AH279" s="4">
        <v>2862</v>
      </c>
      <c r="AI279" s="7">
        <f t="shared" si="9"/>
        <v>103155.66666666666</v>
      </c>
      <c r="AJ279" s="7"/>
    </row>
    <row r="280" spans="1:36" x14ac:dyDescent="0.3">
      <c r="A280" s="12" t="s">
        <v>1044</v>
      </c>
      <c r="B280" s="12" t="s">
        <v>863</v>
      </c>
      <c r="C280" s="12" t="s">
        <v>5</v>
      </c>
      <c r="D280" s="13">
        <v>9000233</v>
      </c>
      <c r="E280" s="12" t="s">
        <v>368</v>
      </c>
      <c r="F280" s="12" t="s">
        <v>3</v>
      </c>
      <c r="G280" s="9">
        <v>2008</v>
      </c>
      <c r="H280" s="9">
        <v>0</v>
      </c>
      <c r="I280" s="9">
        <v>2008</v>
      </c>
      <c r="J280" s="9">
        <v>0</v>
      </c>
      <c r="K280" s="9">
        <v>2008</v>
      </c>
      <c r="L280" s="9">
        <v>0</v>
      </c>
      <c r="M280" s="9">
        <v>2008</v>
      </c>
      <c r="N280" s="9">
        <v>0</v>
      </c>
      <c r="O280" s="9">
        <v>2008</v>
      </c>
      <c r="P280" s="9">
        <v>0</v>
      </c>
      <c r="Q280" s="9">
        <v>2008</v>
      </c>
      <c r="R280" s="9">
        <v>0</v>
      </c>
      <c r="S280" s="9">
        <v>2008</v>
      </c>
      <c r="T280" s="9"/>
      <c r="U280" s="4">
        <f t="shared" si="8"/>
        <v>0</v>
      </c>
      <c r="W280" s="4">
        <v>5000</v>
      </c>
      <c r="X280" s="4">
        <v>1637</v>
      </c>
      <c r="Y280" s="4">
        <v>1453</v>
      </c>
      <c r="Z280" s="4">
        <v>2227</v>
      </c>
      <c r="AA280" s="4">
        <v>1690</v>
      </c>
      <c r="AB280" s="4">
        <v>2033</v>
      </c>
      <c r="AC280" s="4">
        <v>1966</v>
      </c>
      <c r="AD280" s="4">
        <v>2282</v>
      </c>
      <c r="AE280" s="4">
        <v>2181</v>
      </c>
      <c r="AF280" s="4">
        <v>2233</v>
      </c>
      <c r="AG280" s="4">
        <v>2183</v>
      </c>
      <c r="AH280" s="4">
        <v>1566</v>
      </c>
      <c r="AI280" s="7">
        <f t="shared" si="9"/>
        <v>40507</v>
      </c>
      <c r="AJ280" s="7"/>
    </row>
    <row r="281" spans="1:36" x14ac:dyDescent="0.3">
      <c r="A281" s="12" t="s">
        <v>866</v>
      </c>
      <c r="B281" s="12" t="s">
        <v>864</v>
      </c>
      <c r="C281" s="12" t="s">
        <v>867</v>
      </c>
      <c r="D281" s="13">
        <v>9000252</v>
      </c>
      <c r="E281" s="12" t="s">
        <v>369</v>
      </c>
      <c r="F281" s="12" t="s">
        <v>3</v>
      </c>
      <c r="G281" s="9">
        <v>0</v>
      </c>
      <c r="H281" s="9" t="s">
        <v>861</v>
      </c>
      <c r="I281" s="9">
        <v>0</v>
      </c>
      <c r="J281" s="9" t="s">
        <v>861</v>
      </c>
      <c r="K281" s="9">
        <v>0</v>
      </c>
      <c r="L281" s="9">
        <v>1630</v>
      </c>
      <c r="M281" s="9">
        <v>0</v>
      </c>
      <c r="N281" s="9">
        <v>0</v>
      </c>
      <c r="O281" s="9">
        <v>0</v>
      </c>
      <c r="P281" s="9">
        <v>0</v>
      </c>
      <c r="Q281" s="9">
        <v>0</v>
      </c>
      <c r="R281" s="9">
        <v>0</v>
      </c>
      <c r="S281" s="9">
        <v>0</v>
      </c>
      <c r="T281" s="9"/>
      <c r="U281" s="4">
        <f t="shared" si="8"/>
        <v>1630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1543</v>
      </c>
      <c r="AE281" s="4">
        <v>514</v>
      </c>
      <c r="AF281" s="4">
        <v>0</v>
      </c>
      <c r="AG281" s="4">
        <v>514</v>
      </c>
      <c r="AH281" s="4">
        <v>0</v>
      </c>
      <c r="AI281" s="7">
        <f t="shared" si="9"/>
        <v>5831</v>
      </c>
      <c r="AJ281" s="7"/>
    </row>
    <row r="282" spans="1:36" x14ac:dyDescent="0.3">
      <c r="A282" s="14" t="s">
        <v>1036</v>
      </c>
      <c r="B282" s="14" t="s">
        <v>863</v>
      </c>
      <c r="C282" s="14" t="s">
        <v>5</v>
      </c>
      <c r="D282" s="13">
        <v>9000254</v>
      </c>
      <c r="E282" s="12" t="s">
        <v>370</v>
      </c>
      <c r="F282" s="12" t="s">
        <v>3</v>
      </c>
      <c r="G282" s="9">
        <v>180</v>
      </c>
      <c r="H282" s="9">
        <v>0</v>
      </c>
      <c r="I282" s="9">
        <v>180</v>
      </c>
      <c r="J282" s="9">
        <v>0</v>
      </c>
      <c r="K282" s="9">
        <v>180</v>
      </c>
      <c r="L282" s="9">
        <v>0</v>
      </c>
      <c r="M282" s="9">
        <v>180</v>
      </c>
      <c r="N282" s="9">
        <v>3510</v>
      </c>
      <c r="O282" s="9">
        <v>180</v>
      </c>
      <c r="P282" s="9">
        <v>0</v>
      </c>
      <c r="Q282" s="9">
        <v>180</v>
      </c>
      <c r="R282" s="9">
        <v>0</v>
      </c>
      <c r="S282" s="9">
        <v>180</v>
      </c>
      <c r="T282" s="9"/>
      <c r="U282" s="4">
        <f t="shared" si="8"/>
        <v>3510</v>
      </c>
      <c r="W282" s="4">
        <v>400</v>
      </c>
      <c r="X282" s="4">
        <v>194</v>
      </c>
      <c r="Y282" s="4">
        <v>280</v>
      </c>
      <c r="Z282" s="4">
        <v>200</v>
      </c>
      <c r="AA282" s="4">
        <v>261</v>
      </c>
      <c r="AB282" s="4">
        <v>209</v>
      </c>
      <c r="AC282" s="4">
        <v>214</v>
      </c>
      <c r="AD282" s="4">
        <v>220</v>
      </c>
      <c r="AE282" s="4">
        <v>216</v>
      </c>
      <c r="AF282" s="4">
        <v>168</v>
      </c>
      <c r="AG282" s="4">
        <v>194</v>
      </c>
      <c r="AH282" s="4">
        <v>123</v>
      </c>
      <c r="AI282" s="7">
        <f t="shared" si="9"/>
        <v>10959</v>
      </c>
      <c r="AJ282" s="7"/>
    </row>
    <row r="283" spans="1:36" x14ac:dyDescent="0.3">
      <c r="A283" s="12" t="s">
        <v>1042</v>
      </c>
      <c r="B283" s="12" t="str">
        <f>INDEX([1]오송!$C:$C,MATCH(D283,[1]오송!$D:$D,0))</f>
        <v>오송</v>
      </c>
      <c r="C283" s="12" t="s">
        <v>5</v>
      </c>
      <c r="D283" s="13">
        <v>9000261</v>
      </c>
      <c r="E283" s="12" t="s">
        <v>221</v>
      </c>
      <c r="F283" s="12" t="s">
        <v>3</v>
      </c>
      <c r="G283" s="9">
        <v>19500</v>
      </c>
      <c r="H283" s="9">
        <v>19600</v>
      </c>
      <c r="I283" s="9">
        <v>19300</v>
      </c>
      <c r="J283" s="9">
        <v>0</v>
      </c>
      <c r="K283" s="9">
        <v>19200</v>
      </c>
      <c r="L283" s="9">
        <v>0</v>
      </c>
      <c r="M283" s="9">
        <v>19000</v>
      </c>
      <c r="N283" s="9">
        <v>0</v>
      </c>
      <c r="O283" s="9">
        <v>19000</v>
      </c>
      <c r="P283" s="9">
        <v>0</v>
      </c>
      <c r="Q283" s="9">
        <v>18800</v>
      </c>
      <c r="R283" s="9">
        <v>15680</v>
      </c>
      <c r="S283" s="9">
        <v>18933.333333333332</v>
      </c>
      <c r="T283" s="9"/>
      <c r="U283" s="4">
        <f t="shared" si="8"/>
        <v>35280</v>
      </c>
      <c r="W283" s="4">
        <v>20532</v>
      </c>
      <c r="X283" s="4">
        <v>18914</v>
      </c>
      <c r="Y283" s="4">
        <v>18938</v>
      </c>
      <c r="Z283" s="4">
        <v>23359</v>
      </c>
      <c r="AA283" s="4">
        <v>18590</v>
      </c>
      <c r="AB283" s="4">
        <v>16095</v>
      </c>
      <c r="AC283" s="4">
        <v>17947</v>
      </c>
      <c r="AD283" s="4">
        <v>20469</v>
      </c>
      <c r="AE283" s="4">
        <v>17979</v>
      </c>
      <c r="AF283" s="4">
        <v>21516</v>
      </c>
      <c r="AG283" s="4">
        <v>19000</v>
      </c>
      <c r="AH283" s="4">
        <v>20244</v>
      </c>
      <c r="AI283" s="7">
        <f t="shared" si="9"/>
        <v>437876.33333333337</v>
      </c>
      <c r="AJ283" s="7"/>
    </row>
    <row r="284" spans="1:36" x14ac:dyDescent="0.3">
      <c r="A284" s="12" t="s">
        <v>1044</v>
      </c>
      <c r="B284" s="12" t="s">
        <v>863</v>
      </c>
      <c r="C284" s="12" t="s">
        <v>5</v>
      </c>
      <c r="D284" s="13">
        <v>9000267</v>
      </c>
      <c r="E284" s="12" t="s">
        <v>371</v>
      </c>
      <c r="F284" s="12" t="s">
        <v>3</v>
      </c>
      <c r="G284" s="9">
        <v>10557</v>
      </c>
      <c r="H284" s="9">
        <v>29400</v>
      </c>
      <c r="I284" s="9">
        <v>10536</v>
      </c>
      <c r="J284" s="9">
        <v>0</v>
      </c>
      <c r="K284" s="9">
        <v>10515</v>
      </c>
      <c r="L284" s="9">
        <v>29400</v>
      </c>
      <c r="M284" s="9">
        <v>10494</v>
      </c>
      <c r="N284" s="9">
        <v>0</v>
      </c>
      <c r="O284" s="9">
        <v>10474</v>
      </c>
      <c r="P284" s="9">
        <v>29400</v>
      </c>
      <c r="Q284" s="9">
        <v>10453</v>
      </c>
      <c r="R284" s="9">
        <v>0</v>
      </c>
      <c r="S284" s="9">
        <v>10473.666666666666</v>
      </c>
      <c r="T284" s="9"/>
      <c r="U284" s="4">
        <f t="shared" si="8"/>
        <v>88200</v>
      </c>
      <c r="W284" s="4">
        <v>10034</v>
      </c>
      <c r="X284" s="4">
        <v>11639</v>
      </c>
      <c r="Y284" s="4">
        <v>10932</v>
      </c>
      <c r="Z284" s="4">
        <v>13788</v>
      </c>
      <c r="AA284" s="4">
        <v>12202</v>
      </c>
      <c r="AB284" s="4">
        <v>8817</v>
      </c>
      <c r="AC284" s="4">
        <v>11376</v>
      </c>
      <c r="AD284" s="4">
        <v>9872</v>
      </c>
      <c r="AE284" s="4">
        <v>11164</v>
      </c>
      <c r="AF284" s="4">
        <v>10068</v>
      </c>
      <c r="AG284" s="4">
        <v>10740</v>
      </c>
      <c r="AH284" s="4">
        <v>10703</v>
      </c>
      <c r="AI284" s="7">
        <f t="shared" si="9"/>
        <v>381237.66666666663</v>
      </c>
      <c r="AJ284" s="7"/>
    </row>
    <row r="285" spans="1:36" x14ac:dyDescent="0.3">
      <c r="A285" s="12" t="s">
        <v>1044</v>
      </c>
      <c r="B285" s="12" t="s">
        <v>863</v>
      </c>
      <c r="C285" s="12" t="s">
        <v>5</v>
      </c>
      <c r="D285" s="13">
        <v>9000275</v>
      </c>
      <c r="E285" s="12" t="s">
        <v>372</v>
      </c>
      <c r="F285" s="12" t="s">
        <v>3</v>
      </c>
      <c r="G285" s="9">
        <v>1001</v>
      </c>
      <c r="H285" s="9">
        <v>0</v>
      </c>
      <c r="I285" s="9">
        <v>1001</v>
      </c>
      <c r="J285" s="9">
        <v>0</v>
      </c>
      <c r="K285" s="9">
        <v>1001</v>
      </c>
      <c r="L285" s="9">
        <v>0</v>
      </c>
      <c r="M285" s="9">
        <v>1001</v>
      </c>
      <c r="N285" s="9">
        <v>0</v>
      </c>
      <c r="O285" s="9">
        <v>1001</v>
      </c>
      <c r="P285" s="9">
        <v>0</v>
      </c>
      <c r="Q285" s="9">
        <v>1001</v>
      </c>
      <c r="R285" s="9">
        <v>0</v>
      </c>
      <c r="S285" s="9">
        <v>1001</v>
      </c>
      <c r="T285" s="9"/>
      <c r="U285" s="4">
        <f t="shared" si="8"/>
        <v>0</v>
      </c>
      <c r="W285" s="4">
        <v>1300</v>
      </c>
      <c r="X285" s="4">
        <v>812</v>
      </c>
      <c r="Y285" s="4">
        <v>922</v>
      </c>
      <c r="Z285" s="4">
        <v>1070</v>
      </c>
      <c r="AA285" s="4">
        <v>931</v>
      </c>
      <c r="AB285" s="4">
        <v>723</v>
      </c>
      <c r="AC285" s="4">
        <v>835</v>
      </c>
      <c r="AD285" s="4">
        <v>992</v>
      </c>
      <c r="AE285" s="4">
        <v>803</v>
      </c>
      <c r="AF285" s="4">
        <v>1043</v>
      </c>
      <c r="AG285" s="4">
        <v>835</v>
      </c>
      <c r="AH285" s="4">
        <v>1132</v>
      </c>
      <c r="AI285" s="7">
        <f t="shared" si="9"/>
        <v>18405</v>
      </c>
      <c r="AJ285" s="7"/>
    </row>
    <row r="286" spans="1:36" x14ac:dyDescent="0.3">
      <c r="A286" s="14" t="s">
        <v>1036</v>
      </c>
      <c r="B286" s="14" t="s">
        <v>863</v>
      </c>
      <c r="C286" s="14" t="s">
        <v>5</v>
      </c>
      <c r="D286" s="13">
        <v>9000279</v>
      </c>
      <c r="E286" s="12" t="s">
        <v>373</v>
      </c>
      <c r="F286" s="12" t="s">
        <v>3</v>
      </c>
      <c r="G286" s="9">
        <v>2268</v>
      </c>
      <c r="H286" s="9">
        <v>10000</v>
      </c>
      <c r="I286" s="9">
        <v>2236</v>
      </c>
      <c r="J286" s="9">
        <v>0</v>
      </c>
      <c r="K286" s="9">
        <v>2204</v>
      </c>
      <c r="L286" s="9">
        <v>0</v>
      </c>
      <c r="M286" s="9">
        <v>2172</v>
      </c>
      <c r="N286" s="9">
        <v>0</v>
      </c>
      <c r="O286" s="9">
        <v>2140</v>
      </c>
      <c r="P286" s="9">
        <v>0</v>
      </c>
      <c r="Q286" s="9">
        <v>2109</v>
      </c>
      <c r="R286" s="9">
        <v>0</v>
      </c>
      <c r="S286" s="9">
        <v>2140.3333333333335</v>
      </c>
      <c r="T286" s="9"/>
      <c r="U286" s="4">
        <f t="shared" ref="U286:U341" si="10">SUM(T286,R286,P286,N286,L286,J286,H286)</f>
        <v>10000</v>
      </c>
      <c r="W286" s="4">
        <v>2694</v>
      </c>
      <c r="X286" s="4">
        <v>2243</v>
      </c>
      <c r="Y286" s="4">
        <v>2442</v>
      </c>
      <c r="Z286" s="4">
        <v>2153</v>
      </c>
      <c r="AA286" s="4">
        <v>2329</v>
      </c>
      <c r="AB286" s="4">
        <v>2847</v>
      </c>
      <c r="AC286" s="4">
        <v>2399</v>
      </c>
      <c r="AD286" s="4">
        <v>2125</v>
      </c>
      <c r="AE286" s="4">
        <v>2283</v>
      </c>
      <c r="AF286" s="4">
        <v>2876</v>
      </c>
      <c r="AG286" s="4">
        <v>2393</v>
      </c>
      <c r="AH286" s="4">
        <v>2006</v>
      </c>
      <c r="AI286" s="7">
        <f t="shared" si="9"/>
        <v>64059.333333333328</v>
      </c>
      <c r="AJ286" s="7"/>
    </row>
    <row r="287" spans="1:36" x14ac:dyDescent="0.3">
      <c r="A287" s="12" t="s">
        <v>1044</v>
      </c>
      <c r="B287" s="12" t="s">
        <v>863</v>
      </c>
      <c r="C287" s="12" t="s">
        <v>5</v>
      </c>
      <c r="D287" s="13">
        <v>9000281</v>
      </c>
      <c r="E287" s="12" t="s">
        <v>374</v>
      </c>
      <c r="F287" s="12" t="s">
        <v>3</v>
      </c>
      <c r="G287" s="9">
        <v>3500</v>
      </c>
      <c r="H287" s="9">
        <v>31032.68</v>
      </c>
      <c r="I287" s="9">
        <v>3500</v>
      </c>
      <c r="J287" s="9">
        <v>0</v>
      </c>
      <c r="K287" s="9">
        <v>4000</v>
      </c>
      <c r="L287" s="9">
        <v>0</v>
      </c>
      <c r="M287" s="9">
        <v>4000</v>
      </c>
      <c r="N287" s="9">
        <v>0</v>
      </c>
      <c r="O287" s="9">
        <v>3500</v>
      </c>
      <c r="P287" s="9">
        <v>0</v>
      </c>
      <c r="Q287" s="9">
        <v>3500</v>
      </c>
      <c r="R287" s="9">
        <v>0</v>
      </c>
      <c r="S287" s="9">
        <v>3666.6666666666665</v>
      </c>
      <c r="T287" s="9"/>
      <c r="U287" s="4">
        <f t="shared" si="10"/>
        <v>31032.68</v>
      </c>
      <c r="W287" s="4">
        <v>6000</v>
      </c>
      <c r="X287" s="4">
        <v>3394</v>
      </c>
      <c r="Y287" s="4">
        <v>5500</v>
      </c>
      <c r="Z287" s="4">
        <v>4381</v>
      </c>
      <c r="AA287" s="4">
        <v>4000</v>
      </c>
      <c r="AB287" s="4">
        <v>3021</v>
      </c>
      <c r="AC287" s="4">
        <v>5500</v>
      </c>
      <c r="AD287" s="4">
        <v>3123</v>
      </c>
      <c r="AE287" s="4">
        <v>4000</v>
      </c>
      <c r="AF287" s="4">
        <v>3545</v>
      </c>
      <c r="AG287" s="4">
        <v>3500</v>
      </c>
      <c r="AH287" s="4">
        <v>3823</v>
      </c>
      <c r="AI287" s="7">
        <f t="shared" si="9"/>
        <v>137519.02666666667</v>
      </c>
      <c r="AJ287" s="7"/>
    </row>
    <row r="288" spans="1:36" x14ac:dyDescent="0.3">
      <c r="A288" s="12" t="s">
        <v>1044</v>
      </c>
      <c r="B288" s="12" t="s">
        <v>863</v>
      </c>
      <c r="C288" s="12" t="s">
        <v>5</v>
      </c>
      <c r="D288" s="13">
        <v>9000282</v>
      </c>
      <c r="E288" s="12" t="s">
        <v>375</v>
      </c>
      <c r="F288" s="12" t="s">
        <v>3</v>
      </c>
      <c r="G288" s="9">
        <v>8500</v>
      </c>
      <c r="H288" s="9">
        <v>0</v>
      </c>
      <c r="I288" s="9">
        <v>8500</v>
      </c>
      <c r="J288" s="9">
        <v>17966.34</v>
      </c>
      <c r="K288" s="9">
        <v>9000</v>
      </c>
      <c r="L288" s="9">
        <v>0</v>
      </c>
      <c r="M288" s="9">
        <v>9000</v>
      </c>
      <c r="N288" s="9">
        <v>0</v>
      </c>
      <c r="O288" s="9">
        <v>8500</v>
      </c>
      <c r="P288" s="9">
        <v>0</v>
      </c>
      <c r="Q288" s="9">
        <v>8000</v>
      </c>
      <c r="R288" s="9">
        <v>0</v>
      </c>
      <c r="S288" s="9">
        <v>8500</v>
      </c>
      <c r="T288" s="9"/>
      <c r="U288" s="4">
        <f t="shared" si="10"/>
        <v>17966.34</v>
      </c>
      <c r="W288" s="4">
        <v>10000</v>
      </c>
      <c r="X288" s="4">
        <v>6478</v>
      </c>
      <c r="Y288" s="4">
        <v>9500</v>
      </c>
      <c r="Z288" s="4">
        <v>9912</v>
      </c>
      <c r="AA288" s="4">
        <v>8500</v>
      </c>
      <c r="AB288" s="4">
        <v>6558</v>
      </c>
      <c r="AC288" s="4">
        <v>9500</v>
      </c>
      <c r="AD288" s="4">
        <v>8442</v>
      </c>
      <c r="AE288" s="4">
        <v>9000</v>
      </c>
      <c r="AF288" s="4">
        <v>8082</v>
      </c>
      <c r="AG288" s="4">
        <v>8500</v>
      </c>
      <c r="AH288" s="4">
        <v>9034</v>
      </c>
      <c r="AI288" s="7">
        <f t="shared" si="9"/>
        <v>199438.68</v>
      </c>
      <c r="AJ288" s="7"/>
    </row>
    <row r="289" spans="1:36" x14ac:dyDescent="0.3">
      <c r="A289" s="12" t="s">
        <v>1044</v>
      </c>
      <c r="B289" s="12" t="s">
        <v>863</v>
      </c>
      <c r="C289" s="12" t="s">
        <v>5</v>
      </c>
      <c r="D289" s="13">
        <v>9000283</v>
      </c>
      <c r="E289" s="12" t="s">
        <v>376</v>
      </c>
      <c r="F289" s="12" t="s">
        <v>3</v>
      </c>
      <c r="G289" s="9">
        <v>5000</v>
      </c>
      <c r="H289" s="9">
        <v>8982.68</v>
      </c>
      <c r="I289" s="9">
        <v>5000</v>
      </c>
      <c r="J289" s="9">
        <v>8982.68</v>
      </c>
      <c r="K289" s="9">
        <v>5500</v>
      </c>
      <c r="L289" s="9">
        <v>0</v>
      </c>
      <c r="M289" s="9">
        <v>5000</v>
      </c>
      <c r="N289" s="9">
        <v>0</v>
      </c>
      <c r="O289" s="9">
        <v>4500</v>
      </c>
      <c r="P289" s="9">
        <v>0</v>
      </c>
      <c r="Q289" s="9">
        <v>4500</v>
      </c>
      <c r="R289" s="9">
        <v>0</v>
      </c>
      <c r="S289" s="9">
        <v>4666.666666666667</v>
      </c>
      <c r="T289" s="9"/>
      <c r="U289" s="4">
        <f t="shared" si="10"/>
        <v>17965.36</v>
      </c>
      <c r="W289" s="4">
        <v>5500</v>
      </c>
      <c r="X289" s="4">
        <v>3359</v>
      </c>
      <c r="Y289" s="4">
        <v>5000</v>
      </c>
      <c r="Z289" s="4">
        <v>4381</v>
      </c>
      <c r="AA289" s="4">
        <v>4500</v>
      </c>
      <c r="AB289" s="4">
        <v>3937</v>
      </c>
      <c r="AC289" s="4">
        <v>5000</v>
      </c>
      <c r="AD289" s="4">
        <v>4690</v>
      </c>
      <c r="AE289" s="4">
        <v>5000</v>
      </c>
      <c r="AF289" s="4">
        <v>4903</v>
      </c>
      <c r="AG289" s="4">
        <v>4500</v>
      </c>
      <c r="AH289" s="4">
        <v>5470</v>
      </c>
      <c r="AI289" s="7">
        <f t="shared" si="9"/>
        <v>126337.38666666666</v>
      </c>
      <c r="AJ289" s="7"/>
    </row>
    <row r="290" spans="1:36" x14ac:dyDescent="0.3">
      <c r="A290" s="12" t="s">
        <v>1044</v>
      </c>
      <c r="B290" s="12" t="s">
        <v>863</v>
      </c>
      <c r="C290" s="12" t="s">
        <v>5</v>
      </c>
      <c r="D290" s="13">
        <v>9000284</v>
      </c>
      <c r="E290" s="12" t="s">
        <v>377</v>
      </c>
      <c r="F290" s="12" t="s">
        <v>3</v>
      </c>
      <c r="G290" s="9">
        <v>200</v>
      </c>
      <c r="H290" s="9">
        <v>0</v>
      </c>
      <c r="I290" s="9">
        <v>200</v>
      </c>
      <c r="J290" s="9">
        <v>0</v>
      </c>
      <c r="K290" s="9">
        <v>250</v>
      </c>
      <c r="L290" s="9">
        <v>0</v>
      </c>
      <c r="M290" s="9">
        <v>200</v>
      </c>
      <c r="N290" s="9">
        <v>0</v>
      </c>
      <c r="O290" s="9">
        <v>200</v>
      </c>
      <c r="P290" s="9">
        <v>0</v>
      </c>
      <c r="Q290" s="9">
        <v>200</v>
      </c>
      <c r="R290" s="9">
        <v>0</v>
      </c>
      <c r="S290" s="9">
        <v>200</v>
      </c>
      <c r="T290" s="9"/>
      <c r="U290" s="4">
        <f t="shared" si="10"/>
        <v>0</v>
      </c>
      <c r="W290" s="4">
        <v>300</v>
      </c>
      <c r="X290" s="4">
        <v>120</v>
      </c>
      <c r="Y290" s="4">
        <v>220</v>
      </c>
      <c r="Z290" s="4">
        <v>197</v>
      </c>
      <c r="AA290" s="4">
        <v>200</v>
      </c>
      <c r="AB290" s="4">
        <v>194</v>
      </c>
      <c r="AC290" s="4">
        <v>250</v>
      </c>
      <c r="AD290" s="4">
        <v>220</v>
      </c>
      <c r="AE290" s="4">
        <v>250</v>
      </c>
      <c r="AF290" s="4">
        <v>202</v>
      </c>
      <c r="AG290" s="4">
        <v>200</v>
      </c>
      <c r="AH290" s="4">
        <v>180</v>
      </c>
      <c r="AI290" s="7">
        <f t="shared" si="9"/>
        <v>3983</v>
      </c>
      <c r="AJ290" s="7"/>
    </row>
    <row r="291" spans="1:36" x14ac:dyDescent="0.3">
      <c r="A291" s="12" t="s">
        <v>1042</v>
      </c>
      <c r="B291" s="12" t="str">
        <f>INDEX([1]오송!$C:$C,MATCH(D291,[1]오송!$D:$D,0))</f>
        <v>오송</v>
      </c>
      <c r="C291" s="12" t="s">
        <v>5</v>
      </c>
      <c r="D291" s="13">
        <v>9000287</v>
      </c>
      <c r="E291" s="12" t="s">
        <v>222</v>
      </c>
      <c r="F291" s="12" t="s">
        <v>3</v>
      </c>
      <c r="G291" s="9">
        <v>17500</v>
      </c>
      <c r="H291" s="9">
        <v>13475</v>
      </c>
      <c r="I291" s="9">
        <v>17000</v>
      </c>
      <c r="J291" s="9">
        <v>26950</v>
      </c>
      <c r="K291" s="9">
        <v>18000</v>
      </c>
      <c r="L291" s="9">
        <v>26950</v>
      </c>
      <c r="M291" s="9">
        <v>17500</v>
      </c>
      <c r="N291" s="9">
        <v>13475</v>
      </c>
      <c r="O291" s="9">
        <v>17000</v>
      </c>
      <c r="P291" s="9">
        <v>13475</v>
      </c>
      <c r="Q291" s="9">
        <v>17000</v>
      </c>
      <c r="R291" s="9">
        <v>13475</v>
      </c>
      <c r="S291" s="9">
        <v>17166.666666666668</v>
      </c>
      <c r="T291" s="9"/>
      <c r="U291" s="4">
        <f t="shared" si="10"/>
        <v>107800</v>
      </c>
      <c r="W291" s="4">
        <v>18500</v>
      </c>
      <c r="X291" s="4">
        <v>15776</v>
      </c>
      <c r="Y291" s="4">
        <v>17500</v>
      </c>
      <c r="Z291" s="4">
        <v>21085</v>
      </c>
      <c r="AA291" s="4">
        <v>17500</v>
      </c>
      <c r="AB291" s="4">
        <v>15860</v>
      </c>
      <c r="AC291" s="4">
        <v>18500</v>
      </c>
      <c r="AD291" s="4">
        <v>15705</v>
      </c>
      <c r="AE291" s="4">
        <v>17500</v>
      </c>
      <c r="AF291" s="4">
        <v>17271</v>
      </c>
      <c r="AG291" s="4">
        <v>17000</v>
      </c>
      <c r="AH291" s="4">
        <v>18689</v>
      </c>
      <c r="AI291" s="7">
        <f t="shared" si="9"/>
        <v>547652.66666666663</v>
      </c>
      <c r="AJ291" s="7"/>
    </row>
    <row r="292" spans="1:36" x14ac:dyDescent="0.3">
      <c r="A292" s="12" t="s">
        <v>1042</v>
      </c>
      <c r="B292" s="12" t="str">
        <f>INDEX([1]오송!$C:$C,MATCH(D292,[1]오송!$D:$D,0))</f>
        <v>오송</v>
      </c>
      <c r="C292" s="12" t="s">
        <v>5</v>
      </c>
      <c r="D292" s="13">
        <v>9000288</v>
      </c>
      <c r="E292" s="12" t="s">
        <v>223</v>
      </c>
      <c r="F292" s="12" t="s">
        <v>3</v>
      </c>
      <c r="G292" s="9">
        <v>17500</v>
      </c>
      <c r="H292" s="9">
        <v>0</v>
      </c>
      <c r="I292" s="9">
        <v>17500</v>
      </c>
      <c r="J292" s="9">
        <v>15516.34</v>
      </c>
      <c r="K292" s="9">
        <v>18000</v>
      </c>
      <c r="L292" s="9">
        <v>0</v>
      </c>
      <c r="M292" s="9">
        <v>17500</v>
      </c>
      <c r="N292" s="9">
        <v>31032.68</v>
      </c>
      <c r="O292" s="9">
        <v>17000</v>
      </c>
      <c r="P292" s="9">
        <v>31032.68</v>
      </c>
      <c r="Q292" s="9">
        <v>17000</v>
      </c>
      <c r="R292" s="9">
        <v>15516.34</v>
      </c>
      <c r="S292" s="9">
        <v>17166.666666666668</v>
      </c>
      <c r="T292" s="9"/>
      <c r="U292" s="4">
        <f t="shared" si="10"/>
        <v>93098.040000000008</v>
      </c>
      <c r="W292" s="4">
        <v>18000</v>
      </c>
      <c r="X292" s="4">
        <v>16084</v>
      </c>
      <c r="Y292" s="4">
        <v>17000</v>
      </c>
      <c r="Z292" s="4">
        <v>23935</v>
      </c>
      <c r="AA292" s="4">
        <v>19000</v>
      </c>
      <c r="AB292" s="4">
        <v>15029</v>
      </c>
      <c r="AC292" s="4">
        <v>20000</v>
      </c>
      <c r="AD292" s="4">
        <v>16266</v>
      </c>
      <c r="AE292" s="4">
        <v>18000</v>
      </c>
      <c r="AF292" s="4">
        <v>15135</v>
      </c>
      <c r="AG292" s="4">
        <v>17000</v>
      </c>
      <c r="AH292" s="4">
        <v>17464</v>
      </c>
      <c r="AI292" s="7">
        <f t="shared" si="9"/>
        <v>520775.74666666664</v>
      </c>
      <c r="AJ292" s="7"/>
    </row>
    <row r="293" spans="1:36" x14ac:dyDescent="0.3">
      <c r="A293" s="12" t="s">
        <v>866</v>
      </c>
      <c r="B293" s="12" t="s">
        <v>864</v>
      </c>
      <c r="C293" s="12" t="s">
        <v>867</v>
      </c>
      <c r="D293" s="13">
        <v>9000289</v>
      </c>
      <c r="E293" s="12" t="s">
        <v>378</v>
      </c>
      <c r="F293" s="12" t="s">
        <v>3</v>
      </c>
      <c r="G293" s="9">
        <v>93480</v>
      </c>
      <c r="H293" s="9">
        <v>121872</v>
      </c>
      <c r="I293" s="9">
        <v>93480</v>
      </c>
      <c r="J293" s="9" t="s">
        <v>861</v>
      </c>
      <c r="K293" s="9">
        <v>93480</v>
      </c>
      <c r="L293" s="9" t="s">
        <v>861</v>
      </c>
      <c r="M293" s="9">
        <v>93480</v>
      </c>
      <c r="N293" s="9">
        <v>0</v>
      </c>
      <c r="O293" s="9">
        <v>93480</v>
      </c>
      <c r="P293" s="9">
        <v>0</v>
      </c>
      <c r="Q293" s="9">
        <v>93480</v>
      </c>
      <c r="R293" s="9">
        <v>0</v>
      </c>
      <c r="S293" s="9">
        <v>93480</v>
      </c>
      <c r="T293" s="9"/>
      <c r="U293" s="4">
        <f t="shared" si="10"/>
        <v>121872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78640</v>
      </c>
      <c r="AC293" s="4">
        <v>26213</v>
      </c>
      <c r="AD293" s="4">
        <v>139520</v>
      </c>
      <c r="AE293" s="4">
        <v>72720</v>
      </c>
      <c r="AF293" s="4">
        <v>0</v>
      </c>
      <c r="AG293" s="4">
        <v>72720</v>
      </c>
      <c r="AH293" s="4">
        <v>60160</v>
      </c>
      <c r="AI293" s="7">
        <f t="shared" si="9"/>
        <v>1348077</v>
      </c>
      <c r="AJ293" s="7"/>
    </row>
    <row r="294" spans="1:36" x14ac:dyDescent="0.3">
      <c r="A294" s="12" t="s">
        <v>1044</v>
      </c>
      <c r="B294" s="12" t="s">
        <v>863</v>
      </c>
      <c r="C294" s="12" t="s">
        <v>5</v>
      </c>
      <c r="D294" s="13">
        <v>9000290</v>
      </c>
      <c r="E294" s="12" t="s">
        <v>379</v>
      </c>
      <c r="F294" s="12" t="s">
        <v>3</v>
      </c>
      <c r="G294" s="9">
        <v>6711</v>
      </c>
      <c r="H294" s="9">
        <v>19600</v>
      </c>
      <c r="I294" s="9">
        <v>6739</v>
      </c>
      <c r="J294" s="9">
        <v>0</v>
      </c>
      <c r="K294" s="9">
        <v>6767</v>
      </c>
      <c r="L294" s="9">
        <v>0</v>
      </c>
      <c r="M294" s="9">
        <v>6795</v>
      </c>
      <c r="N294" s="9">
        <v>19600</v>
      </c>
      <c r="O294" s="9">
        <v>6823</v>
      </c>
      <c r="P294" s="9">
        <v>0</v>
      </c>
      <c r="Q294" s="9">
        <v>6851</v>
      </c>
      <c r="R294" s="9">
        <v>19600</v>
      </c>
      <c r="S294" s="9">
        <v>6823</v>
      </c>
      <c r="T294" s="9"/>
      <c r="U294" s="4">
        <f t="shared" si="10"/>
        <v>58800</v>
      </c>
      <c r="W294" s="4">
        <v>6560</v>
      </c>
      <c r="X294" s="4">
        <v>5632</v>
      </c>
      <c r="Y294" s="4">
        <v>5973</v>
      </c>
      <c r="Z294" s="4">
        <v>7934</v>
      </c>
      <c r="AA294" s="4">
        <v>6681</v>
      </c>
      <c r="AB294" s="4">
        <v>5600</v>
      </c>
      <c r="AC294" s="4">
        <v>6415</v>
      </c>
      <c r="AD294" s="4">
        <v>6503</v>
      </c>
      <c r="AE294" s="4">
        <v>6353</v>
      </c>
      <c r="AF294" s="4">
        <v>6965</v>
      </c>
      <c r="AG294" s="4">
        <v>6522</v>
      </c>
      <c r="AH294" s="4">
        <v>6993</v>
      </c>
      <c r="AI294" s="7">
        <f t="shared" si="9"/>
        <v>243240</v>
      </c>
      <c r="AJ294" s="7"/>
    </row>
    <row r="295" spans="1:36" x14ac:dyDescent="0.3">
      <c r="A295" s="12" t="s">
        <v>1044</v>
      </c>
      <c r="B295" s="12" t="s">
        <v>863</v>
      </c>
      <c r="C295" s="12" t="s">
        <v>5</v>
      </c>
      <c r="D295" s="13">
        <v>9000308</v>
      </c>
      <c r="E295" s="12" t="s">
        <v>380</v>
      </c>
      <c r="F295" s="12" t="s">
        <v>3</v>
      </c>
      <c r="G295" s="9">
        <v>1073</v>
      </c>
      <c r="H295" s="9">
        <v>0</v>
      </c>
      <c r="I295" s="9">
        <v>1073</v>
      </c>
      <c r="J295" s="9">
        <v>6533.6599999999989</v>
      </c>
      <c r="K295" s="9">
        <v>1073</v>
      </c>
      <c r="L295" s="9">
        <v>0</v>
      </c>
      <c r="M295" s="9">
        <v>1073</v>
      </c>
      <c r="N295" s="9">
        <v>0</v>
      </c>
      <c r="O295" s="9">
        <v>1073</v>
      </c>
      <c r="P295" s="9">
        <v>0</v>
      </c>
      <c r="Q295" s="9">
        <v>1073</v>
      </c>
      <c r="R295" s="9">
        <v>0</v>
      </c>
      <c r="S295" s="9">
        <v>1073</v>
      </c>
      <c r="T295" s="9"/>
      <c r="U295" s="4">
        <f t="shared" si="10"/>
        <v>6533.6599999999989</v>
      </c>
      <c r="W295" s="4">
        <v>1092</v>
      </c>
      <c r="X295" s="4">
        <v>1401</v>
      </c>
      <c r="Y295" s="4">
        <v>1119</v>
      </c>
      <c r="Z295" s="4">
        <v>862</v>
      </c>
      <c r="AA295" s="4">
        <v>1013</v>
      </c>
      <c r="AB295" s="4">
        <v>880</v>
      </c>
      <c r="AC295" s="4">
        <v>922</v>
      </c>
      <c r="AD295" s="4">
        <v>735</v>
      </c>
      <c r="AE295" s="4">
        <v>882</v>
      </c>
      <c r="AF295" s="4">
        <v>1017</v>
      </c>
      <c r="AG295" s="4">
        <v>1200</v>
      </c>
      <c r="AH295" s="4">
        <v>1500</v>
      </c>
      <c r="AI295" s="7">
        <f t="shared" si="9"/>
        <v>33201.32</v>
      </c>
      <c r="AJ295" s="7"/>
    </row>
    <row r="296" spans="1:36" x14ac:dyDescent="0.3">
      <c r="A296" s="12" t="s">
        <v>1044</v>
      </c>
      <c r="B296" s="12" t="s">
        <v>863</v>
      </c>
      <c r="C296" s="12" t="s">
        <v>5</v>
      </c>
      <c r="D296" s="13">
        <v>9000309</v>
      </c>
      <c r="E296" s="12" t="s">
        <v>381</v>
      </c>
      <c r="F296" s="12" t="s">
        <v>3</v>
      </c>
      <c r="G296" s="9">
        <v>0</v>
      </c>
      <c r="H296" s="9">
        <v>0</v>
      </c>
      <c r="I296" s="9">
        <v>0</v>
      </c>
      <c r="J296" s="9">
        <v>0</v>
      </c>
      <c r="K296" s="9">
        <v>0</v>
      </c>
      <c r="L296" s="9">
        <v>3920</v>
      </c>
      <c r="M296" s="9">
        <v>0</v>
      </c>
      <c r="N296" s="9">
        <v>0</v>
      </c>
      <c r="O296" s="9">
        <v>0</v>
      </c>
      <c r="P296" s="9">
        <v>0</v>
      </c>
      <c r="Q296" s="9">
        <v>0</v>
      </c>
      <c r="R296" s="9">
        <v>0</v>
      </c>
      <c r="S296" s="9">
        <v>0</v>
      </c>
      <c r="T296" s="9"/>
      <c r="U296" s="4">
        <f t="shared" si="10"/>
        <v>3920</v>
      </c>
      <c r="W296" s="4">
        <v>0</v>
      </c>
      <c r="X296" s="4">
        <v>0</v>
      </c>
      <c r="Y296" s="4">
        <v>1240</v>
      </c>
      <c r="Z296" s="4">
        <v>0</v>
      </c>
      <c r="AA296" s="4">
        <v>1240</v>
      </c>
      <c r="AB296" s="4">
        <v>0</v>
      </c>
      <c r="AC296" s="4">
        <v>0</v>
      </c>
      <c r="AD296" s="4">
        <v>3766</v>
      </c>
      <c r="AE296" s="4">
        <v>1255</v>
      </c>
      <c r="AF296" s="4">
        <v>0</v>
      </c>
      <c r="AG296" s="4">
        <v>1255</v>
      </c>
      <c r="AH296" s="4">
        <v>0</v>
      </c>
      <c r="AI296" s="7">
        <f t="shared" si="9"/>
        <v>16596</v>
      </c>
      <c r="AJ296" s="7"/>
    </row>
    <row r="297" spans="1:36" x14ac:dyDescent="0.3">
      <c r="A297" s="12" t="s">
        <v>1044</v>
      </c>
      <c r="B297" s="12" t="s">
        <v>863</v>
      </c>
      <c r="C297" s="12" t="s">
        <v>5</v>
      </c>
      <c r="D297" s="13">
        <v>9000310</v>
      </c>
      <c r="E297" s="12" t="s">
        <v>382</v>
      </c>
      <c r="F297" s="12" t="s">
        <v>3</v>
      </c>
      <c r="G297" s="9">
        <v>2055</v>
      </c>
      <c r="H297" s="9">
        <v>0</v>
      </c>
      <c r="I297" s="9">
        <v>2015</v>
      </c>
      <c r="J297" s="9">
        <v>5880</v>
      </c>
      <c r="K297" s="9">
        <v>1974</v>
      </c>
      <c r="L297" s="9">
        <v>0</v>
      </c>
      <c r="M297" s="9">
        <v>1934</v>
      </c>
      <c r="N297" s="9">
        <v>7840</v>
      </c>
      <c r="O297" s="9">
        <v>1893</v>
      </c>
      <c r="P297" s="9">
        <v>0</v>
      </c>
      <c r="Q297" s="9">
        <v>1852</v>
      </c>
      <c r="R297" s="9">
        <v>0</v>
      </c>
      <c r="S297" s="9">
        <v>1893</v>
      </c>
      <c r="T297" s="9"/>
      <c r="U297" s="4">
        <f t="shared" si="10"/>
        <v>13720</v>
      </c>
      <c r="W297" s="4">
        <v>2398</v>
      </c>
      <c r="X297" s="4">
        <v>2691</v>
      </c>
      <c r="Y297" s="4">
        <v>2486</v>
      </c>
      <c r="Z297" s="4">
        <v>2474</v>
      </c>
      <c r="AA297" s="4">
        <v>2441</v>
      </c>
      <c r="AB297" s="4">
        <v>1934</v>
      </c>
      <c r="AC297" s="4">
        <v>2230</v>
      </c>
      <c r="AD297" s="4">
        <v>2183</v>
      </c>
      <c r="AE297" s="4">
        <v>2205</v>
      </c>
      <c r="AF297" s="4">
        <v>1364</v>
      </c>
      <c r="AG297" s="4">
        <v>2000</v>
      </c>
      <c r="AH297" s="4">
        <v>2639</v>
      </c>
      <c r="AI297" s="7">
        <f t="shared" si="9"/>
        <v>68101</v>
      </c>
      <c r="AJ297" s="7"/>
    </row>
    <row r="298" spans="1:36" x14ac:dyDescent="0.3">
      <c r="A298" s="12" t="s">
        <v>1044</v>
      </c>
      <c r="B298" s="12" t="s">
        <v>863</v>
      </c>
      <c r="C298" s="12" t="s">
        <v>5</v>
      </c>
      <c r="D298" s="13">
        <v>9000326</v>
      </c>
      <c r="E298" s="12" t="s">
        <v>383</v>
      </c>
      <c r="F298" s="12" t="s">
        <v>3</v>
      </c>
      <c r="G298" s="9">
        <v>110000</v>
      </c>
      <c r="H298" s="9">
        <v>0</v>
      </c>
      <c r="I298" s="9">
        <v>200000</v>
      </c>
      <c r="J298" s="9">
        <v>0</v>
      </c>
      <c r="K298" s="9">
        <v>90000</v>
      </c>
      <c r="L298" s="9">
        <v>0</v>
      </c>
      <c r="M298" s="9">
        <v>90000</v>
      </c>
      <c r="N298" s="9">
        <v>0</v>
      </c>
      <c r="O298" s="9">
        <v>90000</v>
      </c>
      <c r="P298" s="9">
        <v>0</v>
      </c>
      <c r="Q298" s="9">
        <v>90000</v>
      </c>
      <c r="R298" s="9">
        <v>0</v>
      </c>
      <c r="S298" s="9">
        <v>90000</v>
      </c>
      <c r="T298" s="9"/>
      <c r="U298" s="4">
        <f t="shared" si="10"/>
        <v>0</v>
      </c>
      <c r="W298" s="4">
        <v>70000</v>
      </c>
      <c r="X298" s="4">
        <v>157680</v>
      </c>
      <c r="Y298" s="4">
        <v>150000</v>
      </c>
      <c r="Z298" s="4">
        <v>115200</v>
      </c>
      <c r="AA298" s="4">
        <v>100000</v>
      </c>
      <c r="AB298" s="4">
        <v>27360</v>
      </c>
      <c r="AC298" s="4">
        <v>110000</v>
      </c>
      <c r="AD298" s="4">
        <v>92880</v>
      </c>
      <c r="AE298" s="4">
        <v>90000</v>
      </c>
      <c r="AF298" s="4">
        <v>89280</v>
      </c>
      <c r="AG298" s="4">
        <v>70000</v>
      </c>
      <c r="AH298" s="4">
        <v>88590</v>
      </c>
      <c r="AI298" s="7">
        <f t="shared" si="9"/>
        <v>1920990</v>
      </c>
      <c r="AJ298" s="7"/>
    </row>
    <row r="299" spans="1:36" x14ac:dyDescent="0.3">
      <c r="A299" s="12" t="s">
        <v>865</v>
      </c>
      <c r="B299" s="12" t="s">
        <v>863</v>
      </c>
      <c r="C299" s="12" t="s">
        <v>5</v>
      </c>
      <c r="D299" s="13">
        <v>9000336</v>
      </c>
      <c r="E299" s="12" t="s">
        <v>384</v>
      </c>
      <c r="F299" s="12" t="s">
        <v>3</v>
      </c>
      <c r="G299" s="9">
        <v>2947</v>
      </c>
      <c r="H299" s="9">
        <v>0</v>
      </c>
      <c r="I299" s="9">
        <v>2947</v>
      </c>
      <c r="J299" s="9">
        <v>0</v>
      </c>
      <c r="K299" s="9">
        <v>2947</v>
      </c>
      <c r="L299" s="9">
        <v>0</v>
      </c>
      <c r="M299" s="9">
        <v>2947</v>
      </c>
      <c r="N299" s="9">
        <v>0</v>
      </c>
      <c r="O299" s="9">
        <v>2947</v>
      </c>
      <c r="P299" s="9">
        <v>0</v>
      </c>
      <c r="Q299" s="9">
        <v>2947</v>
      </c>
      <c r="R299" s="9">
        <v>0</v>
      </c>
      <c r="S299" s="9">
        <v>2947</v>
      </c>
      <c r="T299" s="9"/>
      <c r="U299" s="4">
        <f t="shared" si="10"/>
        <v>0</v>
      </c>
      <c r="W299" s="4">
        <v>0</v>
      </c>
      <c r="X299" s="4">
        <v>0</v>
      </c>
      <c r="Y299" s="4">
        <v>487</v>
      </c>
      <c r="Z299" s="4">
        <v>0</v>
      </c>
      <c r="AA299" s="4">
        <v>487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2947</v>
      </c>
      <c r="AI299" s="7">
        <f t="shared" si="9"/>
        <v>24550</v>
      </c>
      <c r="AJ299" s="7"/>
    </row>
    <row r="300" spans="1:36" x14ac:dyDescent="0.3">
      <c r="A300" s="12" t="s">
        <v>866</v>
      </c>
      <c r="B300" s="12" t="s">
        <v>864</v>
      </c>
      <c r="C300" s="12" t="s">
        <v>867</v>
      </c>
      <c r="D300" s="13">
        <v>9000337</v>
      </c>
      <c r="E300" s="12" t="s">
        <v>385</v>
      </c>
      <c r="F300" s="12" t="s">
        <v>3</v>
      </c>
      <c r="G300" s="9">
        <v>3956</v>
      </c>
      <c r="H300" s="9">
        <v>3200</v>
      </c>
      <c r="I300" s="9">
        <v>3956</v>
      </c>
      <c r="J300" s="9" t="s">
        <v>861</v>
      </c>
      <c r="K300" s="9">
        <v>3956</v>
      </c>
      <c r="L300" s="9">
        <v>3200</v>
      </c>
      <c r="M300" s="9">
        <v>3956</v>
      </c>
      <c r="N300" s="9">
        <v>0</v>
      </c>
      <c r="O300" s="9">
        <v>3956</v>
      </c>
      <c r="P300" s="9">
        <v>0</v>
      </c>
      <c r="Q300" s="9">
        <v>3956</v>
      </c>
      <c r="R300" s="9">
        <v>0</v>
      </c>
      <c r="S300" s="9">
        <v>3956</v>
      </c>
      <c r="T300" s="9"/>
      <c r="U300" s="4">
        <f t="shared" si="10"/>
        <v>6400</v>
      </c>
      <c r="W300" s="4">
        <v>0</v>
      </c>
      <c r="X300" s="4">
        <v>3067</v>
      </c>
      <c r="Y300" s="4">
        <v>3089</v>
      </c>
      <c r="Z300" s="4">
        <v>3090</v>
      </c>
      <c r="AA300" s="4">
        <v>2052</v>
      </c>
      <c r="AB300" s="4">
        <v>0</v>
      </c>
      <c r="AC300" s="4">
        <v>2052</v>
      </c>
      <c r="AD300" s="4">
        <v>0</v>
      </c>
      <c r="AE300" s="4">
        <v>1030</v>
      </c>
      <c r="AF300" s="4">
        <v>6183</v>
      </c>
      <c r="AG300" s="4">
        <v>2061</v>
      </c>
      <c r="AH300" s="4">
        <v>3129</v>
      </c>
      <c r="AI300" s="7">
        <f t="shared" si="9"/>
        <v>66245</v>
      </c>
      <c r="AJ300" s="7"/>
    </row>
    <row r="301" spans="1:36" x14ac:dyDescent="0.3">
      <c r="A301" s="12" t="s">
        <v>1044</v>
      </c>
      <c r="B301" s="12" t="s">
        <v>863</v>
      </c>
      <c r="C301" s="12" t="s">
        <v>5</v>
      </c>
      <c r="D301" s="13">
        <v>9000547</v>
      </c>
      <c r="E301" s="12" t="s">
        <v>386</v>
      </c>
      <c r="F301" s="12" t="s">
        <v>3</v>
      </c>
      <c r="G301" s="9">
        <v>5854</v>
      </c>
      <c r="H301" s="9">
        <v>0</v>
      </c>
      <c r="I301" s="9">
        <v>5798</v>
      </c>
      <c r="J301" s="9">
        <v>0</v>
      </c>
      <c r="K301" s="9">
        <v>5741</v>
      </c>
      <c r="L301" s="9">
        <v>0</v>
      </c>
      <c r="M301" s="9">
        <v>5684</v>
      </c>
      <c r="N301" s="9">
        <v>0</v>
      </c>
      <c r="O301" s="9">
        <v>5628</v>
      </c>
      <c r="P301" s="9">
        <v>0</v>
      </c>
      <c r="Q301" s="9">
        <v>5571</v>
      </c>
      <c r="R301" s="9">
        <v>0</v>
      </c>
      <c r="S301" s="9">
        <v>5627.666666666667</v>
      </c>
      <c r="T301" s="9"/>
      <c r="U301" s="4">
        <f t="shared" si="10"/>
        <v>0</v>
      </c>
      <c r="W301" s="4">
        <v>7000</v>
      </c>
      <c r="X301" s="4">
        <v>5104</v>
      </c>
      <c r="Y301" s="4">
        <v>5488</v>
      </c>
      <c r="Z301" s="4">
        <v>6848</v>
      </c>
      <c r="AA301" s="4">
        <v>5633</v>
      </c>
      <c r="AB301" s="4">
        <v>6040</v>
      </c>
      <c r="AC301" s="4">
        <v>5327</v>
      </c>
      <c r="AD301" s="4">
        <v>6211</v>
      </c>
      <c r="AE301" s="4">
        <v>5291</v>
      </c>
      <c r="AF301" s="4">
        <v>7260</v>
      </c>
      <c r="AG301" s="4">
        <v>6111</v>
      </c>
      <c r="AH301" s="4">
        <v>5185</v>
      </c>
      <c r="AI301" s="7">
        <f t="shared" si="9"/>
        <v>111401.66666666666</v>
      </c>
      <c r="AJ301" s="7"/>
    </row>
    <row r="302" spans="1:36" x14ac:dyDescent="0.3">
      <c r="A302" s="12" t="s">
        <v>1044</v>
      </c>
      <c r="B302" s="12" t="s">
        <v>863</v>
      </c>
      <c r="C302" s="12" t="s">
        <v>5</v>
      </c>
      <c r="D302" s="13">
        <v>9000563</v>
      </c>
      <c r="E302" s="12" t="s">
        <v>387</v>
      </c>
      <c r="F302" s="12" t="s">
        <v>3</v>
      </c>
      <c r="G302" s="9">
        <v>15000</v>
      </c>
      <c r="H302" s="9">
        <v>19600</v>
      </c>
      <c r="I302" s="9">
        <v>15000</v>
      </c>
      <c r="J302" s="9">
        <v>19600</v>
      </c>
      <c r="K302" s="9">
        <v>15000</v>
      </c>
      <c r="L302" s="9">
        <v>19600</v>
      </c>
      <c r="M302" s="9">
        <v>15000</v>
      </c>
      <c r="N302" s="9">
        <v>0</v>
      </c>
      <c r="O302" s="9">
        <v>15000</v>
      </c>
      <c r="P302" s="9">
        <v>19600</v>
      </c>
      <c r="Q302" s="9">
        <v>15000</v>
      </c>
      <c r="R302" s="9">
        <v>0</v>
      </c>
      <c r="S302" s="9">
        <v>15000</v>
      </c>
      <c r="T302" s="9"/>
      <c r="U302" s="4">
        <f t="shared" si="10"/>
        <v>78400</v>
      </c>
      <c r="W302" s="4">
        <v>15000</v>
      </c>
      <c r="X302" s="4">
        <v>13460</v>
      </c>
      <c r="Y302" s="4">
        <v>12000</v>
      </c>
      <c r="Z302" s="4">
        <v>11840</v>
      </c>
      <c r="AA302" s="4">
        <v>12000</v>
      </c>
      <c r="AB302" s="4">
        <v>13226</v>
      </c>
      <c r="AC302" s="4">
        <v>15000</v>
      </c>
      <c r="AD302" s="4">
        <v>18622</v>
      </c>
      <c r="AE302" s="4">
        <v>12000</v>
      </c>
      <c r="AF302" s="4">
        <v>9740</v>
      </c>
      <c r="AG302" s="4">
        <v>12000</v>
      </c>
      <c r="AH302" s="4">
        <v>6360</v>
      </c>
      <c r="AI302" s="7">
        <f t="shared" si="9"/>
        <v>413048</v>
      </c>
      <c r="AJ302" s="7"/>
    </row>
    <row r="303" spans="1:36" x14ac:dyDescent="0.3">
      <c r="A303" s="12" t="s">
        <v>1044</v>
      </c>
      <c r="B303" s="12" t="s">
        <v>863</v>
      </c>
      <c r="C303" s="12" t="s">
        <v>5</v>
      </c>
      <c r="D303" s="13">
        <v>9000579</v>
      </c>
      <c r="E303" s="12" t="s">
        <v>388</v>
      </c>
      <c r="F303" s="12" t="s">
        <v>3</v>
      </c>
      <c r="G303" s="9">
        <v>32217</v>
      </c>
      <c r="H303" s="9">
        <v>0</v>
      </c>
      <c r="I303" s="9">
        <v>32217</v>
      </c>
      <c r="J303" s="9">
        <v>0</v>
      </c>
      <c r="K303" s="9">
        <v>32217</v>
      </c>
      <c r="L303" s="9">
        <v>0</v>
      </c>
      <c r="M303" s="9">
        <v>32217</v>
      </c>
      <c r="N303" s="9">
        <v>0</v>
      </c>
      <c r="O303" s="9">
        <v>32217</v>
      </c>
      <c r="P303" s="9">
        <v>0</v>
      </c>
      <c r="Q303" s="9">
        <v>32217</v>
      </c>
      <c r="R303" s="9">
        <v>0</v>
      </c>
      <c r="S303" s="9">
        <v>32217</v>
      </c>
      <c r="T303" s="9"/>
      <c r="U303" s="4">
        <f t="shared" si="10"/>
        <v>0</v>
      </c>
      <c r="W303" s="4">
        <v>0</v>
      </c>
      <c r="X303" s="4">
        <v>0</v>
      </c>
      <c r="Y303" s="4">
        <v>21773</v>
      </c>
      <c r="Z303" s="4">
        <v>0</v>
      </c>
      <c r="AA303" s="4">
        <v>21773</v>
      </c>
      <c r="AB303" s="4">
        <v>19635</v>
      </c>
      <c r="AC303" s="4">
        <v>6545</v>
      </c>
      <c r="AD303" s="4">
        <v>45870</v>
      </c>
      <c r="AE303" s="4">
        <v>21835</v>
      </c>
      <c r="AF303" s="4">
        <v>0</v>
      </c>
      <c r="AG303" s="4">
        <v>21835</v>
      </c>
      <c r="AH303" s="4">
        <v>26130</v>
      </c>
      <c r="AI303" s="7">
        <f t="shared" si="9"/>
        <v>410915</v>
      </c>
      <c r="AJ303" s="7"/>
    </row>
    <row r="304" spans="1:36" x14ac:dyDescent="0.3">
      <c r="A304" s="12" t="s">
        <v>1044</v>
      </c>
      <c r="B304" s="12" t="s">
        <v>863</v>
      </c>
      <c r="C304" s="12" t="s">
        <v>5</v>
      </c>
      <c r="D304" s="13">
        <v>9000617</v>
      </c>
      <c r="E304" s="12" t="s">
        <v>389</v>
      </c>
      <c r="F304" s="12" t="s">
        <v>3</v>
      </c>
      <c r="G304" s="9">
        <v>40000</v>
      </c>
      <c r="H304" s="9">
        <v>0</v>
      </c>
      <c r="I304" s="9">
        <v>45000</v>
      </c>
      <c r="J304" s="9">
        <v>58800</v>
      </c>
      <c r="K304" s="9">
        <v>45000</v>
      </c>
      <c r="L304" s="9">
        <v>0</v>
      </c>
      <c r="M304" s="9">
        <v>50000</v>
      </c>
      <c r="N304" s="9">
        <v>0</v>
      </c>
      <c r="O304" s="9">
        <v>50000</v>
      </c>
      <c r="P304" s="9">
        <v>58800</v>
      </c>
      <c r="Q304" s="9">
        <v>50000</v>
      </c>
      <c r="R304" s="9">
        <v>68600</v>
      </c>
      <c r="S304" s="9">
        <v>50000</v>
      </c>
      <c r="T304" s="9"/>
      <c r="U304" s="4">
        <f t="shared" si="10"/>
        <v>186200</v>
      </c>
      <c r="W304" s="4">
        <v>33000</v>
      </c>
      <c r="X304" s="4">
        <v>30509</v>
      </c>
      <c r="Y304" s="4">
        <v>35000</v>
      </c>
      <c r="Z304" s="4">
        <v>31460</v>
      </c>
      <c r="AA304" s="4">
        <v>50000</v>
      </c>
      <c r="AB304" s="4">
        <v>30919</v>
      </c>
      <c r="AC304" s="4">
        <v>50000</v>
      </c>
      <c r="AD304" s="4">
        <v>35854</v>
      </c>
      <c r="AE304" s="4">
        <v>50000</v>
      </c>
      <c r="AF304" s="4">
        <v>34794</v>
      </c>
      <c r="AG304" s="4">
        <v>40000</v>
      </c>
      <c r="AH304" s="4">
        <v>41406</v>
      </c>
      <c r="AI304" s="7">
        <f t="shared" si="9"/>
        <v>1165342</v>
      </c>
      <c r="AJ304" s="7"/>
    </row>
    <row r="305" spans="1:36" x14ac:dyDescent="0.3">
      <c r="A305" s="12" t="s">
        <v>1044</v>
      </c>
      <c r="B305" s="12" t="s">
        <v>863</v>
      </c>
      <c r="C305" s="12" t="s">
        <v>5</v>
      </c>
      <c r="D305" s="13">
        <v>9000666</v>
      </c>
      <c r="E305" s="12" t="s">
        <v>390</v>
      </c>
      <c r="F305" s="12" t="s">
        <v>3</v>
      </c>
      <c r="G305" s="9">
        <v>184</v>
      </c>
      <c r="H305" s="9">
        <v>0</v>
      </c>
      <c r="I305" s="9">
        <v>183</v>
      </c>
      <c r="J305" s="9">
        <v>0</v>
      </c>
      <c r="K305" s="9">
        <v>182</v>
      </c>
      <c r="L305" s="9">
        <v>3266.6666666666665</v>
      </c>
      <c r="M305" s="9">
        <v>181</v>
      </c>
      <c r="N305" s="9">
        <v>0</v>
      </c>
      <c r="O305" s="9">
        <v>180</v>
      </c>
      <c r="P305" s="9">
        <v>0</v>
      </c>
      <c r="Q305" s="9">
        <v>179</v>
      </c>
      <c r="R305" s="9">
        <v>0</v>
      </c>
      <c r="S305" s="9">
        <v>180</v>
      </c>
      <c r="T305" s="9"/>
      <c r="U305" s="4">
        <f t="shared" si="10"/>
        <v>3266.6666666666665</v>
      </c>
      <c r="W305" s="4">
        <v>201</v>
      </c>
      <c r="X305" s="4">
        <v>180</v>
      </c>
      <c r="Y305" s="4">
        <v>190</v>
      </c>
      <c r="Z305" s="4">
        <v>204</v>
      </c>
      <c r="AA305" s="4">
        <v>198</v>
      </c>
      <c r="AB305" s="4">
        <v>237</v>
      </c>
      <c r="AC305" s="4">
        <v>211</v>
      </c>
      <c r="AD305" s="4">
        <v>149</v>
      </c>
      <c r="AE305" s="4">
        <v>192</v>
      </c>
      <c r="AF305" s="4">
        <v>163</v>
      </c>
      <c r="AG305" s="4">
        <v>182</v>
      </c>
      <c r="AH305" s="4">
        <v>188</v>
      </c>
      <c r="AI305" s="7">
        <f t="shared" si="9"/>
        <v>10097.333333333332</v>
      </c>
      <c r="AJ305" s="7"/>
    </row>
    <row r="306" spans="1:36" x14ac:dyDescent="0.3">
      <c r="A306" s="12" t="s">
        <v>1044</v>
      </c>
      <c r="B306" s="12" t="s">
        <v>863</v>
      </c>
      <c r="C306" s="12" t="s">
        <v>5</v>
      </c>
      <c r="D306" s="13">
        <v>9000788</v>
      </c>
      <c r="E306" s="12" t="s">
        <v>391</v>
      </c>
      <c r="F306" s="12" t="s">
        <v>3</v>
      </c>
      <c r="G306" s="9">
        <v>50000</v>
      </c>
      <c r="H306" s="9">
        <v>0</v>
      </c>
      <c r="I306" s="9">
        <v>50000</v>
      </c>
      <c r="J306" s="9">
        <v>0</v>
      </c>
      <c r="K306" s="9">
        <v>60000</v>
      </c>
      <c r="L306" s="9">
        <v>0</v>
      </c>
      <c r="M306" s="9">
        <v>50000</v>
      </c>
      <c r="N306" s="9">
        <v>0</v>
      </c>
      <c r="O306" s="9">
        <v>50000</v>
      </c>
      <c r="P306" s="9">
        <v>0</v>
      </c>
      <c r="Q306" s="9">
        <v>50000</v>
      </c>
      <c r="R306" s="9">
        <v>0</v>
      </c>
      <c r="S306" s="9">
        <v>50000</v>
      </c>
      <c r="T306" s="9"/>
      <c r="U306" s="4">
        <f t="shared" si="10"/>
        <v>0</v>
      </c>
      <c r="W306" s="4">
        <v>45000</v>
      </c>
      <c r="X306" s="4">
        <v>84240</v>
      </c>
      <c r="Y306" s="4">
        <v>80000</v>
      </c>
      <c r="Z306" s="4">
        <v>66960</v>
      </c>
      <c r="AA306" s="4">
        <v>56000</v>
      </c>
      <c r="AB306" s="4">
        <v>15120</v>
      </c>
      <c r="AC306" s="4">
        <v>60000</v>
      </c>
      <c r="AD306" s="4">
        <v>59760</v>
      </c>
      <c r="AE306" s="4">
        <v>48000</v>
      </c>
      <c r="AF306" s="4">
        <v>46800</v>
      </c>
      <c r="AG306" s="4">
        <v>50000</v>
      </c>
      <c r="AH306" s="4">
        <v>38160</v>
      </c>
      <c r="AI306" s="7">
        <f t="shared" si="9"/>
        <v>1010040</v>
      </c>
      <c r="AJ306" s="7"/>
    </row>
    <row r="307" spans="1:36" x14ac:dyDescent="0.3">
      <c r="A307" s="12" t="s">
        <v>865</v>
      </c>
      <c r="B307" s="12" t="s">
        <v>863</v>
      </c>
      <c r="C307" s="12" t="s">
        <v>5</v>
      </c>
      <c r="D307" s="13">
        <v>9000790</v>
      </c>
      <c r="E307" s="12" t="s">
        <v>392</v>
      </c>
      <c r="F307" s="12" t="s">
        <v>3</v>
      </c>
      <c r="G307" s="9">
        <v>0</v>
      </c>
      <c r="H307" s="9">
        <v>0</v>
      </c>
      <c r="I307" s="9">
        <v>0</v>
      </c>
      <c r="J307" s="9">
        <v>0</v>
      </c>
      <c r="K307" s="9">
        <v>0</v>
      </c>
      <c r="L307" s="9">
        <v>0</v>
      </c>
      <c r="M307" s="9">
        <v>0</v>
      </c>
      <c r="N307" s="9">
        <v>0</v>
      </c>
      <c r="O307" s="9">
        <v>0</v>
      </c>
      <c r="P307" s="9">
        <v>0</v>
      </c>
      <c r="Q307" s="9">
        <v>0</v>
      </c>
      <c r="R307" s="9">
        <v>0</v>
      </c>
      <c r="S307" s="9">
        <v>0</v>
      </c>
      <c r="T307" s="9"/>
      <c r="U307" s="4">
        <f t="shared" si="10"/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158480</v>
      </c>
      <c r="AI307" s="7">
        <f t="shared" si="9"/>
        <v>158480</v>
      </c>
      <c r="AJ307" s="7"/>
    </row>
    <row r="308" spans="1:36" x14ac:dyDescent="0.3">
      <c r="A308" s="12" t="s">
        <v>1044</v>
      </c>
      <c r="B308" s="12" t="s">
        <v>863</v>
      </c>
      <c r="C308" s="12" t="s">
        <v>5</v>
      </c>
      <c r="D308" s="13">
        <v>9000844</v>
      </c>
      <c r="E308" s="12" t="s">
        <v>393</v>
      </c>
      <c r="F308" s="12" t="s">
        <v>3</v>
      </c>
      <c r="G308" s="9">
        <v>87</v>
      </c>
      <c r="H308" s="9">
        <v>0</v>
      </c>
      <c r="I308" s="9">
        <v>87</v>
      </c>
      <c r="J308" s="9">
        <v>0</v>
      </c>
      <c r="K308" s="9">
        <v>87</v>
      </c>
      <c r="L308" s="9">
        <v>0</v>
      </c>
      <c r="M308" s="9">
        <v>87</v>
      </c>
      <c r="N308" s="9">
        <v>0</v>
      </c>
      <c r="O308" s="9">
        <v>87</v>
      </c>
      <c r="P308" s="9">
        <v>0</v>
      </c>
      <c r="Q308" s="9">
        <v>87</v>
      </c>
      <c r="R308" s="9">
        <v>0</v>
      </c>
      <c r="S308" s="9">
        <v>87</v>
      </c>
      <c r="T308" s="9"/>
      <c r="U308" s="4">
        <f t="shared" si="10"/>
        <v>0</v>
      </c>
      <c r="W308" s="4">
        <v>137</v>
      </c>
      <c r="X308" s="4">
        <v>109</v>
      </c>
      <c r="Y308" s="4">
        <v>132</v>
      </c>
      <c r="Z308" s="4">
        <v>91</v>
      </c>
      <c r="AA308" s="4">
        <v>117</v>
      </c>
      <c r="AB308" s="4">
        <v>135</v>
      </c>
      <c r="AC308" s="4">
        <v>118</v>
      </c>
      <c r="AD308" s="4">
        <v>77</v>
      </c>
      <c r="AE308" s="4">
        <v>101</v>
      </c>
      <c r="AF308" s="4">
        <v>59</v>
      </c>
      <c r="AG308" s="4">
        <v>78</v>
      </c>
      <c r="AH308" s="4">
        <v>95</v>
      </c>
      <c r="AI308" s="7">
        <f t="shared" si="9"/>
        <v>1858</v>
      </c>
      <c r="AJ308" s="7"/>
    </row>
    <row r="309" spans="1:36" x14ac:dyDescent="0.3">
      <c r="A309" s="12" t="s">
        <v>1044</v>
      </c>
      <c r="B309" s="12" t="s">
        <v>863</v>
      </c>
      <c r="C309" s="12" t="s">
        <v>5</v>
      </c>
      <c r="D309" s="13">
        <v>9000845</v>
      </c>
      <c r="E309" s="12" t="s">
        <v>394</v>
      </c>
      <c r="F309" s="12" t="s">
        <v>3</v>
      </c>
      <c r="G309" s="9">
        <v>1937</v>
      </c>
      <c r="H309" s="9">
        <v>0</v>
      </c>
      <c r="I309" s="9">
        <v>1938</v>
      </c>
      <c r="J309" s="9">
        <v>0</v>
      </c>
      <c r="K309" s="9">
        <v>1939</v>
      </c>
      <c r="L309" s="9">
        <v>6532.6799999999994</v>
      </c>
      <c r="M309" s="9">
        <v>1940</v>
      </c>
      <c r="N309" s="9">
        <v>0</v>
      </c>
      <c r="O309" s="9">
        <v>1941</v>
      </c>
      <c r="P309" s="9">
        <v>0</v>
      </c>
      <c r="Q309" s="9">
        <v>1942</v>
      </c>
      <c r="R309" s="9">
        <v>6532.6799999999994</v>
      </c>
      <c r="S309" s="9">
        <v>1941</v>
      </c>
      <c r="T309" s="9"/>
      <c r="U309" s="4">
        <f t="shared" si="10"/>
        <v>13065.359999999999</v>
      </c>
      <c r="W309" s="4">
        <v>1926</v>
      </c>
      <c r="X309" s="4">
        <v>1795</v>
      </c>
      <c r="Y309" s="4">
        <v>1929</v>
      </c>
      <c r="Z309" s="4">
        <v>2007</v>
      </c>
      <c r="AA309" s="4">
        <v>1939</v>
      </c>
      <c r="AB309" s="4">
        <v>1763</v>
      </c>
      <c r="AC309" s="4">
        <v>1898</v>
      </c>
      <c r="AD309" s="4">
        <v>1974</v>
      </c>
      <c r="AE309" s="4">
        <v>1912</v>
      </c>
      <c r="AF309" s="4">
        <v>1764</v>
      </c>
      <c r="AG309" s="4">
        <v>1795</v>
      </c>
      <c r="AH309" s="4">
        <v>2149</v>
      </c>
      <c r="AI309" s="7">
        <f t="shared" si="9"/>
        <v>62559.72</v>
      </c>
      <c r="AJ309" s="7"/>
    </row>
    <row r="310" spans="1:36" x14ac:dyDescent="0.3">
      <c r="A310" s="12" t="s">
        <v>1042</v>
      </c>
      <c r="B310" s="12" t="str">
        <f>INDEX([1]오송!$C:$C,MATCH(D310,[1]오송!$D:$D,0))</f>
        <v>오송</v>
      </c>
      <c r="C310" s="12" t="s">
        <v>5</v>
      </c>
      <c r="D310" s="13">
        <v>9000857</v>
      </c>
      <c r="E310" s="12" t="s">
        <v>224</v>
      </c>
      <c r="F310" s="12" t="s">
        <v>3</v>
      </c>
      <c r="G310" s="9">
        <v>14340</v>
      </c>
      <c r="H310" s="9">
        <v>24799.38</v>
      </c>
      <c r="I310" s="9">
        <v>14291</v>
      </c>
      <c r="J310" s="9">
        <v>0</v>
      </c>
      <c r="K310" s="9">
        <v>14242</v>
      </c>
      <c r="L310" s="9">
        <v>0</v>
      </c>
      <c r="M310" s="9">
        <v>14192</v>
      </c>
      <c r="N310" s="9">
        <v>29759.255999999998</v>
      </c>
      <c r="O310" s="9">
        <v>14143</v>
      </c>
      <c r="P310" s="9">
        <v>0</v>
      </c>
      <c r="Q310" s="9">
        <v>14093</v>
      </c>
      <c r="R310" s="9">
        <v>29759.255999999998</v>
      </c>
      <c r="S310" s="9">
        <v>14142.666666666666</v>
      </c>
      <c r="T310" s="9"/>
      <c r="U310" s="4">
        <f t="shared" si="10"/>
        <v>84317.891999999993</v>
      </c>
      <c r="W310" s="4">
        <v>14692</v>
      </c>
      <c r="X310" s="4">
        <v>14715</v>
      </c>
      <c r="Y310" s="4">
        <v>15800</v>
      </c>
      <c r="Z310" s="4">
        <v>17243</v>
      </c>
      <c r="AA310" s="4">
        <v>15000</v>
      </c>
      <c r="AB310" s="4">
        <v>11053</v>
      </c>
      <c r="AC310" s="4">
        <v>13875</v>
      </c>
      <c r="AD310" s="4">
        <v>15387</v>
      </c>
      <c r="AE310" s="4">
        <v>15000</v>
      </c>
      <c r="AF310" s="4">
        <v>14972</v>
      </c>
      <c r="AG310" s="4">
        <v>14278</v>
      </c>
      <c r="AH310" s="4">
        <v>14200</v>
      </c>
      <c r="AI310" s="7">
        <f t="shared" si="9"/>
        <v>444294.45066666661</v>
      </c>
      <c r="AJ310" s="7"/>
    </row>
    <row r="311" spans="1:36" x14ac:dyDescent="0.3">
      <c r="A311" s="12" t="s">
        <v>1042</v>
      </c>
      <c r="B311" s="12" t="str">
        <f>INDEX([1]오송!$C:$C,MATCH(D311,[1]오송!$D:$D,0))</f>
        <v>오송</v>
      </c>
      <c r="C311" s="12" t="s">
        <v>5</v>
      </c>
      <c r="D311" s="13">
        <v>9000858</v>
      </c>
      <c r="E311" s="12" t="s">
        <v>225</v>
      </c>
      <c r="F311" s="12" t="s">
        <v>3</v>
      </c>
      <c r="G311" s="9">
        <v>7050</v>
      </c>
      <c r="H311" s="9">
        <v>14880</v>
      </c>
      <c r="I311" s="9">
        <v>7021</v>
      </c>
      <c r="J311" s="9">
        <v>0</v>
      </c>
      <c r="K311" s="9">
        <v>6992</v>
      </c>
      <c r="L311" s="9">
        <v>0</v>
      </c>
      <c r="M311" s="9">
        <v>6963</v>
      </c>
      <c r="N311" s="9">
        <v>13392</v>
      </c>
      <c r="O311" s="9">
        <v>6934</v>
      </c>
      <c r="P311" s="9">
        <v>0</v>
      </c>
      <c r="Q311" s="9">
        <v>6904</v>
      </c>
      <c r="R311" s="9">
        <v>13392</v>
      </c>
      <c r="S311" s="9">
        <v>6933.666666666667</v>
      </c>
      <c r="T311" s="9"/>
      <c r="U311" s="4">
        <f t="shared" si="10"/>
        <v>41664</v>
      </c>
      <c r="W311" s="4">
        <v>7410</v>
      </c>
      <c r="X311" s="4">
        <v>7170</v>
      </c>
      <c r="Y311" s="4">
        <v>8000</v>
      </c>
      <c r="Z311" s="4">
        <v>6978</v>
      </c>
      <c r="AA311" s="4">
        <v>7000</v>
      </c>
      <c r="AB311" s="4">
        <v>6453</v>
      </c>
      <c r="AC311" s="4">
        <v>6601</v>
      </c>
      <c r="AD311" s="4">
        <v>7382</v>
      </c>
      <c r="AE311" s="4">
        <v>7000</v>
      </c>
      <c r="AF311" s="4">
        <v>7612</v>
      </c>
      <c r="AG311" s="4">
        <v>6965</v>
      </c>
      <c r="AH311" s="4">
        <v>7196</v>
      </c>
      <c r="AI311" s="7">
        <f t="shared" si="9"/>
        <v>217892.66666666669</v>
      </c>
      <c r="AJ311" s="7"/>
    </row>
    <row r="312" spans="1:36" x14ac:dyDescent="0.3">
      <c r="A312" s="12" t="s">
        <v>1044</v>
      </c>
      <c r="B312" s="12" t="s">
        <v>863</v>
      </c>
      <c r="C312" s="12" t="s">
        <v>5</v>
      </c>
      <c r="D312" s="13">
        <v>9000879</v>
      </c>
      <c r="E312" s="12" t="s">
        <v>395</v>
      </c>
      <c r="F312" s="12" t="s">
        <v>3</v>
      </c>
      <c r="G312" s="9">
        <v>1209</v>
      </c>
      <c r="H312" s="9">
        <v>3266.3399999999992</v>
      </c>
      <c r="I312" s="9">
        <v>1202</v>
      </c>
      <c r="J312" s="9">
        <v>0</v>
      </c>
      <c r="K312" s="9">
        <v>1194</v>
      </c>
      <c r="L312" s="9">
        <v>0</v>
      </c>
      <c r="M312" s="9">
        <v>1187</v>
      </c>
      <c r="N312" s="9">
        <v>0</v>
      </c>
      <c r="O312" s="9">
        <v>1179</v>
      </c>
      <c r="P312" s="9">
        <v>6533.333333333333</v>
      </c>
      <c r="Q312" s="9">
        <v>1172</v>
      </c>
      <c r="R312" s="9">
        <v>0</v>
      </c>
      <c r="S312" s="9">
        <v>1179.3333333333333</v>
      </c>
      <c r="T312" s="9"/>
      <c r="U312" s="4">
        <f t="shared" si="10"/>
        <v>9799.6733333333323</v>
      </c>
      <c r="W312" s="4">
        <v>1259</v>
      </c>
      <c r="X312" s="4">
        <v>1263</v>
      </c>
      <c r="Y312" s="4">
        <v>1153</v>
      </c>
      <c r="Z312" s="4">
        <v>1390</v>
      </c>
      <c r="AA312" s="4">
        <v>1319</v>
      </c>
      <c r="AB312" s="4">
        <v>1656</v>
      </c>
      <c r="AC312" s="4">
        <v>1461</v>
      </c>
      <c r="AD312" s="4">
        <v>1079</v>
      </c>
      <c r="AE312" s="4">
        <v>1332</v>
      </c>
      <c r="AF312" s="4">
        <v>1044</v>
      </c>
      <c r="AG312" s="4">
        <v>1221</v>
      </c>
      <c r="AH312" s="4">
        <v>1050</v>
      </c>
      <c r="AI312" s="7">
        <f t="shared" si="9"/>
        <v>43148.679999999993</v>
      </c>
      <c r="AJ312" s="7"/>
    </row>
    <row r="313" spans="1:36" x14ac:dyDescent="0.3">
      <c r="A313" s="12" t="s">
        <v>1042</v>
      </c>
      <c r="B313" s="12" t="str">
        <f>INDEX([1]오송!$C:$C,MATCH(D313,[1]오송!$D:$D,0))</f>
        <v>오송</v>
      </c>
      <c r="C313" s="12" t="s">
        <v>5</v>
      </c>
      <c r="D313" s="13">
        <v>9000883</v>
      </c>
      <c r="E313" s="12" t="s">
        <v>226</v>
      </c>
      <c r="F313" s="12" t="s">
        <v>3</v>
      </c>
      <c r="G313" s="9">
        <v>9382</v>
      </c>
      <c r="H313" s="9">
        <v>9800</v>
      </c>
      <c r="I313" s="9">
        <v>9247</v>
      </c>
      <c r="J313" s="9">
        <v>0</v>
      </c>
      <c r="K313" s="9">
        <v>9112</v>
      </c>
      <c r="L313" s="9">
        <v>0</v>
      </c>
      <c r="M313" s="9">
        <v>8978</v>
      </c>
      <c r="N313" s="9">
        <v>0</v>
      </c>
      <c r="O313" s="9">
        <v>8843</v>
      </c>
      <c r="P313" s="9">
        <v>9800</v>
      </c>
      <c r="Q313" s="9">
        <v>8708</v>
      </c>
      <c r="R313" s="9">
        <v>9800</v>
      </c>
      <c r="S313" s="9">
        <v>8843</v>
      </c>
      <c r="T313" s="9"/>
      <c r="U313" s="4">
        <f t="shared" si="10"/>
        <v>29400</v>
      </c>
      <c r="W313" s="4">
        <v>11335</v>
      </c>
      <c r="X313" s="4">
        <v>8083</v>
      </c>
      <c r="Y313" s="4">
        <v>9937</v>
      </c>
      <c r="Z313" s="4">
        <v>11350</v>
      </c>
      <c r="AA313" s="4">
        <v>10007</v>
      </c>
      <c r="AB313" s="4">
        <v>8822</v>
      </c>
      <c r="AC313" s="4">
        <v>9294</v>
      </c>
      <c r="AD313" s="4">
        <v>10896</v>
      </c>
      <c r="AE313" s="4">
        <v>9429</v>
      </c>
      <c r="AF313" s="4">
        <v>9939</v>
      </c>
      <c r="AG313" s="4">
        <v>9197</v>
      </c>
      <c r="AH313" s="4">
        <v>9422</v>
      </c>
      <c r="AI313" s="7">
        <f t="shared" si="9"/>
        <v>239624</v>
      </c>
      <c r="AJ313" s="7"/>
    </row>
    <row r="314" spans="1:36" x14ac:dyDescent="0.3">
      <c r="A314" s="12" t="s">
        <v>1042</v>
      </c>
      <c r="B314" s="12" t="str">
        <f>INDEX([1]오송!$C:$C,MATCH(D314,[1]오송!$D:$D,0))</f>
        <v>오송</v>
      </c>
      <c r="C314" s="12" t="s">
        <v>5</v>
      </c>
      <c r="D314" s="13">
        <v>9000884</v>
      </c>
      <c r="E314" s="12" t="s">
        <v>227</v>
      </c>
      <c r="F314" s="12" t="s">
        <v>3</v>
      </c>
      <c r="G314" s="9">
        <v>4311</v>
      </c>
      <c r="H314" s="9">
        <v>8820</v>
      </c>
      <c r="I314" s="9">
        <v>4239</v>
      </c>
      <c r="J314" s="9">
        <v>0</v>
      </c>
      <c r="K314" s="9">
        <v>4167</v>
      </c>
      <c r="L314" s="9">
        <v>0</v>
      </c>
      <c r="M314" s="9">
        <v>4095</v>
      </c>
      <c r="N314" s="9">
        <v>0</v>
      </c>
      <c r="O314" s="9">
        <v>4023</v>
      </c>
      <c r="P314" s="9">
        <v>3920</v>
      </c>
      <c r="Q314" s="9">
        <v>3951</v>
      </c>
      <c r="R314" s="9">
        <v>3920</v>
      </c>
      <c r="S314" s="9">
        <v>4023</v>
      </c>
      <c r="T314" s="9"/>
      <c r="U314" s="4">
        <f t="shared" si="10"/>
        <v>16660</v>
      </c>
      <c r="W314" s="4">
        <v>5366</v>
      </c>
      <c r="X314" s="4">
        <v>4931</v>
      </c>
      <c r="Y314" s="4">
        <v>5103</v>
      </c>
      <c r="Z314" s="4">
        <v>4405</v>
      </c>
      <c r="AA314" s="4">
        <v>4855</v>
      </c>
      <c r="AB314" s="4">
        <v>3690</v>
      </c>
      <c r="AC314" s="4">
        <v>4300</v>
      </c>
      <c r="AD314" s="4">
        <v>4853</v>
      </c>
      <c r="AE314" s="4">
        <v>4267</v>
      </c>
      <c r="AF314" s="4">
        <v>5099</v>
      </c>
      <c r="AG314" s="4">
        <v>4383</v>
      </c>
      <c r="AH314" s="4">
        <v>4145</v>
      </c>
      <c r="AI314" s="7">
        <f t="shared" si="9"/>
        <v>117526</v>
      </c>
      <c r="AJ314" s="7"/>
    </row>
    <row r="315" spans="1:36" x14ac:dyDescent="0.3">
      <c r="A315" s="12" t="s">
        <v>1044</v>
      </c>
      <c r="B315" s="12" t="s">
        <v>863</v>
      </c>
      <c r="C315" s="12" t="s">
        <v>5</v>
      </c>
      <c r="D315" s="13">
        <v>9000894</v>
      </c>
      <c r="E315" s="12" t="s">
        <v>396</v>
      </c>
      <c r="F315" s="12" t="s">
        <v>3</v>
      </c>
      <c r="G315" s="9">
        <v>921</v>
      </c>
      <c r="H315" s="9">
        <v>0</v>
      </c>
      <c r="I315" s="9">
        <v>901</v>
      </c>
      <c r="J315" s="9">
        <v>4083.2925</v>
      </c>
      <c r="K315" s="9">
        <v>882</v>
      </c>
      <c r="L315" s="9">
        <v>0</v>
      </c>
      <c r="M315" s="9">
        <v>863</v>
      </c>
      <c r="N315" s="9">
        <v>0</v>
      </c>
      <c r="O315" s="9">
        <v>844</v>
      </c>
      <c r="P315" s="9">
        <v>0</v>
      </c>
      <c r="Q315" s="9">
        <v>824</v>
      </c>
      <c r="R315" s="9">
        <v>4083.2925</v>
      </c>
      <c r="S315" s="9">
        <v>843.66666666666663</v>
      </c>
      <c r="T315" s="9"/>
      <c r="U315" s="4">
        <f t="shared" si="10"/>
        <v>8166.585</v>
      </c>
      <c r="W315" s="4">
        <v>1187</v>
      </c>
      <c r="X315" s="4">
        <v>1201</v>
      </c>
      <c r="Y315" s="4">
        <v>1117</v>
      </c>
      <c r="Z315" s="4">
        <v>1092</v>
      </c>
      <c r="AA315" s="4">
        <v>1125</v>
      </c>
      <c r="AB315" s="4">
        <v>957</v>
      </c>
      <c r="AC315" s="4">
        <v>1068</v>
      </c>
      <c r="AD315" s="4">
        <v>595</v>
      </c>
      <c r="AE315" s="4">
        <v>956</v>
      </c>
      <c r="AF315" s="4">
        <v>918</v>
      </c>
      <c r="AG315" s="4">
        <v>884</v>
      </c>
      <c r="AH315" s="4">
        <v>1067</v>
      </c>
      <c r="AI315" s="7">
        <f t="shared" si="9"/>
        <v>34578.83666666667</v>
      </c>
      <c r="AJ315" s="7"/>
    </row>
    <row r="316" spans="1:36" x14ac:dyDescent="0.3">
      <c r="A316" s="12" t="s">
        <v>1044</v>
      </c>
      <c r="B316" s="12" t="s">
        <v>863</v>
      </c>
      <c r="C316" s="12" t="s">
        <v>5</v>
      </c>
      <c r="D316" s="13">
        <v>9000895</v>
      </c>
      <c r="E316" s="12" t="s">
        <v>397</v>
      </c>
      <c r="F316" s="12" t="s">
        <v>3</v>
      </c>
      <c r="G316" s="9">
        <v>1129</v>
      </c>
      <c r="H316" s="9">
        <v>0</v>
      </c>
      <c r="I316" s="9">
        <v>1129</v>
      </c>
      <c r="J316" s="9">
        <v>0</v>
      </c>
      <c r="K316" s="9">
        <v>1129</v>
      </c>
      <c r="L316" s="9">
        <v>0</v>
      </c>
      <c r="M316" s="9">
        <v>1129</v>
      </c>
      <c r="N316" s="9">
        <v>4900</v>
      </c>
      <c r="O316" s="9">
        <v>1129</v>
      </c>
      <c r="P316" s="9">
        <v>0</v>
      </c>
      <c r="Q316" s="9">
        <v>1129</v>
      </c>
      <c r="R316" s="9">
        <v>0</v>
      </c>
      <c r="S316" s="9">
        <v>1129</v>
      </c>
      <c r="T316" s="9"/>
      <c r="U316" s="4">
        <f t="shared" si="10"/>
        <v>4900</v>
      </c>
      <c r="W316" s="4">
        <v>1160</v>
      </c>
      <c r="X316" s="4">
        <v>511</v>
      </c>
      <c r="Y316" s="4">
        <v>1086</v>
      </c>
      <c r="Z316" s="4">
        <v>984</v>
      </c>
      <c r="AA316" s="4">
        <v>1067</v>
      </c>
      <c r="AB316" s="4">
        <v>1421</v>
      </c>
      <c r="AC316" s="4">
        <v>1054</v>
      </c>
      <c r="AD316" s="4">
        <v>1628</v>
      </c>
      <c r="AE316" s="4">
        <v>1233</v>
      </c>
      <c r="AF316" s="4">
        <v>990</v>
      </c>
      <c r="AG316" s="4">
        <v>1114</v>
      </c>
      <c r="AH316" s="4">
        <v>1013</v>
      </c>
      <c r="AI316" s="7">
        <f t="shared" si="9"/>
        <v>30964</v>
      </c>
      <c r="AJ316" s="7"/>
    </row>
    <row r="317" spans="1:36" x14ac:dyDescent="0.3">
      <c r="A317" s="12" t="s">
        <v>1044</v>
      </c>
      <c r="B317" s="12" t="s">
        <v>863</v>
      </c>
      <c r="C317" s="12" t="s">
        <v>5</v>
      </c>
      <c r="D317" s="13">
        <v>9000896</v>
      </c>
      <c r="E317" s="12" t="s">
        <v>398</v>
      </c>
      <c r="F317" s="12" t="s">
        <v>3</v>
      </c>
      <c r="G317" s="9">
        <v>3490</v>
      </c>
      <c r="H317" s="9">
        <v>0</v>
      </c>
      <c r="I317" s="9">
        <v>3428</v>
      </c>
      <c r="J317" s="9">
        <v>0</v>
      </c>
      <c r="K317" s="9">
        <v>3366</v>
      </c>
      <c r="L317" s="9">
        <v>0</v>
      </c>
      <c r="M317" s="9">
        <v>3304</v>
      </c>
      <c r="N317" s="9">
        <v>0</v>
      </c>
      <c r="O317" s="9">
        <v>3243</v>
      </c>
      <c r="P317" s="9">
        <v>0</v>
      </c>
      <c r="Q317" s="9">
        <v>3181</v>
      </c>
      <c r="R317" s="9">
        <v>73500</v>
      </c>
      <c r="S317" s="9">
        <v>3242.6666666666665</v>
      </c>
      <c r="T317" s="9"/>
      <c r="U317" s="4">
        <f t="shared" si="10"/>
        <v>73500</v>
      </c>
      <c r="W317" s="4">
        <v>4455</v>
      </c>
      <c r="X317" s="4">
        <v>3736</v>
      </c>
      <c r="Y317" s="4">
        <v>4235</v>
      </c>
      <c r="Z317" s="4">
        <v>3875</v>
      </c>
      <c r="AA317" s="4">
        <v>4091</v>
      </c>
      <c r="AB317" s="4">
        <v>5103</v>
      </c>
      <c r="AC317" s="4">
        <v>4490</v>
      </c>
      <c r="AD317" s="4">
        <v>3866</v>
      </c>
      <c r="AE317" s="4">
        <v>4406</v>
      </c>
      <c r="AF317" s="4">
        <v>3652</v>
      </c>
      <c r="AG317" s="4">
        <v>4201</v>
      </c>
      <c r="AH317" s="4">
        <v>1930</v>
      </c>
      <c r="AI317" s="7">
        <f t="shared" si="9"/>
        <v>218294.66666666669</v>
      </c>
      <c r="AJ317" s="7"/>
    </row>
    <row r="318" spans="1:36" x14ac:dyDescent="0.3">
      <c r="A318" s="12" t="s">
        <v>1044</v>
      </c>
      <c r="B318" s="12" t="s">
        <v>863</v>
      </c>
      <c r="C318" s="12" t="s">
        <v>5</v>
      </c>
      <c r="D318" s="13">
        <v>9000897</v>
      </c>
      <c r="E318" s="12" t="s">
        <v>399</v>
      </c>
      <c r="F318" s="12" t="s">
        <v>3</v>
      </c>
      <c r="G318" s="9">
        <v>1470</v>
      </c>
      <c r="H318" s="9">
        <v>0</v>
      </c>
      <c r="I318" s="9">
        <v>1433</v>
      </c>
      <c r="J318" s="9">
        <v>0</v>
      </c>
      <c r="K318" s="9">
        <v>1396</v>
      </c>
      <c r="L318" s="9">
        <v>0</v>
      </c>
      <c r="M318" s="9">
        <v>1359</v>
      </c>
      <c r="N318" s="9">
        <v>0</v>
      </c>
      <c r="O318" s="9">
        <v>1322</v>
      </c>
      <c r="P318" s="9">
        <v>0</v>
      </c>
      <c r="Q318" s="9">
        <v>1284</v>
      </c>
      <c r="R318" s="9">
        <v>0</v>
      </c>
      <c r="S318" s="9">
        <v>1321.6666666666667</v>
      </c>
      <c r="T318" s="9"/>
      <c r="U318" s="4">
        <f t="shared" si="10"/>
        <v>0</v>
      </c>
      <c r="W318" s="4">
        <v>1827</v>
      </c>
      <c r="X318" s="4">
        <v>1661</v>
      </c>
      <c r="Y318" s="4">
        <v>1722</v>
      </c>
      <c r="Z318" s="4">
        <v>1592</v>
      </c>
      <c r="AA318" s="4">
        <v>1626</v>
      </c>
      <c r="AB318" s="4">
        <v>1888</v>
      </c>
      <c r="AC318" s="4">
        <v>1678</v>
      </c>
      <c r="AD318" s="4">
        <v>1267</v>
      </c>
      <c r="AE318" s="4">
        <v>1564</v>
      </c>
      <c r="AF318" s="4">
        <v>1516</v>
      </c>
      <c r="AG318" s="4">
        <v>1481</v>
      </c>
      <c r="AH318" s="4">
        <v>1628</v>
      </c>
      <c r="AI318" s="7">
        <f t="shared" si="9"/>
        <v>29035.666666666664</v>
      </c>
      <c r="AJ318" s="7"/>
    </row>
    <row r="319" spans="1:36" x14ac:dyDescent="0.3">
      <c r="A319" s="12" t="s">
        <v>1044</v>
      </c>
      <c r="B319" s="12" t="s">
        <v>863</v>
      </c>
      <c r="C319" s="12" t="s">
        <v>5</v>
      </c>
      <c r="D319" s="13">
        <v>9000900</v>
      </c>
      <c r="E319" s="12" t="s">
        <v>400</v>
      </c>
      <c r="F319" s="12" t="s">
        <v>3</v>
      </c>
      <c r="G319" s="9">
        <v>5771</v>
      </c>
      <c r="H319" s="9">
        <v>0</v>
      </c>
      <c r="I319" s="9">
        <v>5711</v>
      </c>
      <c r="J319" s="9">
        <v>0</v>
      </c>
      <c r="K319" s="9">
        <v>5650</v>
      </c>
      <c r="L319" s="9">
        <v>0</v>
      </c>
      <c r="M319" s="9">
        <v>5590</v>
      </c>
      <c r="N319" s="9">
        <v>0</v>
      </c>
      <c r="O319" s="9">
        <v>5529</v>
      </c>
      <c r="P319" s="9">
        <v>29400</v>
      </c>
      <c r="Q319" s="9">
        <v>5468</v>
      </c>
      <c r="R319" s="9">
        <v>0</v>
      </c>
      <c r="S319" s="9">
        <v>5529</v>
      </c>
      <c r="T319" s="9"/>
      <c r="U319" s="4">
        <f t="shared" si="10"/>
        <v>29400</v>
      </c>
      <c r="W319" s="4">
        <v>6701</v>
      </c>
      <c r="X319" s="4">
        <v>6520</v>
      </c>
      <c r="Y319" s="4">
        <v>6496</v>
      </c>
      <c r="Z319" s="4">
        <v>5930</v>
      </c>
      <c r="AA319" s="4">
        <v>6270</v>
      </c>
      <c r="AB319" s="4">
        <v>6153</v>
      </c>
      <c r="AC319" s="4">
        <v>6148</v>
      </c>
      <c r="AD319" s="4">
        <v>5473</v>
      </c>
      <c r="AE319" s="4">
        <v>5941</v>
      </c>
      <c r="AF319" s="4">
        <v>5631</v>
      </c>
      <c r="AG319" s="4">
        <v>5840</v>
      </c>
      <c r="AH319" s="4">
        <v>5959</v>
      </c>
      <c r="AI319" s="7">
        <f t="shared" si="9"/>
        <v>171110</v>
      </c>
      <c r="AJ319" s="7"/>
    </row>
    <row r="320" spans="1:36" x14ac:dyDescent="0.3">
      <c r="A320" s="12" t="s">
        <v>1044</v>
      </c>
      <c r="B320" s="12" t="s">
        <v>863</v>
      </c>
      <c r="C320" s="12" t="s">
        <v>5</v>
      </c>
      <c r="D320" s="13">
        <v>9000901</v>
      </c>
      <c r="E320" s="12" t="s">
        <v>401</v>
      </c>
      <c r="F320" s="12" t="s">
        <v>3</v>
      </c>
      <c r="G320" s="9">
        <v>137</v>
      </c>
      <c r="H320" s="9">
        <v>0</v>
      </c>
      <c r="I320" s="9">
        <v>137</v>
      </c>
      <c r="J320" s="9">
        <v>816.6585</v>
      </c>
      <c r="K320" s="9">
        <v>137</v>
      </c>
      <c r="L320" s="9">
        <v>0</v>
      </c>
      <c r="M320" s="9">
        <v>136</v>
      </c>
      <c r="N320" s="9">
        <v>0</v>
      </c>
      <c r="O320" s="9">
        <v>136</v>
      </c>
      <c r="P320" s="9">
        <v>0</v>
      </c>
      <c r="Q320" s="9">
        <v>136</v>
      </c>
      <c r="R320" s="9">
        <v>816.6585</v>
      </c>
      <c r="S320" s="9">
        <v>136</v>
      </c>
      <c r="T320" s="9"/>
      <c r="U320" s="4">
        <f t="shared" si="10"/>
        <v>1633.317</v>
      </c>
      <c r="W320" s="4">
        <v>136</v>
      </c>
      <c r="X320" s="4">
        <v>139</v>
      </c>
      <c r="Y320" s="4">
        <v>133</v>
      </c>
      <c r="Z320" s="4">
        <v>146</v>
      </c>
      <c r="AA320" s="4">
        <v>136</v>
      </c>
      <c r="AB320" s="4">
        <v>193</v>
      </c>
      <c r="AC320" s="4">
        <v>158</v>
      </c>
      <c r="AD320" s="4">
        <v>110</v>
      </c>
      <c r="AE320" s="4">
        <v>147</v>
      </c>
      <c r="AF320" s="4">
        <v>102</v>
      </c>
      <c r="AG320" s="4">
        <v>136</v>
      </c>
      <c r="AH320" s="4">
        <v>149</v>
      </c>
      <c r="AI320" s="7">
        <f t="shared" si="9"/>
        <v>5906.634</v>
      </c>
      <c r="AJ320" s="7"/>
    </row>
    <row r="321" spans="1:36" x14ac:dyDescent="0.3">
      <c r="A321" s="12" t="s">
        <v>1044</v>
      </c>
      <c r="B321" s="12" t="s">
        <v>863</v>
      </c>
      <c r="C321" s="12" t="s">
        <v>5</v>
      </c>
      <c r="D321" s="13">
        <v>9000902</v>
      </c>
      <c r="E321" s="12" t="s">
        <v>402</v>
      </c>
      <c r="F321" s="12" t="s">
        <v>3</v>
      </c>
      <c r="G321" s="9">
        <v>55</v>
      </c>
      <c r="H321" s="9">
        <v>0</v>
      </c>
      <c r="I321" s="9">
        <v>54</v>
      </c>
      <c r="J321" s="9">
        <v>0</v>
      </c>
      <c r="K321" s="9">
        <v>53</v>
      </c>
      <c r="L321" s="9">
        <v>0</v>
      </c>
      <c r="M321" s="9">
        <v>52</v>
      </c>
      <c r="N321" s="9">
        <v>245</v>
      </c>
      <c r="O321" s="9">
        <v>51</v>
      </c>
      <c r="P321" s="9">
        <v>0</v>
      </c>
      <c r="Q321" s="9">
        <v>50</v>
      </c>
      <c r="R321" s="9">
        <v>0</v>
      </c>
      <c r="S321" s="9">
        <v>51</v>
      </c>
      <c r="T321" s="9"/>
      <c r="U321" s="4">
        <f t="shared" si="10"/>
        <v>245</v>
      </c>
      <c r="W321" s="4">
        <v>73</v>
      </c>
      <c r="X321" s="4">
        <v>63</v>
      </c>
      <c r="Y321" s="4">
        <v>68</v>
      </c>
      <c r="Z321" s="4">
        <v>50</v>
      </c>
      <c r="AA321" s="4">
        <v>63</v>
      </c>
      <c r="AB321" s="4">
        <v>64</v>
      </c>
      <c r="AC321" s="4">
        <v>59</v>
      </c>
      <c r="AD321" s="4">
        <v>55</v>
      </c>
      <c r="AE321" s="4">
        <v>55</v>
      </c>
      <c r="AF321" s="4">
        <v>52</v>
      </c>
      <c r="AG321" s="4">
        <v>55</v>
      </c>
      <c r="AH321" s="4">
        <v>63</v>
      </c>
      <c r="AI321" s="7">
        <f t="shared" si="9"/>
        <v>1576</v>
      </c>
      <c r="AJ321" s="7"/>
    </row>
    <row r="322" spans="1:36" x14ac:dyDescent="0.3">
      <c r="A322" s="12" t="s">
        <v>866</v>
      </c>
      <c r="B322" s="12" t="s">
        <v>864</v>
      </c>
      <c r="C322" s="12" t="s">
        <v>867</v>
      </c>
      <c r="D322" s="13">
        <v>9000942</v>
      </c>
      <c r="E322" s="12" t="s">
        <v>403</v>
      </c>
      <c r="F322" s="12" t="s">
        <v>3</v>
      </c>
      <c r="G322" s="9">
        <v>5508</v>
      </c>
      <c r="H322" s="9" t="s">
        <v>861</v>
      </c>
      <c r="I322" s="9">
        <v>5508</v>
      </c>
      <c r="J322" s="9" t="s">
        <v>861</v>
      </c>
      <c r="K322" s="9">
        <v>5508</v>
      </c>
      <c r="L322" s="9" t="s">
        <v>861</v>
      </c>
      <c r="M322" s="9">
        <v>5508</v>
      </c>
      <c r="N322" s="9">
        <v>0</v>
      </c>
      <c r="O322" s="9">
        <v>5508</v>
      </c>
      <c r="P322" s="9">
        <v>0</v>
      </c>
      <c r="Q322" s="9">
        <v>5508</v>
      </c>
      <c r="R322" s="9">
        <v>0</v>
      </c>
      <c r="S322" s="9">
        <v>5508</v>
      </c>
      <c r="T322" s="9"/>
      <c r="U322" s="4">
        <f t="shared" si="10"/>
        <v>0</v>
      </c>
      <c r="W322" s="4">
        <v>0</v>
      </c>
      <c r="X322" s="4">
        <v>0</v>
      </c>
      <c r="Y322" s="4">
        <v>3765</v>
      </c>
      <c r="Z322" s="4">
        <v>7531</v>
      </c>
      <c r="AA322" s="4">
        <v>5024</v>
      </c>
      <c r="AB322" s="4">
        <v>7589</v>
      </c>
      <c r="AC322" s="4">
        <v>5040</v>
      </c>
      <c r="AD322" s="4">
        <v>0</v>
      </c>
      <c r="AE322" s="4">
        <v>5040</v>
      </c>
      <c r="AF322" s="4">
        <v>0</v>
      </c>
      <c r="AG322" s="4">
        <v>2530</v>
      </c>
      <c r="AH322" s="4">
        <v>3782</v>
      </c>
      <c r="AI322" s="7">
        <f t="shared" si="9"/>
        <v>78857</v>
      </c>
      <c r="AJ322" s="7"/>
    </row>
    <row r="323" spans="1:36" x14ac:dyDescent="0.3">
      <c r="A323" s="14" t="s">
        <v>1036</v>
      </c>
      <c r="B323" s="14" t="s">
        <v>863</v>
      </c>
      <c r="C323" s="14" t="s">
        <v>5</v>
      </c>
      <c r="D323" s="13">
        <v>9000991</v>
      </c>
      <c r="E323" s="12" t="s">
        <v>404</v>
      </c>
      <c r="F323" s="12" t="s">
        <v>3</v>
      </c>
      <c r="G323" s="9">
        <v>500</v>
      </c>
      <c r="H323" s="9">
        <v>0</v>
      </c>
      <c r="I323" s="9">
        <v>500</v>
      </c>
      <c r="J323" s="9">
        <v>0</v>
      </c>
      <c r="K323" s="9">
        <v>500</v>
      </c>
      <c r="L323" s="9">
        <v>0</v>
      </c>
      <c r="M323" s="9">
        <v>500</v>
      </c>
      <c r="N323" s="9">
        <v>1000</v>
      </c>
      <c r="O323" s="9">
        <v>500</v>
      </c>
      <c r="P323" s="9">
        <v>0</v>
      </c>
      <c r="Q323" s="9">
        <v>500</v>
      </c>
      <c r="R323" s="9">
        <v>0</v>
      </c>
      <c r="S323" s="9">
        <v>500</v>
      </c>
      <c r="T323" s="9"/>
      <c r="U323" s="4">
        <f t="shared" si="10"/>
        <v>1000</v>
      </c>
      <c r="W323" s="4">
        <v>673</v>
      </c>
      <c r="X323" s="4">
        <v>408</v>
      </c>
      <c r="Y323" s="4">
        <v>642</v>
      </c>
      <c r="Z323" s="4">
        <v>367</v>
      </c>
      <c r="AA323" s="4">
        <v>557</v>
      </c>
      <c r="AB323" s="4">
        <v>462</v>
      </c>
      <c r="AC323" s="4">
        <v>431</v>
      </c>
      <c r="AD323" s="4">
        <v>476</v>
      </c>
      <c r="AE323" s="4">
        <v>445</v>
      </c>
      <c r="AF323" s="4">
        <v>713</v>
      </c>
      <c r="AG323" s="4">
        <v>473</v>
      </c>
      <c r="AH323" s="4">
        <v>450</v>
      </c>
      <c r="AI323" s="7">
        <f t="shared" si="9"/>
        <v>11597</v>
      </c>
      <c r="AJ323" s="7"/>
    </row>
    <row r="324" spans="1:36" x14ac:dyDescent="0.3">
      <c r="A324" s="14" t="s">
        <v>1036</v>
      </c>
      <c r="B324" s="14" t="s">
        <v>863</v>
      </c>
      <c r="C324" s="14" t="s">
        <v>5</v>
      </c>
      <c r="D324" s="13">
        <v>9000992</v>
      </c>
      <c r="E324" s="12" t="s">
        <v>405</v>
      </c>
      <c r="F324" s="12" t="s">
        <v>3</v>
      </c>
      <c r="G324" s="9">
        <v>139</v>
      </c>
      <c r="H324" s="9">
        <v>0</v>
      </c>
      <c r="I324" s="9">
        <v>139</v>
      </c>
      <c r="J324" s="9">
        <v>0</v>
      </c>
      <c r="K324" s="9">
        <v>139</v>
      </c>
      <c r="L324" s="9">
        <v>0</v>
      </c>
      <c r="M324" s="9">
        <v>139</v>
      </c>
      <c r="N324" s="9">
        <v>3700</v>
      </c>
      <c r="O324" s="9">
        <v>139</v>
      </c>
      <c r="P324" s="9">
        <v>0</v>
      </c>
      <c r="Q324" s="9">
        <v>139</v>
      </c>
      <c r="R324" s="9">
        <v>0</v>
      </c>
      <c r="S324" s="9">
        <v>139</v>
      </c>
      <c r="T324" s="9"/>
      <c r="U324" s="4">
        <f t="shared" si="10"/>
        <v>3700</v>
      </c>
      <c r="W324" s="4">
        <v>164</v>
      </c>
      <c r="X324" s="4">
        <v>153</v>
      </c>
      <c r="Y324" s="4">
        <v>180</v>
      </c>
      <c r="Z324" s="4">
        <v>121</v>
      </c>
      <c r="AA324" s="4">
        <v>162</v>
      </c>
      <c r="AB324" s="4">
        <v>83</v>
      </c>
      <c r="AC324" s="4">
        <v>142</v>
      </c>
      <c r="AD324" s="4">
        <v>137</v>
      </c>
      <c r="AE324" s="4">
        <v>147</v>
      </c>
      <c r="AF324" s="4">
        <v>81</v>
      </c>
      <c r="AG324" s="4">
        <v>115</v>
      </c>
      <c r="AH324" s="4">
        <v>248</v>
      </c>
      <c r="AI324" s="7">
        <f t="shared" si="9"/>
        <v>10106</v>
      </c>
      <c r="AJ324" s="7"/>
    </row>
    <row r="325" spans="1:36" x14ac:dyDescent="0.3">
      <c r="A325" s="12" t="s">
        <v>1044</v>
      </c>
      <c r="B325" s="12" t="s">
        <v>863</v>
      </c>
      <c r="C325" s="12" t="s">
        <v>5</v>
      </c>
      <c r="D325" s="13">
        <v>9000993</v>
      </c>
      <c r="E325" s="12" t="s">
        <v>406</v>
      </c>
      <c r="F325" s="12" t="s">
        <v>3</v>
      </c>
      <c r="G325" s="9">
        <v>599</v>
      </c>
      <c r="H325" s="9">
        <v>0</v>
      </c>
      <c r="I325" s="9">
        <v>595</v>
      </c>
      <c r="J325" s="9">
        <v>0</v>
      </c>
      <c r="K325" s="9">
        <v>591</v>
      </c>
      <c r="L325" s="9">
        <v>0</v>
      </c>
      <c r="M325" s="9">
        <v>586</v>
      </c>
      <c r="N325" s="9">
        <v>0</v>
      </c>
      <c r="O325" s="9">
        <v>582</v>
      </c>
      <c r="P325" s="9">
        <v>0</v>
      </c>
      <c r="Q325" s="9">
        <v>578</v>
      </c>
      <c r="R325" s="9">
        <v>0</v>
      </c>
      <c r="S325" s="9">
        <v>582</v>
      </c>
      <c r="T325" s="9"/>
      <c r="U325" s="4">
        <f t="shared" si="10"/>
        <v>0</v>
      </c>
      <c r="W325" s="4">
        <v>628</v>
      </c>
      <c r="X325" s="4">
        <v>606</v>
      </c>
      <c r="Y325" s="4">
        <v>601</v>
      </c>
      <c r="Z325" s="4">
        <v>559</v>
      </c>
      <c r="AA325" s="4">
        <v>548</v>
      </c>
      <c r="AB325" s="4">
        <v>720</v>
      </c>
      <c r="AC325" s="4">
        <v>543</v>
      </c>
      <c r="AD325" s="4">
        <v>525</v>
      </c>
      <c r="AE325" s="4">
        <v>553</v>
      </c>
      <c r="AF325" s="4">
        <v>529</v>
      </c>
      <c r="AG325" s="4">
        <v>520</v>
      </c>
      <c r="AH325" s="4">
        <v>768</v>
      </c>
      <c r="AI325" s="7">
        <f t="shared" ref="AI325:AI388" si="11">SUM(G325:AH325)</f>
        <v>11213</v>
      </c>
      <c r="AJ325" s="7"/>
    </row>
    <row r="326" spans="1:36" x14ac:dyDescent="0.3">
      <c r="A326" s="12" t="s">
        <v>1044</v>
      </c>
      <c r="B326" s="12" t="s">
        <v>863</v>
      </c>
      <c r="C326" s="12" t="s">
        <v>5</v>
      </c>
      <c r="D326" s="13">
        <v>9000994</v>
      </c>
      <c r="E326" s="12" t="s">
        <v>407</v>
      </c>
      <c r="F326" s="12" t="s">
        <v>3</v>
      </c>
      <c r="G326" s="9">
        <v>125</v>
      </c>
      <c r="H326" s="9">
        <v>0</v>
      </c>
      <c r="I326" s="9">
        <v>125</v>
      </c>
      <c r="J326" s="9">
        <v>0</v>
      </c>
      <c r="K326" s="9">
        <v>125</v>
      </c>
      <c r="L326" s="9">
        <v>0</v>
      </c>
      <c r="M326" s="9">
        <v>125</v>
      </c>
      <c r="N326" s="9">
        <v>0</v>
      </c>
      <c r="O326" s="9">
        <v>125</v>
      </c>
      <c r="P326" s="9">
        <v>0</v>
      </c>
      <c r="Q326" s="9">
        <v>125</v>
      </c>
      <c r="R326" s="9">
        <v>0</v>
      </c>
      <c r="S326" s="9">
        <v>125</v>
      </c>
      <c r="T326" s="9"/>
      <c r="U326" s="4">
        <f t="shared" si="10"/>
        <v>0</v>
      </c>
      <c r="W326" s="4">
        <v>113</v>
      </c>
      <c r="X326" s="4">
        <v>92</v>
      </c>
      <c r="Y326" s="4">
        <v>113</v>
      </c>
      <c r="Z326" s="4">
        <v>138</v>
      </c>
      <c r="AA326" s="4">
        <v>117</v>
      </c>
      <c r="AB326" s="4">
        <v>207</v>
      </c>
      <c r="AC326" s="4">
        <v>138</v>
      </c>
      <c r="AD326" s="4">
        <v>125</v>
      </c>
      <c r="AE326" s="4">
        <v>129</v>
      </c>
      <c r="AF326" s="4">
        <v>148</v>
      </c>
      <c r="AG326" s="4">
        <v>142</v>
      </c>
      <c r="AH326" s="4">
        <v>71</v>
      </c>
      <c r="AI326" s="7">
        <f t="shared" si="11"/>
        <v>2408</v>
      </c>
      <c r="AJ326" s="7"/>
    </row>
    <row r="327" spans="1:36" x14ac:dyDescent="0.3">
      <c r="A327" s="12" t="s">
        <v>1044</v>
      </c>
      <c r="B327" s="12" t="s">
        <v>863</v>
      </c>
      <c r="C327" s="12" t="s">
        <v>5</v>
      </c>
      <c r="D327" s="13">
        <v>9001013</v>
      </c>
      <c r="E327" s="12" t="s">
        <v>408</v>
      </c>
      <c r="F327" s="12" t="s">
        <v>3</v>
      </c>
      <c r="G327" s="9">
        <v>331</v>
      </c>
      <c r="H327" s="9">
        <v>0</v>
      </c>
      <c r="I327" s="9">
        <v>331</v>
      </c>
      <c r="J327" s="9">
        <v>0</v>
      </c>
      <c r="K327" s="9">
        <v>331</v>
      </c>
      <c r="L327" s="9">
        <v>0</v>
      </c>
      <c r="M327" s="9">
        <v>331</v>
      </c>
      <c r="N327" s="9">
        <v>0</v>
      </c>
      <c r="O327" s="9">
        <v>331</v>
      </c>
      <c r="P327" s="9">
        <v>0</v>
      </c>
      <c r="Q327" s="9">
        <v>331</v>
      </c>
      <c r="R327" s="9">
        <v>0</v>
      </c>
      <c r="S327" s="9">
        <v>331</v>
      </c>
      <c r="T327" s="9"/>
      <c r="U327" s="4">
        <f t="shared" si="10"/>
        <v>0</v>
      </c>
      <c r="W327" s="4">
        <v>243</v>
      </c>
      <c r="X327" s="4">
        <v>241</v>
      </c>
      <c r="Y327" s="4">
        <v>224</v>
      </c>
      <c r="Z327" s="4">
        <v>233</v>
      </c>
      <c r="AA327" s="4">
        <v>227</v>
      </c>
      <c r="AB327" s="4">
        <v>246</v>
      </c>
      <c r="AC327" s="4">
        <v>236</v>
      </c>
      <c r="AD327" s="4">
        <v>272</v>
      </c>
      <c r="AE327" s="4">
        <v>250</v>
      </c>
      <c r="AF327" s="4">
        <v>549</v>
      </c>
      <c r="AG327" s="4">
        <v>301</v>
      </c>
      <c r="AH327" s="4">
        <v>293</v>
      </c>
      <c r="AI327" s="7">
        <f t="shared" si="11"/>
        <v>5632</v>
      </c>
      <c r="AJ327" s="7"/>
    </row>
    <row r="328" spans="1:36" x14ac:dyDescent="0.3">
      <c r="A328" s="12" t="s">
        <v>1044</v>
      </c>
      <c r="B328" s="12" t="s">
        <v>863</v>
      </c>
      <c r="C328" s="12" t="s">
        <v>5</v>
      </c>
      <c r="D328" s="13">
        <v>9001023</v>
      </c>
      <c r="E328" s="12" t="s">
        <v>409</v>
      </c>
      <c r="F328" s="12" t="s">
        <v>3</v>
      </c>
      <c r="G328" s="9">
        <v>3322</v>
      </c>
      <c r="H328" s="9">
        <v>0</v>
      </c>
      <c r="I328" s="9">
        <v>3322</v>
      </c>
      <c r="J328" s="9">
        <v>0</v>
      </c>
      <c r="K328" s="9">
        <v>3322</v>
      </c>
      <c r="L328" s="9">
        <v>0</v>
      </c>
      <c r="M328" s="9">
        <v>3322</v>
      </c>
      <c r="N328" s="9">
        <v>0</v>
      </c>
      <c r="O328" s="9">
        <v>3322</v>
      </c>
      <c r="P328" s="9">
        <v>0</v>
      </c>
      <c r="Q328" s="9">
        <v>3322</v>
      </c>
      <c r="R328" s="9">
        <v>0</v>
      </c>
      <c r="S328" s="9">
        <v>3322</v>
      </c>
      <c r="T328" s="9"/>
      <c r="U328" s="4">
        <f t="shared" si="10"/>
        <v>0</v>
      </c>
      <c r="W328" s="4">
        <v>6500</v>
      </c>
      <c r="X328" s="4">
        <v>2844</v>
      </c>
      <c r="Y328" s="4">
        <v>4769</v>
      </c>
      <c r="Z328" s="4">
        <v>4975</v>
      </c>
      <c r="AA328" s="4">
        <v>4735</v>
      </c>
      <c r="AB328" s="4">
        <v>3132</v>
      </c>
      <c r="AC328" s="4">
        <v>4169</v>
      </c>
      <c r="AD328" s="4">
        <v>2440</v>
      </c>
      <c r="AE328" s="4">
        <v>3574</v>
      </c>
      <c r="AF328" s="4">
        <v>2770</v>
      </c>
      <c r="AG328" s="4">
        <v>3736</v>
      </c>
      <c r="AH328" s="4">
        <v>4043</v>
      </c>
      <c r="AI328" s="7">
        <f t="shared" si="11"/>
        <v>70941</v>
      </c>
      <c r="AJ328" s="7"/>
    </row>
    <row r="329" spans="1:36" x14ac:dyDescent="0.3">
      <c r="A329" s="12" t="s">
        <v>1044</v>
      </c>
      <c r="B329" s="12" t="s">
        <v>863</v>
      </c>
      <c r="C329" s="12" t="s">
        <v>5</v>
      </c>
      <c r="D329" s="13">
        <v>9001031</v>
      </c>
      <c r="E329" s="12" t="s">
        <v>410</v>
      </c>
      <c r="F329" s="12" t="s">
        <v>3</v>
      </c>
      <c r="G329" s="9">
        <v>10000</v>
      </c>
      <c r="H329" s="9">
        <v>14700</v>
      </c>
      <c r="I329" s="9">
        <v>12000</v>
      </c>
      <c r="J329" s="9">
        <v>14700</v>
      </c>
      <c r="K329" s="9">
        <v>15000</v>
      </c>
      <c r="L329" s="9">
        <v>14700</v>
      </c>
      <c r="M329" s="9">
        <v>12000</v>
      </c>
      <c r="N329" s="9">
        <v>14700</v>
      </c>
      <c r="O329" s="9">
        <v>12000</v>
      </c>
      <c r="P329" s="9">
        <v>14700</v>
      </c>
      <c r="Q329" s="9">
        <v>12000</v>
      </c>
      <c r="R329" s="9">
        <v>14700</v>
      </c>
      <c r="S329" s="9">
        <v>12000</v>
      </c>
      <c r="T329" s="9"/>
      <c r="U329" s="4">
        <f t="shared" si="10"/>
        <v>88200</v>
      </c>
      <c r="W329" s="4">
        <v>12000</v>
      </c>
      <c r="X329" s="4">
        <v>22196</v>
      </c>
      <c r="Y329" s="4">
        <v>12000</v>
      </c>
      <c r="Z329" s="4">
        <v>9979</v>
      </c>
      <c r="AA329" s="4">
        <v>11000</v>
      </c>
      <c r="AB329" s="4">
        <v>8867</v>
      </c>
      <c r="AC329" s="4">
        <v>12000</v>
      </c>
      <c r="AD329" s="4">
        <v>10345</v>
      </c>
      <c r="AE329" s="4">
        <v>12000</v>
      </c>
      <c r="AF329" s="4">
        <v>9109</v>
      </c>
      <c r="AG329" s="4">
        <v>13000</v>
      </c>
      <c r="AH329" s="4">
        <v>9736</v>
      </c>
      <c r="AI329" s="7">
        <f t="shared" si="11"/>
        <v>403632</v>
      </c>
      <c r="AJ329" s="7"/>
    </row>
    <row r="330" spans="1:36" x14ac:dyDescent="0.3">
      <c r="A330" s="12" t="s">
        <v>1044</v>
      </c>
      <c r="B330" s="12" t="s">
        <v>863</v>
      </c>
      <c r="C330" s="12" t="s">
        <v>5</v>
      </c>
      <c r="D330" s="13">
        <v>9001054</v>
      </c>
      <c r="E330" s="12" t="s">
        <v>411</v>
      </c>
      <c r="F330" s="12" t="s">
        <v>3</v>
      </c>
      <c r="G330" s="9">
        <v>3770</v>
      </c>
      <c r="H330" s="9">
        <v>0</v>
      </c>
      <c r="I330" s="9">
        <v>3762</v>
      </c>
      <c r="J330" s="9">
        <v>0</v>
      </c>
      <c r="K330" s="9">
        <v>3754</v>
      </c>
      <c r="L330" s="9">
        <v>16006.666666666664</v>
      </c>
      <c r="M330" s="9">
        <v>3747</v>
      </c>
      <c r="N330" s="9">
        <v>0</v>
      </c>
      <c r="O330" s="9">
        <v>3739</v>
      </c>
      <c r="P330" s="9">
        <v>0</v>
      </c>
      <c r="Q330" s="9">
        <v>3731</v>
      </c>
      <c r="R330" s="9">
        <v>17150</v>
      </c>
      <c r="S330" s="9">
        <v>3739</v>
      </c>
      <c r="T330" s="9"/>
      <c r="U330" s="4">
        <f t="shared" si="10"/>
        <v>33156.666666666664</v>
      </c>
      <c r="W330" s="4">
        <v>3566</v>
      </c>
      <c r="X330" s="4">
        <v>3479</v>
      </c>
      <c r="Y330" s="4">
        <v>3359</v>
      </c>
      <c r="Z330" s="4">
        <v>4074</v>
      </c>
      <c r="AA330" s="4">
        <v>3640</v>
      </c>
      <c r="AB330" s="4">
        <v>3768</v>
      </c>
      <c r="AC330" s="4">
        <v>3755</v>
      </c>
      <c r="AD330" s="4">
        <v>3446</v>
      </c>
      <c r="AE330" s="4">
        <v>3671</v>
      </c>
      <c r="AF330" s="4">
        <v>4485</v>
      </c>
      <c r="AG330" s="4">
        <v>3896</v>
      </c>
      <c r="AH330" s="4">
        <v>3369</v>
      </c>
      <c r="AI330" s="7">
        <f t="shared" si="11"/>
        <v>137063.33333333331</v>
      </c>
      <c r="AJ330" s="7"/>
    </row>
    <row r="331" spans="1:36" x14ac:dyDescent="0.3">
      <c r="A331" s="12" t="s">
        <v>1044</v>
      </c>
      <c r="B331" s="12" t="s">
        <v>863</v>
      </c>
      <c r="C331" s="12" t="s">
        <v>5</v>
      </c>
      <c r="D331" s="13">
        <v>9001055</v>
      </c>
      <c r="E331" s="12" t="s">
        <v>412</v>
      </c>
      <c r="F331" s="12" t="s">
        <v>3</v>
      </c>
      <c r="G331" s="9">
        <v>597</v>
      </c>
      <c r="H331" s="9">
        <v>0</v>
      </c>
      <c r="I331" s="9">
        <v>597</v>
      </c>
      <c r="J331" s="9">
        <v>0</v>
      </c>
      <c r="K331" s="9">
        <v>597</v>
      </c>
      <c r="L331" s="9">
        <v>0</v>
      </c>
      <c r="M331" s="9">
        <v>597</v>
      </c>
      <c r="N331" s="9">
        <v>0</v>
      </c>
      <c r="O331" s="9">
        <v>597</v>
      </c>
      <c r="P331" s="9">
        <v>0</v>
      </c>
      <c r="Q331" s="9">
        <v>597</v>
      </c>
      <c r="R331" s="9">
        <v>2286.4380000000001</v>
      </c>
      <c r="S331" s="9">
        <v>597</v>
      </c>
      <c r="T331" s="9"/>
      <c r="U331" s="4">
        <f t="shared" si="10"/>
        <v>2286.4380000000001</v>
      </c>
      <c r="W331" s="4">
        <v>536</v>
      </c>
      <c r="X331" s="4">
        <v>385</v>
      </c>
      <c r="Y331" s="4">
        <v>475</v>
      </c>
      <c r="Z331" s="4">
        <v>630</v>
      </c>
      <c r="AA331" s="4">
        <v>525</v>
      </c>
      <c r="AB331" s="4">
        <v>507</v>
      </c>
      <c r="AC331" s="4">
        <v>511</v>
      </c>
      <c r="AD331" s="4">
        <v>649</v>
      </c>
      <c r="AE331" s="4">
        <v>619</v>
      </c>
      <c r="AF331" s="4">
        <v>754</v>
      </c>
      <c r="AG331" s="4">
        <v>695</v>
      </c>
      <c r="AH331" s="4">
        <v>507</v>
      </c>
      <c r="AI331" s="7">
        <f t="shared" si="11"/>
        <v>15544.876</v>
      </c>
      <c r="AJ331" s="7"/>
    </row>
    <row r="332" spans="1:36" x14ac:dyDescent="0.3">
      <c r="A332" s="12" t="s">
        <v>1044</v>
      </c>
      <c r="B332" s="12" t="s">
        <v>863</v>
      </c>
      <c r="C332" s="12" t="s">
        <v>5</v>
      </c>
      <c r="D332" s="13">
        <v>9001056</v>
      </c>
      <c r="E332" s="12" t="s">
        <v>413</v>
      </c>
      <c r="F332" s="12" t="s">
        <v>3</v>
      </c>
      <c r="G332" s="9">
        <v>5871</v>
      </c>
      <c r="H332" s="9">
        <v>0</v>
      </c>
      <c r="I332" s="9">
        <v>5881</v>
      </c>
      <c r="J332" s="9">
        <v>26132.68</v>
      </c>
      <c r="K332" s="9">
        <v>5891</v>
      </c>
      <c r="L332" s="9">
        <v>0</v>
      </c>
      <c r="M332" s="9">
        <v>5901</v>
      </c>
      <c r="N332" s="9">
        <v>0</v>
      </c>
      <c r="O332" s="9">
        <v>5911</v>
      </c>
      <c r="P332" s="9">
        <v>13066.34</v>
      </c>
      <c r="Q332" s="9">
        <v>5921</v>
      </c>
      <c r="R332" s="9">
        <v>0</v>
      </c>
      <c r="S332" s="9">
        <v>5911</v>
      </c>
      <c r="T332" s="9"/>
      <c r="U332" s="4">
        <f t="shared" si="10"/>
        <v>39199.020000000004</v>
      </c>
      <c r="W332" s="4">
        <v>5076</v>
      </c>
      <c r="X332" s="4">
        <v>5384</v>
      </c>
      <c r="Y332" s="4">
        <v>5032</v>
      </c>
      <c r="Z332" s="4">
        <v>6055</v>
      </c>
      <c r="AA332" s="4">
        <v>5367</v>
      </c>
      <c r="AB332" s="4">
        <v>5095</v>
      </c>
      <c r="AC332" s="4">
        <v>5240</v>
      </c>
      <c r="AD332" s="4">
        <v>7442</v>
      </c>
      <c r="AE332" s="4">
        <v>6028</v>
      </c>
      <c r="AF332" s="4">
        <v>5662</v>
      </c>
      <c r="AG332" s="4">
        <v>5911</v>
      </c>
      <c r="AH332" s="4">
        <v>5551</v>
      </c>
      <c r="AI332" s="7">
        <f t="shared" si="11"/>
        <v>187528.04</v>
      </c>
      <c r="AJ332" s="7"/>
    </row>
    <row r="333" spans="1:36" x14ac:dyDescent="0.3">
      <c r="A333" s="12" t="s">
        <v>1044</v>
      </c>
      <c r="B333" s="12" t="s">
        <v>863</v>
      </c>
      <c r="C333" s="12" t="s">
        <v>5</v>
      </c>
      <c r="D333" s="13">
        <v>9001057</v>
      </c>
      <c r="E333" s="12" t="s">
        <v>414</v>
      </c>
      <c r="F333" s="12" t="s">
        <v>3</v>
      </c>
      <c r="G333" s="9">
        <v>625</v>
      </c>
      <c r="H333" s="9">
        <v>0</v>
      </c>
      <c r="I333" s="9">
        <v>625</v>
      </c>
      <c r="J333" s="9">
        <v>0</v>
      </c>
      <c r="K333" s="9">
        <v>625</v>
      </c>
      <c r="L333" s="9">
        <v>2058</v>
      </c>
      <c r="M333" s="9">
        <v>625</v>
      </c>
      <c r="N333" s="9">
        <v>0</v>
      </c>
      <c r="O333" s="9">
        <v>625</v>
      </c>
      <c r="P333" s="9">
        <v>0</v>
      </c>
      <c r="Q333" s="9">
        <v>625</v>
      </c>
      <c r="R333" s="9">
        <v>1715</v>
      </c>
      <c r="S333" s="9">
        <v>625</v>
      </c>
      <c r="T333" s="9"/>
      <c r="U333" s="4">
        <f t="shared" si="10"/>
        <v>3773</v>
      </c>
      <c r="W333" s="4">
        <v>778</v>
      </c>
      <c r="X333" s="4">
        <v>533</v>
      </c>
      <c r="Y333" s="4">
        <v>701</v>
      </c>
      <c r="Z333" s="4">
        <v>731</v>
      </c>
      <c r="AA333" s="4">
        <v>664</v>
      </c>
      <c r="AB333" s="4">
        <v>679</v>
      </c>
      <c r="AC333" s="4">
        <v>673</v>
      </c>
      <c r="AD333" s="4">
        <v>610</v>
      </c>
      <c r="AE333" s="4">
        <v>636</v>
      </c>
      <c r="AF333" s="4">
        <v>628</v>
      </c>
      <c r="AG333" s="4">
        <v>616</v>
      </c>
      <c r="AH333" s="4">
        <v>608</v>
      </c>
      <c r="AI333" s="7">
        <f t="shared" si="11"/>
        <v>19778</v>
      </c>
      <c r="AJ333" s="7"/>
    </row>
    <row r="334" spans="1:36" x14ac:dyDescent="0.3">
      <c r="A334" s="12" t="s">
        <v>1044</v>
      </c>
      <c r="B334" s="12" t="s">
        <v>863</v>
      </c>
      <c r="C334" s="12" t="s">
        <v>5</v>
      </c>
      <c r="D334" s="13">
        <v>9001058</v>
      </c>
      <c r="E334" s="12" t="s">
        <v>415</v>
      </c>
      <c r="F334" s="12" t="s">
        <v>3</v>
      </c>
      <c r="G334" s="9">
        <v>98</v>
      </c>
      <c r="H334" s="9">
        <v>0</v>
      </c>
      <c r="I334" s="9">
        <v>97</v>
      </c>
      <c r="J334" s="9">
        <v>0</v>
      </c>
      <c r="K334" s="9">
        <v>96</v>
      </c>
      <c r="L334" s="9">
        <v>0</v>
      </c>
      <c r="M334" s="9">
        <v>95</v>
      </c>
      <c r="N334" s="9">
        <v>0</v>
      </c>
      <c r="O334" s="9">
        <v>94</v>
      </c>
      <c r="P334" s="9">
        <v>0</v>
      </c>
      <c r="Q334" s="9">
        <v>92</v>
      </c>
      <c r="R334" s="9">
        <v>294</v>
      </c>
      <c r="S334" s="9">
        <v>93.666666666666671</v>
      </c>
      <c r="T334" s="9"/>
      <c r="U334" s="4">
        <f t="shared" si="10"/>
        <v>294</v>
      </c>
      <c r="W334" s="4">
        <v>115</v>
      </c>
      <c r="X334" s="4">
        <v>108</v>
      </c>
      <c r="Y334" s="4">
        <v>112</v>
      </c>
      <c r="Z334" s="4">
        <v>96</v>
      </c>
      <c r="AA334" s="4">
        <v>106</v>
      </c>
      <c r="AB334" s="4">
        <v>89</v>
      </c>
      <c r="AC334" s="4">
        <v>102</v>
      </c>
      <c r="AD334" s="4">
        <v>105</v>
      </c>
      <c r="AE334" s="4">
        <v>96</v>
      </c>
      <c r="AF334" s="4">
        <v>87</v>
      </c>
      <c r="AG334" s="4">
        <v>92</v>
      </c>
      <c r="AH334" s="4">
        <v>118</v>
      </c>
      <c r="AI334" s="7">
        <f t="shared" si="11"/>
        <v>2479.6666666666665</v>
      </c>
      <c r="AJ334" s="7"/>
    </row>
    <row r="335" spans="1:36" x14ac:dyDescent="0.3">
      <c r="A335" s="12" t="s">
        <v>1044</v>
      </c>
      <c r="B335" s="12" t="s">
        <v>863</v>
      </c>
      <c r="C335" s="12" t="s">
        <v>5</v>
      </c>
      <c r="D335" s="13">
        <v>9001059</v>
      </c>
      <c r="E335" s="12" t="s">
        <v>416</v>
      </c>
      <c r="F335" s="12" t="s">
        <v>3</v>
      </c>
      <c r="G335" s="9">
        <v>650</v>
      </c>
      <c r="H335" s="9">
        <v>0</v>
      </c>
      <c r="I335" s="9">
        <v>632</v>
      </c>
      <c r="J335" s="9">
        <v>0</v>
      </c>
      <c r="K335" s="9">
        <v>613</v>
      </c>
      <c r="L335" s="9">
        <v>0</v>
      </c>
      <c r="M335" s="9">
        <v>595</v>
      </c>
      <c r="N335" s="9">
        <v>0</v>
      </c>
      <c r="O335" s="9">
        <v>576</v>
      </c>
      <c r="P335" s="9">
        <v>3920</v>
      </c>
      <c r="Q335" s="9">
        <v>558</v>
      </c>
      <c r="R335" s="9">
        <v>0</v>
      </c>
      <c r="S335" s="9">
        <v>576.33333333333337</v>
      </c>
      <c r="T335" s="9"/>
      <c r="U335" s="4">
        <f t="shared" si="10"/>
        <v>3920</v>
      </c>
      <c r="W335" s="4">
        <v>812</v>
      </c>
      <c r="X335" s="4">
        <v>661</v>
      </c>
      <c r="Y335" s="4">
        <v>688</v>
      </c>
      <c r="Z335" s="4">
        <v>889</v>
      </c>
      <c r="AA335" s="4">
        <v>735</v>
      </c>
      <c r="AB335" s="4">
        <v>671</v>
      </c>
      <c r="AC335" s="4">
        <v>722</v>
      </c>
      <c r="AD335" s="4">
        <v>667</v>
      </c>
      <c r="AE335" s="4">
        <v>647</v>
      </c>
      <c r="AF335" s="4">
        <v>462</v>
      </c>
      <c r="AG335" s="4">
        <v>591</v>
      </c>
      <c r="AH335" s="4">
        <v>816</v>
      </c>
      <c r="AI335" s="7">
        <f t="shared" si="11"/>
        <v>20401.333333333332</v>
      </c>
      <c r="AJ335" s="7"/>
    </row>
    <row r="336" spans="1:36" x14ac:dyDescent="0.3">
      <c r="A336" s="12" t="s">
        <v>1044</v>
      </c>
      <c r="B336" s="12" t="s">
        <v>863</v>
      </c>
      <c r="C336" s="12" t="s">
        <v>5</v>
      </c>
      <c r="D336" s="13">
        <v>9001078</v>
      </c>
      <c r="E336" s="12" t="s">
        <v>417</v>
      </c>
      <c r="F336" s="12" t="s">
        <v>3</v>
      </c>
      <c r="G336" s="9">
        <v>4000</v>
      </c>
      <c r="H336" s="9">
        <v>5880</v>
      </c>
      <c r="I336" s="9">
        <v>4000</v>
      </c>
      <c r="J336" s="9">
        <v>0</v>
      </c>
      <c r="K336" s="9">
        <v>4000</v>
      </c>
      <c r="L336" s="9">
        <v>0</v>
      </c>
      <c r="M336" s="9">
        <v>4000</v>
      </c>
      <c r="N336" s="9">
        <v>5880</v>
      </c>
      <c r="O336" s="9">
        <v>4000</v>
      </c>
      <c r="P336" s="9">
        <v>0</v>
      </c>
      <c r="Q336" s="9">
        <v>4000</v>
      </c>
      <c r="R336" s="9">
        <v>5880</v>
      </c>
      <c r="S336" s="9">
        <v>4000</v>
      </c>
      <c r="T336" s="9"/>
      <c r="U336" s="4">
        <f t="shared" si="10"/>
        <v>17640</v>
      </c>
      <c r="W336" s="4">
        <v>3500</v>
      </c>
      <c r="X336" s="4">
        <v>2055</v>
      </c>
      <c r="Y336" s="4">
        <v>4500</v>
      </c>
      <c r="Z336" s="4">
        <v>4057</v>
      </c>
      <c r="AA336" s="4">
        <v>4500</v>
      </c>
      <c r="AB336" s="4">
        <v>2951</v>
      </c>
      <c r="AC336" s="4">
        <v>3500</v>
      </c>
      <c r="AD336" s="4">
        <v>3009</v>
      </c>
      <c r="AE336" s="4">
        <v>3500</v>
      </c>
      <c r="AF336" s="4">
        <v>3078</v>
      </c>
      <c r="AG336" s="4">
        <v>4500</v>
      </c>
      <c r="AH336" s="4">
        <v>3342</v>
      </c>
      <c r="AI336" s="7">
        <f t="shared" si="11"/>
        <v>105772</v>
      </c>
      <c r="AJ336" s="7"/>
    </row>
    <row r="337" spans="1:36" x14ac:dyDescent="0.3">
      <c r="A337" s="12" t="s">
        <v>1042</v>
      </c>
      <c r="B337" s="12" t="str">
        <f>INDEX([1]오송!$C:$C,MATCH(D337,[1]오송!$D:$D,0))</f>
        <v>오송</v>
      </c>
      <c r="C337" s="12" t="s">
        <v>5</v>
      </c>
      <c r="D337" s="13">
        <v>9001134</v>
      </c>
      <c r="E337" s="12" t="s">
        <v>228</v>
      </c>
      <c r="F337" s="12" t="s">
        <v>3</v>
      </c>
      <c r="G337" s="9">
        <v>7484</v>
      </c>
      <c r="H337" s="9">
        <v>8820</v>
      </c>
      <c r="I337" s="9">
        <v>7518</v>
      </c>
      <c r="J337" s="9">
        <v>7056</v>
      </c>
      <c r="K337" s="9">
        <v>7553</v>
      </c>
      <c r="L337" s="9">
        <v>7056</v>
      </c>
      <c r="M337" s="9">
        <v>7588</v>
      </c>
      <c r="N337" s="9">
        <v>8820</v>
      </c>
      <c r="O337" s="9">
        <v>7622</v>
      </c>
      <c r="P337" s="9">
        <v>8820</v>
      </c>
      <c r="Q337" s="9">
        <v>7657</v>
      </c>
      <c r="R337" s="9">
        <v>8820</v>
      </c>
      <c r="S337" s="9">
        <v>7622.333333333333</v>
      </c>
      <c r="T337" s="9"/>
      <c r="U337" s="4">
        <f t="shared" si="10"/>
        <v>49392</v>
      </c>
      <c r="W337" s="4">
        <v>7281</v>
      </c>
      <c r="X337" s="4">
        <v>6887</v>
      </c>
      <c r="Y337" s="4">
        <v>6941</v>
      </c>
      <c r="Z337" s="4">
        <v>7361</v>
      </c>
      <c r="AA337" s="4">
        <v>6944</v>
      </c>
      <c r="AB337" s="4">
        <v>6540</v>
      </c>
      <c r="AC337" s="4">
        <v>6782</v>
      </c>
      <c r="AD337" s="4">
        <v>8722</v>
      </c>
      <c r="AE337" s="4">
        <v>7517</v>
      </c>
      <c r="AF337" s="4">
        <v>7307</v>
      </c>
      <c r="AG337" s="4">
        <v>7596</v>
      </c>
      <c r="AH337" s="4">
        <v>7210</v>
      </c>
      <c r="AI337" s="7">
        <f t="shared" si="11"/>
        <v>238916.33333333331</v>
      </c>
      <c r="AJ337" s="7"/>
    </row>
    <row r="338" spans="1:36" x14ac:dyDescent="0.3">
      <c r="A338" s="12" t="s">
        <v>1044</v>
      </c>
      <c r="B338" s="12" t="s">
        <v>863</v>
      </c>
      <c r="C338" s="12" t="s">
        <v>5</v>
      </c>
      <c r="D338" s="13">
        <v>9001201</v>
      </c>
      <c r="E338" s="12" t="s">
        <v>418</v>
      </c>
      <c r="F338" s="12" t="s">
        <v>3</v>
      </c>
      <c r="G338" s="9">
        <v>4000</v>
      </c>
      <c r="H338" s="9">
        <v>19598.039999999997</v>
      </c>
      <c r="I338" s="9">
        <v>3000</v>
      </c>
      <c r="J338" s="9">
        <v>0</v>
      </c>
      <c r="K338" s="9">
        <v>3000</v>
      </c>
      <c r="L338" s="9">
        <v>0</v>
      </c>
      <c r="M338" s="9">
        <v>3000</v>
      </c>
      <c r="N338" s="9">
        <v>0</v>
      </c>
      <c r="O338" s="9">
        <v>3000</v>
      </c>
      <c r="P338" s="9">
        <v>0</v>
      </c>
      <c r="Q338" s="9">
        <v>4000</v>
      </c>
      <c r="R338" s="9">
        <v>0</v>
      </c>
      <c r="S338" s="9">
        <v>3333.3333333333335</v>
      </c>
      <c r="T338" s="9"/>
      <c r="U338" s="4">
        <f t="shared" si="10"/>
        <v>19598.039999999997</v>
      </c>
      <c r="W338" s="4">
        <v>3000</v>
      </c>
      <c r="X338" s="4">
        <v>2660</v>
      </c>
      <c r="Y338" s="4">
        <v>3500</v>
      </c>
      <c r="Z338" s="4">
        <v>900</v>
      </c>
      <c r="AA338" s="4">
        <v>3500</v>
      </c>
      <c r="AB338" s="4">
        <v>4020</v>
      </c>
      <c r="AC338" s="4">
        <v>4000</v>
      </c>
      <c r="AD338" s="4">
        <v>3585</v>
      </c>
      <c r="AE338" s="4">
        <v>3500</v>
      </c>
      <c r="AF338" s="4">
        <v>3060</v>
      </c>
      <c r="AG338" s="4">
        <v>3500</v>
      </c>
      <c r="AH338" s="4">
        <v>4900</v>
      </c>
      <c r="AI338" s="7">
        <f t="shared" si="11"/>
        <v>102654.41333333333</v>
      </c>
      <c r="AJ338" s="7"/>
    </row>
    <row r="339" spans="1:36" x14ac:dyDescent="0.3">
      <c r="A339" s="14" t="s">
        <v>1036</v>
      </c>
      <c r="B339" s="14" t="s">
        <v>863</v>
      </c>
      <c r="C339" s="14" t="s">
        <v>5</v>
      </c>
      <c r="D339" s="13">
        <v>9001206</v>
      </c>
      <c r="E339" s="12" t="s">
        <v>419</v>
      </c>
      <c r="F339" s="12" t="s">
        <v>3</v>
      </c>
      <c r="G339" s="9">
        <v>2133</v>
      </c>
      <c r="H339" s="9">
        <v>2940</v>
      </c>
      <c r="I339" s="9">
        <v>2125</v>
      </c>
      <c r="J339" s="9">
        <v>0</v>
      </c>
      <c r="K339" s="9">
        <v>2116</v>
      </c>
      <c r="L339" s="9">
        <v>7350</v>
      </c>
      <c r="M339" s="9">
        <v>2107</v>
      </c>
      <c r="N339" s="9">
        <v>0</v>
      </c>
      <c r="O339" s="9">
        <v>2099</v>
      </c>
      <c r="P339" s="9">
        <v>0</v>
      </c>
      <c r="Q339" s="9">
        <v>2090</v>
      </c>
      <c r="R339" s="9">
        <v>4410</v>
      </c>
      <c r="S339" s="9">
        <v>2098.6666666666665</v>
      </c>
      <c r="T339" s="9"/>
      <c r="U339" s="4">
        <f t="shared" si="10"/>
        <v>14700</v>
      </c>
      <c r="W339" s="4">
        <v>2500</v>
      </c>
      <c r="X339" s="4">
        <v>2347</v>
      </c>
      <c r="Y339" s="4">
        <v>2254</v>
      </c>
      <c r="Z339" s="4">
        <v>2246</v>
      </c>
      <c r="AA339" s="4">
        <v>2296</v>
      </c>
      <c r="AB339" s="4">
        <v>2169</v>
      </c>
      <c r="AC339" s="4">
        <v>2271</v>
      </c>
      <c r="AD339" s="4">
        <v>2326</v>
      </c>
      <c r="AE339" s="4">
        <v>2900</v>
      </c>
      <c r="AF339" s="4">
        <v>2270</v>
      </c>
      <c r="AG339" s="4">
        <v>2336</v>
      </c>
      <c r="AH339" s="4">
        <v>1655</v>
      </c>
      <c r="AI339" s="7">
        <f t="shared" si="11"/>
        <v>71738.666666666672</v>
      </c>
      <c r="AJ339" s="7"/>
    </row>
    <row r="340" spans="1:36" x14ac:dyDescent="0.3">
      <c r="A340" s="12" t="s">
        <v>1042</v>
      </c>
      <c r="B340" s="12" t="str">
        <f>INDEX([1]오송!$C:$C,MATCH(D340,[1]오송!$D:$D,0))</f>
        <v>오송</v>
      </c>
      <c r="C340" s="12" t="s">
        <v>5</v>
      </c>
      <c r="D340" s="13">
        <v>9001218</v>
      </c>
      <c r="E340" s="12" t="s">
        <v>229</v>
      </c>
      <c r="F340" s="12" t="s">
        <v>3</v>
      </c>
      <c r="G340" s="9">
        <v>1500</v>
      </c>
      <c r="H340" s="9">
        <v>0</v>
      </c>
      <c r="I340" s="9">
        <v>1500</v>
      </c>
      <c r="J340" s="9">
        <v>5149.8999999999996</v>
      </c>
      <c r="K340" s="9">
        <v>1600</v>
      </c>
      <c r="L340" s="9">
        <v>0</v>
      </c>
      <c r="M340" s="9">
        <v>1600</v>
      </c>
      <c r="N340" s="9">
        <v>0</v>
      </c>
      <c r="O340" s="9">
        <v>1500</v>
      </c>
      <c r="P340" s="9">
        <v>5149.8999999999996</v>
      </c>
      <c r="Q340" s="9">
        <v>1500</v>
      </c>
      <c r="R340" s="9">
        <v>0</v>
      </c>
      <c r="S340" s="9">
        <v>1533.3333333333333</v>
      </c>
      <c r="T340" s="9"/>
      <c r="U340" s="4">
        <f t="shared" si="10"/>
        <v>10299.799999999999</v>
      </c>
      <c r="W340" s="4">
        <v>1800</v>
      </c>
      <c r="X340" s="4">
        <v>1061</v>
      </c>
      <c r="Y340" s="4">
        <v>1300</v>
      </c>
      <c r="Z340" s="4">
        <v>1858</v>
      </c>
      <c r="AA340" s="4">
        <v>1400</v>
      </c>
      <c r="AB340" s="4">
        <v>1159</v>
      </c>
      <c r="AC340" s="4">
        <v>2300</v>
      </c>
      <c r="AD340" s="4">
        <v>1603</v>
      </c>
      <c r="AE340" s="4">
        <v>1500</v>
      </c>
      <c r="AF340" s="4">
        <v>1638</v>
      </c>
      <c r="AG340" s="4">
        <v>1500</v>
      </c>
      <c r="AH340" s="4">
        <v>1485</v>
      </c>
      <c r="AI340" s="7">
        <f t="shared" si="11"/>
        <v>49936.933333333334</v>
      </c>
      <c r="AJ340" s="7"/>
    </row>
    <row r="341" spans="1:36" x14ac:dyDescent="0.3">
      <c r="A341" s="12" t="s">
        <v>1044</v>
      </c>
      <c r="B341" s="12" t="s">
        <v>863</v>
      </c>
      <c r="C341" s="12" t="s">
        <v>5</v>
      </c>
      <c r="D341" s="13">
        <v>9001267</v>
      </c>
      <c r="E341" s="12" t="s">
        <v>420</v>
      </c>
      <c r="F341" s="12" t="s">
        <v>3</v>
      </c>
      <c r="G341" s="9">
        <v>75</v>
      </c>
      <c r="H341" s="9">
        <v>0</v>
      </c>
      <c r="I341" s="9">
        <v>75</v>
      </c>
      <c r="J341" s="9">
        <v>0</v>
      </c>
      <c r="K341" s="9">
        <v>75</v>
      </c>
      <c r="L341" s="9">
        <v>0</v>
      </c>
      <c r="M341" s="9">
        <v>75</v>
      </c>
      <c r="N341" s="9">
        <v>0</v>
      </c>
      <c r="O341" s="9">
        <v>75</v>
      </c>
      <c r="P341" s="9">
        <v>0</v>
      </c>
      <c r="Q341" s="9">
        <v>75</v>
      </c>
      <c r="R341" s="9">
        <v>0</v>
      </c>
      <c r="S341" s="9">
        <v>75</v>
      </c>
      <c r="T341" s="9"/>
      <c r="U341" s="4">
        <f t="shared" si="10"/>
        <v>0</v>
      </c>
      <c r="W341" s="4">
        <v>0</v>
      </c>
      <c r="X341" s="4">
        <v>0</v>
      </c>
      <c r="Y341" s="4">
        <v>0</v>
      </c>
      <c r="Z341" s="4">
        <v>62</v>
      </c>
      <c r="AA341" s="4">
        <v>25</v>
      </c>
      <c r="AB341" s="4">
        <v>43</v>
      </c>
      <c r="AC341" s="4">
        <v>40</v>
      </c>
      <c r="AD341" s="4">
        <v>109</v>
      </c>
      <c r="AE341" s="4">
        <v>71</v>
      </c>
      <c r="AF341" s="4">
        <v>127</v>
      </c>
      <c r="AG341" s="4">
        <v>93</v>
      </c>
      <c r="AH341" s="4">
        <v>72</v>
      </c>
      <c r="AI341" s="7">
        <f t="shared" si="11"/>
        <v>1167</v>
      </c>
      <c r="AJ341" s="7"/>
    </row>
    <row r="342" spans="1:36" x14ac:dyDescent="0.3">
      <c r="A342" s="12" t="s">
        <v>1044</v>
      </c>
      <c r="B342" s="12" t="s">
        <v>863</v>
      </c>
      <c r="C342" s="12" t="s">
        <v>5</v>
      </c>
      <c r="D342" s="13">
        <v>9001268</v>
      </c>
      <c r="E342" s="12" t="s">
        <v>421</v>
      </c>
      <c r="F342" s="12" t="s">
        <v>3</v>
      </c>
      <c r="G342" s="9">
        <v>663</v>
      </c>
      <c r="H342" s="9">
        <v>0</v>
      </c>
      <c r="I342" s="9">
        <v>663</v>
      </c>
      <c r="J342" s="9">
        <v>0</v>
      </c>
      <c r="K342" s="9">
        <v>663</v>
      </c>
      <c r="L342" s="9">
        <v>0</v>
      </c>
      <c r="M342" s="9">
        <v>663</v>
      </c>
      <c r="N342" s="9">
        <v>0</v>
      </c>
      <c r="O342" s="9">
        <v>663</v>
      </c>
      <c r="P342" s="9">
        <v>0</v>
      </c>
      <c r="Q342" s="9">
        <v>663</v>
      </c>
      <c r="R342" s="9">
        <v>0</v>
      </c>
      <c r="S342" s="9">
        <v>663</v>
      </c>
      <c r="T342" s="9"/>
      <c r="U342" s="4">
        <f t="shared" ref="U342:U403" si="12">SUM(T342,R342,P342,N342,L342,J342,H342)</f>
        <v>0</v>
      </c>
      <c r="W342" s="4">
        <v>559</v>
      </c>
      <c r="X342" s="4">
        <v>604</v>
      </c>
      <c r="Y342" s="4">
        <v>531</v>
      </c>
      <c r="Z342" s="4">
        <v>324</v>
      </c>
      <c r="AA342" s="4">
        <v>451</v>
      </c>
      <c r="AB342" s="4">
        <v>498</v>
      </c>
      <c r="AC342" s="4">
        <v>430</v>
      </c>
      <c r="AD342" s="4">
        <v>696</v>
      </c>
      <c r="AE342" s="4">
        <v>504</v>
      </c>
      <c r="AF342" s="4">
        <v>899</v>
      </c>
      <c r="AG342" s="4">
        <v>641</v>
      </c>
      <c r="AH342" s="4">
        <v>608</v>
      </c>
      <c r="AI342" s="7">
        <f t="shared" si="11"/>
        <v>11386</v>
      </c>
      <c r="AJ342" s="7"/>
    </row>
    <row r="343" spans="1:36" x14ac:dyDescent="0.3">
      <c r="A343" s="12" t="s">
        <v>1044</v>
      </c>
      <c r="B343" s="12" t="s">
        <v>863</v>
      </c>
      <c r="C343" s="12" t="s">
        <v>5</v>
      </c>
      <c r="D343" s="13">
        <v>9001269</v>
      </c>
      <c r="E343" s="12" t="s">
        <v>422</v>
      </c>
      <c r="F343" s="12" t="s">
        <v>3</v>
      </c>
      <c r="G343" s="9">
        <v>135</v>
      </c>
      <c r="H343" s="9">
        <v>0</v>
      </c>
      <c r="I343" s="9">
        <v>135</v>
      </c>
      <c r="J343" s="9">
        <v>0</v>
      </c>
      <c r="K343" s="9">
        <v>135</v>
      </c>
      <c r="L343" s="9">
        <v>0</v>
      </c>
      <c r="M343" s="9">
        <v>135</v>
      </c>
      <c r="N343" s="9">
        <v>0</v>
      </c>
      <c r="O343" s="9">
        <v>135</v>
      </c>
      <c r="P343" s="9">
        <v>0</v>
      </c>
      <c r="Q343" s="9">
        <v>135</v>
      </c>
      <c r="R343" s="9">
        <v>0</v>
      </c>
      <c r="S343" s="9">
        <v>135</v>
      </c>
      <c r="T343" s="9"/>
      <c r="U343" s="4">
        <f t="shared" si="12"/>
        <v>0</v>
      </c>
      <c r="W343" s="4">
        <v>154</v>
      </c>
      <c r="X343" s="4">
        <v>213</v>
      </c>
      <c r="Y343" s="4">
        <v>159</v>
      </c>
      <c r="Z343" s="4">
        <v>154</v>
      </c>
      <c r="AA343" s="4">
        <v>170</v>
      </c>
      <c r="AB343" s="4">
        <v>212</v>
      </c>
      <c r="AC343" s="4">
        <v>169</v>
      </c>
      <c r="AD343" s="4">
        <v>72</v>
      </c>
      <c r="AE343" s="4">
        <v>162</v>
      </c>
      <c r="AF343" s="4">
        <v>111</v>
      </c>
      <c r="AG343" s="4">
        <v>141</v>
      </c>
      <c r="AH343" s="4">
        <v>80</v>
      </c>
      <c r="AI343" s="7">
        <f t="shared" si="11"/>
        <v>2742</v>
      </c>
      <c r="AJ343" s="7"/>
    </row>
    <row r="344" spans="1:36" x14ac:dyDescent="0.3">
      <c r="A344" s="12" t="s">
        <v>1044</v>
      </c>
      <c r="B344" s="12" t="s">
        <v>863</v>
      </c>
      <c r="C344" s="12" t="s">
        <v>5</v>
      </c>
      <c r="D344" s="13">
        <v>9001270</v>
      </c>
      <c r="E344" s="12" t="s">
        <v>423</v>
      </c>
      <c r="F344" s="12" t="s">
        <v>3</v>
      </c>
      <c r="G344" s="9">
        <v>246</v>
      </c>
      <c r="H344" s="9">
        <v>0</v>
      </c>
      <c r="I344" s="9">
        <v>246</v>
      </c>
      <c r="J344" s="9">
        <v>0</v>
      </c>
      <c r="K344" s="9">
        <v>246</v>
      </c>
      <c r="L344" s="9">
        <v>0</v>
      </c>
      <c r="M344" s="9">
        <v>246</v>
      </c>
      <c r="N344" s="9">
        <v>0</v>
      </c>
      <c r="O344" s="9">
        <v>246</v>
      </c>
      <c r="P344" s="9">
        <v>0</v>
      </c>
      <c r="Q344" s="9">
        <v>246</v>
      </c>
      <c r="R344" s="9">
        <v>0</v>
      </c>
      <c r="S344" s="9">
        <v>246</v>
      </c>
      <c r="T344" s="9"/>
      <c r="U344" s="4">
        <f t="shared" si="12"/>
        <v>0</v>
      </c>
      <c r="W344" s="4">
        <v>282</v>
      </c>
      <c r="X344" s="4">
        <v>173</v>
      </c>
      <c r="Y344" s="4">
        <v>264</v>
      </c>
      <c r="Z344" s="4">
        <v>226</v>
      </c>
      <c r="AA344" s="4">
        <v>266</v>
      </c>
      <c r="AB344" s="4">
        <v>334</v>
      </c>
      <c r="AC344" s="4">
        <v>289</v>
      </c>
      <c r="AD344" s="4">
        <v>210</v>
      </c>
      <c r="AE344" s="4">
        <v>275</v>
      </c>
      <c r="AF344" s="4">
        <v>241</v>
      </c>
      <c r="AG344" s="4">
        <v>254</v>
      </c>
      <c r="AH344" s="4">
        <v>290</v>
      </c>
      <c r="AI344" s="7">
        <f t="shared" si="11"/>
        <v>4826</v>
      </c>
      <c r="AJ344" s="7"/>
    </row>
    <row r="345" spans="1:36" x14ac:dyDescent="0.3">
      <c r="A345" s="12" t="s">
        <v>1044</v>
      </c>
      <c r="B345" s="12" t="s">
        <v>863</v>
      </c>
      <c r="C345" s="12" t="s">
        <v>5</v>
      </c>
      <c r="D345" s="13">
        <v>9001286</v>
      </c>
      <c r="E345" s="12" t="s">
        <v>424</v>
      </c>
      <c r="F345" s="12" t="s">
        <v>3</v>
      </c>
      <c r="G345" s="9">
        <v>43</v>
      </c>
      <c r="H345" s="9">
        <v>0</v>
      </c>
      <c r="I345" s="9">
        <v>52</v>
      </c>
      <c r="J345" s="9">
        <v>0</v>
      </c>
      <c r="K345" s="9">
        <v>36</v>
      </c>
      <c r="L345" s="9">
        <v>0</v>
      </c>
      <c r="M345" s="9">
        <v>214</v>
      </c>
      <c r="N345" s="9">
        <v>0</v>
      </c>
      <c r="O345" s="9">
        <v>450</v>
      </c>
      <c r="P345" s="9">
        <v>0</v>
      </c>
      <c r="Q345" s="9">
        <v>331</v>
      </c>
      <c r="R345" s="9">
        <v>0</v>
      </c>
      <c r="S345" s="9">
        <v>331.66666666666669</v>
      </c>
      <c r="T345" s="9"/>
      <c r="U345" s="4">
        <f t="shared" si="12"/>
        <v>0</v>
      </c>
      <c r="W345" s="4">
        <v>25000</v>
      </c>
      <c r="X345" s="4">
        <v>789</v>
      </c>
      <c r="Y345" s="4">
        <v>809</v>
      </c>
      <c r="Z345" s="4">
        <v>473</v>
      </c>
      <c r="AA345" s="4">
        <v>614</v>
      </c>
      <c r="AB345" s="4">
        <v>201</v>
      </c>
      <c r="AC345" s="4">
        <v>488</v>
      </c>
      <c r="AD345" s="4">
        <v>176</v>
      </c>
      <c r="AE345" s="4">
        <v>283</v>
      </c>
      <c r="AF345" s="4">
        <v>22</v>
      </c>
      <c r="AG345" s="4">
        <v>133</v>
      </c>
      <c r="AH345" s="4">
        <v>185</v>
      </c>
      <c r="AI345" s="7">
        <f t="shared" si="11"/>
        <v>30630.666666666668</v>
      </c>
      <c r="AJ345" s="7"/>
    </row>
    <row r="346" spans="1:36" x14ac:dyDescent="0.3">
      <c r="A346" s="12" t="s">
        <v>1044</v>
      </c>
      <c r="B346" s="12" t="s">
        <v>863</v>
      </c>
      <c r="C346" s="12" t="s">
        <v>5</v>
      </c>
      <c r="D346" s="13">
        <v>9001287</v>
      </c>
      <c r="E346" s="12" t="s">
        <v>425</v>
      </c>
      <c r="F346" s="12" t="s">
        <v>3</v>
      </c>
      <c r="G346" s="9">
        <v>3000</v>
      </c>
      <c r="H346" s="9">
        <v>0</v>
      </c>
      <c r="I346" s="9">
        <v>3000</v>
      </c>
      <c r="J346" s="9">
        <v>0</v>
      </c>
      <c r="K346" s="9">
        <v>3000</v>
      </c>
      <c r="L346" s="9">
        <v>12248.04</v>
      </c>
      <c r="M346" s="9">
        <v>3000</v>
      </c>
      <c r="N346" s="9">
        <v>0</v>
      </c>
      <c r="O346" s="9">
        <v>3000</v>
      </c>
      <c r="P346" s="9">
        <v>0</v>
      </c>
      <c r="Q346" s="9">
        <v>3000</v>
      </c>
      <c r="R346" s="9">
        <v>0</v>
      </c>
      <c r="S346" s="9">
        <v>3000</v>
      </c>
      <c r="T346" s="9"/>
      <c r="U346" s="4">
        <f t="shared" si="12"/>
        <v>12248.04</v>
      </c>
      <c r="W346" s="4">
        <v>3000</v>
      </c>
      <c r="X346" s="4">
        <v>2538</v>
      </c>
      <c r="Y346" s="4">
        <v>3000</v>
      </c>
      <c r="Z346" s="4">
        <v>2632</v>
      </c>
      <c r="AA346" s="4">
        <v>3000</v>
      </c>
      <c r="AB346" s="4">
        <v>2714</v>
      </c>
      <c r="AC346" s="4">
        <v>3000</v>
      </c>
      <c r="AD346" s="4">
        <v>3006</v>
      </c>
      <c r="AE346" s="4">
        <v>3000</v>
      </c>
      <c r="AF346" s="4">
        <v>2383</v>
      </c>
      <c r="AG346" s="4">
        <v>3500</v>
      </c>
      <c r="AH346" s="4">
        <v>2764</v>
      </c>
      <c r="AI346" s="7">
        <f t="shared" si="11"/>
        <v>80033.08</v>
      </c>
      <c r="AJ346" s="7"/>
    </row>
    <row r="347" spans="1:36" x14ac:dyDescent="0.3">
      <c r="A347" s="14" t="s">
        <v>1036</v>
      </c>
      <c r="B347" s="14" t="s">
        <v>863</v>
      </c>
      <c r="C347" s="14" t="s">
        <v>5</v>
      </c>
      <c r="D347" s="13">
        <v>9001308</v>
      </c>
      <c r="E347" s="12" t="s">
        <v>426</v>
      </c>
      <c r="F347" s="12" t="s">
        <v>3</v>
      </c>
      <c r="G347" s="9">
        <v>1048</v>
      </c>
      <c r="H347" s="9">
        <v>0</v>
      </c>
      <c r="I347" s="9">
        <v>1047</v>
      </c>
      <c r="J347" s="9">
        <v>0</v>
      </c>
      <c r="K347" s="9">
        <v>1046</v>
      </c>
      <c r="L347" s="9">
        <v>0</v>
      </c>
      <c r="M347" s="9">
        <v>1045</v>
      </c>
      <c r="N347" s="9">
        <v>0</v>
      </c>
      <c r="O347" s="9">
        <v>1043</v>
      </c>
      <c r="P347" s="9">
        <v>6666</v>
      </c>
      <c r="Q347" s="9">
        <v>1042</v>
      </c>
      <c r="R347" s="9">
        <v>0</v>
      </c>
      <c r="S347" s="9">
        <v>1043.3333333333333</v>
      </c>
      <c r="T347" s="9"/>
      <c r="U347" s="4">
        <f t="shared" si="12"/>
        <v>6666</v>
      </c>
      <c r="W347" s="4">
        <v>963</v>
      </c>
      <c r="X347" s="4">
        <v>1389</v>
      </c>
      <c r="Y347" s="4">
        <v>1053</v>
      </c>
      <c r="Z347" s="4">
        <v>1109</v>
      </c>
      <c r="AA347" s="4">
        <v>1076</v>
      </c>
      <c r="AB347" s="4">
        <v>890</v>
      </c>
      <c r="AC347" s="4">
        <v>1027</v>
      </c>
      <c r="AD347" s="4">
        <v>862</v>
      </c>
      <c r="AE347" s="4">
        <v>977</v>
      </c>
      <c r="AF347" s="4">
        <v>1123</v>
      </c>
      <c r="AG347" s="4">
        <v>989</v>
      </c>
      <c r="AH347" s="4">
        <v>1096</v>
      </c>
      <c r="AI347" s="7">
        <f t="shared" si="11"/>
        <v>33200.333333333336</v>
      </c>
      <c r="AJ347" s="7"/>
    </row>
    <row r="348" spans="1:36" x14ac:dyDescent="0.3">
      <c r="A348" s="12" t="s">
        <v>1044</v>
      </c>
      <c r="B348" s="12" t="s">
        <v>863</v>
      </c>
      <c r="C348" s="12" t="s">
        <v>5</v>
      </c>
      <c r="D348" s="13">
        <v>9001354</v>
      </c>
      <c r="E348" s="12" t="s">
        <v>427</v>
      </c>
      <c r="F348" s="12" t="s">
        <v>3</v>
      </c>
      <c r="G348" s="9">
        <v>20208</v>
      </c>
      <c r="H348" s="9">
        <v>0</v>
      </c>
      <c r="I348" s="9">
        <v>20073</v>
      </c>
      <c r="J348" s="9">
        <v>0</v>
      </c>
      <c r="K348" s="9">
        <v>19938</v>
      </c>
      <c r="L348" s="9">
        <v>0</v>
      </c>
      <c r="M348" s="9">
        <v>19802</v>
      </c>
      <c r="N348" s="9">
        <v>0</v>
      </c>
      <c r="O348" s="9">
        <v>19667</v>
      </c>
      <c r="P348" s="9">
        <v>0</v>
      </c>
      <c r="Q348" s="9">
        <v>19532</v>
      </c>
      <c r="R348" s="9">
        <v>38400</v>
      </c>
      <c r="S348" s="9">
        <v>19667</v>
      </c>
      <c r="T348" s="9"/>
      <c r="U348" s="4">
        <f t="shared" si="12"/>
        <v>38400</v>
      </c>
      <c r="W348" s="4">
        <v>22354</v>
      </c>
      <c r="X348" s="4">
        <v>20113</v>
      </c>
      <c r="Y348" s="4">
        <v>21222</v>
      </c>
      <c r="Z348" s="4">
        <v>22970</v>
      </c>
      <c r="AA348" s="4">
        <v>21371</v>
      </c>
      <c r="AB348" s="4">
        <v>17253</v>
      </c>
      <c r="AC348" s="4">
        <v>20103</v>
      </c>
      <c r="AD348" s="4">
        <v>22542</v>
      </c>
      <c r="AE348" s="4">
        <v>20523</v>
      </c>
      <c r="AF348" s="4">
        <v>21880</v>
      </c>
      <c r="AG348" s="4">
        <v>21019</v>
      </c>
      <c r="AH348" s="4">
        <v>18835</v>
      </c>
      <c r="AI348" s="7">
        <f t="shared" si="11"/>
        <v>465872</v>
      </c>
      <c r="AJ348" s="7"/>
    </row>
    <row r="349" spans="1:36" x14ac:dyDescent="0.3">
      <c r="A349" s="12" t="s">
        <v>1044</v>
      </c>
      <c r="B349" s="12" t="s">
        <v>863</v>
      </c>
      <c r="C349" s="12" t="s">
        <v>5</v>
      </c>
      <c r="D349" s="13">
        <v>9001355</v>
      </c>
      <c r="E349" s="12" t="s">
        <v>428</v>
      </c>
      <c r="F349" s="12" t="s">
        <v>3</v>
      </c>
      <c r="G349" s="9">
        <v>3414</v>
      </c>
      <c r="H349" s="9">
        <v>0</v>
      </c>
      <c r="I349" s="9">
        <v>3388</v>
      </c>
      <c r="J349" s="9">
        <v>0</v>
      </c>
      <c r="K349" s="9">
        <v>3362</v>
      </c>
      <c r="L349" s="9">
        <v>11520</v>
      </c>
      <c r="M349" s="9">
        <v>3336</v>
      </c>
      <c r="N349" s="9">
        <v>0</v>
      </c>
      <c r="O349" s="9">
        <v>3310</v>
      </c>
      <c r="P349" s="9">
        <v>0</v>
      </c>
      <c r="Q349" s="9">
        <v>3284</v>
      </c>
      <c r="R349" s="9">
        <v>11520</v>
      </c>
      <c r="S349" s="9">
        <v>3310</v>
      </c>
      <c r="T349" s="9"/>
      <c r="U349" s="4">
        <f t="shared" si="12"/>
        <v>23040</v>
      </c>
      <c r="W349" s="4">
        <v>3751</v>
      </c>
      <c r="X349" s="4">
        <v>3181</v>
      </c>
      <c r="Y349" s="4">
        <v>3393</v>
      </c>
      <c r="Z349" s="4">
        <v>3637</v>
      </c>
      <c r="AA349" s="4">
        <v>3434</v>
      </c>
      <c r="AB349" s="4">
        <v>3566</v>
      </c>
      <c r="AC349" s="4">
        <v>3422</v>
      </c>
      <c r="AD349" s="4">
        <v>3678</v>
      </c>
      <c r="AE349" s="4">
        <v>3463</v>
      </c>
      <c r="AF349" s="4">
        <v>3429</v>
      </c>
      <c r="AG349" s="4">
        <v>3447</v>
      </c>
      <c r="AH349" s="4">
        <v>3313</v>
      </c>
      <c r="AI349" s="7">
        <f t="shared" si="11"/>
        <v>111198</v>
      </c>
      <c r="AJ349" s="7"/>
    </row>
    <row r="350" spans="1:36" x14ac:dyDescent="0.3">
      <c r="A350" s="12" t="s">
        <v>1044</v>
      </c>
      <c r="B350" s="12" t="s">
        <v>863</v>
      </c>
      <c r="C350" s="12" t="s">
        <v>5</v>
      </c>
      <c r="D350" s="13">
        <v>9001356</v>
      </c>
      <c r="E350" s="12" t="s">
        <v>429</v>
      </c>
      <c r="F350" s="12" t="s">
        <v>3</v>
      </c>
      <c r="G350" s="9">
        <v>4783</v>
      </c>
      <c r="H350" s="9">
        <v>11520</v>
      </c>
      <c r="I350" s="9">
        <v>4798</v>
      </c>
      <c r="J350" s="9">
        <v>0</v>
      </c>
      <c r="K350" s="9">
        <v>4812</v>
      </c>
      <c r="L350" s="9">
        <v>0</v>
      </c>
      <c r="M350" s="9">
        <v>4827</v>
      </c>
      <c r="N350" s="9">
        <v>0</v>
      </c>
      <c r="O350" s="9">
        <v>4841</v>
      </c>
      <c r="P350" s="9">
        <v>7680</v>
      </c>
      <c r="Q350" s="9">
        <v>4856</v>
      </c>
      <c r="R350" s="9">
        <v>0</v>
      </c>
      <c r="S350" s="9">
        <v>4841.333333333333</v>
      </c>
      <c r="T350" s="9"/>
      <c r="U350" s="4">
        <f t="shared" si="12"/>
        <v>19200</v>
      </c>
      <c r="W350" s="4">
        <v>4889</v>
      </c>
      <c r="X350" s="4">
        <v>4527</v>
      </c>
      <c r="Y350" s="4">
        <v>4745</v>
      </c>
      <c r="Z350" s="4">
        <v>4477</v>
      </c>
      <c r="AA350" s="4">
        <v>4655</v>
      </c>
      <c r="AB350" s="4">
        <v>4339</v>
      </c>
      <c r="AC350" s="4">
        <v>4596</v>
      </c>
      <c r="AD350" s="4">
        <v>5159</v>
      </c>
      <c r="AE350" s="4">
        <v>4711</v>
      </c>
      <c r="AF350" s="4">
        <v>5236</v>
      </c>
      <c r="AG350" s="4">
        <v>4919</v>
      </c>
      <c r="AH350" s="4">
        <v>4314</v>
      </c>
      <c r="AI350" s="7">
        <f t="shared" si="11"/>
        <v>128725.33333333334</v>
      </c>
      <c r="AJ350" s="7"/>
    </row>
    <row r="351" spans="1:36" x14ac:dyDescent="0.3">
      <c r="A351" s="12" t="s">
        <v>866</v>
      </c>
      <c r="B351" s="12" t="s">
        <v>864</v>
      </c>
      <c r="C351" s="12" t="s">
        <v>867</v>
      </c>
      <c r="D351" s="13">
        <v>9001362</v>
      </c>
      <c r="E351" s="12" t="s">
        <v>723</v>
      </c>
      <c r="F351" s="12" t="s">
        <v>3</v>
      </c>
      <c r="G351" s="9">
        <v>0</v>
      </c>
      <c r="H351" s="9">
        <v>13233</v>
      </c>
      <c r="I351" s="9">
        <v>0</v>
      </c>
      <c r="J351" s="9">
        <v>26466</v>
      </c>
      <c r="K351" s="9">
        <v>0</v>
      </c>
      <c r="L351" s="9" t="s">
        <v>861</v>
      </c>
      <c r="M351" s="9">
        <v>0</v>
      </c>
      <c r="N351" s="9">
        <v>0</v>
      </c>
      <c r="O351" s="9">
        <v>0</v>
      </c>
      <c r="P351" s="9">
        <v>0</v>
      </c>
      <c r="Q351" s="9">
        <v>0</v>
      </c>
      <c r="R351" s="9">
        <v>0</v>
      </c>
      <c r="S351" s="9">
        <v>0</v>
      </c>
      <c r="T351" s="9"/>
      <c r="U351" s="4">
        <f t="shared" si="12"/>
        <v>39699</v>
      </c>
      <c r="W351" s="4">
        <v>0</v>
      </c>
      <c r="X351" s="4">
        <v>0</v>
      </c>
      <c r="Y351" s="4">
        <v>0</v>
      </c>
      <c r="Z351" s="4">
        <v>0</v>
      </c>
      <c r="AA351" s="4">
        <v>1451</v>
      </c>
      <c r="AB351" s="4">
        <v>0</v>
      </c>
      <c r="AC351" s="4">
        <v>0</v>
      </c>
      <c r="AD351" s="4">
        <v>17172</v>
      </c>
      <c r="AE351" s="4">
        <v>5724</v>
      </c>
      <c r="AF351" s="4">
        <v>0</v>
      </c>
      <c r="AG351" s="4">
        <v>5724</v>
      </c>
      <c r="AH351" s="4">
        <v>0</v>
      </c>
      <c r="AI351" s="7">
        <f t="shared" si="11"/>
        <v>109469</v>
      </c>
      <c r="AJ351" s="7"/>
    </row>
    <row r="352" spans="1:36" x14ac:dyDescent="0.3">
      <c r="A352" s="12" t="s">
        <v>1044</v>
      </c>
      <c r="B352" s="12" t="s">
        <v>863</v>
      </c>
      <c r="C352" s="12" t="s">
        <v>5</v>
      </c>
      <c r="D352" s="13">
        <v>9001446</v>
      </c>
      <c r="E352" s="12" t="s">
        <v>430</v>
      </c>
      <c r="F352" s="12" t="s">
        <v>3</v>
      </c>
      <c r="G352" s="9">
        <v>1850</v>
      </c>
      <c r="H352" s="9">
        <v>6532.6799999999994</v>
      </c>
      <c r="I352" s="9">
        <v>1850</v>
      </c>
      <c r="J352" s="9">
        <v>0</v>
      </c>
      <c r="K352" s="9">
        <v>1850</v>
      </c>
      <c r="L352" s="9">
        <v>0</v>
      </c>
      <c r="M352" s="9">
        <v>1850</v>
      </c>
      <c r="N352" s="9">
        <v>6532.6799999999994</v>
      </c>
      <c r="O352" s="9">
        <v>1850</v>
      </c>
      <c r="P352" s="9">
        <v>0</v>
      </c>
      <c r="Q352" s="9">
        <v>1850</v>
      </c>
      <c r="R352" s="9">
        <v>0</v>
      </c>
      <c r="S352" s="9">
        <v>1850</v>
      </c>
      <c r="T352" s="9"/>
      <c r="U352" s="4">
        <f t="shared" si="12"/>
        <v>13065.359999999999</v>
      </c>
      <c r="W352" s="4">
        <v>1556</v>
      </c>
      <c r="X352" s="4">
        <v>1403</v>
      </c>
      <c r="Y352" s="4">
        <v>1505</v>
      </c>
      <c r="Z352" s="4">
        <v>1178</v>
      </c>
      <c r="AA352" s="4">
        <v>1368</v>
      </c>
      <c r="AB352" s="4">
        <v>1370</v>
      </c>
      <c r="AC352" s="4">
        <v>1428</v>
      </c>
      <c r="AD352" s="4">
        <v>1971</v>
      </c>
      <c r="AE352" s="4">
        <v>1549</v>
      </c>
      <c r="AF352" s="4">
        <v>2672</v>
      </c>
      <c r="AG352" s="4">
        <v>1926</v>
      </c>
      <c r="AH352" s="4">
        <v>820</v>
      </c>
      <c r="AI352" s="7">
        <f t="shared" si="11"/>
        <v>57826.720000000001</v>
      </c>
      <c r="AJ352" s="7"/>
    </row>
    <row r="353" spans="1:36" x14ac:dyDescent="0.3">
      <c r="A353" s="12" t="s">
        <v>1044</v>
      </c>
      <c r="B353" s="12" t="s">
        <v>863</v>
      </c>
      <c r="C353" s="12" t="s">
        <v>5</v>
      </c>
      <c r="D353" s="13">
        <v>9001941</v>
      </c>
      <c r="E353" s="12" t="s">
        <v>431</v>
      </c>
      <c r="F353" s="12" t="s">
        <v>3</v>
      </c>
      <c r="G353" s="9">
        <v>6000</v>
      </c>
      <c r="H353" s="9">
        <v>19600</v>
      </c>
      <c r="I353" s="9">
        <v>6500</v>
      </c>
      <c r="J353" s="9">
        <v>9800</v>
      </c>
      <c r="K353" s="9">
        <v>6500</v>
      </c>
      <c r="L353" s="9">
        <v>9800</v>
      </c>
      <c r="M353" s="9">
        <v>7000</v>
      </c>
      <c r="N353" s="9">
        <v>0</v>
      </c>
      <c r="O353" s="9">
        <v>7000</v>
      </c>
      <c r="P353" s="9">
        <v>9800</v>
      </c>
      <c r="Q353" s="9">
        <v>7000</v>
      </c>
      <c r="R353" s="9">
        <v>9800</v>
      </c>
      <c r="S353" s="9">
        <v>7000</v>
      </c>
      <c r="T353" s="9"/>
      <c r="U353" s="4">
        <f t="shared" si="12"/>
        <v>58800</v>
      </c>
      <c r="W353" s="4">
        <v>4000</v>
      </c>
      <c r="X353" s="4">
        <v>2979</v>
      </c>
      <c r="Y353" s="4">
        <v>4000</v>
      </c>
      <c r="Z353" s="4">
        <v>3110</v>
      </c>
      <c r="AA353" s="4">
        <v>5000</v>
      </c>
      <c r="AB353" s="4">
        <v>5279</v>
      </c>
      <c r="AC353" s="4">
        <v>5000</v>
      </c>
      <c r="AD353" s="4">
        <v>6280</v>
      </c>
      <c r="AE353" s="4">
        <v>6000</v>
      </c>
      <c r="AF353" s="4">
        <v>2337</v>
      </c>
      <c r="AG353" s="4">
        <v>6000</v>
      </c>
      <c r="AH353" s="4">
        <v>5453</v>
      </c>
      <c r="AI353" s="7">
        <f t="shared" si="11"/>
        <v>220038</v>
      </c>
      <c r="AJ353" s="7"/>
    </row>
    <row r="354" spans="1:36" x14ac:dyDescent="0.3">
      <c r="A354" s="12" t="s">
        <v>1044</v>
      </c>
      <c r="B354" s="12" t="s">
        <v>863</v>
      </c>
      <c r="C354" s="12" t="s">
        <v>5</v>
      </c>
      <c r="D354" s="13">
        <v>9001995</v>
      </c>
      <c r="E354" s="12" t="s">
        <v>432</v>
      </c>
      <c r="F354" s="12" t="s">
        <v>3</v>
      </c>
      <c r="G354" s="9">
        <v>1200</v>
      </c>
      <c r="H354" s="9">
        <v>1176</v>
      </c>
      <c r="I354" s="9">
        <v>1500</v>
      </c>
      <c r="J354" s="9">
        <v>0</v>
      </c>
      <c r="K354" s="9">
        <v>1500</v>
      </c>
      <c r="L354" s="9">
        <v>0</v>
      </c>
      <c r="M354" s="9">
        <v>1500</v>
      </c>
      <c r="N354" s="9">
        <v>2352</v>
      </c>
      <c r="O354" s="9">
        <v>1500</v>
      </c>
      <c r="P354" s="9">
        <v>0</v>
      </c>
      <c r="Q354" s="9">
        <v>1500</v>
      </c>
      <c r="R354" s="9">
        <v>1764</v>
      </c>
      <c r="S354" s="9">
        <v>1500</v>
      </c>
      <c r="T354" s="9"/>
      <c r="U354" s="4">
        <f t="shared" si="12"/>
        <v>5292</v>
      </c>
      <c r="W354" s="4">
        <v>900</v>
      </c>
      <c r="X354" s="4">
        <v>838</v>
      </c>
      <c r="Y354" s="4">
        <v>1200</v>
      </c>
      <c r="Z354" s="4">
        <v>755</v>
      </c>
      <c r="AA354" s="4">
        <v>1500</v>
      </c>
      <c r="AB354" s="4">
        <v>903</v>
      </c>
      <c r="AC354" s="4">
        <v>1500</v>
      </c>
      <c r="AD354" s="4">
        <v>894</v>
      </c>
      <c r="AE354" s="4">
        <v>1500</v>
      </c>
      <c r="AF354" s="4">
        <v>645</v>
      </c>
      <c r="AG354" s="4">
        <v>1200</v>
      </c>
      <c r="AH354" s="4">
        <v>819</v>
      </c>
      <c r="AI354" s="7">
        <f t="shared" si="11"/>
        <v>33438</v>
      </c>
      <c r="AJ354" s="7"/>
    </row>
    <row r="355" spans="1:36" x14ac:dyDescent="0.3">
      <c r="A355" s="12" t="s">
        <v>1044</v>
      </c>
      <c r="B355" s="12" t="s">
        <v>863</v>
      </c>
      <c r="C355" s="12" t="s">
        <v>5</v>
      </c>
      <c r="D355" s="13">
        <v>9002012</v>
      </c>
      <c r="E355" s="12" t="s">
        <v>433</v>
      </c>
      <c r="F355" s="12" t="s">
        <v>3</v>
      </c>
      <c r="G355" s="9">
        <v>5687</v>
      </c>
      <c r="H355" s="9">
        <v>18800</v>
      </c>
      <c r="I355" s="9">
        <v>5687</v>
      </c>
      <c r="J355" s="9">
        <v>0</v>
      </c>
      <c r="K355" s="9">
        <v>10387</v>
      </c>
      <c r="L355" s="9">
        <v>18800</v>
      </c>
      <c r="M355" s="9">
        <v>4687</v>
      </c>
      <c r="N355" s="9">
        <v>0</v>
      </c>
      <c r="O355" s="9">
        <v>5687</v>
      </c>
      <c r="P355" s="9">
        <v>18800</v>
      </c>
      <c r="Q355" s="9">
        <v>5687</v>
      </c>
      <c r="R355" s="9">
        <v>0</v>
      </c>
      <c r="S355" s="9">
        <v>5353.666666666667</v>
      </c>
      <c r="T355" s="9"/>
      <c r="U355" s="4">
        <f t="shared" si="12"/>
        <v>56400</v>
      </c>
      <c r="W355" s="4">
        <v>6683.333333333333</v>
      </c>
      <c r="X355" s="4">
        <v>6627</v>
      </c>
      <c r="Y355" s="4">
        <v>5683.333333333333</v>
      </c>
      <c r="Z355" s="4">
        <v>665</v>
      </c>
      <c r="AA355" s="4">
        <v>0</v>
      </c>
      <c r="AB355" s="4">
        <v>11012</v>
      </c>
      <c r="AC355" s="4">
        <v>0</v>
      </c>
      <c r="AD355" s="4">
        <v>7210</v>
      </c>
      <c r="AE355" s="4">
        <v>5187</v>
      </c>
      <c r="AF355" s="4">
        <v>5356</v>
      </c>
      <c r="AG355" s="4">
        <v>687</v>
      </c>
      <c r="AH355" s="4">
        <v>702</v>
      </c>
      <c r="AI355" s="7">
        <f t="shared" si="11"/>
        <v>205788.33333333337</v>
      </c>
      <c r="AJ355" s="7"/>
    </row>
    <row r="356" spans="1:36" x14ac:dyDescent="0.3">
      <c r="A356" s="12" t="s">
        <v>1044</v>
      </c>
      <c r="B356" s="12" t="s">
        <v>863</v>
      </c>
      <c r="C356" s="12" t="s">
        <v>5</v>
      </c>
      <c r="D356" s="13">
        <v>9002017</v>
      </c>
      <c r="E356" s="12" t="s">
        <v>434</v>
      </c>
      <c r="F356" s="12" t="s">
        <v>3</v>
      </c>
      <c r="G356" s="9">
        <v>6253</v>
      </c>
      <c r="H356" s="9">
        <v>18800</v>
      </c>
      <c r="I356" s="9">
        <v>8253</v>
      </c>
      <c r="J356" s="9">
        <v>0</v>
      </c>
      <c r="K356" s="9">
        <v>12453</v>
      </c>
      <c r="L356" s="9">
        <v>18800</v>
      </c>
      <c r="M356" s="9">
        <v>4253</v>
      </c>
      <c r="N356" s="9">
        <v>0</v>
      </c>
      <c r="O356" s="9">
        <v>7253</v>
      </c>
      <c r="P356" s="9">
        <v>18800</v>
      </c>
      <c r="Q356" s="9">
        <v>7253</v>
      </c>
      <c r="R356" s="9">
        <v>0</v>
      </c>
      <c r="S356" s="9">
        <v>6253</v>
      </c>
      <c r="T356" s="9"/>
      <c r="U356" s="4">
        <f t="shared" si="12"/>
        <v>56400</v>
      </c>
      <c r="W356" s="4">
        <v>10163.666666666666</v>
      </c>
      <c r="X356" s="4">
        <v>10120</v>
      </c>
      <c r="Y356" s="4">
        <v>8163.666666666667</v>
      </c>
      <c r="Z356" s="4">
        <v>8050</v>
      </c>
      <c r="AA356" s="4">
        <v>0</v>
      </c>
      <c r="AB356" s="4">
        <v>4211</v>
      </c>
      <c r="AC356" s="4">
        <v>0</v>
      </c>
      <c r="AD356" s="4">
        <v>7211</v>
      </c>
      <c r="AE356" s="4">
        <v>7253</v>
      </c>
      <c r="AF356" s="4">
        <v>7299</v>
      </c>
      <c r="AG356" s="4">
        <v>3253</v>
      </c>
      <c r="AH356" s="4">
        <v>3377</v>
      </c>
      <c r="AI356" s="7">
        <f t="shared" si="11"/>
        <v>233872.33333333331</v>
      </c>
      <c r="AJ356" s="7"/>
    </row>
    <row r="357" spans="1:36" x14ac:dyDescent="0.3">
      <c r="A357" s="12" t="s">
        <v>1044</v>
      </c>
      <c r="B357" s="12" t="s">
        <v>863</v>
      </c>
      <c r="C357" s="12" t="s">
        <v>5</v>
      </c>
      <c r="D357" s="13">
        <v>9002049</v>
      </c>
      <c r="E357" s="12" t="s">
        <v>435</v>
      </c>
      <c r="F357" s="12" t="s">
        <v>3</v>
      </c>
      <c r="G357" s="9">
        <v>1212</v>
      </c>
      <c r="H357" s="9">
        <v>4700</v>
      </c>
      <c r="I357" s="9">
        <v>1012</v>
      </c>
      <c r="J357" s="9">
        <v>0</v>
      </c>
      <c r="K357" s="9">
        <v>1962</v>
      </c>
      <c r="L357" s="9">
        <v>0</v>
      </c>
      <c r="M357" s="9">
        <v>1912</v>
      </c>
      <c r="N357" s="9">
        <v>0</v>
      </c>
      <c r="O357" s="9">
        <v>1512</v>
      </c>
      <c r="P357" s="9">
        <v>4700</v>
      </c>
      <c r="Q357" s="9">
        <v>1512</v>
      </c>
      <c r="R357" s="9">
        <v>0</v>
      </c>
      <c r="S357" s="9">
        <v>1645.3333333333333</v>
      </c>
      <c r="T357" s="9"/>
      <c r="U357" s="4">
        <f t="shared" si="12"/>
        <v>9400</v>
      </c>
      <c r="W357" s="4">
        <v>1568.3333333333333</v>
      </c>
      <c r="X357" s="4">
        <v>1587</v>
      </c>
      <c r="Y357" s="4">
        <v>968.33333333333337</v>
      </c>
      <c r="Z357" s="4">
        <v>992</v>
      </c>
      <c r="AA357" s="4">
        <v>0</v>
      </c>
      <c r="AB357" s="4">
        <v>1939</v>
      </c>
      <c r="AC357" s="4">
        <v>0</v>
      </c>
      <c r="AD357" s="4">
        <v>1193</v>
      </c>
      <c r="AE357" s="4">
        <v>1012</v>
      </c>
      <c r="AF357" s="4">
        <v>1012</v>
      </c>
      <c r="AG357" s="4">
        <v>1212</v>
      </c>
      <c r="AH357" s="4">
        <v>1260</v>
      </c>
      <c r="AI357" s="7">
        <f t="shared" si="11"/>
        <v>42311</v>
      </c>
      <c r="AJ357" s="7"/>
    </row>
    <row r="358" spans="1:36" x14ac:dyDescent="0.3">
      <c r="A358" s="12" t="s">
        <v>1044</v>
      </c>
      <c r="B358" s="12" t="s">
        <v>863</v>
      </c>
      <c r="C358" s="12" t="s">
        <v>5</v>
      </c>
      <c r="D358" s="13">
        <v>9300072</v>
      </c>
      <c r="E358" s="12" t="s">
        <v>436</v>
      </c>
      <c r="F358" s="12" t="s">
        <v>3</v>
      </c>
      <c r="G358" s="9">
        <v>454</v>
      </c>
      <c r="H358" s="9">
        <v>0</v>
      </c>
      <c r="I358" s="9">
        <v>454</v>
      </c>
      <c r="J358" s="9">
        <v>0</v>
      </c>
      <c r="K358" s="9">
        <v>454</v>
      </c>
      <c r="L358" s="9">
        <v>0</v>
      </c>
      <c r="M358" s="9">
        <v>454</v>
      </c>
      <c r="N358" s="9">
        <v>0</v>
      </c>
      <c r="O358" s="9">
        <v>454</v>
      </c>
      <c r="P358" s="9">
        <v>0</v>
      </c>
      <c r="Q358" s="9">
        <v>454</v>
      </c>
      <c r="R358" s="9">
        <v>0</v>
      </c>
      <c r="S358" s="9">
        <v>454</v>
      </c>
      <c r="T358" s="9"/>
      <c r="U358" s="4">
        <f t="shared" si="12"/>
        <v>0</v>
      </c>
      <c r="W358" s="4">
        <v>700</v>
      </c>
      <c r="X358" s="4">
        <v>394</v>
      </c>
      <c r="Y358" s="4">
        <v>647</v>
      </c>
      <c r="Z358" s="4">
        <v>411</v>
      </c>
      <c r="AA358" s="4">
        <v>635</v>
      </c>
      <c r="AB358" s="4">
        <v>350</v>
      </c>
      <c r="AC358" s="4">
        <v>385</v>
      </c>
      <c r="AD358" s="4">
        <v>481</v>
      </c>
      <c r="AE358" s="4">
        <v>414</v>
      </c>
      <c r="AF358" s="4">
        <v>415</v>
      </c>
      <c r="AG358" s="4">
        <v>525</v>
      </c>
      <c r="AH358" s="4">
        <v>548</v>
      </c>
      <c r="AI358" s="7">
        <f t="shared" si="11"/>
        <v>9083</v>
      </c>
      <c r="AJ358" s="7"/>
    </row>
    <row r="359" spans="1:36" x14ac:dyDescent="0.3">
      <c r="A359" s="12" t="s">
        <v>1044</v>
      </c>
      <c r="B359" s="12" t="s">
        <v>863</v>
      </c>
      <c r="C359" s="12" t="s">
        <v>5</v>
      </c>
      <c r="D359" s="13">
        <v>9300073</v>
      </c>
      <c r="E359" s="12" t="s">
        <v>437</v>
      </c>
      <c r="F359" s="12" t="s">
        <v>3</v>
      </c>
      <c r="G359" s="9">
        <v>403</v>
      </c>
      <c r="H359" s="9">
        <v>0</v>
      </c>
      <c r="I359" s="9">
        <v>403</v>
      </c>
      <c r="J359" s="9">
        <v>0</v>
      </c>
      <c r="K359" s="9">
        <v>403</v>
      </c>
      <c r="L359" s="9">
        <v>0</v>
      </c>
      <c r="M359" s="9">
        <v>403</v>
      </c>
      <c r="N359" s="9">
        <v>0</v>
      </c>
      <c r="O359" s="9">
        <v>403</v>
      </c>
      <c r="P359" s="9">
        <v>0</v>
      </c>
      <c r="Q359" s="9">
        <v>403</v>
      </c>
      <c r="R359" s="9">
        <v>0</v>
      </c>
      <c r="S359" s="9">
        <v>403</v>
      </c>
      <c r="T359" s="9"/>
      <c r="U359" s="4">
        <f t="shared" si="12"/>
        <v>0</v>
      </c>
      <c r="W359" s="4">
        <v>1000</v>
      </c>
      <c r="X359" s="4">
        <v>360</v>
      </c>
      <c r="Y359" s="4">
        <v>445</v>
      </c>
      <c r="Z359" s="4">
        <v>364</v>
      </c>
      <c r="AA359" s="4">
        <v>337</v>
      </c>
      <c r="AB359" s="4">
        <v>402</v>
      </c>
      <c r="AC359" s="4">
        <v>375</v>
      </c>
      <c r="AD359" s="4">
        <v>415</v>
      </c>
      <c r="AE359" s="4">
        <v>419</v>
      </c>
      <c r="AF359" s="4">
        <v>487</v>
      </c>
      <c r="AG359" s="4">
        <v>386</v>
      </c>
      <c r="AH359" s="4">
        <v>363</v>
      </c>
      <c r="AI359" s="7">
        <f t="shared" si="11"/>
        <v>8174</v>
      </c>
      <c r="AJ359" s="7"/>
    </row>
    <row r="360" spans="1:36" x14ac:dyDescent="0.3">
      <c r="A360" s="12" t="s">
        <v>1044</v>
      </c>
      <c r="B360" s="12" t="s">
        <v>863</v>
      </c>
      <c r="C360" s="12" t="s">
        <v>5</v>
      </c>
      <c r="D360" s="13">
        <v>9300076</v>
      </c>
      <c r="E360" s="12" t="s">
        <v>438</v>
      </c>
      <c r="F360" s="12" t="s">
        <v>3</v>
      </c>
      <c r="G360" s="9">
        <v>27000</v>
      </c>
      <c r="H360" s="9">
        <v>0</v>
      </c>
      <c r="I360" s="9">
        <v>26000</v>
      </c>
      <c r="J360" s="9">
        <v>0</v>
      </c>
      <c r="K360" s="9">
        <v>27000</v>
      </c>
      <c r="L360" s="9">
        <v>0</v>
      </c>
      <c r="M360" s="9">
        <v>27000</v>
      </c>
      <c r="N360" s="9">
        <v>0</v>
      </c>
      <c r="O360" s="9">
        <v>30000</v>
      </c>
      <c r="P360" s="9">
        <v>0</v>
      </c>
      <c r="Q360" s="9">
        <v>30000</v>
      </c>
      <c r="R360" s="9">
        <v>0</v>
      </c>
      <c r="S360" s="9">
        <v>29000</v>
      </c>
      <c r="T360" s="9"/>
      <c r="U360" s="4">
        <f t="shared" si="12"/>
        <v>0</v>
      </c>
      <c r="W360" s="4">
        <v>28000</v>
      </c>
      <c r="X360" s="4">
        <v>28050</v>
      </c>
      <c r="Y360" s="4">
        <v>40000</v>
      </c>
      <c r="Z360" s="4">
        <v>29903</v>
      </c>
      <c r="AA360" s="4">
        <v>30000</v>
      </c>
      <c r="AB360" s="4">
        <v>29693</v>
      </c>
      <c r="AC360" s="4">
        <v>30000</v>
      </c>
      <c r="AD360" s="4">
        <v>30084</v>
      </c>
      <c r="AE360" s="4">
        <v>30000</v>
      </c>
      <c r="AF360" s="4">
        <v>27316</v>
      </c>
      <c r="AG360" s="4">
        <v>27000</v>
      </c>
      <c r="AH360" s="4">
        <v>26562</v>
      </c>
      <c r="AI360" s="7">
        <f t="shared" si="11"/>
        <v>552608</v>
      </c>
      <c r="AJ360" s="7"/>
    </row>
    <row r="361" spans="1:36" x14ac:dyDescent="0.3">
      <c r="A361" s="12" t="s">
        <v>1044</v>
      </c>
      <c r="B361" s="12" t="s">
        <v>863</v>
      </c>
      <c r="C361" s="12" t="s">
        <v>5</v>
      </c>
      <c r="D361" s="13">
        <v>9300077</v>
      </c>
      <c r="E361" s="12" t="s">
        <v>439</v>
      </c>
      <c r="F361" s="12" t="s">
        <v>3</v>
      </c>
      <c r="G361" s="9">
        <v>90000</v>
      </c>
      <c r="H361" s="9">
        <v>0</v>
      </c>
      <c r="I361" s="9">
        <v>100000</v>
      </c>
      <c r="J361" s="9">
        <v>0</v>
      </c>
      <c r="K361" s="9">
        <v>80000</v>
      </c>
      <c r="L361" s="9">
        <v>0</v>
      </c>
      <c r="M361" s="9">
        <v>80000</v>
      </c>
      <c r="N361" s="9">
        <v>0</v>
      </c>
      <c r="O361" s="9">
        <v>80000</v>
      </c>
      <c r="P361" s="9">
        <v>0</v>
      </c>
      <c r="Q361" s="9">
        <v>80000</v>
      </c>
      <c r="R361" s="9">
        <v>0</v>
      </c>
      <c r="S361" s="9">
        <v>80000</v>
      </c>
      <c r="T361" s="9"/>
      <c r="U361" s="4">
        <f t="shared" si="12"/>
        <v>0</v>
      </c>
      <c r="W361" s="4">
        <v>100000</v>
      </c>
      <c r="X361" s="4">
        <v>184879</v>
      </c>
      <c r="Y361" s="4">
        <v>100000</v>
      </c>
      <c r="Z361" s="4">
        <v>66581</v>
      </c>
      <c r="AA361" s="4">
        <v>90000</v>
      </c>
      <c r="AB361" s="4">
        <v>79868</v>
      </c>
      <c r="AC361" s="4">
        <v>90000</v>
      </c>
      <c r="AD361" s="4">
        <v>83684</v>
      </c>
      <c r="AE361" s="4">
        <v>105000</v>
      </c>
      <c r="AF361" s="4">
        <v>73936</v>
      </c>
      <c r="AG361" s="4">
        <v>80000</v>
      </c>
      <c r="AH361" s="4">
        <v>82864</v>
      </c>
      <c r="AI361" s="7">
        <f t="shared" si="11"/>
        <v>1726812</v>
      </c>
      <c r="AJ361" s="7"/>
    </row>
    <row r="362" spans="1:36" x14ac:dyDescent="0.3">
      <c r="A362" s="12" t="s">
        <v>1042</v>
      </c>
      <c r="B362" s="12" t="str">
        <f>INDEX([1]오송!$C:$C,MATCH(D362,[1]오송!$D:$D,0))</f>
        <v>오송</v>
      </c>
      <c r="C362" s="12" t="s">
        <v>5</v>
      </c>
      <c r="D362" s="13">
        <v>9300097</v>
      </c>
      <c r="E362" s="12" t="s">
        <v>230</v>
      </c>
      <c r="F362" s="12" t="s">
        <v>3</v>
      </c>
      <c r="G362" s="9">
        <v>22544</v>
      </c>
      <c r="H362" s="9">
        <v>18889</v>
      </c>
      <c r="I362" s="9">
        <v>22621</v>
      </c>
      <c r="J362" s="9">
        <v>25088</v>
      </c>
      <c r="K362" s="9">
        <v>22698</v>
      </c>
      <c r="L362" s="9">
        <v>26656</v>
      </c>
      <c r="M362" s="9">
        <v>22775</v>
      </c>
      <c r="N362" s="9">
        <v>26656</v>
      </c>
      <c r="O362" s="9">
        <v>22852</v>
      </c>
      <c r="P362" s="9">
        <v>26656</v>
      </c>
      <c r="Q362" s="9">
        <v>22929</v>
      </c>
      <c r="R362" s="9">
        <v>23520</v>
      </c>
      <c r="S362" s="9">
        <v>22852</v>
      </c>
      <c r="T362" s="9"/>
      <c r="U362" s="4">
        <f t="shared" si="12"/>
        <v>147465</v>
      </c>
      <c r="W362" s="4">
        <v>22281</v>
      </c>
      <c r="X362" s="4">
        <v>20935</v>
      </c>
      <c r="Y362" s="4">
        <v>21467</v>
      </c>
      <c r="Z362" s="4">
        <v>23897</v>
      </c>
      <c r="AA362" s="4">
        <v>22538</v>
      </c>
      <c r="AB362" s="4">
        <v>20052</v>
      </c>
      <c r="AC362" s="4">
        <v>21861</v>
      </c>
      <c r="AD362" s="4">
        <v>22748</v>
      </c>
      <c r="AE362" s="4">
        <v>22273</v>
      </c>
      <c r="AF362" s="4">
        <v>21998</v>
      </c>
      <c r="AG362" s="4">
        <v>22019</v>
      </c>
      <c r="AH362" s="4">
        <v>23528</v>
      </c>
      <c r="AI362" s="7">
        <f t="shared" si="11"/>
        <v>719798</v>
      </c>
      <c r="AJ362" s="7"/>
    </row>
    <row r="363" spans="1:36" x14ac:dyDescent="0.3">
      <c r="A363" s="12" t="s">
        <v>1044</v>
      </c>
      <c r="B363" s="12" t="s">
        <v>863</v>
      </c>
      <c r="C363" s="12" t="s">
        <v>5</v>
      </c>
      <c r="D363" s="13">
        <v>9300168</v>
      </c>
      <c r="E363" s="12" t="s">
        <v>440</v>
      </c>
      <c r="F363" s="12" t="s">
        <v>3</v>
      </c>
      <c r="G363" s="9">
        <v>32336</v>
      </c>
      <c r="H363" s="9">
        <v>33264</v>
      </c>
      <c r="I363" s="9">
        <v>32384</v>
      </c>
      <c r="J363" s="9">
        <v>33264</v>
      </c>
      <c r="K363" s="9">
        <v>32432</v>
      </c>
      <c r="L363" s="9">
        <v>33264</v>
      </c>
      <c r="M363" s="9">
        <v>32481</v>
      </c>
      <c r="N363" s="9">
        <v>28512</v>
      </c>
      <c r="O363" s="9">
        <v>32529</v>
      </c>
      <c r="P363" s="9">
        <v>38016</v>
      </c>
      <c r="Q363" s="9">
        <v>32577</v>
      </c>
      <c r="R363" s="9">
        <v>38016</v>
      </c>
      <c r="S363" s="9">
        <v>32529</v>
      </c>
      <c r="T363" s="9"/>
      <c r="U363" s="4">
        <f t="shared" si="12"/>
        <v>204336</v>
      </c>
      <c r="W363" s="4">
        <v>32978</v>
      </c>
      <c r="X363" s="4">
        <v>29997</v>
      </c>
      <c r="Y363" s="4">
        <v>31214</v>
      </c>
      <c r="Z363" s="4">
        <v>34212</v>
      </c>
      <c r="AA363" s="4">
        <v>32752</v>
      </c>
      <c r="AB363" s="4">
        <v>27581</v>
      </c>
      <c r="AC363" s="4">
        <v>30849</v>
      </c>
      <c r="AD363" s="4">
        <v>33406</v>
      </c>
      <c r="AE363" s="4">
        <v>31441</v>
      </c>
      <c r="AF363" s="4">
        <v>31555</v>
      </c>
      <c r="AG363" s="4">
        <v>31643</v>
      </c>
      <c r="AH363" s="4">
        <v>35108</v>
      </c>
      <c r="AI363" s="7">
        <f t="shared" si="11"/>
        <v>1018676</v>
      </c>
      <c r="AJ363" s="7"/>
    </row>
    <row r="364" spans="1:36" x14ac:dyDescent="0.3">
      <c r="A364" s="12" t="s">
        <v>1044</v>
      </c>
      <c r="B364" s="12" t="s">
        <v>863</v>
      </c>
      <c r="C364" s="12" t="s">
        <v>5</v>
      </c>
      <c r="D364" s="13">
        <v>9300186</v>
      </c>
      <c r="E364" s="12" t="s">
        <v>441</v>
      </c>
      <c r="F364" s="12" t="s">
        <v>3</v>
      </c>
      <c r="G364" s="9">
        <v>31679</v>
      </c>
      <c r="H364" s="9">
        <v>17159.669999999998</v>
      </c>
      <c r="I364" s="9">
        <v>3279</v>
      </c>
      <c r="J364" s="9">
        <v>0</v>
      </c>
      <c r="K364" s="9">
        <v>9579</v>
      </c>
      <c r="L364" s="9">
        <v>17159.669999999998</v>
      </c>
      <c r="M364" s="9">
        <v>9579</v>
      </c>
      <c r="N364" s="9">
        <v>17159.669999999998</v>
      </c>
      <c r="O364" s="9">
        <v>10579</v>
      </c>
      <c r="P364" s="9">
        <v>17159.669999999998</v>
      </c>
      <c r="Q364" s="9">
        <v>10579</v>
      </c>
      <c r="R364" s="9">
        <v>17159.669999999998</v>
      </c>
      <c r="S364" s="9">
        <v>10245.666666666666</v>
      </c>
      <c r="T364" s="9"/>
      <c r="U364" s="4">
        <f t="shared" si="12"/>
        <v>85798.349999999991</v>
      </c>
      <c r="W364" s="4">
        <v>10554.666666666666</v>
      </c>
      <c r="X364" s="4">
        <v>10426</v>
      </c>
      <c r="Y364" s="4">
        <v>9654.6666666666661</v>
      </c>
      <c r="Z364" s="4">
        <v>1251</v>
      </c>
      <c r="AA364" s="4">
        <v>0</v>
      </c>
      <c r="AB364" s="4">
        <v>1952</v>
      </c>
      <c r="AC364" s="4">
        <v>0</v>
      </c>
      <c r="AD364" s="4">
        <v>17086</v>
      </c>
      <c r="AE364" s="4">
        <v>26679</v>
      </c>
      <c r="AF364" s="4">
        <v>7782</v>
      </c>
      <c r="AG364" s="4">
        <v>29679</v>
      </c>
      <c r="AH364" s="4">
        <v>8084</v>
      </c>
      <c r="AI364" s="7">
        <f t="shared" si="11"/>
        <v>380264.7</v>
      </c>
      <c r="AJ364" s="7"/>
    </row>
    <row r="365" spans="1:36" x14ac:dyDescent="0.3">
      <c r="A365" s="12" t="s">
        <v>1042</v>
      </c>
      <c r="B365" s="12" t="str">
        <f>INDEX([1]오송!$C:$C,MATCH(D365,[1]오송!$D:$D,0))</f>
        <v>오송</v>
      </c>
      <c r="C365" s="12" t="s">
        <v>5</v>
      </c>
      <c r="D365" s="13">
        <v>9300303</v>
      </c>
      <c r="E365" s="12" t="s">
        <v>231</v>
      </c>
      <c r="F365" s="12" t="s">
        <v>3</v>
      </c>
      <c r="G365" s="9">
        <v>282</v>
      </c>
      <c r="H365" s="9">
        <v>0</v>
      </c>
      <c r="I365" s="9">
        <v>282</v>
      </c>
      <c r="J365" s="9">
        <v>0</v>
      </c>
      <c r="K365" s="9">
        <v>282</v>
      </c>
      <c r="L365" s="9">
        <v>0</v>
      </c>
      <c r="M365" s="9">
        <v>282</v>
      </c>
      <c r="N365" s="9">
        <v>0</v>
      </c>
      <c r="O365" s="9">
        <v>282</v>
      </c>
      <c r="P365" s="9">
        <v>0</v>
      </c>
      <c r="Q365" s="9">
        <v>282</v>
      </c>
      <c r="R365" s="9">
        <v>0</v>
      </c>
      <c r="S365" s="9">
        <v>282</v>
      </c>
      <c r="T365" s="9"/>
      <c r="U365" s="4">
        <f t="shared" si="12"/>
        <v>0</v>
      </c>
      <c r="W365" s="4">
        <v>378</v>
      </c>
      <c r="X365" s="4">
        <v>258</v>
      </c>
      <c r="Y365" s="4">
        <v>313</v>
      </c>
      <c r="Z365" s="4">
        <v>304</v>
      </c>
      <c r="AA365" s="4">
        <v>296</v>
      </c>
      <c r="AB365" s="4">
        <v>417</v>
      </c>
      <c r="AC365" s="4">
        <v>284</v>
      </c>
      <c r="AD365" s="4">
        <v>263</v>
      </c>
      <c r="AE365" s="4">
        <v>289</v>
      </c>
      <c r="AF365" s="4">
        <v>133</v>
      </c>
      <c r="AG365" s="4">
        <v>265</v>
      </c>
      <c r="AH365" s="4">
        <v>380</v>
      </c>
      <c r="AI365" s="7">
        <f t="shared" si="11"/>
        <v>5554</v>
      </c>
      <c r="AJ365" s="7"/>
    </row>
    <row r="366" spans="1:36" x14ac:dyDescent="0.3">
      <c r="A366" s="12" t="s">
        <v>1042</v>
      </c>
      <c r="B366" s="12" t="str">
        <f>INDEX([1]오송!$C:$C,MATCH(D366,[1]오송!$D:$D,0))</f>
        <v>오송</v>
      </c>
      <c r="C366" s="12" t="s">
        <v>5</v>
      </c>
      <c r="D366" s="13">
        <v>9300319</v>
      </c>
      <c r="E366" s="12" t="s">
        <v>232</v>
      </c>
      <c r="F366" s="12" t="s">
        <v>3</v>
      </c>
      <c r="G366" s="9">
        <v>4083</v>
      </c>
      <c r="H366" s="9">
        <v>0</v>
      </c>
      <c r="I366" s="9">
        <v>4074</v>
      </c>
      <c r="J366" s="9">
        <v>15680</v>
      </c>
      <c r="K366" s="9">
        <v>4064</v>
      </c>
      <c r="L366" s="9">
        <v>0</v>
      </c>
      <c r="M366" s="9">
        <v>4055</v>
      </c>
      <c r="N366" s="9">
        <v>0</v>
      </c>
      <c r="O366" s="9">
        <v>4046</v>
      </c>
      <c r="P366" s="9">
        <v>15680</v>
      </c>
      <c r="Q366" s="9">
        <v>4037</v>
      </c>
      <c r="R366" s="9">
        <v>0</v>
      </c>
      <c r="S366" s="9">
        <v>4046</v>
      </c>
      <c r="T366" s="9"/>
      <c r="U366" s="4">
        <f t="shared" si="12"/>
        <v>31360</v>
      </c>
      <c r="W366" s="4">
        <v>4242</v>
      </c>
      <c r="X366" s="4">
        <v>3844</v>
      </c>
      <c r="Y366" s="4">
        <v>4228</v>
      </c>
      <c r="Z366" s="4">
        <v>4648</v>
      </c>
      <c r="AA366" s="4">
        <v>4332</v>
      </c>
      <c r="AB366" s="4">
        <v>3810</v>
      </c>
      <c r="AC366" s="4">
        <v>4644</v>
      </c>
      <c r="AD366" s="4">
        <v>4595</v>
      </c>
      <c r="AE366" s="4">
        <v>4558</v>
      </c>
      <c r="AF366" s="4">
        <v>3764</v>
      </c>
      <c r="AG366" s="4">
        <v>4208</v>
      </c>
      <c r="AH366" s="4">
        <v>3846</v>
      </c>
      <c r="AI366" s="7">
        <f t="shared" si="11"/>
        <v>141844</v>
      </c>
      <c r="AJ366" s="7"/>
    </row>
    <row r="367" spans="1:36" x14ac:dyDescent="0.3">
      <c r="A367" s="12" t="s">
        <v>1042</v>
      </c>
      <c r="B367" s="12" t="str">
        <f>INDEX([1]오송!$C:$C,MATCH(D367,[1]오송!$D:$D,0))</f>
        <v>오송</v>
      </c>
      <c r="C367" s="12" t="s">
        <v>5</v>
      </c>
      <c r="D367" s="13">
        <v>9300320</v>
      </c>
      <c r="E367" s="12" t="s">
        <v>233</v>
      </c>
      <c r="F367" s="12" t="s">
        <v>3</v>
      </c>
      <c r="G367" s="9">
        <v>2595</v>
      </c>
      <c r="H367" s="9">
        <v>4704</v>
      </c>
      <c r="I367" s="9">
        <v>2585</v>
      </c>
      <c r="J367" s="9">
        <v>3763.2</v>
      </c>
      <c r="K367" s="9">
        <v>2576</v>
      </c>
      <c r="L367" s="9">
        <v>0</v>
      </c>
      <c r="M367" s="9">
        <v>2566</v>
      </c>
      <c r="N367" s="9">
        <v>4704</v>
      </c>
      <c r="O367" s="9">
        <v>2556</v>
      </c>
      <c r="P367" s="9">
        <v>3763.2</v>
      </c>
      <c r="Q367" s="9">
        <v>2547</v>
      </c>
      <c r="R367" s="9">
        <v>4704</v>
      </c>
      <c r="S367" s="9">
        <v>2556.3333333333335</v>
      </c>
      <c r="T367" s="9"/>
      <c r="U367" s="4">
        <f t="shared" si="12"/>
        <v>21638.400000000001</v>
      </c>
      <c r="W367" s="4">
        <v>2572</v>
      </c>
      <c r="X367" s="4">
        <v>2850</v>
      </c>
      <c r="Y367" s="4">
        <v>2620</v>
      </c>
      <c r="Z367" s="4">
        <v>2742</v>
      </c>
      <c r="AA367" s="4">
        <v>2506</v>
      </c>
      <c r="AB367" s="4">
        <v>2523</v>
      </c>
      <c r="AC367" s="4">
        <v>2721</v>
      </c>
      <c r="AD367" s="4">
        <v>2880</v>
      </c>
      <c r="AE367" s="4">
        <v>2806</v>
      </c>
      <c r="AF367" s="4">
        <v>2885</v>
      </c>
      <c r="AG367" s="4">
        <v>2892</v>
      </c>
      <c r="AH367" s="4">
        <v>1986</v>
      </c>
      <c r="AI367" s="7">
        <f t="shared" si="11"/>
        <v>93241.133333333331</v>
      </c>
      <c r="AJ367" s="7"/>
    </row>
    <row r="368" spans="1:36" x14ac:dyDescent="0.3">
      <c r="A368" s="12" t="s">
        <v>1044</v>
      </c>
      <c r="B368" s="12" t="s">
        <v>863</v>
      </c>
      <c r="C368" s="12" t="s">
        <v>5</v>
      </c>
      <c r="D368" s="13">
        <v>9300375</v>
      </c>
      <c r="E368" s="12" t="s">
        <v>442</v>
      </c>
      <c r="F368" s="12" t="s">
        <v>3</v>
      </c>
      <c r="G368" s="9">
        <v>663</v>
      </c>
      <c r="H368" s="9">
        <v>4700</v>
      </c>
      <c r="I368" s="9">
        <v>1663</v>
      </c>
      <c r="J368" s="9">
        <v>0</v>
      </c>
      <c r="K368" s="9">
        <v>3013</v>
      </c>
      <c r="L368" s="9">
        <v>0</v>
      </c>
      <c r="M368" s="9">
        <v>2363</v>
      </c>
      <c r="N368" s="9">
        <v>4700</v>
      </c>
      <c r="O368" s="9">
        <v>1663</v>
      </c>
      <c r="P368" s="9">
        <v>0</v>
      </c>
      <c r="Q368" s="9">
        <v>1663</v>
      </c>
      <c r="R368" s="9">
        <v>4700</v>
      </c>
      <c r="S368" s="9">
        <v>1896.3333333333333</v>
      </c>
      <c r="T368" s="9"/>
      <c r="U368" s="4">
        <f t="shared" si="12"/>
        <v>14100</v>
      </c>
      <c r="W368" s="4">
        <v>1680.6666666666667</v>
      </c>
      <c r="X368" s="4">
        <v>1625</v>
      </c>
      <c r="Y368" s="4">
        <v>1680.6666666666667</v>
      </c>
      <c r="Z368" s="4">
        <v>1642</v>
      </c>
      <c r="AA368" s="4">
        <v>0</v>
      </c>
      <c r="AB368" s="4">
        <v>1966</v>
      </c>
      <c r="AC368" s="4">
        <v>0</v>
      </c>
      <c r="AD368" s="4">
        <v>2684</v>
      </c>
      <c r="AE368" s="4">
        <v>963</v>
      </c>
      <c r="AF368" s="4">
        <v>753</v>
      </c>
      <c r="AG368" s="4">
        <v>363</v>
      </c>
      <c r="AH368" s="4">
        <v>378</v>
      </c>
      <c r="AI368" s="7">
        <f t="shared" si="11"/>
        <v>54859.666666666657</v>
      </c>
      <c r="AJ368" s="7"/>
    </row>
    <row r="369" spans="1:36" x14ac:dyDescent="0.3">
      <c r="A369" s="12" t="s">
        <v>1042</v>
      </c>
      <c r="B369" s="12" t="str">
        <f>INDEX([1]오송!$C:$C,MATCH(D369,[1]오송!$D:$D,0))</f>
        <v>오송</v>
      </c>
      <c r="C369" s="12" t="s">
        <v>5</v>
      </c>
      <c r="D369" s="13">
        <v>9300661</v>
      </c>
      <c r="E369" s="12" t="s">
        <v>234</v>
      </c>
      <c r="F369" s="12" t="s">
        <v>3</v>
      </c>
      <c r="G369" s="9">
        <v>31667</v>
      </c>
      <c r="H369" s="9">
        <v>29400</v>
      </c>
      <c r="I369" s="9">
        <v>31553</v>
      </c>
      <c r="J369" s="9">
        <v>35280</v>
      </c>
      <c r="K369" s="9">
        <v>31440</v>
      </c>
      <c r="L369" s="9">
        <v>35280</v>
      </c>
      <c r="M369" s="9">
        <v>31326</v>
      </c>
      <c r="N369" s="9">
        <v>29400</v>
      </c>
      <c r="O369" s="9">
        <v>31212</v>
      </c>
      <c r="P369" s="9">
        <v>29400</v>
      </c>
      <c r="Q369" s="9">
        <v>31099</v>
      </c>
      <c r="R369" s="9">
        <v>29400</v>
      </c>
      <c r="S369" s="9">
        <v>31212.333333333332</v>
      </c>
      <c r="T369" s="9"/>
      <c r="U369" s="4">
        <f t="shared" si="12"/>
        <v>188160</v>
      </c>
      <c r="W369" s="4">
        <v>34014</v>
      </c>
      <c r="X369" s="4">
        <v>30017</v>
      </c>
      <c r="Y369" s="4">
        <v>32255</v>
      </c>
      <c r="Z369" s="4">
        <v>33379</v>
      </c>
      <c r="AA369" s="4">
        <v>32088</v>
      </c>
      <c r="AB369" s="4">
        <v>27143</v>
      </c>
      <c r="AC369" s="4">
        <v>30150</v>
      </c>
      <c r="AD369" s="4">
        <v>34741</v>
      </c>
      <c r="AE369" s="4">
        <v>31013</v>
      </c>
      <c r="AF369" s="4">
        <v>32514</v>
      </c>
      <c r="AG369" s="4">
        <v>31214</v>
      </c>
      <c r="AH369" s="4">
        <v>33321</v>
      </c>
      <c r="AI369" s="7">
        <f t="shared" si="11"/>
        <v>977678.33333333326</v>
      </c>
      <c r="AJ369" s="7"/>
    </row>
    <row r="370" spans="1:36" x14ac:dyDescent="0.3">
      <c r="A370" s="12" t="s">
        <v>1044</v>
      </c>
      <c r="B370" s="12" t="s">
        <v>863</v>
      </c>
      <c r="C370" s="12" t="s">
        <v>5</v>
      </c>
      <c r="D370" s="13">
        <v>9300682</v>
      </c>
      <c r="E370" s="12" t="s">
        <v>443</v>
      </c>
      <c r="F370" s="12" t="s">
        <v>3</v>
      </c>
      <c r="G370" s="9">
        <v>61143</v>
      </c>
      <c r="H370" s="9">
        <v>237600</v>
      </c>
      <c r="I370" s="9">
        <v>61267</v>
      </c>
      <c r="J370" s="9">
        <v>158400</v>
      </c>
      <c r="K370" s="9">
        <v>61392</v>
      </c>
      <c r="L370" s="9">
        <v>237600</v>
      </c>
      <c r="M370" s="9">
        <v>61517</v>
      </c>
      <c r="N370" s="9">
        <v>316800</v>
      </c>
      <c r="O370" s="9">
        <v>61641</v>
      </c>
      <c r="P370" s="9">
        <v>158400</v>
      </c>
      <c r="Q370" s="9">
        <v>61766</v>
      </c>
      <c r="R370" s="9">
        <v>158400</v>
      </c>
      <c r="S370" s="9">
        <v>61641.333333333336</v>
      </c>
      <c r="T370" s="9"/>
      <c r="U370" s="4">
        <f t="shared" si="12"/>
        <v>1267200</v>
      </c>
      <c r="W370" s="4">
        <v>56644</v>
      </c>
      <c r="X370" s="4">
        <v>57268</v>
      </c>
      <c r="Y370" s="4">
        <v>61742</v>
      </c>
      <c r="Z370" s="4">
        <v>59320</v>
      </c>
      <c r="AA370" s="4">
        <v>59629.5</v>
      </c>
      <c r="AB370" s="4">
        <v>61248</v>
      </c>
      <c r="AC370" s="4">
        <v>61144</v>
      </c>
      <c r="AD370" s="4">
        <v>64539</v>
      </c>
      <c r="AE370" s="4">
        <v>62212</v>
      </c>
      <c r="AF370" s="4">
        <v>55438</v>
      </c>
      <c r="AG370" s="4">
        <v>60087</v>
      </c>
      <c r="AH370" s="4">
        <v>65104</v>
      </c>
      <c r="AI370" s="7">
        <f t="shared" si="11"/>
        <v>3689142.833333333</v>
      </c>
      <c r="AJ370" s="7"/>
    </row>
    <row r="371" spans="1:36" x14ac:dyDescent="0.3">
      <c r="A371" s="12" t="s">
        <v>1042</v>
      </c>
      <c r="B371" s="12" t="str">
        <f>INDEX([1]오송!$C:$C,MATCH(D371,[1]오송!$D:$D,0))</f>
        <v>오송</v>
      </c>
      <c r="C371" s="12" t="s">
        <v>5</v>
      </c>
      <c r="D371" s="13">
        <v>9300768</v>
      </c>
      <c r="E371" s="12" t="s">
        <v>235</v>
      </c>
      <c r="F371" s="12" t="s">
        <v>3</v>
      </c>
      <c r="G371" s="9">
        <v>11104</v>
      </c>
      <c r="H371" s="9">
        <v>13065.36</v>
      </c>
      <c r="I371" s="9">
        <v>11026</v>
      </c>
      <c r="J371" s="9">
        <v>13065.36</v>
      </c>
      <c r="K371" s="9">
        <v>10948</v>
      </c>
      <c r="L371" s="9">
        <v>13065.36</v>
      </c>
      <c r="M371" s="9">
        <v>10870</v>
      </c>
      <c r="N371" s="9">
        <v>6532.68</v>
      </c>
      <c r="O371" s="9">
        <v>10792</v>
      </c>
      <c r="P371" s="9">
        <v>13065.36</v>
      </c>
      <c r="Q371" s="9">
        <v>10713</v>
      </c>
      <c r="R371" s="9">
        <v>6532.68</v>
      </c>
      <c r="S371" s="9">
        <v>10791.666666666666</v>
      </c>
      <c r="T371" s="9"/>
      <c r="U371" s="4">
        <f t="shared" si="12"/>
        <v>65326.8</v>
      </c>
      <c r="W371" s="4">
        <v>12579</v>
      </c>
      <c r="X371" s="4">
        <v>11024</v>
      </c>
      <c r="Y371" s="4">
        <v>11935</v>
      </c>
      <c r="Z371" s="4">
        <v>12364</v>
      </c>
      <c r="AA371" s="4">
        <v>11755</v>
      </c>
      <c r="AB371" s="4">
        <v>10679</v>
      </c>
      <c r="AC371" s="4">
        <v>11497</v>
      </c>
      <c r="AD371" s="4">
        <v>12486</v>
      </c>
      <c r="AE371" s="4">
        <v>11586</v>
      </c>
      <c r="AF371" s="4">
        <v>11606</v>
      </c>
      <c r="AG371" s="4">
        <v>11519</v>
      </c>
      <c r="AH371" s="4">
        <v>9856</v>
      </c>
      <c r="AI371" s="7">
        <f t="shared" si="11"/>
        <v>345784.26666666666</v>
      </c>
      <c r="AJ371" s="7"/>
    </row>
    <row r="372" spans="1:36" x14ac:dyDescent="0.3">
      <c r="A372" s="12" t="s">
        <v>1042</v>
      </c>
      <c r="B372" s="12" t="str">
        <f>INDEX([1]오송!$C:$C,MATCH(D372,[1]오송!$D:$D,0))</f>
        <v>오송</v>
      </c>
      <c r="C372" s="12" t="s">
        <v>5</v>
      </c>
      <c r="D372" s="13">
        <v>9300769</v>
      </c>
      <c r="E372" s="12" t="s">
        <v>236</v>
      </c>
      <c r="F372" s="12" t="s">
        <v>3</v>
      </c>
      <c r="G372" s="9">
        <v>3123</v>
      </c>
      <c r="H372" s="9">
        <v>3920</v>
      </c>
      <c r="I372" s="9">
        <v>3196</v>
      </c>
      <c r="J372" s="9">
        <v>3920</v>
      </c>
      <c r="K372" s="9">
        <v>3269</v>
      </c>
      <c r="L372" s="9">
        <v>3920</v>
      </c>
      <c r="M372" s="9">
        <v>3342</v>
      </c>
      <c r="N372" s="9">
        <v>5880</v>
      </c>
      <c r="O372" s="9">
        <v>3415</v>
      </c>
      <c r="P372" s="9">
        <v>1960</v>
      </c>
      <c r="Q372" s="9">
        <v>3488</v>
      </c>
      <c r="R372" s="9">
        <v>3920</v>
      </c>
      <c r="S372" s="9">
        <v>3415</v>
      </c>
      <c r="T372" s="9"/>
      <c r="U372" s="4">
        <f t="shared" si="12"/>
        <v>23520</v>
      </c>
      <c r="W372" s="4">
        <v>2429</v>
      </c>
      <c r="X372" s="4">
        <v>2736</v>
      </c>
      <c r="Y372" s="4">
        <v>2614</v>
      </c>
      <c r="Z372" s="4">
        <v>2496</v>
      </c>
      <c r="AA372" s="4">
        <v>2670</v>
      </c>
      <c r="AB372" s="4">
        <v>2558</v>
      </c>
      <c r="AC372" s="4">
        <v>2660</v>
      </c>
      <c r="AD372" s="4">
        <v>3395</v>
      </c>
      <c r="AE372" s="4">
        <v>3054</v>
      </c>
      <c r="AF372" s="4">
        <v>3219</v>
      </c>
      <c r="AG372" s="4">
        <v>3212</v>
      </c>
      <c r="AH372" s="4">
        <v>2847</v>
      </c>
      <c r="AI372" s="7">
        <f t="shared" si="11"/>
        <v>104178</v>
      </c>
      <c r="AJ372" s="7"/>
    </row>
    <row r="373" spans="1:36" x14ac:dyDescent="0.3">
      <c r="A373" s="12" t="s">
        <v>1042</v>
      </c>
      <c r="B373" s="12" t="str">
        <f>INDEX([1]오송!$C:$C,MATCH(D373,[1]오송!$D:$D,0))</f>
        <v>오송</v>
      </c>
      <c r="C373" s="12" t="s">
        <v>5</v>
      </c>
      <c r="D373" s="13">
        <v>9300770</v>
      </c>
      <c r="E373" s="12" t="s">
        <v>237</v>
      </c>
      <c r="F373" s="12" t="s">
        <v>3</v>
      </c>
      <c r="G373" s="9">
        <v>21584</v>
      </c>
      <c r="H373" s="9">
        <v>0</v>
      </c>
      <c r="I373" s="9">
        <v>21444</v>
      </c>
      <c r="J373" s="9">
        <v>15679.902</v>
      </c>
      <c r="K373" s="9">
        <v>21305</v>
      </c>
      <c r="L373" s="9">
        <v>23519.853000000003</v>
      </c>
      <c r="M373" s="9">
        <v>21165</v>
      </c>
      <c r="N373" s="9">
        <v>23519.853000000003</v>
      </c>
      <c r="O373" s="9">
        <v>21026</v>
      </c>
      <c r="P373" s="9">
        <v>0</v>
      </c>
      <c r="Q373" s="9">
        <v>20886</v>
      </c>
      <c r="R373" s="9">
        <v>20906.536</v>
      </c>
      <c r="S373" s="9">
        <v>21025.666666666668</v>
      </c>
      <c r="T373" s="9"/>
      <c r="U373" s="4">
        <f t="shared" si="12"/>
        <v>83626.144</v>
      </c>
      <c r="W373" s="4">
        <v>23343</v>
      </c>
      <c r="X373" s="4">
        <v>20673</v>
      </c>
      <c r="Y373" s="4">
        <v>22030</v>
      </c>
      <c r="Z373" s="4">
        <v>22381</v>
      </c>
      <c r="AA373" s="4">
        <v>21930</v>
      </c>
      <c r="AB373" s="4">
        <v>20250</v>
      </c>
      <c r="AC373" s="4">
        <v>20959</v>
      </c>
      <c r="AD373" s="4">
        <v>24814</v>
      </c>
      <c r="AE373" s="4">
        <v>21731</v>
      </c>
      <c r="AF373" s="4">
        <v>21448</v>
      </c>
      <c r="AG373" s="4">
        <v>21328</v>
      </c>
      <c r="AH373" s="4">
        <v>22256</v>
      </c>
      <c r="AI373" s="7">
        <f t="shared" si="11"/>
        <v>578830.95466666669</v>
      </c>
      <c r="AJ373" s="7"/>
    </row>
    <row r="374" spans="1:36" x14ac:dyDescent="0.3">
      <c r="A374" s="12" t="s">
        <v>1042</v>
      </c>
      <c r="B374" s="12" t="str">
        <f>INDEX([1]오송!$C:$C,MATCH(D374,[1]오송!$D:$D,0))</f>
        <v>오송</v>
      </c>
      <c r="C374" s="12" t="s">
        <v>5</v>
      </c>
      <c r="D374" s="13">
        <v>9300771</v>
      </c>
      <c r="E374" s="12" t="s">
        <v>238</v>
      </c>
      <c r="F374" s="12" t="s">
        <v>3</v>
      </c>
      <c r="G374" s="9">
        <v>6870</v>
      </c>
      <c r="H374" s="9">
        <v>0</v>
      </c>
      <c r="I374" s="9">
        <v>6873</v>
      </c>
      <c r="J374" s="9">
        <v>10976</v>
      </c>
      <c r="K374" s="9">
        <v>6877</v>
      </c>
      <c r="L374" s="9">
        <v>8624</v>
      </c>
      <c r="M374" s="9">
        <v>6880</v>
      </c>
      <c r="N374" s="9">
        <v>8624</v>
      </c>
      <c r="O374" s="9">
        <v>6883</v>
      </c>
      <c r="P374" s="9">
        <v>0</v>
      </c>
      <c r="Q374" s="9">
        <v>6887</v>
      </c>
      <c r="R374" s="9">
        <v>9408</v>
      </c>
      <c r="S374" s="9">
        <v>6883.333333333333</v>
      </c>
      <c r="T374" s="9"/>
      <c r="U374" s="4">
        <f t="shared" si="12"/>
        <v>37632</v>
      </c>
      <c r="W374" s="4">
        <v>6875</v>
      </c>
      <c r="X374" s="4">
        <v>7005</v>
      </c>
      <c r="Y374" s="4">
        <v>6751</v>
      </c>
      <c r="Z374" s="4">
        <v>6775</v>
      </c>
      <c r="AA374" s="4">
        <v>6610</v>
      </c>
      <c r="AB374" s="4">
        <v>6385</v>
      </c>
      <c r="AC374" s="4">
        <v>6557</v>
      </c>
      <c r="AD374" s="4">
        <v>8295</v>
      </c>
      <c r="AE374" s="4">
        <v>7131</v>
      </c>
      <c r="AF374" s="4">
        <v>7671</v>
      </c>
      <c r="AG374" s="4">
        <v>7438</v>
      </c>
      <c r="AH374" s="4">
        <v>5360</v>
      </c>
      <c r="AI374" s="7">
        <f t="shared" si="11"/>
        <v>206270.33333333331</v>
      </c>
      <c r="AJ374" s="7"/>
    </row>
    <row r="375" spans="1:36" x14ac:dyDescent="0.3">
      <c r="A375" s="12" t="s">
        <v>1034</v>
      </c>
      <c r="B375" s="12" t="s">
        <v>863</v>
      </c>
      <c r="C375" s="12" t="s">
        <v>5</v>
      </c>
      <c r="D375" s="13">
        <v>9301016</v>
      </c>
      <c r="E375" s="12" t="s">
        <v>444</v>
      </c>
      <c r="F375" s="12" t="s">
        <v>3</v>
      </c>
      <c r="G375" s="9">
        <v>2280</v>
      </c>
      <c r="H375" s="9">
        <v>9600</v>
      </c>
      <c r="I375" s="9">
        <v>2257</v>
      </c>
      <c r="J375" s="9">
        <v>0</v>
      </c>
      <c r="K375" s="9">
        <v>2234</v>
      </c>
      <c r="L375" s="9">
        <v>9600</v>
      </c>
      <c r="M375" s="9">
        <v>2211</v>
      </c>
      <c r="N375" s="9">
        <v>0</v>
      </c>
      <c r="O375" s="9">
        <v>2188</v>
      </c>
      <c r="P375" s="9">
        <v>0</v>
      </c>
      <c r="Q375" s="9">
        <v>2165</v>
      </c>
      <c r="R375" s="9">
        <v>0</v>
      </c>
      <c r="S375" s="9">
        <v>2188</v>
      </c>
      <c r="T375" s="9"/>
      <c r="U375" s="4">
        <f t="shared" si="12"/>
        <v>19200</v>
      </c>
      <c r="W375" s="4">
        <v>2322</v>
      </c>
      <c r="X375" s="4">
        <v>2656</v>
      </c>
      <c r="Y375" s="4">
        <v>2365</v>
      </c>
      <c r="Z375" s="4">
        <v>2134</v>
      </c>
      <c r="AA375" s="4">
        <v>2238</v>
      </c>
      <c r="AB375" s="4">
        <v>2311</v>
      </c>
      <c r="AC375" s="4">
        <v>2159</v>
      </c>
      <c r="AD375" s="4">
        <v>2374</v>
      </c>
      <c r="AE375" s="4">
        <v>2234</v>
      </c>
      <c r="AF375" s="4">
        <v>2468</v>
      </c>
      <c r="AG375" s="4">
        <v>2225</v>
      </c>
      <c r="AH375" s="4">
        <v>2366</v>
      </c>
      <c r="AI375" s="7">
        <f t="shared" si="11"/>
        <v>81775</v>
      </c>
      <c r="AJ375" s="7"/>
    </row>
    <row r="376" spans="1:36" x14ac:dyDescent="0.3">
      <c r="A376" s="12" t="s">
        <v>1044</v>
      </c>
      <c r="B376" s="12" t="s">
        <v>863</v>
      </c>
      <c r="C376" s="12" t="s">
        <v>5</v>
      </c>
      <c r="D376" s="13">
        <v>9301017</v>
      </c>
      <c r="E376" s="12" t="s">
        <v>445</v>
      </c>
      <c r="F376" s="12" t="s">
        <v>3</v>
      </c>
      <c r="G376" s="9">
        <v>122000</v>
      </c>
      <c r="H376" s="9">
        <v>0</v>
      </c>
      <c r="I376" s="9">
        <v>0</v>
      </c>
      <c r="J376" s="9">
        <v>0</v>
      </c>
      <c r="K376" s="9">
        <v>0</v>
      </c>
      <c r="L376" s="9">
        <v>0</v>
      </c>
      <c r="M376" s="9">
        <v>0</v>
      </c>
      <c r="N376" s="9">
        <v>0</v>
      </c>
      <c r="O376" s="9">
        <v>0</v>
      </c>
      <c r="P376" s="9">
        <v>0</v>
      </c>
      <c r="Q376" s="9">
        <v>0</v>
      </c>
      <c r="R376" s="9">
        <v>0</v>
      </c>
      <c r="S376" s="9">
        <v>0</v>
      </c>
      <c r="T376" s="9"/>
      <c r="U376" s="4">
        <f t="shared" si="12"/>
        <v>0</v>
      </c>
      <c r="W376" s="4">
        <v>200000</v>
      </c>
      <c r="X376" s="4">
        <v>193592</v>
      </c>
      <c r="Y376" s="4">
        <v>220000</v>
      </c>
      <c r="Z376" s="4">
        <v>206212</v>
      </c>
      <c r="AA376" s="4">
        <v>220000</v>
      </c>
      <c r="AB376" s="4">
        <v>212464</v>
      </c>
      <c r="AC376" s="4">
        <v>220000</v>
      </c>
      <c r="AD376" s="4">
        <v>199055</v>
      </c>
      <c r="AE376" s="4">
        <v>220000</v>
      </c>
      <c r="AF376" s="4">
        <v>176676</v>
      </c>
      <c r="AG376" s="4">
        <v>191026</v>
      </c>
      <c r="AH376" s="4">
        <v>190920</v>
      </c>
      <c r="AI376" s="7">
        <f t="shared" si="11"/>
        <v>2571945</v>
      </c>
      <c r="AJ376" s="7"/>
    </row>
    <row r="377" spans="1:36" x14ac:dyDescent="0.3">
      <c r="A377" s="12" t="s">
        <v>1042</v>
      </c>
      <c r="B377" s="12" t="str">
        <f>INDEX([1]오송!$C:$C,MATCH(D377,[1]오송!$D:$D,0))</f>
        <v>오송</v>
      </c>
      <c r="C377" s="12" t="s">
        <v>5</v>
      </c>
      <c r="D377" s="13">
        <v>9301212</v>
      </c>
      <c r="E377" s="12" t="s">
        <v>239</v>
      </c>
      <c r="F377" s="12" t="s">
        <v>3</v>
      </c>
      <c r="G377" s="9">
        <v>5945</v>
      </c>
      <c r="H377" s="9">
        <v>17640</v>
      </c>
      <c r="I377" s="9">
        <v>5916</v>
      </c>
      <c r="J377" s="9">
        <v>0</v>
      </c>
      <c r="K377" s="9">
        <v>5886</v>
      </c>
      <c r="L377" s="9">
        <v>11760</v>
      </c>
      <c r="M377" s="9">
        <v>5857</v>
      </c>
      <c r="N377" s="9">
        <v>0</v>
      </c>
      <c r="O377" s="9">
        <v>5828</v>
      </c>
      <c r="P377" s="9">
        <v>20580</v>
      </c>
      <c r="Q377" s="9">
        <v>5799</v>
      </c>
      <c r="R377" s="9">
        <v>0</v>
      </c>
      <c r="S377" s="9">
        <v>5828</v>
      </c>
      <c r="T377" s="9"/>
      <c r="U377" s="4">
        <f t="shared" si="12"/>
        <v>49980</v>
      </c>
      <c r="W377" s="4">
        <v>6577</v>
      </c>
      <c r="X377" s="4">
        <v>5362</v>
      </c>
      <c r="Y377" s="4">
        <v>6002</v>
      </c>
      <c r="Z377" s="4">
        <v>6145</v>
      </c>
      <c r="AA377" s="4">
        <v>6220</v>
      </c>
      <c r="AB377" s="4">
        <v>4979</v>
      </c>
      <c r="AC377" s="4">
        <v>5494</v>
      </c>
      <c r="AD377" s="4">
        <v>7525</v>
      </c>
      <c r="AE377" s="4">
        <v>5988</v>
      </c>
      <c r="AF377" s="4">
        <v>5719</v>
      </c>
      <c r="AG377" s="4">
        <v>5897</v>
      </c>
      <c r="AH377" s="4">
        <v>6036</v>
      </c>
      <c r="AI377" s="7">
        <f t="shared" si="11"/>
        <v>212963</v>
      </c>
      <c r="AJ377" s="7"/>
    </row>
    <row r="378" spans="1:36" x14ac:dyDescent="0.3">
      <c r="A378" s="12" t="s">
        <v>1042</v>
      </c>
      <c r="B378" s="12" t="str">
        <f>INDEX([1]오송!$C:$C,MATCH(D378,[1]오송!$D:$D,0))</f>
        <v>오송</v>
      </c>
      <c r="C378" s="12" t="s">
        <v>5</v>
      </c>
      <c r="D378" s="13">
        <v>9301214</v>
      </c>
      <c r="E378" s="12" t="s">
        <v>240</v>
      </c>
      <c r="F378" s="12" t="s">
        <v>3</v>
      </c>
      <c r="G378" s="9">
        <v>3791</v>
      </c>
      <c r="H378" s="9">
        <v>9996</v>
      </c>
      <c r="I378" s="9">
        <v>3741</v>
      </c>
      <c r="J378" s="9">
        <v>0</v>
      </c>
      <c r="K378" s="9">
        <v>3691</v>
      </c>
      <c r="L378" s="9">
        <v>10584</v>
      </c>
      <c r="M378" s="9">
        <v>3641</v>
      </c>
      <c r="N378" s="9">
        <v>0</v>
      </c>
      <c r="O378" s="9">
        <v>3591</v>
      </c>
      <c r="P378" s="9">
        <v>9702</v>
      </c>
      <c r="Q378" s="9">
        <v>3542</v>
      </c>
      <c r="R378" s="9">
        <v>0</v>
      </c>
      <c r="S378" s="9">
        <v>3591.3333333333335</v>
      </c>
      <c r="T378" s="9"/>
      <c r="U378" s="4">
        <f t="shared" si="12"/>
        <v>30282</v>
      </c>
      <c r="W378" s="4">
        <v>4471</v>
      </c>
      <c r="X378" s="4">
        <v>4049</v>
      </c>
      <c r="Y378" s="4">
        <v>4248</v>
      </c>
      <c r="Z378" s="4">
        <v>3516</v>
      </c>
      <c r="AA378" s="4">
        <v>4211</v>
      </c>
      <c r="AB378" s="4">
        <v>3098</v>
      </c>
      <c r="AC378" s="4">
        <v>3491</v>
      </c>
      <c r="AD378" s="4">
        <v>5140</v>
      </c>
      <c r="AE378" s="4">
        <v>3861</v>
      </c>
      <c r="AF378" s="4">
        <v>4224</v>
      </c>
      <c r="AG378" s="4">
        <v>3936</v>
      </c>
      <c r="AH378" s="4">
        <v>3451</v>
      </c>
      <c r="AI378" s="7">
        <f t="shared" si="11"/>
        <v>133848.33333333334</v>
      </c>
      <c r="AJ378" s="7"/>
    </row>
    <row r="379" spans="1:36" x14ac:dyDescent="0.3">
      <c r="A379" s="12" t="s">
        <v>1044</v>
      </c>
      <c r="B379" s="12" t="s">
        <v>863</v>
      </c>
      <c r="C379" s="12" t="s">
        <v>5</v>
      </c>
      <c r="D379" s="13">
        <v>9301215</v>
      </c>
      <c r="E379" s="12" t="s">
        <v>446</v>
      </c>
      <c r="F379" s="12" t="s">
        <v>3</v>
      </c>
      <c r="G379" s="9">
        <v>6000</v>
      </c>
      <c r="H379" s="9">
        <v>0</v>
      </c>
      <c r="I379" s="9">
        <v>6500</v>
      </c>
      <c r="J379" s="9">
        <v>23520</v>
      </c>
      <c r="K379" s="9">
        <v>6500</v>
      </c>
      <c r="L379" s="9">
        <v>0</v>
      </c>
      <c r="M379" s="9">
        <v>6000</v>
      </c>
      <c r="N379" s="9">
        <v>0</v>
      </c>
      <c r="O379" s="9">
        <v>5500</v>
      </c>
      <c r="P379" s="9">
        <v>0</v>
      </c>
      <c r="Q379" s="9">
        <v>5500</v>
      </c>
      <c r="R379" s="9">
        <v>23520</v>
      </c>
      <c r="S379" s="9">
        <v>5666.666666666667</v>
      </c>
      <c r="T379" s="9"/>
      <c r="U379" s="4">
        <f t="shared" si="12"/>
        <v>47040</v>
      </c>
      <c r="W379" s="4">
        <v>5000</v>
      </c>
      <c r="X379" s="4">
        <v>4435</v>
      </c>
      <c r="Y379" s="4">
        <v>4500</v>
      </c>
      <c r="Z379" s="4">
        <v>3450</v>
      </c>
      <c r="AA379" s="4">
        <v>4000</v>
      </c>
      <c r="AB379" s="4">
        <v>6040</v>
      </c>
      <c r="AC379" s="4">
        <v>4500</v>
      </c>
      <c r="AD379" s="4">
        <v>5106</v>
      </c>
      <c r="AE379" s="4">
        <v>5000</v>
      </c>
      <c r="AF379" s="4">
        <v>6154</v>
      </c>
      <c r="AG379" s="4">
        <v>5500</v>
      </c>
      <c r="AH379" s="4">
        <v>5560</v>
      </c>
      <c r="AI379" s="7">
        <f t="shared" si="11"/>
        <v>194991.66666666669</v>
      </c>
      <c r="AJ379" s="7"/>
    </row>
    <row r="380" spans="1:36" x14ac:dyDescent="0.3">
      <c r="A380" s="12" t="s">
        <v>1044</v>
      </c>
      <c r="B380" s="12" t="s">
        <v>863</v>
      </c>
      <c r="C380" s="12" t="s">
        <v>5</v>
      </c>
      <c r="D380" s="13">
        <v>9301233</v>
      </c>
      <c r="E380" s="12" t="s">
        <v>447</v>
      </c>
      <c r="F380" s="12" t="s">
        <v>3</v>
      </c>
      <c r="G380" s="9">
        <v>83536</v>
      </c>
      <c r="H380" s="9">
        <v>95040</v>
      </c>
      <c r="I380" s="9">
        <v>83887</v>
      </c>
      <c r="J380" s="9">
        <v>87120</v>
      </c>
      <c r="K380" s="9">
        <v>84237</v>
      </c>
      <c r="L380" s="9">
        <v>79200</v>
      </c>
      <c r="M380" s="9">
        <v>84587</v>
      </c>
      <c r="N380" s="9">
        <v>87120</v>
      </c>
      <c r="O380" s="9">
        <v>84937</v>
      </c>
      <c r="P380" s="9">
        <v>87120</v>
      </c>
      <c r="Q380" s="9">
        <v>85287</v>
      </c>
      <c r="R380" s="9">
        <v>87120</v>
      </c>
      <c r="S380" s="9">
        <v>84937</v>
      </c>
      <c r="T380" s="9"/>
      <c r="U380" s="4">
        <f t="shared" si="12"/>
        <v>522720</v>
      </c>
      <c r="W380" s="4">
        <v>83130</v>
      </c>
      <c r="X380" s="4">
        <v>80013</v>
      </c>
      <c r="Y380" s="4">
        <v>80492</v>
      </c>
      <c r="Z380" s="4">
        <v>89155</v>
      </c>
      <c r="AA380" s="4">
        <v>80751.166666666672</v>
      </c>
      <c r="AB380" s="4">
        <v>62428</v>
      </c>
      <c r="AC380" s="4">
        <v>76806</v>
      </c>
      <c r="AD380" s="4">
        <v>82441</v>
      </c>
      <c r="AE380" s="4">
        <v>77949</v>
      </c>
      <c r="AF380" s="4">
        <v>88713</v>
      </c>
      <c r="AG380" s="4">
        <v>81232</v>
      </c>
      <c r="AH380" s="4">
        <v>89801</v>
      </c>
      <c r="AI380" s="7">
        <f t="shared" si="11"/>
        <v>2609759.166666667</v>
      </c>
      <c r="AJ380" s="7"/>
    </row>
    <row r="381" spans="1:36" x14ac:dyDescent="0.3">
      <c r="A381" s="12" t="s">
        <v>1044</v>
      </c>
      <c r="B381" s="12" t="s">
        <v>863</v>
      </c>
      <c r="C381" s="12" t="s">
        <v>5</v>
      </c>
      <c r="D381" s="13">
        <v>9301322</v>
      </c>
      <c r="E381" s="12" t="s">
        <v>448</v>
      </c>
      <c r="F381" s="12" t="s">
        <v>3</v>
      </c>
      <c r="G381" s="9">
        <v>6537</v>
      </c>
      <c r="H381" s="9">
        <v>19600</v>
      </c>
      <c r="I381" s="9">
        <v>6478</v>
      </c>
      <c r="J381" s="9">
        <v>0</v>
      </c>
      <c r="K381" s="9">
        <v>6420</v>
      </c>
      <c r="L381" s="9">
        <v>0</v>
      </c>
      <c r="M381" s="9">
        <v>6361</v>
      </c>
      <c r="N381" s="9">
        <v>19600</v>
      </c>
      <c r="O381" s="9">
        <v>6302</v>
      </c>
      <c r="P381" s="9">
        <v>19600</v>
      </c>
      <c r="Q381" s="9">
        <v>6243</v>
      </c>
      <c r="R381" s="9">
        <v>0</v>
      </c>
      <c r="S381" s="9">
        <v>6302</v>
      </c>
      <c r="T381" s="9"/>
      <c r="U381" s="4">
        <f t="shared" si="12"/>
        <v>58800</v>
      </c>
      <c r="W381" s="4">
        <v>7391</v>
      </c>
      <c r="X381" s="4">
        <v>6568</v>
      </c>
      <c r="Y381" s="4">
        <v>6849</v>
      </c>
      <c r="Z381" s="4">
        <v>6778</v>
      </c>
      <c r="AA381" s="4">
        <v>6785</v>
      </c>
      <c r="AB381" s="4">
        <v>5513</v>
      </c>
      <c r="AC381" s="4">
        <v>6229</v>
      </c>
      <c r="AD381" s="4">
        <v>7595</v>
      </c>
      <c r="AE381" s="4">
        <v>6538</v>
      </c>
      <c r="AF381" s="4">
        <v>6533</v>
      </c>
      <c r="AG381" s="4">
        <v>6323</v>
      </c>
      <c r="AH381" s="4">
        <v>6652</v>
      </c>
      <c r="AI381" s="7">
        <f t="shared" si="11"/>
        <v>241997</v>
      </c>
      <c r="AJ381" s="7"/>
    </row>
    <row r="382" spans="1:36" x14ac:dyDescent="0.3">
      <c r="A382" s="12" t="s">
        <v>1044</v>
      </c>
      <c r="B382" s="12" t="s">
        <v>863</v>
      </c>
      <c r="C382" s="12" t="s">
        <v>5</v>
      </c>
      <c r="D382" s="13">
        <v>9301443</v>
      </c>
      <c r="E382" s="12" t="s">
        <v>449</v>
      </c>
      <c r="F382" s="12" t="s">
        <v>3</v>
      </c>
      <c r="G382" s="9">
        <v>0</v>
      </c>
      <c r="H382" s="9">
        <v>0</v>
      </c>
      <c r="I382" s="9">
        <v>0</v>
      </c>
      <c r="J382" s="9">
        <v>0</v>
      </c>
      <c r="K382" s="9">
        <v>0</v>
      </c>
      <c r="L382" s="9">
        <v>0</v>
      </c>
      <c r="M382" s="9">
        <v>0</v>
      </c>
      <c r="N382" s="9">
        <v>0</v>
      </c>
      <c r="O382" s="9">
        <v>0</v>
      </c>
      <c r="P382" s="9">
        <v>0</v>
      </c>
      <c r="Q382" s="9">
        <v>0</v>
      </c>
      <c r="R382" s="9">
        <v>58800</v>
      </c>
      <c r="S382" s="9">
        <v>0</v>
      </c>
      <c r="T382" s="9"/>
      <c r="U382" s="4">
        <f t="shared" si="12"/>
        <v>58800</v>
      </c>
      <c r="W382" s="4">
        <v>13000</v>
      </c>
      <c r="X382" s="4">
        <v>63880</v>
      </c>
      <c r="Y382" s="4">
        <v>15000</v>
      </c>
      <c r="Z382" s="4">
        <v>53006</v>
      </c>
      <c r="AA382" s="4">
        <v>13000</v>
      </c>
      <c r="AB382" s="4">
        <v>30501</v>
      </c>
      <c r="AC382" s="4">
        <v>13000</v>
      </c>
      <c r="AD382" s="4">
        <v>4750</v>
      </c>
      <c r="AE382" s="4">
        <v>10000</v>
      </c>
      <c r="AF382" s="4">
        <v>8856</v>
      </c>
      <c r="AG382" s="4">
        <v>8500</v>
      </c>
      <c r="AH382" s="4">
        <v>8460</v>
      </c>
      <c r="AI382" s="7">
        <f t="shared" si="11"/>
        <v>359553</v>
      </c>
      <c r="AJ382" s="7"/>
    </row>
    <row r="383" spans="1:36" x14ac:dyDescent="0.3">
      <c r="A383" s="12" t="s">
        <v>1044</v>
      </c>
      <c r="B383" s="12" t="s">
        <v>863</v>
      </c>
      <c r="C383" s="12" t="s">
        <v>5</v>
      </c>
      <c r="D383" s="13">
        <v>9301641</v>
      </c>
      <c r="E383" s="12" t="s">
        <v>450</v>
      </c>
      <c r="F383" s="12" t="s">
        <v>3</v>
      </c>
      <c r="G383" s="9">
        <v>11700</v>
      </c>
      <c r="H383" s="9">
        <v>0</v>
      </c>
      <c r="I383" s="9">
        <v>15200</v>
      </c>
      <c r="J383" s="9">
        <v>0</v>
      </c>
      <c r="K383" s="9">
        <v>23200</v>
      </c>
      <c r="L383" s="9">
        <v>0</v>
      </c>
      <c r="M383" s="9">
        <v>13200</v>
      </c>
      <c r="N383" s="9">
        <v>0</v>
      </c>
      <c r="O383" s="9">
        <v>21200</v>
      </c>
      <c r="P383" s="9">
        <v>0</v>
      </c>
      <c r="Q383" s="9">
        <v>19200</v>
      </c>
      <c r="R383" s="9">
        <v>58800</v>
      </c>
      <c r="S383" s="9">
        <v>17866.666666666668</v>
      </c>
      <c r="T383" s="9"/>
      <c r="U383" s="4">
        <f t="shared" si="12"/>
        <v>58800</v>
      </c>
      <c r="W383" s="4">
        <v>2100</v>
      </c>
      <c r="X383" s="4">
        <v>886</v>
      </c>
      <c r="Y383" s="4">
        <v>3000</v>
      </c>
      <c r="Z383" s="4">
        <v>648</v>
      </c>
      <c r="AA383" s="4">
        <v>5000</v>
      </c>
      <c r="AB383" s="4">
        <v>657</v>
      </c>
      <c r="AC383" s="4">
        <v>10000</v>
      </c>
      <c r="AD383" s="4">
        <v>5020</v>
      </c>
      <c r="AE383" s="4">
        <v>15000</v>
      </c>
      <c r="AF383" s="4">
        <v>482</v>
      </c>
      <c r="AG383" s="4">
        <v>25200</v>
      </c>
      <c r="AH383" s="4">
        <v>3166</v>
      </c>
      <c r="AI383" s="7">
        <f t="shared" si="11"/>
        <v>310325.66666666663</v>
      </c>
      <c r="AJ383" s="7"/>
    </row>
    <row r="384" spans="1:36" x14ac:dyDescent="0.3">
      <c r="A384" s="12" t="s">
        <v>1044</v>
      </c>
      <c r="B384" s="12" t="s">
        <v>863</v>
      </c>
      <c r="C384" s="12" t="s">
        <v>5</v>
      </c>
      <c r="D384" s="13">
        <v>9301669</v>
      </c>
      <c r="E384" s="12" t="s">
        <v>451</v>
      </c>
      <c r="F384" s="12" t="s">
        <v>3</v>
      </c>
      <c r="G384" s="9">
        <v>506</v>
      </c>
      <c r="H384" s="9">
        <v>0</v>
      </c>
      <c r="I384" s="9">
        <v>500</v>
      </c>
      <c r="J384" s="9">
        <v>0</v>
      </c>
      <c r="K384" s="9">
        <v>494</v>
      </c>
      <c r="L384" s="9">
        <v>0</v>
      </c>
      <c r="M384" s="9">
        <v>488</v>
      </c>
      <c r="N384" s="9">
        <v>0</v>
      </c>
      <c r="O384" s="9">
        <v>482</v>
      </c>
      <c r="P384" s="9">
        <v>0</v>
      </c>
      <c r="Q384" s="9">
        <v>476</v>
      </c>
      <c r="R384" s="9">
        <v>0</v>
      </c>
      <c r="S384" s="9">
        <v>482</v>
      </c>
      <c r="T384" s="9"/>
      <c r="U384" s="4">
        <f t="shared" si="12"/>
        <v>0</v>
      </c>
      <c r="W384" s="4">
        <v>535</v>
      </c>
      <c r="X384" s="4">
        <v>611</v>
      </c>
      <c r="Y384" s="4">
        <v>534</v>
      </c>
      <c r="Z384" s="4">
        <v>391</v>
      </c>
      <c r="AA384" s="4">
        <v>508</v>
      </c>
      <c r="AB384" s="4">
        <v>566</v>
      </c>
      <c r="AC384" s="4">
        <v>512</v>
      </c>
      <c r="AD384" s="4">
        <v>553</v>
      </c>
      <c r="AE384" s="4">
        <v>529</v>
      </c>
      <c r="AF384" s="4">
        <v>486</v>
      </c>
      <c r="AG384" s="4">
        <v>492</v>
      </c>
      <c r="AH384" s="4">
        <v>552</v>
      </c>
      <c r="AI384" s="7">
        <f t="shared" si="11"/>
        <v>9697</v>
      </c>
      <c r="AJ384" s="7"/>
    </row>
    <row r="385" spans="1:36" x14ac:dyDescent="0.3">
      <c r="A385" s="12" t="s">
        <v>1044</v>
      </c>
      <c r="B385" s="12" t="s">
        <v>863</v>
      </c>
      <c r="C385" s="12" t="s">
        <v>5</v>
      </c>
      <c r="D385" s="13">
        <v>9301717</v>
      </c>
      <c r="E385" s="12" t="s">
        <v>452</v>
      </c>
      <c r="F385" s="12" t="s">
        <v>3</v>
      </c>
      <c r="G385" s="9">
        <v>11818</v>
      </c>
      <c r="H385" s="9">
        <v>25065.413348999995</v>
      </c>
      <c r="I385" s="9">
        <v>11318</v>
      </c>
      <c r="J385" s="9">
        <v>0</v>
      </c>
      <c r="K385" s="9">
        <v>5818</v>
      </c>
      <c r="L385" s="9">
        <v>25066.039999999997</v>
      </c>
      <c r="M385" s="9">
        <v>8318</v>
      </c>
      <c r="N385" s="9">
        <v>0</v>
      </c>
      <c r="O385" s="9">
        <v>7818</v>
      </c>
      <c r="P385" s="9">
        <v>0</v>
      </c>
      <c r="Q385" s="9">
        <v>7818</v>
      </c>
      <c r="R385" s="9">
        <v>25066.039999999997</v>
      </c>
      <c r="S385" s="9">
        <v>7984.666666666667</v>
      </c>
      <c r="T385" s="9"/>
      <c r="U385" s="4">
        <f t="shared" si="12"/>
        <v>75197.493348999997</v>
      </c>
      <c r="W385" s="4">
        <v>8348.6666666666661</v>
      </c>
      <c r="X385" s="4">
        <v>8898</v>
      </c>
      <c r="Y385" s="4">
        <v>8348.6666666666661</v>
      </c>
      <c r="Z385" s="4">
        <v>8833</v>
      </c>
      <c r="AA385" s="4">
        <v>0</v>
      </c>
      <c r="AB385" s="4">
        <v>9750</v>
      </c>
      <c r="AC385" s="4">
        <v>0</v>
      </c>
      <c r="AD385" s="4">
        <v>8623</v>
      </c>
      <c r="AE385" s="4">
        <v>3818</v>
      </c>
      <c r="AF385" s="4">
        <v>4248</v>
      </c>
      <c r="AG385" s="4">
        <v>6818</v>
      </c>
      <c r="AH385" s="4">
        <v>7331</v>
      </c>
      <c r="AI385" s="7">
        <f t="shared" si="11"/>
        <v>286303.98669799999</v>
      </c>
      <c r="AJ385" s="7"/>
    </row>
    <row r="386" spans="1:36" x14ac:dyDescent="0.3">
      <c r="A386" s="12" t="s">
        <v>1044</v>
      </c>
      <c r="B386" s="12" t="s">
        <v>863</v>
      </c>
      <c r="C386" s="12" t="s">
        <v>5</v>
      </c>
      <c r="D386" s="13">
        <v>9301718</v>
      </c>
      <c r="E386" s="12" t="s">
        <v>453</v>
      </c>
      <c r="F386" s="12" t="s">
        <v>3</v>
      </c>
      <c r="G386" s="9">
        <v>6945</v>
      </c>
      <c r="H386" s="9">
        <v>12532.706674499997</v>
      </c>
      <c r="I386" s="9">
        <v>8045</v>
      </c>
      <c r="J386" s="9">
        <v>0</v>
      </c>
      <c r="K386" s="9">
        <v>5745</v>
      </c>
      <c r="L386" s="9">
        <v>0</v>
      </c>
      <c r="M386" s="9">
        <v>6445</v>
      </c>
      <c r="N386" s="9">
        <v>12533.019999999999</v>
      </c>
      <c r="O386" s="9">
        <v>6145</v>
      </c>
      <c r="P386" s="9">
        <v>0</v>
      </c>
      <c r="Q386" s="9">
        <v>6145</v>
      </c>
      <c r="R386" s="9">
        <v>0</v>
      </c>
      <c r="S386" s="9">
        <v>6245</v>
      </c>
      <c r="T386" s="9"/>
      <c r="U386" s="4">
        <f t="shared" si="12"/>
        <v>25065.726674499994</v>
      </c>
      <c r="W386" s="4">
        <v>6899.333333333333</v>
      </c>
      <c r="X386" s="4">
        <v>7222</v>
      </c>
      <c r="Y386" s="4">
        <v>3899.3333333333335</v>
      </c>
      <c r="Z386" s="4">
        <v>4038</v>
      </c>
      <c r="AA386" s="4">
        <v>0</v>
      </c>
      <c r="AB386" s="4">
        <v>6257</v>
      </c>
      <c r="AC386" s="4">
        <v>0</v>
      </c>
      <c r="AD386" s="4">
        <v>6410</v>
      </c>
      <c r="AE386" s="4">
        <v>3945</v>
      </c>
      <c r="AF386" s="4">
        <v>4133</v>
      </c>
      <c r="AG386" s="4">
        <v>5945</v>
      </c>
      <c r="AH386" s="4">
        <v>6266</v>
      </c>
      <c r="AI386" s="7">
        <f t="shared" si="11"/>
        <v>150861.12001566665</v>
      </c>
      <c r="AJ386" s="7"/>
    </row>
    <row r="387" spans="1:36" x14ac:dyDescent="0.3">
      <c r="A387" s="12" t="s">
        <v>1044</v>
      </c>
      <c r="B387" s="12" t="s">
        <v>863</v>
      </c>
      <c r="C387" s="12" t="s">
        <v>5</v>
      </c>
      <c r="D387" s="13">
        <v>9301719</v>
      </c>
      <c r="E387" s="12" t="s">
        <v>454</v>
      </c>
      <c r="F387" s="12" t="s">
        <v>3</v>
      </c>
      <c r="G387" s="9">
        <v>3162</v>
      </c>
      <c r="H387" s="9">
        <v>0</v>
      </c>
      <c r="I387" s="9">
        <v>3762</v>
      </c>
      <c r="J387" s="9">
        <v>0</v>
      </c>
      <c r="K387" s="9">
        <v>3162</v>
      </c>
      <c r="L387" s="9">
        <v>0</v>
      </c>
      <c r="M387" s="9">
        <v>2662</v>
      </c>
      <c r="N387" s="9">
        <v>9400</v>
      </c>
      <c r="O387" s="9">
        <v>2662</v>
      </c>
      <c r="P387" s="9">
        <v>0</v>
      </c>
      <c r="Q387" s="9">
        <v>2662</v>
      </c>
      <c r="R387" s="9">
        <v>0</v>
      </c>
      <c r="S387" s="9">
        <v>2662</v>
      </c>
      <c r="T387" s="9"/>
      <c r="U387" s="4">
        <f t="shared" si="12"/>
        <v>9400</v>
      </c>
      <c r="W387" s="4">
        <v>1699.6666666666667</v>
      </c>
      <c r="X387" s="4">
        <v>1857</v>
      </c>
      <c r="Y387" s="4">
        <v>1199.6666666666667</v>
      </c>
      <c r="Z387" s="4">
        <v>1297</v>
      </c>
      <c r="AA387" s="4">
        <v>0</v>
      </c>
      <c r="AB387" s="4">
        <v>3837</v>
      </c>
      <c r="AC387" s="4">
        <v>0</v>
      </c>
      <c r="AD387" s="4">
        <v>2846</v>
      </c>
      <c r="AE387" s="4">
        <v>162</v>
      </c>
      <c r="AF387" s="4">
        <v>286</v>
      </c>
      <c r="AG387" s="4">
        <v>1162</v>
      </c>
      <c r="AH387" s="4">
        <v>1317</v>
      </c>
      <c r="AI387" s="7">
        <f t="shared" si="11"/>
        <v>55197.333333333328</v>
      </c>
      <c r="AJ387" s="7"/>
    </row>
    <row r="388" spans="1:36" x14ac:dyDescent="0.3">
      <c r="A388" s="12" t="s">
        <v>1044</v>
      </c>
      <c r="B388" s="12" t="s">
        <v>863</v>
      </c>
      <c r="C388" s="12" t="s">
        <v>5</v>
      </c>
      <c r="D388" s="13">
        <v>9301720</v>
      </c>
      <c r="E388" s="12" t="s">
        <v>455</v>
      </c>
      <c r="F388" s="12" t="s">
        <v>3</v>
      </c>
      <c r="G388" s="9">
        <v>5149</v>
      </c>
      <c r="H388" s="9">
        <v>18800</v>
      </c>
      <c r="I388" s="9">
        <v>5749</v>
      </c>
      <c r="J388" s="9">
        <v>0</v>
      </c>
      <c r="K388" s="9">
        <v>4149</v>
      </c>
      <c r="L388" s="9">
        <v>0</v>
      </c>
      <c r="M388" s="9">
        <v>3849</v>
      </c>
      <c r="N388" s="9">
        <v>0</v>
      </c>
      <c r="O388" s="9">
        <v>4149</v>
      </c>
      <c r="P388" s="9">
        <v>9400</v>
      </c>
      <c r="Q388" s="9">
        <v>4149</v>
      </c>
      <c r="R388" s="9">
        <v>0</v>
      </c>
      <c r="S388" s="9">
        <v>4049</v>
      </c>
      <c r="T388" s="9"/>
      <c r="U388" s="4">
        <f t="shared" si="12"/>
        <v>28200</v>
      </c>
      <c r="W388" s="4">
        <v>4091.6666666666665</v>
      </c>
      <c r="X388" s="4">
        <v>4216</v>
      </c>
      <c r="Y388" s="4">
        <v>3591.6666666666665</v>
      </c>
      <c r="Z388" s="4">
        <v>3643</v>
      </c>
      <c r="AA388" s="4">
        <v>0</v>
      </c>
      <c r="AB388" s="4">
        <v>4145</v>
      </c>
      <c r="AC388" s="4">
        <v>0</v>
      </c>
      <c r="AD388" s="4">
        <v>3198</v>
      </c>
      <c r="AE388" s="4">
        <v>1849</v>
      </c>
      <c r="AF388" s="4">
        <v>1937</v>
      </c>
      <c r="AG388" s="4">
        <v>1649</v>
      </c>
      <c r="AH388" s="4">
        <v>1838</v>
      </c>
      <c r="AI388" s="7">
        <f t="shared" si="11"/>
        <v>117801.33333333334</v>
      </c>
      <c r="AJ388" s="7"/>
    </row>
    <row r="389" spans="1:36" x14ac:dyDescent="0.3">
      <c r="A389" s="12" t="s">
        <v>1044</v>
      </c>
      <c r="B389" s="12" t="s">
        <v>863</v>
      </c>
      <c r="C389" s="12" t="s">
        <v>5</v>
      </c>
      <c r="D389" s="13">
        <v>9301721</v>
      </c>
      <c r="E389" s="12" t="s">
        <v>456</v>
      </c>
      <c r="F389" s="12" t="s">
        <v>3</v>
      </c>
      <c r="G389" s="9">
        <v>2106</v>
      </c>
      <c r="H389" s="9">
        <v>4700</v>
      </c>
      <c r="I389" s="9">
        <v>1706</v>
      </c>
      <c r="J389" s="9">
        <v>0</v>
      </c>
      <c r="K389" s="9">
        <v>906</v>
      </c>
      <c r="L389" s="9">
        <v>0</v>
      </c>
      <c r="M389" s="9">
        <v>1206</v>
      </c>
      <c r="N389" s="9">
        <v>4700</v>
      </c>
      <c r="O389" s="9">
        <v>1306</v>
      </c>
      <c r="P389" s="9">
        <v>0</v>
      </c>
      <c r="Q389" s="9">
        <v>1306</v>
      </c>
      <c r="R389" s="9">
        <v>0</v>
      </c>
      <c r="S389" s="9">
        <v>1272.6666666666667</v>
      </c>
      <c r="T389" s="9"/>
      <c r="U389" s="4">
        <f t="shared" si="12"/>
        <v>9400</v>
      </c>
      <c r="W389" s="4">
        <v>1602.6666666666667</v>
      </c>
      <c r="X389" s="4">
        <v>1700</v>
      </c>
      <c r="Y389" s="4">
        <v>1402.6666666666667</v>
      </c>
      <c r="Z389" s="4">
        <v>1464</v>
      </c>
      <c r="AA389" s="4">
        <v>0</v>
      </c>
      <c r="AB389" s="4">
        <v>1176</v>
      </c>
      <c r="AC389" s="4">
        <v>0</v>
      </c>
      <c r="AD389" s="4">
        <v>1288</v>
      </c>
      <c r="AE389" s="4">
        <v>106</v>
      </c>
      <c r="AF389" s="4">
        <v>129</v>
      </c>
      <c r="AG389" s="4">
        <v>1106</v>
      </c>
      <c r="AH389" s="4">
        <v>1207</v>
      </c>
      <c r="AI389" s="7">
        <f t="shared" ref="AI389:AI452" si="13">SUM(G389:AH389)</f>
        <v>39790</v>
      </c>
      <c r="AJ389" s="7"/>
    </row>
    <row r="390" spans="1:36" x14ac:dyDescent="0.3">
      <c r="A390" s="12" t="s">
        <v>1044</v>
      </c>
      <c r="B390" s="12" t="s">
        <v>863</v>
      </c>
      <c r="C390" s="12" t="s">
        <v>5</v>
      </c>
      <c r="D390" s="13">
        <v>9301722</v>
      </c>
      <c r="E390" s="12" t="s">
        <v>457</v>
      </c>
      <c r="F390" s="12" t="s">
        <v>3</v>
      </c>
      <c r="G390" s="9">
        <v>787</v>
      </c>
      <c r="H390" s="9">
        <v>0</v>
      </c>
      <c r="I390" s="9">
        <v>1197</v>
      </c>
      <c r="J390" s="9">
        <v>0</v>
      </c>
      <c r="K390" s="9">
        <v>397</v>
      </c>
      <c r="L390" s="9">
        <v>0</v>
      </c>
      <c r="M390" s="9">
        <v>587</v>
      </c>
      <c r="N390" s="9">
        <v>3133.0199999999995</v>
      </c>
      <c r="O390" s="9">
        <v>587</v>
      </c>
      <c r="P390" s="9">
        <v>0</v>
      </c>
      <c r="Q390" s="9">
        <v>587</v>
      </c>
      <c r="R390" s="9">
        <v>0</v>
      </c>
      <c r="S390" s="9">
        <v>587</v>
      </c>
      <c r="T390" s="9"/>
      <c r="U390" s="4">
        <f t="shared" si="12"/>
        <v>3133.0199999999995</v>
      </c>
      <c r="W390" s="4">
        <v>347.66666666666669</v>
      </c>
      <c r="X390" s="4">
        <v>349</v>
      </c>
      <c r="Y390" s="4">
        <v>297.66666666666669</v>
      </c>
      <c r="Z390" s="4">
        <v>308</v>
      </c>
      <c r="AA390" s="4">
        <v>0</v>
      </c>
      <c r="AB390" s="4">
        <v>632</v>
      </c>
      <c r="AC390" s="4">
        <v>0</v>
      </c>
      <c r="AD390" s="4">
        <v>453</v>
      </c>
      <c r="AE390" s="4">
        <v>437</v>
      </c>
      <c r="AF390" s="4">
        <v>474</v>
      </c>
      <c r="AG390" s="4">
        <v>737</v>
      </c>
      <c r="AH390" s="4">
        <v>731</v>
      </c>
      <c r="AI390" s="7">
        <f t="shared" si="13"/>
        <v>15761.373333333331</v>
      </c>
      <c r="AJ390" s="7"/>
    </row>
    <row r="391" spans="1:36" x14ac:dyDescent="0.3">
      <c r="A391" s="12" t="s">
        <v>1044</v>
      </c>
      <c r="B391" s="12" t="s">
        <v>863</v>
      </c>
      <c r="C391" s="12" t="s">
        <v>5</v>
      </c>
      <c r="D391" s="13">
        <v>9301723</v>
      </c>
      <c r="E391" s="12" t="s">
        <v>458</v>
      </c>
      <c r="F391" s="12" t="s">
        <v>3</v>
      </c>
      <c r="G391" s="9">
        <v>539</v>
      </c>
      <c r="H391" s="9">
        <v>0</v>
      </c>
      <c r="I391" s="9">
        <v>289</v>
      </c>
      <c r="J391" s="9">
        <v>0</v>
      </c>
      <c r="K391" s="9">
        <v>189</v>
      </c>
      <c r="L391" s="9">
        <v>0</v>
      </c>
      <c r="M391" s="9">
        <v>489</v>
      </c>
      <c r="N391" s="9">
        <v>0</v>
      </c>
      <c r="O391" s="9">
        <v>489</v>
      </c>
      <c r="P391" s="9">
        <v>0</v>
      </c>
      <c r="Q391" s="9">
        <v>489</v>
      </c>
      <c r="R391" s="9">
        <v>0</v>
      </c>
      <c r="S391" s="9">
        <v>489</v>
      </c>
      <c r="T391" s="9"/>
      <c r="U391" s="4">
        <f t="shared" si="12"/>
        <v>0</v>
      </c>
      <c r="W391" s="4">
        <v>237.33333333333334</v>
      </c>
      <c r="X391" s="4">
        <v>273</v>
      </c>
      <c r="Y391" s="4">
        <v>287.33333333333331</v>
      </c>
      <c r="Z391" s="4">
        <v>336</v>
      </c>
      <c r="AA391" s="4">
        <v>0</v>
      </c>
      <c r="AB391" s="4">
        <v>771</v>
      </c>
      <c r="AC391" s="4">
        <v>0</v>
      </c>
      <c r="AD391" s="4">
        <v>589</v>
      </c>
      <c r="AE391" s="4">
        <v>639</v>
      </c>
      <c r="AF391" s="4">
        <v>663</v>
      </c>
      <c r="AG391" s="4">
        <v>739</v>
      </c>
      <c r="AH391" s="4">
        <v>743</v>
      </c>
      <c r="AI391" s="7">
        <f t="shared" si="13"/>
        <v>8250.6666666666679</v>
      </c>
      <c r="AJ391" s="7"/>
    </row>
    <row r="392" spans="1:36" x14ac:dyDescent="0.3">
      <c r="A392" s="12" t="s">
        <v>1042</v>
      </c>
      <c r="B392" s="12" t="str">
        <f>INDEX([1]오송!$C:$C,MATCH(D392,[1]오송!$D:$D,0))</f>
        <v>오송</v>
      </c>
      <c r="C392" s="12" t="s">
        <v>5</v>
      </c>
      <c r="D392" s="13">
        <v>9301909</v>
      </c>
      <c r="E392" s="12" t="s">
        <v>241</v>
      </c>
      <c r="F392" s="12" t="s">
        <v>3</v>
      </c>
      <c r="G392" s="9">
        <v>23114</v>
      </c>
      <c r="H392" s="9">
        <v>26460</v>
      </c>
      <c r="I392" s="9">
        <v>23141</v>
      </c>
      <c r="J392" s="9">
        <v>23520</v>
      </c>
      <c r="K392" s="9">
        <v>23168</v>
      </c>
      <c r="L392" s="9">
        <v>26460</v>
      </c>
      <c r="M392" s="9">
        <v>23195</v>
      </c>
      <c r="N392" s="9">
        <v>25284</v>
      </c>
      <c r="O392" s="9">
        <v>23222</v>
      </c>
      <c r="P392" s="9">
        <v>26460</v>
      </c>
      <c r="Q392" s="9">
        <v>23249</v>
      </c>
      <c r="R392" s="9">
        <v>26460</v>
      </c>
      <c r="S392" s="9">
        <v>23222</v>
      </c>
      <c r="T392" s="9"/>
      <c r="U392" s="4">
        <f t="shared" si="12"/>
        <v>154644</v>
      </c>
      <c r="W392" s="4">
        <v>21004</v>
      </c>
      <c r="X392" s="4">
        <v>31550</v>
      </c>
      <c r="Y392" s="4">
        <v>23756</v>
      </c>
      <c r="Z392" s="4">
        <v>19361</v>
      </c>
      <c r="AA392" s="4">
        <v>22809</v>
      </c>
      <c r="AB392" s="4">
        <v>17499</v>
      </c>
      <c r="AC392" s="4">
        <v>20833</v>
      </c>
      <c r="AD392" s="4">
        <v>24371</v>
      </c>
      <c r="AE392" s="4">
        <v>21534</v>
      </c>
      <c r="AF392" s="4">
        <v>20403</v>
      </c>
      <c r="AG392" s="4">
        <v>21132</v>
      </c>
      <c r="AH392" s="4">
        <v>27309</v>
      </c>
      <c r="AI392" s="7">
        <f t="shared" si="13"/>
        <v>743160</v>
      </c>
      <c r="AJ392" s="7"/>
    </row>
    <row r="393" spans="1:36" x14ac:dyDescent="0.3">
      <c r="A393" s="12" t="s">
        <v>1042</v>
      </c>
      <c r="B393" s="12" t="str">
        <f>INDEX([1]오송!$C:$C,MATCH(D393,[1]오송!$D:$D,0))</f>
        <v>오송</v>
      </c>
      <c r="C393" s="12" t="s">
        <v>5</v>
      </c>
      <c r="D393" s="13">
        <v>9301920</v>
      </c>
      <c r="E393" s="12" t="s">
        <v>242</v>
      </c>
      <c r="F393" s="12" t="s">
        <v>3</v>
      </c>
      <c r="G393" s="9">
        <v>8356</v>
      </c>
      <c r="H393" s="9">
        <v>9702</v>
      </c>
      <c r="I393" s="9">
        <v>8430</v>
      </c>
      <c r="J393" s="9">
        <v>10584</v>
      </c>
      <c r="K393" s="9">
        <v>8505</v>
      </c>
      <c r="L393" s="9">
        <v>9702</v>
      </c>
      <c r="M393" s="9">
        <v>8579</v>
      </c>
      <c r="N393" s="9">
        <v>10054.799999999999</v>
      </c>
      <c r="O393" s="9">
        <v>8653</v>
      </c>
      <c r="P393" s="9">
        <v>9702</v>
      </c>
      <c r="Q393" s="9">
        <v>8728</v>
      </c>
      <c r="R393" s="9">
        <v>9702</v>
      </c>
      <c r="S393" s="9">
        <v>8653.3333333333339</v>
      </c>
      <c r="T393" s="9"/>
      <c r="U393" s="4">
        <f t="shared" si="12"/>
        <v>59446.8</v>
      </c>
      <c r="W393" s="4">
        <v>7458</v>
      </c>
      <c r="X393" s="4">
        <v>10295</v>
      </c>
      <c r="Y393" s="4">
        <v>8158</v>
      </c>
      <c r="Z393" s="4">
        <v>7222</v>
      </c>
      <c r="AA393" s="4">
        <v>7800</v>
      </c>
      <c r="AB393" s="4">
        <v>6551</v>
      </c>
      <c r="AC393" s="4">
        <v>7585</v>
      </c>
      <c r="AD393" s="4">
        <v>8235</v>
      </c>
      <c r="AE393" s="4">
        <v>7763</v>
      </c>
      <c r="AF393" s="4">
        <v>7639</v>
      </c>
      <c r="AG393" s="4">
        <v>7787</v>
      </c>
      <c r="AH393" s="4">
        <v>9323</v>
      </c>
      <c r="AI393" s="7">
        <f t="shared" si="13"/>
        <v>274613.93333333335</v>
      </c>
      <c r="AJ393" s="7"/>
    </row>
    <row r="394" spans="1:36" x14ac:dyDescent="0.3">
      <c r="A394" s="12" t="s">
        <v>1042</v>
      </c>
      <c r="B394" s="12" t="str">
        <f>INDEX([1]오송!$C:$C,MATCH(D394,[1]오송!$D:$D,0))</f>
        <v>오송</v>
      </c>
      <c r="C394" s="12" t="s">
        <v>5</v>
      </c>
      <c r="D394" s="13">
        <v>9301921</v>
      </c>
      <c r="E394" s="12" t="s">
        <v>243</v>
      </c>
      <c r="F394" s="12" t="s">
        <v>3</v>
      </c>
      <c r="G394" s="9">
        <v>7994</v>
      </c>
      <c r="H394" s="9">
        <v>12739.902</v>
      </c>
      <c r="I394" s="9">
        <v>8003</v>
      </c>
      <c r="J394" s="9">
        <v>0</v>
      </c>
      <c r="K394" s="9">
        <v>8012</v>
      </c>
      <c r="L394" s="9">
        <v>12739.902</v>
      </c>
      <c r="M394" s="9">
        <v>8022</v>
      </c>
      <c r="N394" s="9">
        <v>0</v>
      </c>
      <c r="O394" s="9">
        <v>8031</v>
      </c>
      <c r="P394" s="9">
        <v>11890.575200000001</v>
      </c>
      <c r="Q394" s="9">
        <v>8041</v>
      </c>
      <c r="R394" s="9">
        <v>0</v>
      </c>
      <c r="S394" s="9">
        <v>8031.333333333333</v>
      </c>
      <c r="T394" s="9"/>
      <c r="U394" s="4">
        <f t="shared" si="12"/>
        <v>37370.379200000003</v>
      </c>
      <c r="W394" s="4">
        <v>8096</v>
      </c>
      <c r="X394" s="4">
        <v>9793</v>
      </c>
      <c r="Y394" s="4">
        <v>8675</v>
      </c>
      <c r="Z394" s="4">
        <v>8534</v>
      </c>
      <c r="AA394" s="4">
        <v>8717</v>
      </c>
      <c r="AB394" s="4">
        <v>6116</v>
      </c>
      <c r="AC394" s="4">
        <v>7971</v>
      </c>
      <c r="AD394" s="4">
        <v>7020</v>
      </c>
      <c r="AE394" s="4">
        <v>7647</v>
      </c>
      <c r="AF394" s="4">
        <v>7664</v>
      </c>
      <c r="AG394" s="4">
        <v>7580</v>
      </c>
      <c r="AH394" s="4">
        <v>8767</v>
      </c>
      <c r="AI394" s="7">
        <f t="shared" si="13"/>
        <v>227455.09173333333</v>
      </c>
      <c r="AJ394" s="7"/>
    </row>
    <row r="395" spans="1:36" x14ac:dyDescent="0.3">
      <c r="A395" s="12" t="s">
        <v>1042</v>
      </c>
      <c r="B395" s="12" t="str">
        <f>INDEX([1]오송!$C:$C,MATCH(D395,[1]오송!$D:$D,0))</f>
        <v>오송</v>
      </c>
      <c r="C395" s="12" t="s">
        <v>5</v>
      </c>
      <c r="D395" s="13">
        <v>9301922</v>
      </c>
      <c r="E395" s="12" t="s">
        <v>244</v>
      </c>
      <c r="F395" s="12" t="s">
        <v>3</v>
      </c>
      <c r="G395" s="9">
        <v>5034</v>
      </c>
      <c r="H395" s="9">
        <v>8918</v>
      </c>
      <c r="I395" s="9">
        <v>5099</v>
      </c>
      <c r="J395" s="9">
        <v>0</v>
      </c>
      <c r="K395" s="9">
        <v>5165</v>
      </c>
      <c r="L395" s="9">
        <v>8918</v>
      </c>
      <c r="M395" s="9">
        <v>5230</v>
      </c>
      <c r="N395" s="9">
        <v>0</v>
      </c>
      <c r="O395" s="9">
        <v>5296</v>
      </c>
      <c r="P395" s="9">
        <v>9172.7999999999993</v>
      </c>
      <c r="Q395" s="9">
        <v>5361</v>
      </c>
      <c r="R395" s="9">
        <v>0</v>
      </c>
      <c r="S395" s="9">
        <v>5295.666666666667</v>
      </c>
      <c r="T395" s="9"/>
      <c r="U395" s="4">
        <f t="shared" si="12"/>
        <v>27008.799999999999</v>
      </c>
      <c r="W395" s="4">
        <v>4612</v>
      </c>
      <c r="X395" s="4">
        <v>4588</v>
      </c>
      <c r="Y395" s="4">
        <v>4520</v>
      </c>
      <c r="Z395" s="4">
        <v>5438</v>
      </c>
      <c r="AA395" s="4">
        <v>4890</v>
      </c>
      <c r="AB395" s="4">
        <v>3707</v>
      </c>
      <c r="AC395" s="4">
        <v>4741</v>
      </c>
      <c r="AD395" s="4">
        <v>5150</v>
      </c>
      <c r="AE395" s="4">
        <v>4970</v>
      </c>
      <c r="AF395" s="4">
        <v>4429</v>
      </c>
      <c r="AG395" s="4">
        <v>4898</v>
      </c>
      <c r="AH395" s="4">
        <v>5421</v>
      </c>
      <c r="AI395" s="7">
        <f t="shared" si="13"/>
        <v>147862.26666666666</v>
      </c>
      <c r="AJ395" s="7"/>
    </row>
    <row r="396" spans="1:36" x14ac:dyDescent="0.3">
      <c r="A396" s="12" t="s">
        <v>1042</v>
      </c>
      <c r="B396" s="12" t="str">
        <f>INDEX([1]오송!$C:$C,MATCH(D396,[1]오송!$D:$D,0))</f>
        <v>오송</v>
      </c>
      <c r="C396" s="12" t="s">
        <v>5</v>
      </c>
      <c r="D396" s="13">
        <v>9301923</v>
      </c>
      <c r="E396" s="12" t="s">
        <v>245</v>
      </c>
      <c r="F396" s="12" t="s">
        <v>3</v>
      </c>
      <c r="G396" s="9">
        <v>6869</v>
      </c>
      <c r="H396" s="9">
        <v>13230</v>
      </c>
      <c r="I396" s="9">
        <v>6895</v>
      </c>
      <c r="J396" s="9">
        <v>13230</v>
      </c>
      <c r="K396" s="9">
        <v>6922</v>
      </c>
      <c r="L396" s="9">
        <v>0</v>
      </c>
      <c r="M396" s="9">
        <v>6949</v>
      </c>
      <c r="N396" s="9">
        <v>13230</v>
      </c>
      <c r="O396" s="9">
        <v>6976</v>
      </c>
      <c r="P396" s="9">
        <v>0</v>
      </c>
      <c r="Q396" s="9">
        <v>7003</v>
      </c>
      <c r="R396" s="9">
        <v>13818</v>
      </c>
      <c r="S396" s="9">
        <v>6976</v>
      </c>
      <c r="T396" s="9"/>
      <c r="U396" s="4">
        <f t="shared" si="12"/>
        <v>53508</v>
      </c>
      <c r="W396" s="4">
        <v>6549</v>
      </c>
      <c r="X396" s="4">
        <v>8432</v>
      </c>
      <c r="Y396" s="4">
        <v>6950</v>
      </c>
      <c r="Z396" s="4">
        <v>7401</v>
      </c>
      <c r="AA396" s="4">
        <v>7293</v>
      </c>
      <c r="AB396" s="4">
        <v>3972</v>
      </c>
      <c r="AC396" s="4">
        <v>6444</v>
      </c>
      <c r="AD396" s="4">
        <v>6337</v>
      </c>
      <c r="AE396" s="4">
        <v>6391</v>
      </c>
      <c r="AF396" s="4">
        <v>8070</v>
      </c>
      <c r="AG396" s="4">
        <v>6940</v>
      </c>
      <c r="AH396" s="4">
        <v>6518</v>
      </c>
      <c r="AI396" s="7">
        <f t="shared" si="13"/>
        <v>236903</v>
      </c>
      <c r="AJ396" s="7"/>
    </row>
    <row r="397" spans="1:36" x14ac:dyDescent="0.3">
      <c r="A397" s="12" t="s">
        <v>1042</v>
      </c>
      <c r="B397" s="12" t="str">
        <f>INDEX([1]오송!$C:$C,MATCH(D397,[1]오송!$D:$D,0))</f>
        <v>오송</v>
      </c>
      <c r="C397" s="12" t="s">
        <v>5</v>
      </c>
      <c r="D397" s="13">
        <v>9301924</v>
      </c>
      <c r="E397" s="12" t="s">
        <v>246</v>
      </c>
      <c r="F397" s="12" t="s">
        <v>3</v>
      </c>
      <c r="G397" s="9">
        <v>2329</v>
      </c>
      <c r="H397" s="9">
        <v>4851</v>
      </c>
      <c r="I397" s="9">
        <v>2379</v>
      </c>
      <c r="J397" s="9">
        <v>4851</v>
      </c>
      <c r="K397" s="9">
        <v>2430</v>
      </c>
      <c r="L397" s="9">
        <v>0</v>
      </c>
      <c r="M397" s="9">
        <v>2480</v>
      </c>
      <c r="N397" s="9">
        <v>4851</v>
      </c>
      <c r="O397" s="9">
        <v>2531</v>
      </c>
      <c r="P397" s="9">
        <v>0</v>
      </c>
      <c r="Q397" s="9">
        <v>2581</v>
      </c>
      <c r="R397" s="9">
        <v>4674.6000000000004</v>
      </c>
      <c r="S397" s="9">
        <v>2530.6666666666665</v>
      </c>
      <c r="T397" s="9"/>
      <c r="U397" s="4">
        <f t="shared" si="12"/>
        <v>19227.599999999999</v>
      </c>
      <c r="W397" s="4">
        <v>1906</v>
      </c>
      <c r="X397" s="4">
        <v>1904</v>
      </c>
      <c r="Y397" s="4">
        <v>1900</v>
      </c>
      <c r="Z397" s="4">
        <v>2017</v>
      </c>
      <c r="AA397" s="4">
        <v>1825</v>
      </c>
      <c r="AB397" s="4">
        <v>2087</v>
      </c>
      <c r="AC397" s="4">
        <v>2125</v>
      </c>
      <c r="AD397" s="4">
        <v>1848</v>
      </c>
      <c r="AE397" s="4">
        <v>2149</v>
      </c>
      <c r="AF397" s="4">
        <v>2426</v>
      </c>
      <c r="AG397" s="4">
        <v>2242</v>
      </c>
      <c r="AH397" s="4">
        <v>2637</v>
      </c>
      <c r="AI397" s="7">
        <f t="shared" si="13"/>
        <v>80781.866666666669</v>
      </c>
      <c r="AJ397" s="7"/>
    </row>
    <row r="398" spans="1:36" x14ac:dyDescent="0.3">
      <c r="A398" s="12" t="s">
        <v>1044</v>
      </c>
      <c r="B398" s="12" t="s">
        <v>863</v>
      </c>
      <c r="C398" s="12" t="s">
        <v>5</v>
      </c>
      <c r="D398" s="13">
        <v>9302946</v>
      </c>
      <c r="E398" s="12" t="s">
        <v>459</v>
      </c>
      <c r="F398" s="12" t="s">
        <v>3</v>
      </c>
      <c r="G398" s="9">
        <v>8000</v>
      </c>
      <c r="H398" s="9">
        <v>0</v>
      </c>
      <c r="I398" s="9">
        <v>8000</v>
      </c>
      <c r="J398" s="9">
        <v>0</v>
      </c>
      <c r="K398" s="9">
        <v>8000</v>
      </c>
      <c r="L398" s="9">
        <v>0</v>
      </c>
      <c r="M398" s="9">
        <v>8000</v>
      </c>
      <c r="N398" s="9">
        <v>0</v>
      </c>
      <c r="O398" s="9">
        <v>8000</v>
      </c>
      <c r="P398" s="9">
        <v>0</v>
      </c>
      <c r="Q398" s="9">
        <v>8000</v>
      </c>
      <c r="R398" s="9">
        <v>0</v>
      </c>
      <c r="S398" s="9">
        <v>8000</v>
      </c>
      <c r="T398" s="9"/>
      <c r="U398" s="4">
        <f t="shared" si="12"/>
        <v>0</v>
      </c>
      <c r="W398" s="4">
        <v>13000</v>
      </c>
      <c r="X398" s="4">
        <v>6021</v>
      </c>
      <c r="Y398" s="4">
        <v>9000</v>
      </c>
      <c r="Z398" s="4">
        <v>7247</v>
      </c>
      <c r="AA398" s="4">
        <v>12000</v>
      </c>
      <c r="AB398" s="4">
        <v>8045</v>
      </c>
      <c r="AC398" s="4">
        <v>8000</v>
      </c>
      <c r="AD398" s="4">
        <v>7757</v>
      </c>
      <c r="AE398" s="4">
        <v>8000</v>
      </c>
      <c r="AF398" s="4">
        <v>6763</v>
      </c>
      <c r="AG398" s="4">
        <v>8000</v>
      </c>
      <c r="AH398" s="4">
        <v>10766</v>
      </c>
      <c r="AI398" s="7">
        <f t="shared" si="13"/>
        <v>160599</v>
      </c>
      <c r="AJ398" s="7"/>
    </row>
    <row r="399" spans="1:36" x14ac:dyDescent="0.3">
      <c r="A399" s="12" t="s">
        <v>1042</v>
      </c>
      <c r="B399" s="12" t="str">
        <f>INDEX([1]오송!$C:$C,MATCH(D399,[1]오송!$D:$D,0))</f>
        <v>오송</v>
      </c>
      <c r="C399" s="12" t="s">
        <v>5</v>
      </c>
      <c r="D399" s="13">
        <v>9303027</v>
      </c>
      <c r="E399" s="12" t="s">
        <v>247</v>
      </c>
      <c r="F399" s="12" t="s">
        <v>3</v>
      </c>
      <c r="G399" s="9">
        <v>0</v>
      </c>
      <c r="H399" s="9">
        <v>0</v>
      </c>
      <c r="I399" s="9">
        <v>0</v>
      </c>
      <c r="J399" s="9">
        <v>0</v>
      </c>
      <c r="K399" s="9">
        <v>0</v>
      </c>
      <c r="L399" s="9">
        <v>0</v>
      </c>
      <c r="M399" s="9">
        <v>0</v>
      </c>
      <c r="N399" s="9">
        <v>0</v>
      </c>
      <c r="O399" s="9">
        <v>0</v>
      </c>
      <c r="P399" s="9">
        <v>0</v>
      </c>
      <c r="Q399" s="9">
        <v>0</v>
      </c>
      <c r="R399" s="9">
        <v>0</v>
      </c>
      <c r="S399" s="9">
        <v>0</v>
      </c>
      <c r="T399" s="9"/>
      <c r="U399" s="4">
        <f t="shared" si="12"/>
        <v>0</v>
      </c>
      <c r="W399" s="4">
        <v>418</v>
      </c>
      <c r="X399" s="4">
        <v>391</v>
      </c>
      <c r="Y399" s="4">
        <v>395</v>
      </c>
      <c r="Z399" s="4">
        <v>331</v>
      </c>
      <c r="AA399" s="4">
        <v>358</v>
      </c>
      <c r="AB399" s="4">
        <v>313</v>
      </c>
      <c r="AC399" s="4">
        <v>328</v>
      </c>
      <c r="AD399" s="4">
        <v>57</v>
      </c>
      <c r="AE399" s="4">
        <v>317</v>
      </c>
      <c r="AF399" s="4">
        <v>0</v>
      </c>
      <c r="AG399" s="4">
        <v>240</v>
      </c>
      <c r="AH399" s="4">
        <v>0</v>
      </c>
      <c r="AI399" s="7">
        <f t="shared" si="13"/>
        <v>3148</v>
      </c>
      <c r="AJ399" s="7"/>
    </row>
    <row r="400" spans="1:36" x14ac:dyDescent="0.3">
      <c r="A400" s="12" t="s">
        <v>1042</v>
      </c>
      <c r="B400" s="12" t="str">
        <f>INDEX([1]오송!$C:$C,MATCH(D400,[1]오송!$D:$D,0))</f>
        <v>오송</v>
      </c>
      <c r="C400" s="12" t="s">
        <v>5</v>
      </c>
      <c r="D400" s="13">
        <v>9303028</v>
      </c>
      <c r="E400" s="12" t="s">
        <v>248</v>
      </c>
      <c r="F400" s="12" t="s">
        <v>3</v>
      </c>
      <c r="G400" s="9">
        <v>0</v>
      </c>
      <c r="H400" s="9">
        <v>0</v>
      </c>
      <c r="I400" s="9">
        <v>0</v>
      </c>
      <c r="J400" s="9">
        <v>0</v>
      </c>
      <c r="K400" s="9">
        <v>0</v>
      </c>
      <c r="L400" s="9">
        <v>0</v>
      </c>
      <c r="M400" s="9">
        <v>0</v>
      </c>
      <c r="N400" s="9">
        <v>0</v>
      </c>
      <c r="O400" s="9">
        <v>0</v>
      </c>
      <c r="P400" s="9">
        <v>0</v>
      </c>
      <c r="Q400" s="9">
        <v>0</v>
      </c>
      <c r="R400" s="9">
        <v>0</v>
      </c>
      <c r="S400" s="9">
        <v>0</v>
      </c>
      <c r="T400" s="9"/>
      <c r="U400" s="4">
        <f t="shared" si="12"/>
        <v>0</v>
      </c>
      <c r="W400" s="4">
        <v>138</v>
      </c>
      <c r="X400" s="4">
        <v>153</v>
      </c>
      <c r="Y400" s="4">
        <v>143</v>
      </c>
      <c r="Z400" s="4">
        <v>158</v>
      </c>
      <c r="AA400" s="4">
        <v>146</v>
      </c>
      <c r="AB400" s="4">
        <v>114</v>
      </c>
      <c r="AC400" s="4">
        <v>135</v>
      </c>
      <c r="AD400" s="4">
        <v>50</v>
      </c>
      <c r="AE400" s="4">
        <v>107</v>
      </c>
      <c r="AF400" s="4">
        <v>0</v>
      </c>
      <c r="AG400" s="4">
        <v>99</v>
      </c>
      <c r="AH400" s="4">
        <v>0</v>
      </c>
      <c r="AI400" s="7">
        <f t="shared" si="13"/>
        <v>1243</v>
      </c>
      <c r="AJ400" s="7"/>
    </row>
    <row r="401" spans="1:36" x14ac:dyDescent="0.3">
      <c r="A401" s="12" t="s">
        <v>1042</v>
      </c>
      <c r="B401" s="12" t="str">
        <f>INDEX([1]오송!$C:$C,MATCH(D401,[1]오송!$D:$D,0))</f>
        <v>오송</v>
      </c>
      <c r="C401" s="12" t="s">
        <v>5</v>
      </c>
      <c r="D401" s="13">
        <v>9303062</v>
      </c>
      <c r="E401" s="12" t="s">
        <v>249</v>
      </c>
      <c r="F401" s="12" t="s">
        <v>3</v>
      </c>
      <c r="G401" s="9">
        <v>61376</v>
      </c>
      <c r="H401" s="9">
        <v>0</v>
      </c>
      <c r="I401" s="9">
        <v>66376</v>
      </c>
      <c r="J401" s="9">
        <v>0</v>
      </c>
      <c r="K401" s="9">
        <v>68376</v>
      </c>
      <c r="L401" s="9">
        <v>41999.86</v>
      </c>
      <c r="M401" s="9">
        <v>39376</v>
      </c>
      <c r="N401" s="9">
        <v>58799.803999999996</v>
      </c>
      <c r="O401" s="9">
        <v>60376</v>
      </c>
      <c r="P401" s="9">
        <v>83999.72</v>
      </c>
      <c r="Q401" s="9">
        <v>68376</v>
      </c>
      <c r="R401" s="9">
        <v>41999.86</v>
      </c>
      <c r="S401" s="9">
        <v>56042.666666666664</v>
      </c>
      <c r="T401" s="9"/>
      <c r="U401" s="4">
        <f t="shared" si="12"/>
        <v>226799.24400000001</v>
      </c>
      <c r="W401" s="4">
        <v>64000</v>
      </c>
      <c r="X401" s="4">
        <v>60414</v>
      </c>
      <c r="Y401" s="4">
        <v>42500</v>
      </c>
      <c r="Z401" s="4">
        <v>38344</v>
      </c>
      <c r="AA401" s="4">
        <v>41945.666666666664</v>
      </c>
      <c r="AB401" s="4">
        <v>36486</v>
      </c>
      <c r="AC401" s="4">
        <v>0</v>
      </c>
      <c r="AD401" s="4">
        <v>46789</v>
      </c>
      <c r="AE401" s="4">
        <v>21533</v>
      </c>
      <c r="AF401" s="4">
        <v>22847</v>
      </c>
      <c r="AG401" s="4">
        <v>21376</v>
      </c>
      <c r="AH401" s="4">
        <v>22412</v>
      </c>
      <c r="AI401" s="7">
        <f t="shared" si="13"/>
        <v>1292543.8213333334</v>
      </c>
      <c r="AJ401" s="7"/>
    </row>
    <row r="402" spans="1:36" x14ac:dyDescent="0.3">
      <c r="A402" s="12" t="s">
        <v>1042</v>
      </c>
      <c r="B402" s="12" t="str">
        <f>INDEX([1]오송!$C:$C,MATCH(D402,[1]오송!$D:$D,0))</f>
        <v>오송</v>
      </c>
      <c r="C402" s="12" t="s">
        <v>5</v>
      </c>
      <c r="D402" s="13">
        <v>9303063</v>
      </c>
      <c r="E402" s="12" t="s">
        <v>250</v>
      </c>
      <c r="F402" s="12" t="s">
        <v>3</v>
      </c>
      <c r="G402" s="9">
        <v>19534.400000000001</v>
      </c>
      <c r="H402" s="9">
        <v>0</v>
      </c>
      <c r="I402" s="9">
        <v>21034.400000000001</v>
      </c>
      <c r="J402" s="9">
        <v>0</v>
      </c>
      <c r="K402" s="9">
        <v>23534.400000000001</v>
      </c>
      <c r="L402" s="9">
        <v>18816</v>
      </c>
      <c r="M402" s="9">
        <v>10534.4</v>
      </c>
      <c r="N402" s="9">
        <v>18816</v>
      </c>
      <c r="O402" s="9">
        <v>21034.400000000001</v>
      </c>
      <c r="P402" s="9">
        <v>23520</v>
      </c>
      <c r="Q402" s="9">
        <v>22534.400000000001</v>
      </c>
      <c r="R402" s="9">
        <v>23520</v>
      </c>
      <c r="S402" s="9">
        <v>18034.400000000001</v>
      </c>
      <c r="T402" s="9"/>
      <c r="U402" s="4">
        <f t="shared" si="12"/>
        <v>84672</v>
      </c>
      <c r="W402" s="4">
        <v>22100</v>
      </c>
      <c r="X402" s="4">
        <v>21514</v>
      </c>
      <c r="Y402" s="4">
        <v>14200</v>
      </c>
      <c r="Z402" s="4">
        <v>13528</v>
      </c>
      <c r="AA402" s="4">
        <v>14599</v>
      </c>
      <c r="AB402" s="4">
        <v>14427</v>
      </c>
      <c r="AC402" s="4">
        <v>0</v>
      </c>
      <c r="AD402" s="4">
        <v>14433</v>
      </c>
      <c r="AE402" s="4">
        <v>5550</v>
      </c>
      <c r="AF402" s="4">
        <v>5770</v>
      </c>
      <c r="AG402" s="4">
        <v>5534.4</v>
      </c>
      <c r="AH402" s="4">
        <v>5982</v>
      </c>
      <c r="AI402" s="7">
        <f t="shared" si="13"/>
        <v>443222.2</v>
      </c>
      <c r="AJ402" s="7"/>
    </row>
    <row r="403" spans="1:36" x14ac:dyDescent="0.3">
      <c r="A403" s="12" t="s">
        <v>1042</v>
      </c>
      <c r="B403" s="12" t="str">
        <f>INDEX([1]오송!$C:$C,MATCH(D403,[1]오송!$D:$D,0))</f>
        <v>오송</v>
      </c>
      <c r="C403" s="12" t="s">
        <v>5</v>
      </c>
      <c r="D403" s="13">
        <v>9303064</v>
      </c>
      <c r="E403" s="12" t="s">
        <v>251</v>
      </c>
      <c r="F403" s="12" t="s">
        <v>3</v>
      </c>
      <c r="G403" s="9">
        <v>5896.8</v>
      </c>
      <c r="H403" s="9">
        <v>0</v>
      </c>
      <c r="I403" s="9">
        <v>16896.8</v>
      </c>
      <c r="J403" s="9">
        <v>0</v>
      </c>
      <c r="K403" s="9">
        <v>16896.8</v>
      </c>
      <c r="L403" s="9">
        <v>21168</v>
      </c>
      <c r="M403" s="9">
        <v>3896.8</v>
      </c>
      <c r="N403" s="9">
        <v>19600</v>
      </c>
      <c r="O403" s="9">
        <v>12896.8</v>
      </c>
      <c r="P403" s="9">
        <v>15680</v>
      </c>
      <c r="Q403" s="9">
        <v>16896.8</v>
      </c>
      <c r="R403" s="9">
        <v>19600</v>
      </c>
      <c r="S403" s="9">
        <v>11230.133333333333</v>
      </c>
      <c r="T403" s="9"/>
      <c r="U403" s="4">
        <f t="shared" si="12"/>
        <v>76048</v>
      </c>
      <c r="W403" s="4">
        <v>20400</v>
      </c>
      <c r="X403" s="4">
        <v>19705</v>
      </c>
      <c r="Y403" s="4">
        <v>12450</v>
      </c>
      <c r="Z403" s="4">
        <v>11440</v>
      </c>
      <c r="AA403" s="4">
        <v>12150.333333333334</v>
      </c>
      <c r="AB403" s="4">
        <v>12112</v>
      </c>
      <c r="AC403" s="4">
        <v>0</v>
      </c>
      <c r="AD403" s="4">
        <v>13166</v>
      </c>
      <c r="AE403" s="4">
        <v>9001</v>
      </c>
      <c r="AF403" s="4">
        <v>9061</v>
      </c>
      <c r="AG403" s="4">
        <v>10896.8</v>
      </c>
      <c r="AH403" s="4">
        <v>11129</v>
      </c>
      <c r="AI403" s="7">
        <f t="shared" si="13"/>
        <v>378218.06666666665</v>
      </c>
      <c r="AJ403" s="7"/>
    </row>
    <row r="404" spans="1:36" x14ac:dyDescent="0.3">
      <c r="A404" s="12" t="s">
        <v>1044</v>
      </c>
      <c r="B404" s="12" t="s">
        <v>863</v>
      </c>
      <c r="C404" s="12" t="s">
        <v>5</v>
      </c>
      <c r="D404" s="13">
        <v>9303324</v>
      </c>
      <c r="E404" s="12" t="s">
        <v>460</v>
      </c>
      <c r="F404" s="12" t="s">
        <v>3</v>
      </c>
      <c r="G404" s="9">
        <v>16600</v>
      </c>
      <c r="H404" s="9">
        <v>0</v>
      </c>
      <c r="I404" s="9">
        <v>16341</v>
      </c>
      <c r="J404" s="9">
        <v>0</v>
      </c>
      <c r="K404" s="9">
        <v>16083</v>
      </c>
      <c r="L404" s="9">
        <v>0</v>
      </c>
      <c r="M404" s="9">
        <v>15824</v>
      </c>
      <c r="N404" s="9">
        <v>0</v>
      </c>
      <c r="O404" s="9">
        <v>15565</v>
      </c>
      <c r="P404" s="9">
        <v>0</v>
      </c>
      <c r="Q404" s="9">
        <v>15307</v>
      </c>
      <c r="R404" s="9">
        <v>0</v>
      </c>
      <c r="S404" s="9">
        <v>15565.333333333334</v>
      </c>
      <c r="T404" s="9"/>
      <c r="U404" s="4">
        <f t="shared" ref="U404:U460" si="14">SUM(T404,R404,P404,N404,L404,J404,H404)</f>
        <v>0</v>
      </c>
      <c r="W404" s="4">
        <v>18470</v>
      </c>
      <c r="X404" s="4">
        <v>18677</v>
      </c>
      <c r="Y404" s="4">
        <v>17537</v>
      </c>
      <c r="Z404" s="4">
        <v>19553</v>
      </c>
      <c r="AA404" s="4">
        <v>18100</v>
      </c>
      <c r="AB404" s="4">
        <v>15172</v>
      </c>
      <c r="AC404" s="4">
        <v>16391</v>
      </c>
      <c r="AD404" s="4">
        <v>17579</v>
      </c>
      <c r="AE404" s="4">
        <v>19000</v>
      </c>
      <c r="AF404" s="4">
        <v>18166</v>
      </c>
      <c r="AG404" s="4">
        <v>16314</v>
      </c>
      <c r="AH404" s="4">
        <v>17107</v>
      </c>
      <c r="AI404" s="7">
        <f t="shared" si="13"/>
        <v>323351.33333333331</v>
      </c>
      <c r="AJ404" s="7"/>
    </row>
    <row r="405" spans="1:36" x14ac:dyDescent="0.3">
      <c r="A405" s="12" t="s">
        <v>1044</v>
      </c>
      <c r="B405" s="12" t="s">
        <v>863</v>
      </c>
      <c r="C405" s="12" t="s">
        <v>5</v>
      </c>
      <c r="D405" s="13">
        <v>9303923</v>
      </c>
      <c r="E405" s="12" t="s">
        <v>461</v>
      </c>
      <c r="F405" s="12" t="s">
        <v>3</v>
      </c>
      <c r="G405" s="9">
        <v>856</v>
      </c>
      <c r="H405" s="9">
        <v>0</v>
      </c>
      <c r="I405" s="9">
        <v>856</v>
      </c>
      <c r="J405" s="9">
        <v>0</v>
      </c>
      <c r="K405" s="9">
        <v>856</v>
      </c>
      <c r="L405" s="9">
        <v>0</v>
      </c>
      <c r="M405" s="9">
        <v>856</v>
      </c>
      <c r="N405" s="9">
        <v>6333.333333333333</v>
      </c>
      <c r="O405" s="9">
        <v>856</v>
      </c>
      <c r="P405" s="9">
        <v>0</v>
      </c>
      <c r="Q405" s="9">
        <v>856</v>
      </c>
      <c r="R405" s="9">
        <v>0</v>
      </c>
      <c r="S405" s="9">
        <v>856</v>
      </c>
      <c r="T405" s="9"/>
      <c r="U405" s="4">
        <f t="shared" si="14"/>
        <v>6333.333333333333</v>
      </c>
      <c r="W405" s="4">
        <v>760</v>
      </c>
      <c r="X405" s="4">
        <v>464</v>
      </c>
      <c r="Y405" s="4">
        <v>661</v>
      </c>
      <c r="Z405" s="4">
        <v>1042</v>
      </c>
      <c r="AA405" s="4">
        <v>773</v>
      </c>
      <c r="AB405" s="4">
        <v>1079</v>
      </c>
      <c r="AC405" s="4">
        <v>874</v>
      </c>
      <c r="AD405" s="4">
        <v>900</v>
      </c>
      <c r="AE405" s="4">
        <v>853</v>
      </c>
      <c r="AF405" s="4">
        <v>769</v>
      </c>
      <c r="AG405" s="4">
        <v>869</v>
      </c>
      <c r="AH405" s="4">
        <v>890</v>
      </c>
      <c r="AI405" s="7">
        <f t="shared" si="13"/>
        <v>28592.666666666664</v>
      </c>
      <c r="AJ405" s="7"/>
    </row>
    <row r="406" spans="1:36" x14ac:dyDescent="0.3">
      <c r="A406" s="12" t="s">
        <v>1044</v>
      </c>
      <c r="B406" s="12" t="s">
        <v>863</v>
      </c>
      <c r="C406" s="12" t="s">
        <v>5</v>
      </c>
      <c r="D406" s="13">
        <v>9303924</v>
      </c>
      <c r="E406" s="12" t="s">
        <v>462</v>
      </c>
      <c r="F406" s="12" t="s">
        <v>3</v>
      </c>
      <c r="G406" s="9">
        <v>92</v>
      </c>
      <c r="H406" s="9">
        <v>0</v>
      </c>
      <c r="I406" s="9">
        <v>92</v>
      </c>
      <c r="J406" s="9">
        <v>0</v>
      </c>
      <c r="K406" s="9">
        <v>92</v>
      </c>
      <c r="L406" s="9">
        <v>0</v>
      </c>
      <c r="M406" s="9">
        <v>92</v>
      </c>
      <c r="N406" s="9">
        <v>0</v>
      </c>
      <c r="O406" s="9">
        <v>92</v>
      </c>
      <c r="P406" s="9">
        <v>0</v>
      </c>
      <c r="Q406" s="9">
        <v>92</v>
      </c>
      <c r="R406" s="9">
        <v>0</v>
      </c>
      <c r="S406" s="9">
        <v>92</v>
      </c>
      <c r="T406" s="9"/>
      <c r="U406" s="4">
        <f t="shared" si="14"/>
        <v>0</v>
      </c>
      <c r="W406" s="4">
        <v>64</v>
      </c>
      <c r="X406" s="4">
        <v>79</v>
      </c>
      <c r="Y406" s="4">
        <v>79</v>
      </c>
      <c r="Z406" s="4">
        <v>79</v>
      </c>
      <c r="AA406" s="4">
        <v>82</v>
      </c>
      <c r="AB406" s="4">
        <v>52</v>
      </c>
      <c r="AC406" s="4">
        <v>70</v>
      </c>
      <c r="AD406" s="4">
        <v>66</v>
      </c>
      <c r="AE406" s="4">
        <v>66</v>
      </c>
      <c r="AF406" s="4">
        <v>118</v>
      </c>
      <c r="AG406" s="4">
        <v>79</v>
      </c>
      <c r="AH406" s="4">
        <v>156</v>
      </c>
      <c r="AI406" s="7">
        <f t="shared" si="13"/>
        <v>1634</v>
      </c>
      <c r="AJ406" s="7"/>
    </row>
    <row r="407" spans="1:36" x14ac:dyDescent="0.3">
      <c r="A407" s="12" t="s">
        <v>1044</v>
      </c>
      <c r="B407" s="12" t="s">
        <v>863</v>
      </c>
      <c r="C407" s="12" t="s">
        <v>5</v>
      </c>
      <c r="D407" s="13">
        <v>9303964</v>
      </c>
      <c r="E407" s="12" t="s">
        <v>463</v>
      </c>
      <c r="F407" s="12" t="s">
        <v>3</v>
      </c>
      <c r="G407" s="9">
        <v>6000</v>
      </c>
      <c r="H407" s="9">
        <v>9800</v>
      </c>
      <c r="I407" s="9">
        <v>6000</v>
      </c>
      <c r="J407" s="9">
        <v>9800</v>
      </c>
      <c r="K407" s="9">
        <v>6000</v>
      </c>
      <c r="L407" s="9">
        <v>0</v>
      </c>
      <c r="M407" s="9">
        <v>0</v>
      </c>
      <c r="N407" s="9">
        <v>9800</v>
      </c>
      <c r="O407" s="9">
        <v>0</v>
      </c>
      <c r="P407" s="9">
        <v>9800</v>
      </c>
      <c r="Q407" s="9">
        <v>0</v>
      </c>
      <c r="R407" s="9">
        <v>9800</v>
      </c>
      <c r="S407" s="9">
        <v>0</v>
      </c>
      <c r="T407" s="9"/>
      <c r="U407" s="4">
        <f t="shared" si="14"/>
        <v>49000</v>
      </c>
      <c r="W407" s="4">
        <v>6000</v>
      </c>
      <c r="X407" s="4">
        <v>4545</v>
      </c>
      <c r="Y407" s="4">
        <v>6000</v>
      </c>
      <c r="Z407" s="4">
        <v>4263</v>
      </c>
      <c r="AA407" s="4">
        <v>6000</v>
      </c>
      <c r="AB407" s="4">
        <v>5790</v>
      </c>
      <c r="AC407" s="4">
        <v>6000</v>
      </c>
      <c r="AD407" s="4">
        <v>5656</v>
      </c>
      <c r="AE407" s="4">
        <v>6500</v>
      </c>
      <c r="AF407" s="4">
        <v>5566</v>
      </c>
      <c r="AG407" s="4">
        <v>6000</v>
      </c>
      <c r="AH407" s="4">
        <v>5059</v>
      </c>
      <c r="AI407" s="7">
        <f t="shared" si="13"/>
        <v>183379</v>
      </c>
      <c r="AJ407" s="7"/>
    </row>
    <row r="408" spans="1:36" x14ac:dyDescent="0.3">
      <c r="A408" s="12" t="s">
        <v>1042</v>
      </c>
      <c r="B408" s="12" t="str">
        <f>INDEX([1]오송!$C:$C,MATCH(D408,[1]오송!$D:$D,0))</f>
        <v>오송</v>
      </c>
      <c r="C408" s="12" t="s">
        <v>5</v>
      </c>
      <c r="D408" s="13">
        <v>9303999</v>
      </c>
      <c r="E408" s="12" t="s">
        <v>252</v>
      </c>
      <c r="F408" s="12" t="s">
        <v>3</v>
      </c>
      <c r="G408" s="9">
        <v>1662</v>
      </c>
      <c r="H408" s="9">
        <v>1960</v>
      </c>
      <c r="I408" s="9">
        <v>1675</v>
      </c>
      <c r="J408" s="9">
        <v>0</v>
      </c>
      <c r="K408" s="9">
        <v>1688</v>
      </c>
      <c r="L408" s="9">
        <v>1960</v>
      </c>
      <c r="M408" s="9">
        <v>1701</v>
      </c>
      <c r="N408" s="9">
        <v>1176</v>
      </c>
      <c r="O408" s="9">
        <v>1714</v>
      </c>
      <c r="P408" s="9">
        <v>1176</v>
      </c>
      <c r="Q408" s="9">
        <v>1727</v>
      </c>
      <c r="R408" s="9">
        <v>1176</v>
      </c>
      <c r="S408" s="9">
        <v>1714</v>
      </c>
      <c r="T408" s="9"/>
      <c r="U408" s="4">
        <f t="shared" si="14"/>
        <v>7448</v>
      </c>
      <c r="W408" s="4">
        <v>1641</v>
      </c>
      <c r="X408" s="4">
        <v>1477</v>
      </c>
      <c r="Y408" s="4">
        <v>1581</v>
      </c>
      <c r="Z408" s="4">
        <v>1569</v>
      </c>
      <c r="AA408" s="4">
        <v>1598</v>
      </c>
      <c r="AB408" s="4">
        <v>1904</v>
      </c>
      <c r="AC408" s="4">
        <v>1709</v>
      </c>
      <c r="AD408" s="4">
        <v>1767</v>
      </c>
      <c r="AE408" s="4">
        <v>1732</v>
      </c>
      <c r="AF408" s="4">
        <v>1333</v>
      </c>
      <c r="AG408" s="4">
        <v>1663</v>
      </c>
      <c r="AH408" s="4">
        <v>1667</v>
      </c>
      <c r="AI408" s="7">
        <f t="shared" si="13"/>
        <v>46418</v>
      </c>
      <c r="AJ408" s="7"/>
    </row>
    <row r="409" spans="1:36" x14ac:dyDescent="0.3">
      <c r="A409" s="12" t="s">
        <v>1042</v>
      </c>
      <c r="B409" s="12" t="str">
        <f>INDEX([1]오송!$C:$C,MATCH(D409,[1]오송!$D:$D,0))</f>
        <v>오송</v>
      </c>
      <c r="C409" s="12" t="s">
        <v>5</v>
      </c>
      <c r="D409" s="13">
        <v>9304080</v>
      </c>
      <c r="E409" s="12" t="s">
        <v>253</v>
      </c>
      <c r="F409" s="12" t="s">
        <v>3</v>
      </c>
      <c r="G409" s="9">
        <v>15130</v>
      </c>
      <c r="H409" s="9">
        <v>19599.509999999998</v>
      </c>
      <c r="I409" s="9">
        <v>15098</v>
      </c>
      <c r="J409" s="9">
        <v>0</v>
      </c>
      <c r="K409" s="9">
        <v>15066</v>
      </c>
      <c r="L409" s="9">
        <v>19599.509999999998</v>
      </c>
      <c r="M409" s="9">
        <v>15033</v>
      </c>
      <c r="N409" s="9">
        <v>9146.4379999999983</v>
      </c>
      <c r="O409" s="9">
        <v>15001</v>
      </c>
      <c r="P409" s="9">
        <v>9146.4379999999983</v>
      </c>
      <c r="Q409" s="9">
        <v>14969</v>
      </c>
      <c r="R409" s="9">
        <v>9146.4379999999983</v>
      </c>
      <c r="S409" s="9">
        <v>15001</v>
      </c>
      <c r="T409" s="9"/>
      <c r="U409" s="4">
        <f t="shared" si="14"/>
        <v>66638.333999999988</v>
      </c>
      <c r="W409" s="4">
        <v>15857</v>
      </c>
      <c r="X409" s="4">
        <v>15566</v>
      </c>
      <c r="Y409" s="4">
        <v>15484</v>
      </c>
      <c r="Z409" s="4">
        <v>16178</v>
      </c>
      <c r="AA409" s="4">
        <v>15840</v>
      </c>
      <c r="AB409" s="4">
        <v>14371</v>
      </c>
      <c r="AC409" s="4">
        <v>15430</v>
      </c>
      <c r="AD409" s="4">
        <v>14254</v>
      </c>
      <c r="AE409" s="4">
        <v>14889</v>
      </c>
      <c r="AF409" s="4">
        <v>16838</v>
      </c>
      <c r="AG409" s="4">
        <v>15439</v>
      </c>
      <c r="AH409" s="4">
        <v>14412</v>
      </c>
      <c r="AI409" s="7">
        <f t="shared" si="13"/>
        <v>423132.66799999995</v>
      </c>
      <c r="AJ409" s="7"/>
    </row>
    <row r="410" spans="1:36" x14ac:dyDescent="0.3">
      <c r="A410" s="12" t="s">
        <v>1042</v>
      </c>
      <c r="B410" s="12" t="str">
        <f>INDEX([1]오송!$C:$C,MATCH(D410,[1]오송!$D:$D,0))</f>
        <v>오송</v>
      </c>
      <c r="C410" s="12" t="s">
        <v>5</v>
      </c>
      <c r="D410" s="13">
        <v>9304301</v>
      </c>
      <c r="E410" s="12" t="s">
        <v>254</v>
      </c>
      <c r="F410" s="12" t="s">
        <v>3</v>
      </c>
      <c r="G410" s="9">
        <v>49034.400000000001</v>
      </c>
      <c r="H410" s="9">
        <v>33600</v>
      </c>
      <c r="I410" s="9">
        <v>34034.400000000001</v>
      </c>
      <c r="J410" s="9">
        <v>41999.86</v>
      </c>
      <c r="K410" s="9">
        <v>35034.400000000001</v>
      </c>
      <c r="L410" s="9">
        <v>41999.86</v>
      </c>
      <c r="M410" s="9">
        <v>38034.400000000001</v>
      </c>
      <c r="N410" s="9">
        <v>33599.887999999999</v>
      </c>
      <c r="O410" s="9">
        <v>32034.400000000001</v>
      </c>
      <c r="P410" s="9">
        <v>33599.887999999999</v>
      </c>
      <c r="Q410" s="9">
        <v>34034.400000000001</v>
      </c>
      <c r="R410" s="9">
        <v>37799.874000000003</v>
      </c>
      <c r="S410" s="9">
        <v>34701.066666666673</v>
      </c>
      <c r="T410" s="9"/>
      <c r="U410" s="4">
        <f t="shared" si="14"/>
        <v>222599.37</v>
      </c>
      <c r="W410" s="4">
        <v>27800</v>
      </c>
      <c r="X410" s="4">
        <v>26969</v>
      </c>
      <c r="Y410" s="4">
        <v>16000</v>
      </c>
      <c r="Z410" s="4">
        <v>14736</v>
      </c>
      <c r="AA410" s="4">
        <v>17367.666666666668</v>
      </c>
      <c r="AB410" s="4">
        <v>16967</v>
      </c>
      <c r="AC410" s="4">
        <v>0</v>
      </c>
      <c r="AD410" s="4">
        <v>17368</v>
      </c>
      <c r="AE410" s="4">
        <v>11161</v>
      </c>
      <c r="AF410" s="4">
        <v>11132</v>
      </c>
      <c r="AG410" s="4">
        <v>11034.4</v>
      </c>
      <c r="AH410" s="4">
        <v>11255</v>
      </c>
      <c r="AI410" s="7">
        <f t="shared" si="13"/>
        <v>883896.27333333332</v>
      </c>
      <c r="AJ410" s="7"/>
    </row>
    <row r="411" spans="1:36" x14ac:dyDescent="0.3">
      <c r="A411" s="12" t="s">
        <v>1042</v>
      </c>
      <c r="B411" s="12" t="str">
        <f>INDEX([1]오송!$C:$C,MATCH(D411,[1]오송!$D:$D,0))</f>
        <v>오송</v>
      </c>
      <c r="C411" s="12" t="s">
        <v>5</v>
      </c>
      <c r="D411" s="13">
        <v>9304302</v>
      </c>
      <c r="E411" s="12" t="s">
        <v>255</v>
      </c>
      <c r="F411" s="12" t="s">
        <v>3</v>
      </c>
      <c r="G411" s="9">
        <v>9276</v>
      </c>
      <c r="H411" s="9">
        <v>13595</v>
      </c>
      <c r="I411" s="9">
        <v>13276</v>
      </c>
      <c r="J411" s="9">
        <v>0</v>
      </c>
      <c r="K411" s="9">
        <v>14276</v>
      </c>
      <c r="L411" s="9">
        <v>11760</v>
      </c>
      <c r="M411" s="9">
        <v>4276</v>
      </c>
      <c r="N411" s="9">
        <v>14112</v>
      </c>
      <c r="O411" s="9">
        <v>13276</v>
      </c>
      <c r="P411" s="9">
        <v>14112</v>
      </c>
      <c r="Q411" s="9">
        <v>13276</v>
      </c>
      <c r="R411" s="9">
        <v>12936.000000000002</v>
      </c>
      <c r="S411" s="9">
        <v>10276</v>
      </c>
      <c r="T411" s="9"/>
      <c r="U411" s="4">
        <f t="shared" si="14"/>
        <v>66515</v>
      </c>
      <c r="W411" s="4">
        <v>11600</v>
      </c>
      <c r="X411" s="4">
        <v>11164</v>
      </c>
      <c r="Y411" s="4">
        <v>10700</v>
      </c>
      <c r="Z411" s="4">
        <v>10038</v>
      </c>
      <c r="AA411" s="4">
        <v>10254.333333333334</v>
      </c>
      <c r="AB411" s="4">
        <v>10264</v>
      </c>
      <c r="AC411" s="4">
        <v>0</v>
      </c>
      <c r="AD411" s="4">
        <v>10519</v>
      </c>
      <c r="AE411" s="4">
        <v>9213</v>
      </c>
      <c r="AF411" s="4">
        <v>9395</v>
      </c>
      <c r="AG411" s="4">
        <v>9276</v>
      </c>
      <c r="AH411" s="4">
        <v>9618</v>
      </c>
      <c r="AI411" s="7">
        <f t="shared" si="13"/>
        <v>323003.33333333331</v>
      </c>
      <c r="AJ411" s="7"/>
    </row>
    <row r="412" spans="1:36" x14ac:dyDescent="0.3">
      <c r="A412" s="12" t="s">
        <v>1042</v>
      </c>
      <c r="B412" s="12" t="str">
        <f>INDEX([1]오송!$C:$C,MATCH(D412,[1]오송!$D:$D,0))</f>
        <v>오송</v>
      </c>
      <c r="C412" s="12" t="s">
        <v>5</v>
      </c>
      <c r="D412" s="13">
        <v>9304303</v>
      </c>
      <c r="E412" s="12" t="s">
        <v>256</v>
      </c>
      <c r="F412" s="12" t="s">
        <v>3</v>
      </c>
      <c r="G412" s="9">
        <v>18231.400000000001</v>
      </c>
      <c r="H412" s="9">
        <v>15680</v>
      </c>
      <c r="I412" s="9">
        <v>14231.4</v>
      </c>
      <c r="J412" s="9">
        <v>19600</v>
      </c>
      <c r="K412" s="9">
        <v>15231.4</v>
      </c>
      <c r="L412" s="9">
        <v>15680</v>
      </c>
      <c r="M412" s="9">
        <v>13231.4</v>
      </c>
      <c r="N412" s="9">
        <v>15680</v>
      </c>
      <c r="O412" s="9">
        <v>14231.4</v>
      </c>
      <c r="P412" s="9">
        <v>15680</v>
      </c>
      <c r="Q412" s="9">
        <v>15231.4</v>
      </c>
      <c r="R412" s="9">
        <v>15680</v>
      </c>
      <c r="S412" s="9">
        <v>14231.4</v>
      </c>
      <c r="T412" s="9"/>
      <c r="U412" s="4">
        <f t="shared" si="14"/>
        <v>98000</v>
      </c>
      <c r="W412" s="4">
        <v>8700</v>
      </c>
      <c r="X412" s="4">
        <v>7989</v>
      </c>
      <c r="Y412" s="4">
        <v>16800</v>
      </c>
      <c r="Z412" s="4">
        <v>16116</v>
      </c>
      <c r="AA412" s="4">
        <v>16182.333333333334</v>
      </c>
      <c r="AB412" s="4">
        <v>16238</v>
      </c>
      <c r="AC412" s="4">
        <v>0</v>
      </c>
      <c r="AD412" s="4">
        <v>16416</v>
      </c>
      <c r="AE412" s="4">
        <v>6180</v>
      </c>
      <c r="AF412" s="4">
        <v>6398</v>
      </c>
      <c r="AG412" s="4">
        <v>4231.3999999999996</v>
      </c>
      <c r="AH412" s="4">
        <v>4309</v>
      </c>
      <c r="AI412" s="7">
        <f t="shared" si="13"/>
        <v>420179.53333333333</v>
      </c>
      <c r="AJ412" s="7"/>
    </row>
    <row r="413" spans="1:36" x14ac:dyDescent="0.3">
      <c r="A413" s="12" t="s">
        <v>1044</v>
      </c>
      <c r="B413" s="12" t="s">
        <v>863</v>
      </c>
      <c r="C413" s="12" t="s">
        <v>5</v>
      </c>
      <c r="D413" s="13">
        <v>9304361</v>
      </c>
      <c r="E413" s="12" t="s">
        <v>464</v>
      </c>
      <c r="F413" s="12" t="s">
        <v>3</v>
      </c>
      <c r="G413" s="9">
        <v>4000</v>
      </c>
      <c r="H413" s="9">
        <v>0</v>
      </c>
      <c r="I413" s="9">
        <v>4000</v>
      </c>
      <c r="J413" s="9">
        <v>0</v>
      </c>
      <c r="K413" s="9">
        <v>4000</v>
      </c>
      <c r="L413" s="9">
        <v>0</v>
      </c>
      <c r="M413" s="9">
        <v>4000</v>
      </c>
      <c r="N413" s="9">
        <v>0</v>
      </c>
      <c r="O413" s="9">
        <v>4000</v>
      </c>
      <c r="P413" s="9">
        <v>0</v>
      </c>
      <c r="Q413" s="9">
        <v>4000</v>
      </c>
      <c r="R413" s="9">
        <v>0</v>
      </c>
      <c r="S413" s="9">
        <v>4000</v>
      </c>
      <c r="T413" s="9"/>
      <c r="U413" s="4">
        <f t="shared" si="14"/>
        <v>0</v>
      </c>
      <c r="W413" s="4">
        <v>6000</v>
      </c>
      <c r="X413" s="4">
        <v>6390</v>
      </c>
      <c r="Y413" s="4">
        <v>6000</v>
      </c>
      <c r="Z413" s="4">
        <v>1130</v>
      </c>
      <c r="AA413" s="4">
        <v>1000</v>
      </c>
      <c r="AB413" s="4">
        <v>901</v>
      </c>
      <c r="AC413" s="4">
        <v>1000</v>
      </c>
      <c r="AD413" s="4">
        <v>697</v>
      </c>
      <c r="AE413" s="4">
        <v>3000</v>
      </c>
      <c r="AF413" s="4">
        <v>765</v>
      </c>
      <c r="AG413" s="4">
        <v>3000</v>
      </c>
      <c r="AH413" s="4">
        <v>734</v>
      </c>
      <c r="AI413" s="7">
        <f t="shared" si="13"/>
        <v>58617</v>
      </c>
      <c r="AJ413" s="7"/>
    </row>
    <row r="414" spans="1:36" x14ac:dyDescent="0.3">
      <c r="A414" s="12" t="s">
        <v>1044</v>
      </c>
      <c r="B414" s="12" t="s">
        <v>863</v>
      </c>
      <c r="C414" s="12" t="s">
        <v>5</v>
      </c>
      <c r="D414" s="13">
        <v>9304400</v>
      </c>
      <c r="E414" s="12" t="s">
        <v>465</v>
      </c>
      <c r="F414" s="12" t="s">
        <v>3</v>
      </c>
      <c r="G414" s="9">
        <v>6000</v>
      </c>
      <c r="H414" s="9">
        <v>15833.333333333334</v>
      </c>
      <c r="I414" s="9">
        <v>6000</v>
      </c>
      <c r="J414" s="9">
        <v>0</v>
      </c>
      <c r="K414" s="9">
        <v>8000</v>
      </c>
      <c r="L414" s="9">
        <v>15833.333333333334</v>
      </c>
      <c r="M414" s="9">
        <v>8000</v>
      </c>
      <c r="N414" s="9">
        <v>7916.666666666667</v>
      </c>
      <c r="O414" s="9">
        <v>6000</v>
      </c>
      <c r="P414" s="9">
        <v>15833.333333333334</v>
      </c>
      <c r="Q414" s="9">
        <v>6000</v>
      </c>
      <c r="R414" s="9">
        <v>0</v>
      </c>
      <c r="S414" s="9">
        <v>6666.666666666667</v>
      </c>
      <c r="T414" s="9"/>
      <c r="U414" s="4">
        <f t="shared" si="14"/>
        <v>55416.666666666672</v>
      </c>
      <c r="W414" s="4">
        <v>5000</v>
      </c>
      <c r="X414" s="4">
        <v>0</v>
      </c>
      <c r="Y414" s="4">
        <v>8000</v>
      </c>
      <c r="Z414" s="4">
        <v>0</v>
      </c>
      <c r="AA414" s="4">
        <v>11000</v>
      </c>
      <c r="AB414" s="4">
        <v>0</v>
      </c>
      <c r="AC414" s="4">
        <v>5000</v>
      </c>
      <c r="AD414" s="4">
        <v>2936</v>
      </c>
      <c r="AE414" s="4">
        <v>8000</v>
      </c>
      <c r="AF414" s="4">
        <v>8832</v>
      </c>
      <c r="AG414" s="4">
        <v>8000</v>
      </c>
      <c r="AH414" s="4">
        <v>2122</v>
      </c>
      <c r="AI414" s="7">
        <f t="shared" si="13"/>
        <v>216390</v>
      </c>
      <c r="AJ414" s="7"/>
    </row>
    <row r="415" spans="1:36" x14ac:dyDescent="0.3">
      <c r="A415" s="12" t="s">
        <v>1044</v>
      </c>
      <c r="B415" s="12" t="s">
        <v>863</v>
      </c>
      <c r="C415" s="12" t="s">
        <v>5</v>
      </c>
      <c r="D415" s="13">
        <v>9304418</v>
      </c>
      <c r="E415" s="12" t="s">
        <v>466</v>
      </c>
      <c r="F415" s="12" t="s">
        <v>3</v>
      </c>
      <c r="G415" s="9">
        <v>8000</v>
      </c>
      <c r="H415" s="9">
        <v>0</v>
      </c>
      <c r="I415" s="9">
        <v>10000</v>
      </c>
      <c r="J415" s="9">
        <v>0</v>
      </c>
      <c r="K415" s="9">
        <v>13000</v>
      </c>
      <c r="L415" s="9">
        <v>0</v>
      </c>
      <c r="M415" s="9">
        <v>14000</v>
      </c>
      <c r="N415" s="9">
        <v>0</v>
      </c>
      <c r="O415" s="9">
        <v>15000</v>
      </c>
      <c r="P415" s="9">
        <v>0</v>
      </c>
      <c r="Q415" s="9">
        <v>16000</v>
      </c>
      <c r="R415" s="9">
        <v>35280</v>
      </c>
      <c r="S415" s="9">
        <v>15000</v>
      </c>
      <c r="T415" s="9"/>
      <c r="U415" s="4">
        <f t="shared" si="14"/>
        <v>35280</v>
      </c>
      <c r="W415" s="4">
        <v>7000</v>
      </c>
      <c r="X415" s="4">
        <v>3500</v>
      </c>
      <c r="Y415" s="4">
        <v>11000</v>
      </c>
      <c r="Z415" s="4">
        <v>7920</v>
      </c>
      <c r="AA415" s="4">
        <v>9000</v>
      </c>
      <c r="AB415" s="4">
        <v>8520</v>
      </c>
      <c r="AC415" s="4">
        <v>8000</v>
      </c>
      <c r="AD415" s="4">
        <v>7567</v>
      </c>
      <c r="AE415" s="4">
        <v>8000</v>
      </c>
      <c r="AF415" s="4">
        <v>6282</v>
      </c>
      <c r="AG415" s="4">
        <v>8000</v>
      </c>
      <c r="AH415" s="4">
        <v>9942</v>
      </c>
      <c r="AI415" s="7">
        <f t="shared" si="13"/>
        <v>256291</v>
      </c>
      <c r="AJ415" s="7"/>
    </row>
    <row r="416" spans="1:36" x14ac:dyDescent="0.3">
      <c r="A416" s="12" t="s">
        <v>1044</v>
      </c>
      <c r="B416" s="12" t="s">
        <v>863</v>
      </c>
      <c r="C416" s="12" t="s">
        <v>5</v>
      </c>
      <c r="D416" s="13">
        <v>9304677</v>
      </c>
      <c r="E416" s="12" t="s">
        <v>467</v>
      </c>
      <c r="F416" s="12" t="s">
        <v>3</v>
      </c>
      <c r="G416" s="9">
        <v>0</v>
      </c>
      <c r="H416" s="9">
        <v>6532.6799999999994</v>
      </c>
      <c r="I416" s="9">
        <v>0</v>
      </c>
      <c r="J416" s="9">
        <v>0</v>
      </c>
      <c r="K416" s="9">
        <v>0</v>
      </c>
      <c r="L416" s="9">
        <v>0</v>
      </c>
      <c r="M416" s="9">
        <v>0</v>
      </c>
      <c r="N416" s="9">
        <v>6532.6799999999994</v>
      </c>
      <c r="O416" s="9">
        <v>0</v>
      </c>
      <c r="P416" s="9">
        <v>0</v>
      </c>
      <c r="Q416" s="9">
        <v>0</v>
      </c>
      <c r="R416" s="9">
        <v>0</v>
      </c>
      <c r="S416" s="9">
        <v>0</v>
      </c>
      <c r="T416" s="9"/>
      <c r="U416" s="4">
        <f t="shared" si="14"/>
        <v>13065.359999999999</v>
      </c>
      <c r="W416" s="4">
        <v>1808</v>
      </c>
      <c r="X416" s="4">
        <v>2360</v>
      </c>
      <c r="Y416" s="4">
        <v>2023</v>
      </c>
      <c r="Z416" s="4">
        <v>2172</v>
      </c>
      <c r="AA416" s="4">
        <v>2154</v>
      </c>
      <c r="AB416" s="4">
        <v>1427</v>
      </c>
      <c r="AC416" s="4">
        <v>2044</v>
      </c>
      <c r="AD416" s="4">
        <v>2844</v>
      </c>
      <c r="AE416" s="4">
        <v>2282</v>
      </c>
      <c r="AF416" s="4">
        <v>2707</v>
      </c>
      <c r="AG416" s="4">
        <v>2439</v>
      </c>
      <c r="AH416" s="4">
        <v>3771</v>
      </c>
      <c r="AI416" s="7">
        <f t="shared" si="13"/>
        <v>54161.72</v>
      </c>
      <c r="AJ416" s="7"/>
    </row>
    <row r="417" spans="1:36" x14ac:dyDescent="0.3">
      <c r="A417" s="12" t="s">
        <v>1044</v>
      </c>
      <c r="B417" s="12" t="s">
        <v>863</v>
      </c>
      <c r="C417" s="12" t="s">
        <v>5</v>
      </c>
      <c r="D417" s="13">
        <v>9304851</v>
      </c>
      <c r="E417" s="12" t="s">
        <v>468</v>
      </c>
      <c r="F417" s="12" t="s">
        <v>3</v>
      </c>
      <c r="G417" s="9">
        <v>10000</v>
      </c>
      <c r="H417" s="9">
        <v>0</v>
      </c>
      <c r="I417" s="9">
        <v>9000</v>
      </c>
      <c r="J417" s="9">
        <v>21168</v>
      </c>
      <c r="K417" s="9">
        <v>9000</v>
      </c>
      <c r="L417" s="9">
        <v>23520</v>
      </c>
      <c r="M417" s="9">
        <v>8500</v>
      </c>
      <c r="N417" s="9">
        <v>0</v>
      </c>
      <c r="O417" s="9">
        <v>8000</v>
      </c>
      <c r="P417" s="9">
        <v>0</v>
      </c>
      <c r="Q417" s="9">
        <v>7500</v>
      </c>
      <c r="R417" s="9">
        <v>21168</v>
      </c>
      <c r="S417" s="9">
        <v>8000</v>
      </c>
      <c r="T417" s="9"/>
      <c r="U417" s="4">
        <f t="shared" si="14"/>
        <v>65856</v>
      </c>
      <c r="W417" s="4">
        <v>5000</v>
      </c>
      <c r="X417" s="4">
        <v>5004</v>
      </c>
      <c r="Y417" s="4">
        <v>4500</v>
      </c>
      <c r="Z417" s="4">
        <v>6845</v>
      </c>
      <c r="AA417" s="4">
        <v>5000</v>
      </c>
      <c r="AB417" s="4">
        <v>5070</v>
      </c>
      <c r="AC417" s="4">
        <v>5500</v>
      </c>
      <c r="AD417" s="4">
        <v>7134</v>
      </c>
      <c r="AE417" s="4">
        <v>6500</v>
      </c>
      <c r="AF417" s="4">
        <v>6909</v>
      </c>
      <c r="AG417" s="4">
        <v>6000</v>
      </c>
      <c r="AH417" s="4">
        <v>7979</v>
      </c>
      <c r="AI417" s="7">
        <f t="shared" si="13"/>
        <v>263153</v>
      </c>
      <c r="AJ417" s="7"/>
    </row>
    <row r="418" spans="1:36" x14ac:dyDescent="0.3">
      <c r="A418" s="12" t="s">
        <v>1044</v>
      </c>
      <c r="B418" s="12" t="s">
        <v>863</v>
      </c>
      <c r="C418" s="12" t="s">
        <v>5</v>
      </c>
      <c r="D418" s="13">
        <v>9304919</v>
      </c>
      <c r="E418" s="12" t="s">
        <v>469</v>
      </c>
      <c r="F418" s="12" t="s">
        <v>3</v>
      </c>
      <c r="G418" s="9">
        <v>1600</v>
      </c>
      <c r="H418" s="9">
        <v>0</v>
      </c>
      <c r="I418" s="9">
        <v>1600</v>
      </c>
      <c r="J418" s="9">
        <v>0</v>
      </c>
      <c r="K418" s="9">
        <v>1600</v>
      </c>
      <c r="L418" s="9">
        <v>0</v>
      </c>
      <c r="M418" s="9">
        <v>1600</v>
      </c>
      <c r="N418" s="9">
        <v>0</v>
      </c>
      <c r="O418" s="9">
        <v>1600</v>
      </c>
      <c r="P418" s="9">
        <v>0</v>
      </c>
      <c r="Q418" s="9">
        <v>1600</v>
      </c>
      <c r="R418" s="9">
        <v>0</v>
      </c>
      <c r="S418" s="9">
        <v>1600</v>
      </c>
      <c r="T418" s="9"/>
      <c r="U418" s="4">
        <f t="shared" si="14"/>
        <v>0</v>
      </c>
      <c r="W418" s="4">
        <v>1200</v>
      </c>
      <c r="X418" s="4">
        <v>1530</v>
      </c>
      <c r="Y418" s="4">
        <v>1500</v>
      </c>
      <c r="Z418" s="4">
        <v>2304</v>
      </c>
      <c r="AA418" s="4">
        <v>2000</v>
      </c>
      <c r="AB418" s="4">
        <v>1386</v>
      </c>
      <c r="AC418" s="4">
        <v>2000</v>
      </c>
      <c r="AD418" s="4">
        <v>1656</v>
      </c>
      <c r="AE418" s="4">
        <v>2000</v>
      </c>
      <c r="AF418" s="4">
        <v>1692</v>
      </c>
      <c r="AG418" s="4">
        <v>1800</v>
      </c>
      <c r="AH418" s="4">
        <v>1620</v>
      </c>
      <c r="AI418" s="7">
        <f t="shared" si="13"/>
        <v>31888</v>
      </c>
      <c r="AJ418" s="7"/>
    </row>
    <row r="419" spans="1:36" x14ac:dyDescent="0.3">
      <c r="A419" s="12" t="s">
        <v>1042</v>
      </c>
      <c r="B419" s="12" t="str">
        <f>INDEX([1]오송!$C:$C,MATCH(D419,[1]오송!$D:$D,0))</f>
        <v>오송</v>
      </c>
      <c r="C419" s="12" t="s">
        <v>5</v>
      </c>
      <c r="D419" s="13">
        <v>9304996</v>
      </c>
      <c r="E419" s="12" t="s">
        <v>257</v>
      </c>
      <c r="F419" s="12" t="s">
        <v>3</v>
      </c>
      <c r="G419" s="9">
        <v>2670</v>
      </c>
      <c r="H419" s="9">
        <v>5880</v>
      </c>
      <c r="I419" s="9">
        <v>2640</v>
      </c>
      <c r="J419" s="9">
        <v>4998</v>
      </c>
      <c r="K419" s="9">
        <v>2650</v>
      </c>
      <c r="L419" s="9">
        <v>1617.0000000000002</v>
      </c>
      <c r="M419" s="9">
        <v>2620</v>
      </c>
      <c r="N419" s="9">
        <v>1764</v>
      </c>
      <c r="O419" s="9">
        <v>2610</v>
      </c>
      <c r="P419" s="9">
        <v>2940</v>
      </c>
      <c r="Q419" s="9">
        <v>2650</v>
      </c>
      <c r="R419" s="9">
        <v>2058</v>
      </c>
      <c r="S419" s="9">
        <v>2626.6666666666665</v>
      </c>
      <c r="T419" s="9"/>
      <c r="U419" s="4">
        <f t="shared" si="14"/>
        <v>19257</v>
      </c>
      <c r="W419" s="4">
        <v>2800</v>
      </c>
      <c r="X419" s="4">
        <v>2611</v>
      </c>
      <c r="Y419" s="4">
        <v>2800</v>
      </c>
      <c r="Z419" s="4">
        <v>2769</v>
      </c>
      <c r="AA419" s="4">
        <v>2800</v>
      </c>
      <c r="AB419" s="4">
        <v>2081</v>
      </c>
      <c r="AC419" s="4">
        <v>2448</v>
      </c>
      <c r="AD419" s="4">
        <v>3493</v>
      </c>
      <c r="AE419" s="4">
        <v>2697</v>
      </c>
      <c r="AF419" s="4">
        <v>2391</v>
      </c>
      <c r="AG419" s="4">
        <v>2670</v>
      </c>
      <c r="AH419" s="4">
        <v>2532</v>
      </c>
      <c r="AI419" s="7">
        <f t="shared" si="13"/>
        <v>89072.666666666657</v>
      </c>
      <c r="AJ419" s="7"/>
    </row>
    <row r="420" spans="1:36" x14ac:dyDescent="0.3">
      <c r="A420" s="12" t="s">
        <v>1042</v>
      </c>
      <c r="B420" s="12" t="str">
        <f>INDEX([1]오송!$C:$C,MATCH(D420,[1]오송!$D:$D,0))</f>
        <v>오송</v>
      </c>
      <c r="C420" s="12" t="s">
        <v>5</v>
      </c>
      <c r="D420" s="13">
        <v>9304997</v>
      </c>
      <c r="E420" s="12" t="s">
        <v>258</v>
      </c>
      <c r="F420" s="12" t="s">
        <v>3</v>
      </c>
      <c r="G420" s="9">
        <v>21500</v>
      </c>
      <c r="H420" s="9">
        <v>41160</v>
      </c>
      <c r="I420" s="9">
        <v>21000</v>
      </c>
      <c r="J420" s="9">
        <v>8820</v>
      </c>
      <c r="K420" s="9">
        <v>20600</v>
      </c>
      <c r="L420" s="9">
        <v>13230</v>
      </c>
      <c r="M420" s="9">
        <v>20100</v>
      </c>
      <c r="N420" s="9">
        <v>11760</v>
      </c>
      <c r="O420" s="9">
        <v>19600</v>
      </c>
      <c r="P420" s="9">
        <v>29400</v>
      </c>
      <c r="Q420" s="9">
        <v>21000</v>
      </c>
      <c r="R420" s="9">
        <v>8820</v>
      </c>
      <c r="S420" s="9">
        <v>20233.333333333332</v>
      </c>
      <c r="T420" s="9"/>
      <c r="U420" s="4">
        <f t="shared" si="14"/>
        <v>113190</v>
      </c>
      <c r="W420" s="4">
        <v>24000</v>
      </c>
      <c r="X420" s="4">
        <v>24359</v>
      </c>
      <c r="Y420" s="4">
        <v>25000</v>
      </c>
      <c r="Z420" s="4">
        <v>25247</v>
      </c>
      <c r="AA420" s="4">
        <v>26000</v>
      </c>
      <c r="AB420" s="4">
        <v>18259</v>
      </c>
      <c r="AC420" s="4">
        <v>20924</v>
      </c>
      <c r="AD420" s="4">
        <v>27004</v>
      </c>
      <c r="AE420" s="4">
        <v>22161</v>
      </c>
      <c r="AF420" s="4">
        <v>23049</v>
      </c>
      <c r="AG420" s="4">
        <v>22000</v>
      </c>
      <c r="AH420" s="4">
        <v>22475</v>
      </c>
      <c r="AI420" s="7">
        <f t="shared" si="13"/>
        <v>650891.33333333337</v>
      </c>
      <c r="AJ420" s="7"/>
    </row>
    <row r="421" spans="1:36" x14ac:dyDescent="0.3">
      <c r="A421" s="12" t="s">
        <v>1042</v>
      </c>
      <c r="B421" s="12" t="s">
        <v>38</v>
      </c>
      <c r="C421" s="12" t="s">
        <v>5</v>
      </c>
      <c r="D421" s="13">
        <v>9305077</v>
      </c>
      <c r="E421" s="12" t="s">
        <v>470</v>
      </c>
      <c r="F421" s="12" t="s">
        <v>3</v>
      </c>
      <c r="G421" s="9">
        <v>0</v>
      </c>
      <c r="H421" s="9">
        <v>0</v>
      </c>
      <c r="I421" s="9">
        <v>0</v>
      </c>
      <c r="J421" s="9">
        <v>0</v>
      </c>
      <c r="K421" s="9">
        <v>0</v>
      </c>
      <c r="L421" s="9">
        <v>0</v>
      </c>
      <c r="M421" s="9">
        <v>0</v>
      </c>
      <c r="N421" s="9">
        <v>0</v>
      </c>
      <c r="O421" s="9">
        <v>0</v>
      </c>
      <c r="P421" s="9">
        <v>0</v>
      </c>
      <c r="Q421" s="9">
        <v>0</v>
      </c>
      <c r="R421" s="9">
        <v>0</v>
      </c>
      <c r="S421" s="9">
        <v>0</v>
      </c>
      <c r="T421" s="9"/>
      <c r="U421" s="4">
        <f t="shared" si="14"/>
        <v>0</v>
      </c>
      <c r="W421" s="4">
        <v>0</v>
      </c>
      <c r="X421" s="4">
        <v>8372</v>
      </c>
      <c r="Y421" s="4">
        <v>2791</v>
      </c>
      <c r="Z421" s="4">
        <v>0</v>
      </c>
      <c r="AA421" s="4">
        <v>2791</v>
      </c>
      <c r="AB421" s="4">
        <v>0</v>
      </c>
      <c r="AC421" s="4">
        <v>2791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7">
        <f t="shared" si="13"/>
        <v>16745</v>
      </c>
      <c r="AJ421" s="7"/>
    </row>
    <row r="422" spans="1:36" x14ac:dyDescent="0.3">
      <c r="A422" s="12" t="s">
        <v>1044</v>
      </c>
      <c r="B422" s="12" t="s">
        <v>863</v>
      </c>
      <c r="C422" s="12" t="s">
        <v>5</v>
      </c>
      <c r="D422" s="13">
        <v>9305110</v>
      </c>
      <c r="E422" s="12" t="s">
        <v>471</v>
      </c>
      <c r="F422" s="12" t="s">
        <v>3</v>
      </c>
      <c r="G422" s="9">
        <v>500</v>
      </c>
      <c r="H422" s="9">
        <v>0</v>
      </c>
      <c r="I422" s="9">
        <v>0</v>
      </c>
      <c r="J422" s="9">
        <v>0</v>
      </c>
      <c r="K422" s="9">
        <v>0</v>
      </c>
      <c r="L422" s="9">
        <v>0</v>
      </c>
      <c r="M422" s="9">
        <v>0</v>
      </c>
      <c r="N422" s="9">
        <v>0</v>
      </c>
      <c r="O422" s="9">
        <v>0</v>
      </c>
      <c r="P422" s="9">
        <v>0</v>
      </c>
      <c r="Q422" s="9">
        <v>0</v>
      </c>
      <c r="R422" s="9">
        <v>0</v>
      </c>
      <c r="S422" s="9">
        <v>0</v>
      </c>
      <c r="T422" s="9"/>
      <c r="U422" s="4">
        <f t="shared" si="14"/>
        <v>0</v>
      </c>
      <c r="W422" s="4">
        <v>87000</v>
      </c>
      <c r="X422" s="4">
        <v>4927</v>
      </c>
      <c r="Y422" s="4">
        <v>25000</v>
      </c>
      <c r="Z422" s="4">
        <v>2340</v>
      </c>
      <c r="AA422" s="4">
        <v>35000</v>
      </c>
      <c r="AB422" s="4">
        <v>1659</v>
      </c>
      <c r="AC422" s="4">
        <v>2500</v>
      </c>
      <c r="AD422" s="4">
        <v>516</v>
      </c>
      <c r="AE422" s="4">
        <v>4500</v>
      </c>
      <c r="AF422" s="4">
        <v>533</v>
      </c>
      <c r="AG422" s="4">
        <v>600</v>
      </c>
      <c r="AH422" s="4">
        <v>270</v>
      </c>
      <c r="AI422" s="7">
        <f t="shared" si="13"/>
        <v>165345</v>
      </c>
      <c r="AJ422" s="7"/>
    </row>
    <row r="423" spans="1:36" x14ac:dyDescent="0.3">
      <c r="A423" s="12" t="s">
        <v>1044</v>
      </c>
      <c r="B423" s="12" t="s">
        <v>863</v>
      </c>
      <c r="C423" s="12" t="s">
        <v>5</v>
      </c>
      <c r="D423" s="13">
        <v>9305166</v>
      </c>
      <c r="E423" s="12" t="s">
        <v>472</v>
      </c>
      <c r="F423" s="12" t="s">
        <v>3</v>
      </c>
      <c r="G423" s="9">
        <v>17249</v>
      </c>
      <c r="H423" s="9">
        <v>0</v>
      </c>
      <c r="I423" s="9">
        <v>16893</v>
      </c>
      <c r="J423" s="9">
        <v>0</v>
      </c>
      <c r="K423" s="9">
        <v>16537</v>
      </c>
      <c r="L423" s="9">
        <v>0</v>
      </c>
      <c r="M423" s="9">
        <v>16182</v>
      </c>
      <c r="N423" s="9">
        <v>59500</v>
      </c>
      <c r="O423" s="9">
        <v>15826</v>
      </c>
      <c r="P423" s="9">
        <v>0</v>
      </c>
      <c r="Q423" s="9">
        <v>15470</v>
      </c>
      <c r="R423" s="9">
        <v>0</v>
      </c>
      <c r="S423" s="9">
        <v>15826</v>
      </c>
      <c r="T423" s="9"/>
      <c r="U423" s="4">
        <f t="shared" si="14"/>
        <v>59500</v>
      </c>
      <c r="W423" s="4">
        <v>20934</v>
      </c>
      <c r="X423" s="4">
        <v>18468</v>
      </c>
      <c r="Y423" s="4">
        <v>19031</v>
      </c>
      <c r="Z423" s="4">
        <v>20493</v>
      </c>
      <c r="AA423" s="4">
        <v>18440</v>
      </c>
      <c r="AB423" s="4">
        <v>14898</v>
      </c>
      <c r="AC423" s="4">
        <v>16241</v>
      </c>
      <c r="AD423" s="4">
        <v>20309</v>
      </c>
      <c r="AE423" s="4">
        <v>16716</v>
      </c>
      <c r="AF423" s="4">
        <v>19734</v>
      </c>
      <c r="AG423" s="4">
        <v>17193</v>
      </c>
      <c r="AH423" s="4">
        <v>17311</v>
      </c>
      <c r="AI423" s="7">
        <f t="shared" si="13"/>
        <v>452751</v>
      </c>
      <c r="AJ423" s="7"/>
    </row>
    <row r="424" spans="1:36" x14ac:dyDescent="0.3">
      <c r="A424" s="12" t="s">
        <v>1042</v>
      </c>
      <c r="B424" s="12" t="str">
        <f>INDEX([1]오송!$C:$C,MATCH(D424,[1]오송!$D:$D,0))</f>
        <v>오송</v>
      </c>
      <c r="C424" s="12" t="s">
        <v>5</v>
      </c>
      <c r="D424" s="13">
        <v>9305367</v>
      </c>
      <c r="E424" s="12" t="s">
        <v>259</v>
      </c>
      <c r="F424" s="12" t="s">
        <v>3</v>
      </c>
      <c r="G424" s="9">
        <v>12250</v>
      </c>
      <c r="H424" s="9">
        <v>37736.380000000005</v>
      </c>
      <c r="I424" s="9">
        <v>12220</v>
      </c>
      <c r="J424" s="9">
        <v>12399.69</v>
      </c>
      <c r="K424" s="9">
        <v>12180</v>
      </c>
      <c r="L424" s="9">
        <v>24799.38</v>
      </c>
      <c r="M424" s="9">
        <v>12140</v>
      </c>
      <c r="N424" s="9">
        <v>24799.38</v>
      </c>
      <c r="O424" s="9">
        <v>12100</v>
      </c>
      <c r="P424" s="9">
        <v>12399.69</v>
      </c>
      <c r="Q424" s="9">
        <v>12200</v>
      </c>
      <c r="R424" s="9">
        <v>0</v>
      </c>
      <c r="S424" s="9">
        <v>12146.666666666666</v>
      </c>
      <c r="T424" s="9"/>
      <c r="U424" s="4">
        <f t="shared" si="14"/>
        <v>112134.52</v>
      </c>
      <c r="W424" s="4">
        <v>13000</v>
      </c>
      <c r="X424" s="4">
        <v>13007</v>
      </c>
      <c r="Y424" s="4">
        <v>12500</v>
      </c>
      <c r="Z424" s="4">
        <v>11702</v>
      </c>
      <c r="AA424" s="4">
        <v>13000</v>
      </c>
      <c r="AB424" s="4">
        <v>9861</v>
      </c>
      <c r="AC424" s="4">
        <v>11442</v>
      </c>
      <c r="AD424" s="4">
        <v>12938</v>
      </c>
      <c r="AE424" s="4">
        <v>11394</v>
      </c>
      <c r="AF424" s="4">
        <v>14121</v>
      </c>
      <c r="AG424" s="4">
        <v>12300</v>
      </c>
      <c r="AH424" s="4">
        <v>10398</v>
      </c>
      <c r="AI424" s="7">
        <f t="shared" si="13"/>
        <v>455168.70666666667</v>
      </c>
      <c r="AJ424" s="7"/>
    </row>
    <row r="425" spans="1:36" x14ac:dyDescent="0.3">
      <c r="A425" s="12" t="s">
        <v>1044</v>
      </c>
      <c r="B425" s="12" t="s">
        <v>863</v>
      </c>
      <c r="C425" s="12" t="s">
        <v>5</v>
      </c>
      <c r="D425" s="13">
        <v>9305529</v>
      </c>
      <c r="E425" s="12" t="s">
        <v>473</v>
      </c>
      <c r="F425" s="12" t="s">
        <v>3</v>
      </c>
      <c r="G425" s="9">
        <v>212</v>
      </c>
      <c r="H425" s="9">
        <v>0</v>
      </c>
      <c r="I425" s="9">
        <v>210</v>
      </c>
      <c r="J425" s="9">
        <v>0</v>
      </c>
      <c r="K425" s="9">
        <v>209</v>
      </c>
      <c r="L425" s="9">
        <v>0</v>
      </c>
      <c r="M425" s="9">
        <v>208</v>
      </c>
      <c r="N425" s="9">
        <v>0</v>
      </c>
      <c r="O425" s="9">
        <v>207</v>
      </c>
      <c r="P425" s="9">
        <v>0</v>
      </c>
      <c r="Q425" s="9">
        <v>205</v>
      </c>
      <c r="R425" s="9">
        <v>0</v>
      </c>
      <c r="S425" s="9">
        <v>206.66666666666666</v>
      </c>
      <c r="T425" s="9"/>
      <c r="U425" s="4">
        <f t="shared" si="14"/>
        <v>0</v>
      </c>
      <c r="W425" s="4">
        <v>231</v>
      </c>
      <c r="X425" s="4">
        <v>217</v>
      </c>
      <c r="Y425" s="4">
        <v>246</v>
      </c>
      <c r="Z425" s="4">
        <v>233</v>
      </c>
      <c r="AA425" s="4">
        <v>248</v>
      </c>
      <c r="AB425" s="4">
        <v>256</v>
      </c>
      <c r="AC425" s="4">
        <v>256</v>
      </c>
      <c r="AD425" s="4">
        <v>195</v>
      </c>
      <c r="AE425" s="4">
        <v>236</v>
      </c>
      <c r="AF425" s="4">
        <v>169</v>
      </c>
      <c r="AG425" s="4">
        <v>216</v>
      </c>
      <c r="AH425" s="4">
        <v>222</v>
      </c>
      <c r="AI425" s="7">
        <f t="shared" si="13"/>
        <v>4182.666666666667</v>
      </c>
      <c r="AJ425" s="7"/>
    </row>
    <row r="426" spans="1:36" x14ac:dyDescent="0.3">
      <c r="A426" s="12" t="s">
        <v>1044</v>
      </c>
      <c r="B426" s="12" t="s">
        <v>863</v>
      </c>
      <c r="C426" s="12" t="s">
        <v>5</v>
      </c>
      <c r="D426" s="13">
        <v>9305868</v>
      </c>
      <c r="E426" s="12" t="s">
        <v>474</v>
      </c>
      <c r="F426" s="12" t="s">
        <v>3</v>
      </c>
      <c r="G426" s="9">
        <v>10000</v>
      </c>
      <c r="H426" s="9">
        <v>12250</v>
      </c>
      <c r="I426" s="9">
        <v>10000</v>
      </c>
      <c r="J426" s="9">
        <v>16333.333333333334</v>
      </c>
      <c r="K426" s="9">
        <v>10000</v>
      </c>
      <c r="L426" s="9">
        <v>12250</v>
      </c>
      <c r="M426" s="9">
        <v>8500</v>
      </c>
      <c r="N426" s="9">
        <v>20416.666666666668</v>
      </c>
      <c r="O426" s="9">
        <v>8500</v>
      </c>
      <c r="P426" s="9">
        <v>12250</v>
      </c>
      <c r="Q426" s="9">
        <v>8500</v>
      </c>
      <c r="R426" s="9">
        <v>12250</v>
      </c>
      <c r="S426" s="9">
        <v>8500</v>
      </c>
      <c r="T426" s="9"/>
      <c r="U426" s="4">
        <f t="shared" si="14"/>
        <v>85750</v>
      </c>
      <c r="W426" s="4">
        <v>6500</v>
      </c>
      <c r="X426" s="4">
        <v>5561</v>
      </c>
      <c r="Y426" s="4">
        <v>6500</v>
      </c>
      <c r="Z426" s="4">
        <v>6881</v>
      </c>
      <c r="AA426" s="4">
        <v>6500</v>
      </c>
      <c r="AB426" s="4">
        <v>9524</v>
      </c>
      <c r="AC426" s="4">
        <v>8000</v>
      </c>
      <c r="AD426" s="4">
        <v>9018</v>
      </c>
      <c r="AE426" s="4">
        <v>9890</v>
      </c>
      <c r="AF426" s="4">
        <v>9890</v>
      </c>
      <c r="AG426" s="4">
        <v>10000</v>
      </c>
      <c r="AH426" s="4">
        <v>8076</v>
      </c>
      <c r="AI426" s="7">
        <f t="shared" si="13"/>
        <v>331840</v>
      </c>
      <c r="AJ426" s="7"/>
    </row>
    <row r="427" spans="1:36" x14ac:dyDescent="0.3">
      <c r="A427" s="12" t="s">
        <v>1042</v>
      </c>
      <c r="B427" s="12" t="str">
        <f>INDEX([1]오송!$C:$C,MATCH(D427,[1]오송!$D:$D,0))</f>
        <v>오송</v>
      </c>
      <c r="C427" s="12" t="s">
        <v>5</v>
      </c>
      <c r="D427" s="13">
        <v>9305914</v>
      </c>
      <c r="E427" s="12" t="s">
        <v>260</v>
      </c>
      <c r="F427" s="12" t="s">
        <v>3</v>
      </c>
      <c r="G427" s="9">
        <v>28</v>
      </c>
      <c r="H427" s="9">
        <v>0</v>
      </c>
      <c r="I427" s="9">
        <v>28</v>
      </c>
      <c r="J427" s="9">
        <v>0</v>
      </c>
      <c r="K427" s="9">
        <v>28</v>
      </c>
      <c r="L427" s="9">
        <v>0</v>
      </c>
      <c r="M427" s="9">
        <v>28</v>
      </c>
      <c r="N427" s="9">
        <v>0</v>
      </c>
      <c r="O427" s="9">
        <v>28</v>
      </c>
      <c r="P427" s="9">
        <v>0</v>
      </c>
      <c r="Q427" s="9">
        <v>28</v>
      </c>
      <c r="R427" s="9">
        <v>0</v>
      </c>
      <c r="S427" s="9">
        <v>28</v>
      </c>
      <c r="T427" s="9"/>
      <c r="U427" s="4">
        <f t="shared" si="14"/>
        <v>0</v>
      </c>
      <c r="W427" s="4">
        <v>42</v>
      </c>
      <c r="X427" s="4">
        <v>10</v>
      </c>
      <c r="Y427" s="4">
        <v>41</v>
      </c>
      <c r="Z427" s="4">
        <v>30</v>
      </c>
      <c r="AA427" s="4">
        <v>36</v>
      </c>
      <c r="AB427" s="4">
        <v>56</v>
      </c>
      <c r="AC427" s="4">
        <v>37</v>
      </c>
      <c r="AD427" s="4">
        <v>41</v>
      </c>
      <c r="AE427" s="4">
        <v>42</v>
      </c>
      <c r="AF427" s="4">
        <v>15</v>
      </c>
      <c r="AG427" s="4">
        <v>37</v>
      </c>
      <c r="AH427" s="4">
        <v>14</v>
      </c>
      <c r="AI427" s="7">
        <f t="shared" si="13"/>
        <v>597</v>
      </c>
      <c r="AJ427" s="7"/>
    </row>
    <row r="428" spans="1:36" x14ac:dyDescent="0.3">
      <c r="A428" s="12" t="s">
        <v>1042</v>
      </c>
      <c r="B428" s="12" t="str">
        <f>INDEX([1]오송!$C:$C,MATCH(D428,[1]오송!$D:$D,0))</f>
        <v>오송</v>
      </c>
      <c r="C428" s="12" t="s">
        <v>5</v>
      </c>
      <c r="D428" s="13">
        <v>9305915</v>
      </c>
      <c r="E428" s="12" t="s">
        <v>261</v>
      </c>
      <c r="F428" s="12" t="s">
        <v>3</v>
      </c>
      <c r="G428" s="9">
        <v>76</v>
      </c>
      <c r="H428" s="9">
        <v>0</v>
      </c>
      <c r="I428" s="9">
        <v>76</v>
      </c>
      <c r="J428" s="9">
        <v>0</v>
      </c>
      <c r="K428" s="9">
        <v>76</v>
      </c>
      <c r="L428" s="9">
        <v>0</v>
      </c>
      <c r="M428" s="9">
        <v>76</v>
      </c>
      <c r="N428" s="9">
        <v>0</v>
      </c>
      <c r="O428" s="9">
        <v>76</v>
      </c>
      <c r="P428" s="9">
        <v>0</v>
      </c>
      <c r="Q428" s="9">
        <v>76</v>
      </c>
      <c r="R428" s="9">
        <v>0</v>
      </c>
      <c r="S428" s="9">
        <v>76</v>
      </c>
      <c r="T428" s="9"/>
      <c r="U428" s="4">
        <f t="shared" si="14"/>
        <v>0</v>
      </c>
      <c r="W428" s="4">
        <v>101</v>
      </c>
      <c r="X428" s="4">
        <v>77</v>
      </c>
      <c r="Y428" s="4">
        <v>91</v>
      </c>
      <c r="Z428" s="4">
        <v>106</v>
      </c>
      <c r="AA428" s="4">
        <v>98</v>
      </c>
      <c r="AB428" s="4">
        <v>104</v>
      </c>
      <c r="AC428" s="4">
        <v>98</v>
      </c>
      <c r="AD428" s="4">
        <v>94</v>
      </c>
      <c r="AE428" s="4">
        <v>112</v>
      </c>
      <c r="AF428" s="4">
        <v>38</v>
      </c>
      <c r="AG428" s="4">
        <v>84</v>
      </c>
      <c r="AH428" s="4">
        <v>74</v>
      </c>
      <c r="AI428" s="7">
        <f t="shared" si="13"/>
        <v>1609</v>
      </c>
      <c r="AJ428" s="7"/>
    </row>
    <row r="429" spans="1:36" x14ac:dyDescent="0.3">
      <c r="A429" s="12" t="s">
        <v>1042</v>
      </c>
      <c r="B429" s="12" t="str">
        <f>INDEX([1]오송!$C:$C,MATCH(D429,[1]오송!$D:$D,0))</f>
        <v>오송</v>
      </c>
      <c r="C429" s="12" t="s">
        <v>5</v>
      </c>
      <c r="D429" s="13">
        <v>9306240</v>
      </c>
      <c r="E429" s="12" t="s">
        <v>262</v>
      </c>
      <c r="F429" s="12" t="s">
        <v>3</v>
      </c>
      <c r="G429" s="9">
        <v>2385</v>
      </c>
      <c r="H429" s="9">
        <v>0</v>
      </c>
      <c r="I429" s="9">
        <v>2434</v>
      </c>
      <c r="J429" s="9">
        <v>13066.34</v>
      </c>
      <c r="K429" s="9">
        <v>2484</v>
      </c>
      <c r="L429" s="9">
        <v>0</v>
      </c>
      <c r="M429" s="9">
        <v>2534</v>
      </c>
      <c r="N429" s="9">
        <v>0</v>
      </c>
      <c r="O429" s="9">
        <v>2583</v>
      </c>
      <c r="P429" s="9">
        <v>0</v>
      </c>
      <c r="Q429" s="9">
        <v>2633</v>
      </c>
      <c r="R429" s="9">
        <v>13066.34</v>
      </c>
      <c r="S429" s="9">
        <v>2583.3333333333335</v>
      </c>
      <c r="T429" s="9"/>
      <c r="U429" s="4">
        <f t="shared" si="14"/>
        <v>26132.68</v>
      </c>
      <c r="W429" s="4">
        <v>2055</v>
      </c>
      <c r="X429" s="4">
        <v>2045</v>
      </c>
      <c r="Y429" s="4">
        <v>2076</v>
      </c>
      <c r="Z429" s="4">
        <v>2179</v>
      </c>
      <c r="AA429" s="4">
        <v>1890</v>
      </c>
      <c r="AB429" s="4">
        <v>1946</v>
      </c>
      <c r="AC429" s="4">
        <v>2162</v>
      </c>
      <c r="AD429" s="4">
        <v>2965</v>
      </c>
      <c r="AE429" s="4">
        <v>2497</v>
      </c>
      <c r="AF429" s="4">
        <v>2229</v>
      </c>
      <c r="AG429" s="4">
        <v>2593</v>
      </c>
      <c r="AH429" s="4">
        <v>2021</v>
      </c>
      <c r="AI429" s="7">
        <f t="shared" si="13"/>
        <v>96559.693333333329</v>
      </c>
      <c r="AJ429" s="7"/>
    </row>
    <row r="430" spans="1:36" x14ac:dyDescent="0.3">
      <c r="A430" s="12" t="s">
        <v>1044</v>
      </c>
      <c r="B430" s="12" t="s">
        <v>863</v>
      </c>
      <c r="C430" s="12" t="s">
        <v>5</v>
      </c>
      <c r="D430" s="13">
        <v>9306458</v>
      </c>
      <c r="E430" s="12" t="s">
        <v>475</v>
      </c>
      <c r="F430" s="12" t="s">
        <v>3</v>
      </c>
      <c r="G430" s="9">
        <v>1000</v>
      </c>
      <c r="H430" s="9">
        <v>0</v>
      </c>
      <c r="I430" s="9">
        <v>1000</v>
      </c>
      <c r="J430" s="9">
        <v>0</v>
      </c>
      <c r="K430" s="9">
        <v>1200</v>
      </c>
      <c r="L430" s="9">
        <v>5880</v>
      </c>
      <c r="M430" s="9">
        <v>1500</v>
      </c>
      <c r="N430" s="9">
        <v>0</v>
      </c>
      <c r="O430" s="9">
        <v>1500</v>
      </c>
      <c r="P430" s="9">
        <v>0</v>
      </c>
      <c r="Q430" s="9">
        <v>1500</v>
      </c>
      <c r="R430" s="9">
        <v>2940</v>
      </c>
      <c r="S430" s="9">
        <v>1500</v>
      </c>
      <c r="T430" s="9"/>
      <c r="U430" s="4">
        <f t="shared" si="14"/>
        <v>8820</v>
      </c>
      <c r="W430" s="4">
        <v>1600</v>
      </c>
      <c r="X430" s="4">
        <v>1409</v>
      </c>
      <c r="Y430" s="4">
        <v>2500</v>
      </c>
      <c r="Z430" s="4">
        <v>1255</v>
      </c>
      <c r="AA430" s="4">
        <v>1500</v>
      </c>
      <c r="AB430" s="4">
        <v>1287</v>
      </c>
      <c r="AC430" s="4">
        <v>1200</v>
      </c>
      <c r="AD430" s="4">
        <v>1264</v>
      </c>
      <c r="AE430" s="4">
        <v>1000</v>
      </c>
      <c r="AF430" s="4">
        <v>1044</v>
      </c>
      <c r="AG430" s="4">
        <v>1200</v>
      </c>
      <c r="AH430" s="4">
        <v>1258</v>
      </c>
      <c r="AI430" s="7">
        <f t="shared" si="13"/>
        <v>43357</v>
      </c>
      <c r="AJ430" s="7"/>
    </row>
    <row r="431" spans="1:36" x14ac:dyDescent="0.3">
      <c r="A431" s="12" t="s">
        <v>1044</v>
      </c>
      <c r="B431" s="12" t="s">
        <v>863</v>
      </c>
      <c r="C431" s="12" t="s">
        <v>5</v>
      </c>
      <c r="D431" s="13">
        <v>9306541</v>
      </c>
      <c r="E431" s="12" t="s">
        <v>476</v>
      </c>
      <c r="F431" s="12" t="s">
        <v>3</v>
      </c>
      <c r="G431" s="9">
        <v>80000</v>
      </c>
      <c r="H431" s="9">
        <v>196000</v>
      </c>
      <c r="I431" s="9">
        <v>80000</v>
      </c>
      <c r="J431" s="9">
        <v>0</v>
      </c>
      <c r="K431" s="9">
        <v>150000</v>
      </c>
      <c r="L431" s="9">
        <v>196000</v>
      </c>
      <c r="M431" s="9">
        <v>160000</v>
      </c>
      <c r="N431" s="9">
        <v>196000</v>
      </c>
      <c r="O431" s="9">
        <v>160000</v>
      </c>
      <c r="P431" s="9">
        <v>196000</v>
      </c>
      <c r="Q431" s="9">
        <v>150000</v>
      </c>
      <c r="R431" s="9">
        <v>196000</v>
      </c>
      <c r="S431" s="9">
        <v>156666.66666666666</v>
      </c>
      <c r="T431" s="9"/>
      <c r="U431" s="4">
        <f t="shared" si="14"/>
        <v>980000</v>
      </c>
      <c r="W431" s="4">
        <v>90000</v>
      </c>
      <c r="X431" s="4">
        <v>146717</v>
      </c>
      <c r="Y431" s="4">
        <v>150000</v>
      </c>
      <c r="Z431" s="4">
        <v>157950</v>
      </c>
      <c r="AA431" s="4">
        <v>150000</v>
      </c>
      <c r="AB431" s="4">
        <v>136881</v>
      </c>
      <c r="AC431" s="4">
        <v>170000</v>
      </c>
      <c r="AD431" s="4">
        <v>161098</v>
      </c>
      <c r="AE431" s="4">
        <v>80000</v>
      </c>
      <c r="AF431" s="4">
        <v>125236</v>
      </c>
      <c r="AG431" s="4">
        <v>80000</v>
      </c>
      <c r="AH431" s="4">
        <v>74213</v>
      </c>
      <c r="AI431" s="7">
        <f t="shared" si="13"/>
        <v>4418761.666666667</v>
      </c>
      <c r="AJ431" s="7"/>
    </row>
    <row r="432" spans="1:36" x14ac:dyDescent="0.3">
      <c r="A432" s="12" t="s">
        <v>1042</v>
      </c>
      <c r="B432" s="12" t="str">
        <f>INDEX([1]오송!$C:$C,MATCH(D432,[1]오송!$D:$D,0))</f>
        <v>오송</v>
      </c>
      <c r="C432" s="12" t="s">
        <v>5</v>
      </c>
      <c r="D432" s="13">
        <v>9306659</v>
      </c>
      <c r="E432" s="12" t="s">
        <v>285</v>
      </c>
      <c r="F432" s="12" t="s">
        <v>3</v>
      </c>
      <c r="G432" s="9">
        <v>0</v>
      </c>
      <c r="H432" s="9">
        <v>0</v>
      </c>
      <c r="I432" s="9">
        <v>0</v>
      </c>
      <c r="J432" s="9">
        <v>0</v>
      </c>
      <c r="K432" s="9">
        <v>0</v>
      </c>
      <c r="L432" s="9">
        <v>8750.42</v>
      </c>
      <c r="M432" s="9">
        <v>0</v>
      </c>
      <c r="N432" s="9">
        <v>0</v>
      </c>
      <c r="O432" s="9">
        <v>0</v>
      </c>
      <c r="P432" s="9">
        <v>0</v>
      </c>
      <c r="Q432" s="9">
        <v>0</v>
      </c>
      <c r="R432" s="9">
        <v>0</v>
      </c>
      <c r="S432" s="9">
        <v>0</v>
      </c>
      <c r="T432" s="9"/>
      <c r="U432" s="4">
        <f t="shared" si="14"/>
        <v>8750.42</v>
      </c>
      <c r="W432" s="4">
        <v>9000</v>
      </c>
      <c r="X432" s="4">
        <v>0</v>
      </c>
      <c r="Y432" s="4">
        <v>0</v>
      </c>
      <c r="Z432" s="4">
        <v>0</v>
      </c>
      <c r="AA432" s="4">
        <v>0</v>
      </c>
      <c r="AB432" s="4">
        <v>8267</v>
      </c>
      <c r="AC432" s="4">
        <v>2756</v>
      </c>
      <c r="AD432" s="4">
        <v>0</v>
      </c>
      <c r="AE432" s="4">
        <v>2756</v>
      </c>
      <c r="AF432" s="4">
        <v>0</v>
      </c>
      <c r="AG432" s="4">
        <v>2756</v>
      </c>
      <c r="AH432" s="4">
        <v>0</v>
      </c>
      <c r="AI432" s="7">
        <f t="shared" si="13"/>
        <v>43035.839999999997</v>
      </c>
      <c r="AJ432" s="7"/>
    </row>
    <row r="433" spans="1:36" x14ac:dyDescent="0.3">
      <c r="A433" s="12" t="s">
        <v>1042</v>
      </c>
      <c r="B433" s="12" t="str">
        <f>INDEX([1]오송!$C:$C,MATCH(D433,[1]오송!$D:$D,0))</f>
        <v>오송</v>
      </c>
      <c r="C433" s="12" t="s">
        <v>5</v>
      </c>
      <c r="D433" s="13">
        <v>9306660</v>
      </c>
      <c r="E433" s="12" t="s">
        <v>286</v>
      </c>
      <c r="F433" s="12" t="s">
        <v>3</v>
      </c>
      <c r="G433" s="9">
        <v>0</v>
      </c>
      <c r="H433" s="9">
        <v>0</v>
      </c>
      <c r="I433" s="9">
        <v>0</v>
      </c>
      <c r="J433" s="9">
        <v>0</v>
      </c>
      <c r="K433" s="9">
        <v>0</v>
      </c>
      <c r="L433" s="9">
        <v>0</v>
      </c>
      <c r="M433" s="9">
        <v>0</v>
      </c>
      <c r="N433" s="9">
        <v>0</v>
      </c>
      <c r="O433" s="9">
        <v>0</v>
      </c>
      <c r="P433" s="9">
        <v>8750.42</v>
      </c>
      <c r="Q433" s="9">
        <v>0</v>
      </c>
      <c r="R433" s="9">
        <v>0</v>
      </c>
      <c r="S433" s="9">
        <v>0</v>
      </c>
      <c r="T433" s="9"/>
      <c r="U433" s="4">
        <f t="shared" si="14"/>
        <v>8750.42</v>
      </c>
      <c r="W433" s="4">
        <v>18000</v>
      </c>
      <c r="X433" s="4">
        <v>0</v>
      </c>
      <c r="Y433" s="4">
        <v>0</v>
      </c>
      <c r="Z433" s="4">
        <v>0</v>
      </c>
      <c r="AA433" s="4">
        <v>0</v>
      </c>
      <c r="AB433" s="4">
        <v>8395</v>
      </c>
      <c r="AC433" s="4">
        <v>2798</v>
      </c>
      <c r="AD433" s="4">
        <v>0</v>
      </c>
      <c r="AE433" s="4">
        <v>2798</v>
      </c>
      <c r="AF433" s="4">
        <v>0</v>
      </c>
      <c r="AG433" s="4">
        <v>2798</v>
      </c>
      <c r="AH433" s="4">
        <v>0</v>
      </c>
      <c r="AI433" s="7">
        <f t="shared" si="13"/>
        <v>52289.84</v>
      </c>
      <c r="AJ433" s="7"/>
    </row>
    <row r="434" spans="1:36" x14ac:dyDescent="0.3">
      <c r="A434" s="12" t="s">
        <v>1044</v>
      </c>
      <c r="B434" s="12" t="s">
        <v>863</v>
      </c>
      <c r="C434" s="12" t="s">
        <v>5</v>
      </c>
      <c r="D434" s="13">
        <v>9306788</v>
      </c>
      <c r="E434" s="12" t="s">
        <v>847</v>
      </c>
      <c r="F434" s="12" t="s">
        <v>3</v>
      </c>
      <c r="G434" s="9">
        <v>0</v>
      </c>
      <c r="H434" s="9">
        <v>0</v>
      </c>
      <c r="I434" s="9">
        <v>0</v>
      </c>
      <c r="J434" s="9">
        <v>0</v>
      </c>
      <c r="K434" s="9">
        <v>0</v>
      </c>
      <c r="L434" s="9">
        <v>0</v>
      </c>
      <c r="M434" s="9">
        <v>0</v>
      </c>
      <c r="N434" s="9">
        <v>0</v>
      </c>
      <c r="O434" s="9">
        <v>0</v>
      </c>
      <c r="P434" s="9">
        <v>0</v>
      </c>
      <c r="Q434" s="9">
        <v>0</v>
      </c>
      <c r="R434" s="9">
        <v>0</v>
      </c>
      <c r="S434" s="9">
        <v>0</v>
      </c>
      <c r="T434" s="9"/>
      <c r="U434" s="4">
        <f t="shared" si="14"/>
        <v>0</v>
      </c>
      <c r="W434" s="4">
        <v>0</v>
      </c>
      <c r="X434" s="4">
        <v>344</v>
      </c>
      <c r="Y434" s="4">
        <v>0</v>
      </c>
      <c r="Z434" s="4">
        <v>545</v>
      </c>
      <c r="AA434" s="4">
        <v>0</v>
      </c>
      <c r="AB434" s="4">
        <v>7741</v>
      </c>
      <c r="AC434" s="4">
        <v>0</v>
      </c>
      <c r="AD434" s="4">
        <v>10</v>
      </c>
      <c r="AE434" s="4">
        <v>0</v>
      </c>
      <c r="AF434" s="4">
        <v>70</v>
      </c>
      <c r="AG434" s="4">
        <v>0</v>
      </c>
      <c r="AH434" s="4">
        <v>0</v>
      </c>
      <c r="AI434" s="7">
        <f t="shared" si="13"/>
        <v>8710</v>
      </c>
      <c r="AJ434" s="7"/>
    </row>
    <row r="435" spans="1:36" x14ac:dyDescent="0.3">
      <c r="A435" s="12" t="s">
        <v>1034</v>
      </c>
      <c r="B435" s="12" t="s">
        <v>863</v>
      </c>
      <c r="C435" s="12" t="s">
        <v>5</v>
      </c>
      <c r="D435" s="13">
        <v>9306835</v>
      </c>
      <c r="E435" s="12" t="s">
        <v>477</v>
      </c>
      <c r="F435" s="12" t="s">
        <v>3</v>
      </c>
      <c r="G435" s="9">
        <v>2500</v>
      </c>
      <c r="H435" s="9">
        <v>2776</v>
      </c>
      <c r="I435" s="9">
        <v>2500</v>
      </c>
      <c r="J435" s="9">
        <v>5768</v>
      </c>
      <c r="K435" s="9">
        <v>3000</v>
      </c>
      <c r="L435" s="9">
        <v>0</v>
      </c>
      <c r="M435" s="9">
        <v>3000</v>
      </c>
      <c r="N435" s="9">
        <v>5768</v>
      </c>
      <c r="O435" s="9">
        <v>3000</v>
      </c>
      <c r="P435" s="9">
        <v>0</v>
      </c>
      <c r="Q435" s="9">
        <v>3000</v>
      </c>
      <c r="R435" s="9">
        <v>0</v>
      </c>
      <c r="S435" s="9">
        <v>3000</v>
      </c>
      <c r="T435" s="9"/>
      <c r="U435" s="4">
        <f t="shared" si="14"/>
        <v>14312</v>
      </c>
      <c r="W435" s="4">
        <v>1900</v>
      </c>
      <c r="X435" s="4">
        <v>1317</v>
      </c>
      <c r="Y435" s="4">
        <v>1500</v>
      </c>
      <c r="Z435" s="4">
        <v>1438</v>
      </c>
      <c r="AA435" s="4">
        <v>2500</v>
      </c>
      <c r="AB435" s="4">
        <v>2571</v>
      </c>
      <c r="AC435" s="4">
        <v>2500</v>
      </c>
      <c r="AD435" s="4">
        <v>2510</v>
      </c>
      <c r="AE435" s="4">
        <v>3000</v>
      </c>
      <c r="AF435" s="4">
        <v>2131</v>
      </c>
      <c r="AG435" s="4">
        <v>1972</v>
      </c>
      <c r="AH435" s="4">
        <v>2165</v>
      </c>
      <c r="AI435" s="7">
        <f t="shared" si="13"/>
        <v>74128</v>
      </c>
      <c r="AJ435" s="7"/>
    </row>
    <row r="436" spans="1:36" x14ac:dyDescent="0.3">
      <c r="A436" s="12" t="s">
        <v>1042</v>
      </c>
      <c r="B436" s="12" t="str">
        <f>INDEX([1]오송!$C:$C,MATCH(D436,[1]오송!$D:$D,0))</f>
        <v>오송</v>
      </c>
      <c r="C436" s="12" t="s">
        <v>5</v>
      </c>
      <c r="D436" s="13">
        <v>9306859</v>
      </c>
      <c r="E436" s="12" t="s">
        <v>263</v>
      </c>
      <c r="F436" s="12" t="s">
        <v>3</v>
      </c>
      <c r="G436" s="9">
        <v>0</v>
      </c>
      <c r="H436" s="9">
        <v>0</v>
      </c>
      <c r="I436" s="9">
        <v>0</v>
      </c>
      <c r="J436" s="9">
        <v>0</v>
      </c>
      <c r="K436" s="9">
        <v>0</v>
      </c>
      <c r="L436" s="9">
        <v>0</v>
      </c>
      <c r="M436" s="9">
        <v>0</v>
      </c>
      <c r="N436" s="9">
        <v>0</v>
      </c>
      <c r="O436" s="9">
        <v>0</v>
      </c>
      <c r="P436" s="9">
        <v>0</v>
      </c>
      <c r="Q436" s="9">
        <v>0</v>
      </c>
      <c r="R436" s="9">
        <v>0</v>
      </c>
      <c r="S436" s="9">
        <v>0</v>
      </c>
      <c r="T436" s="9"/>
      <c r="U436" s="4">
        <f t="shared" si="14"/>
        <v>0</v>
      </c>
      <c r="W436" s="4">
        <v>44640</v>
      </c>
      <c r="X436" s="4">
        <v>49828</v>
      </c>
      <c r="Y436" s="4">
        <v>16609</v>
      </c>
      <c r="Z436" s="4">
        <v>0</v>
      </c>
      <c r="AA436" s="4">
        <v>16609</v>
      </c>
      <c r="AB436" s="4">
        <v>0</v>
      </c>
      <c r="AC436" s="4">
        <v>16609</v>
      </c>
      <c r="AD436" s="4">
        <v>33368</v>
      </c>
      <c r="AE436" s="4">
        <v>11123</v>
      </c>
      <c r="AF436" s="4">
        <v>0</v>
      </c>
      <c r="AG436" s="4">
        <v>11123</v>
      </c>
      <c r="AH436" s="4">
        <v>0</v>
      </c>
      <c r="AI436" s="7">
        <f t="shared" si="13"/>
        <v>199909</v>
      </c>
      <c r="AJ436" s="7"/>
    </row>
    <row r="437" spans="1:36" x14ac:dyDescent="0.3">
      <c r="A437" s="12" t="s">
        <v>1042</v>
      </c>
      <c r="B437" s="12" t="str">
        <f>INDEX([1]오송!$C:$C,MATCH(D437,[1]오송!$D:$D,0))</f>
        <v>오송</v>
      </c>
      <c r="C437" s="12" t="s">
        <v>5</v>
      </c>
      <c r="D437" s="13">
        <v>9306860</v>
      </c>
      <c r="E437" s="12" t="s">
        <v>264</v>
      </c>
      <c r="F437" s="12" t="s">
        <v>3</v>
      </c>
      <c r="G437" s="9">
        <v>0</v>
      </c>
      <c r="H437" s="9">
        <v>0</v>
      </c>
      <c r="I437" s="9">
        <v>0</v>
      </c>
      <c r="J437" s="9">
        <v>0</v>
      </c>
      <c r="K437" s="9">
        <v>0</v>
      </c>
      <c r="L437" s="9">
        <v>0</v>
      </c>
      <c r="M437" s="9">
        <v>0</v>
      </c>
      <c r="N437" s="9">
        <v>0</v>
      </c>
      <c r="O437" s="9">
        <v>0</v>
      </c>
      <c r="P437" s="9">
        <v>0</v>
      </c>
      <c r="Q437" s="9">
        <v>0</v>
      </c>
      <c r="R437" s="9">
        <v>0</v>
      </c>
      <c r="S437" s="9">
        <v>0</v>
      </c>
      <c r="T437" s="9"/>
      <c r="U437" s="4">
        <f t="shared" si="14"/>
        <v>0</v>
      </c>
      <c r="W437" s="4">
        <v>0</v>
      </c>
      <c r="X437" s="4">
        <v>0</v>
      </c>
      <c r="Y437" s="4">
        <v>11158</v>
      </c>
      <c r="Z437" s="4">
        <v>0</v>
      </c>
      <c r="AA437" s="4">
        <v>11158</v>
      </c>
      <c r="AB437" s="4">
        <v>0</v>
      </c>
      <c r="AC437" s="4">
        <v>0</v>
      </c>
      <c r="AD437" s="4">
        <v>16581</v>
      </c>
      <c r="AE437" s="4">
        <v>5527</v>
      </c>
      <c r="AF437" s="4">
        <v>0</v>
      </c>
      <c r="AG437" s="4">
        <v>5527</v>
      </c>
      <c r="AH437" s="4">
        <v>0</v>
      </c>
      <c r="AI437" s="7">
        <f t="shared" si="13"/>
        <v>49951</v>
      </c>
      <c r="AJ437" s="7"/>
    </row>
    <row r="438" spans="1:36" x14ac:dyDescent="0.3">
      <c r="A438" s="12" t="s">
        <v>1042</v>
      </c>
      <c r="B438" s="12" t="str">
        <f>INDEX([1]오송!$C:$C,MATCH(D438,[1]오송!$D:$D,0))</f>
        <v>오송</v>
      </c>
      <c r="C438" s="12" t="s">
        <v>5</v>
      </c>
      <c r="D438" s="13">
        <v>9306861</v>
      </c>
      <c r="E438" s="12" t="s">
        <v>265</v>
      </c>
      <c r="F438" s="12" t="s">
        <v>3</v>
      </c>
      <c r="G438" s="9">
        <v>0</v>
      </c>
      <c r="H438" s="9">
        <v>0</v>
      </c>
      <c r="I438" s="9">
        <v>0</v>
      </c>
      <c r="J438" s="9">
        <v>0</v>
      </c>
      <c r="K438" s="9">
        <v>0</v>
      </c>
      <c r="L438" s="9">
        <v>0</v>
      </c>
      <c r="M438" s="9">
        <v>0</v>
      </c>
      <c r="N438" s="9">
        <v>0</v>
      </c>
      <c r="O438" s="9">
        <v>0</v>
      </c>
      <c r="P438" s="9">
        <v>0</v>
      </c>
      <c r="Q438" s="9">
        <v>0</v>
      </c>
      <c r="R438" s="9">
        <v>0</v>
      </c>
      <c r="S438" s="9">
        <v>0</v>
      </c>
      <c r="T438" s="9"/>
      <c r="U438" s="4">
        <f t="shared" si="14"/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66862</v>
      </c>
      <c r="AE438" s="4">
        <v>22287</v>
      </c>
      <c r="AF438" s="4">
        <v>0</v>
      </c>
      <c r="AG438" s="4">
        <v>22287</v>
      </c>
      <c r="AH438" s="4">
        <v>0</v>
      </c>
      <c r="AI438" s="7">
        <f t="shared" si="13"/>
        <v>111436</v>
      </c>
      <c r="AJ438" s="7"/>
    </row>
    <row r="439" spans="1:36" x14ac:dyDescent="0.3">
      <c r="A439" s="12" t="s">
        <v>1044</v>
      </c>
      <c r="B439" s="12" t="s">
        <v>863</v>
      </c>
      <c r="C439" s="12" t="s">
        <v>5</v>
      </c>
      <c r="D439" s="13">
        <v>9307073</v>
      </c>
      <c r="E439" s="12" t="s">
        <v>478</v>
      </c>
      <c r="F439" s="12" t="s">
        <v>3</v>
      </c>
      <c r="G439" s="9">
        <v>0</v>
      </c>
      <c r="H439" s="9">
        <v>0</v>
      </c>
      <c r="I439" s="9">
        <v>0</v>
      </c>
      <c r="J439" s="9">
        <v>0</v>
      </c>
      <c r="K439" s="9">
        <v>0</v>
      </c>
      <c r="L439" s="9">
        <v>0</v>
      </c>
      <c r="M439" s="9">
        <v>0</v>
      </c>
      <c r="N439" s="9">
        <v>0</v>
      </c>
      <c r="O439" s="9">
        <v>0</v>
      </c>
      <c r="P439" s="9">
        <v>0</v>
      </c>
      <c r="Q439" s="9">
        <v>0</v>
      </c>
      <c r="R439" s="9">
        <v>0</v>
      </c>
      <c r="S439" s="9">
        <v>0</v>
      </c>
      <c r="T439" s="9"/>
      <c r="U439" s="4">
        <f t="shared" si="14"/>
        <v>0</v>
      </c>
      <c r="W439" s="4">
        <v>7886</v>
      </c>
      <c r="X439" s="4">
        <v>194</v>
      </c>
      <c r="Y439" s="4">
        <v>7886</v>
      </c>
      <c r="Z439" s="4">
        <v>30</v>
      </c>
      <c r="AA439" s="4">
        <v>1000</v>
      </c>
      <c r="AB439" s="4">
        <v>30</v>
      </c>
      <c r="AC439" s="4">
        <v>0</v>
      </c>
      <c r="AD439" s="4">
        <v>816</v>
      </c>
      <c r="AE439" s="4">
        <v>292</v>
      </c>
      <c r="AF439" s="4">
        <v>0</v>
      </c>
      <c r="AG439" s="4">
        <v>0</v>
      </c>
      <c r="AH439" s="4">
        <v>0</v>
      </c>
      <c r="AI439" s="7">
        <f t="shared" si="13"/>
        <v>18134</v>
      </c>
      <c r="AJ439" s="7"/>
    </row>
    <row r="440" spans="1:36" x14ac:dyDescent="0.3">
      <c r="A440" s="12" t="s">
        <v>1044</v>
      </c>
      <c r="B440" s="12" t="s">
        <v>863</v>
      </c>
      <c r="C440" s="12" t="s">
        <v>5</v>
      </c>
      <c r="D440" s="13">
        <v>9307074</v>
      </c>
      <c r="E440" s="12" t="s">
        <v>479</v>
      </c>
      <c r="F440" s="12" t="s">
        <v>3</v>
      </c>
      <c r="G440" s="9">
        <v>1000</v>
      </c>
      <c r="H440" s="9">
        <v>0</v>
      </c>
      <c r="I440" s="9">
        <v>1500</v>
      </c>
      <c r="J440" s="9">
        <v>0</v>
      </c>
      <c r="K440" s="9">
        <v>2000</v>
      </c>
      <c r="L440" s="9">
        <v>0</v>
      </c>
      <c r="M440" s="9">
        <v>3000</v>
      </c>
      <c r="N440" s="9">
        <v>0</v>
      </c>
      <c r="O440" s="9">
        <v>2000</v>
      </c>
      <c r="P440" s="9">
        <v>0</v>
      </c>
      <c r="Q440" s="9">
        <v>2000</v>
      </c>
      <c r="R440" s="9">
        <v>0</v>
      </c>
      <c r="S440" s="9">
        <v>2333.3333333333335</v>
      </c>
      <c r="T440" s="9"/>
      <c r="U440" s="4">
        <f t="shared" si="14"/>
        <v>0</v>
      </c>
      <c r="W440" s="4">
        <v>4000</v>
      </c>
      <c r="X440" s="4">
        <v>728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500</v>
      </c>
      <c r="AF440" s="4">
        <v>0</v>
      </c>
      <c r="AG440" s="4">
        <v>2500</v>
      </c>
      <c r="AH440" s="4">
        <v>2</v>
      </c>
      <c r="AI440" s="7">
        <f t="shared" si="13"/>
        <v>21563.333333333336</v>
      </c>
      <c r="AJ440" s="7"/>
    </row>
    <row r="441" spans="1:36" x14ac:dyDescent="0.3">
      <c r="A441" s="12" t="s">
        <v>1044</v>
      </c>
      <c r="B441" s="12" t="s">
        <v>863</v>
      </c>
      <c r="C441" s="12" t="s">
        <v>5</v>
      </c>
      <c r="D441" s="13">
        <v>9307190</v>
      </c>
      <c r="E441" s="12" t="s">
        <v>480</v>
      </c>
      <c r="F441" s="12" t="s">
        <v>3</v>
      </c>
      <c r="G441" s="9">
        <v>7000</v>
      </c>
      <c r="H441" s="9">
        <v>39200</v>
      </c>
      <c r="I441" s="9">
        <v>8500</v>
      </c>
      <c r="J441" s="9">
        <v>0</v>
      </c>
      <c r="K441" s="9">
        <v>21500</v>
      </c>
      <c r="L441" s="9">
        <v>0</v>
      </c>
      <c r="M441" s="9">
        <v>10500</v>
      </c>
      <c r="N441" s="9">
        <v>0</v>
      </c>
      <c r="O441" s="9">
        <v>13500</v>
      </c>
      <c r="P441" s="9">
        <v>0</v>
      </c>
      <c r="Q441" s="9">
        <v>11500</v>
      </c>
      <c r="R441" s="9">
        <v>0</v>
      </c>
      <c r="S441" s="9">
        <v>11833.333333333334</v>
      </c>
      <c r="T441" s="9"/>
      <c r="U441" s="4">
        <f t="shared" si="14"/>
        <v>39200</v>
      </c>
      <c r="W441" s="4">
        <v>3000</v>
      </c>
      <c r="X441" s="4">
        <v>1763</v>
      </c>
      <c r="Y441" s="4">
        <v>2000</v>
      </c>
      <c r="Z441" s="4">
        <v>1895</v>
      </c>
      <c r="AA441" s="4">
        <v>0</v>
      </c>
      <c r="AB441" s="4">
        <v>1204</v>
      </c>
      <c r="AC441" s="4">
        <v>0</v>
      </c>
      <c r="AD441" s="4">
        <v>0</v>
      </c>
      <c r="AE441" s="4">
        <v>0</v>
      </c>
      <c r="AF441" s="4">
        <v>0</v>
      </c>
      <c r="AG441" s="4">
        <v>20000</v>
      </c>
      <c r="AH441" s="4">
        <v>4</v>
      </c>
      <c r="AI441" s="7">
        <f t="shared" si="13"/>
        <v>192599.33333333331</v>
      </c>
      <c r="AJ441" s="7"/>
    </row>
    <row r="442" spans="1:36" x14ac:dyDescent="0.3">
      <c r="A442" s="12" t="s">
        <v>1042</v>
      </c>
      <c r="B442" s="12" t="str">
        <f>INDEX([1]오송!$C:$C,MATCH(D442,[1]오송!$D:$D,0))</f>
        <v>오송</v>
      </c>
      <c r="C442" s="12" t="s">
        <v>5</v>
      </c>
      <c r="D442" s="13">
        <v>9307266</v>
      </c>
      <c r="E442" s="12" t="s">
        <v>266</v>
      </c>
      <c r="F442" s="12" t="s">
        <v>3</v>
      </c>
      <c r="G442" s="9">
        <v>2</v>
      </c>
      <c r="H442" s="9">
        <v>0</v>
      </c>
      <c r="I442" s="9">
        <v>2</v>
      </c>
      <c r="J442" s="9">
        <v>0</v>
      </c>
      <c r="K442" s="9">
        <v>2</v>
      </c>
      <c r="L442" s="9">
        <v>0</v>
      </c>
      <c r="M442" s="9">
        <v>2</v>
      </c>
      <c r="N442" s="9">
        <v>0</v>
      </c>
      <c r="O442" s="9">
        <v>2</v>
      </c>
      <c r="P442" s="9">
        <v>0</v>
      </c>
      <c r="Q442" s="9">
        <v>2</v>
      </c>
      <c r="R442" s="9">
        <v>0</v>
      </c>
      <c r="S442" s="9">
        <v>2</v>
      </c>
      <c r="T442" s="9"/>
      <c r="U442" s="4">
        <f t="shared" si="14"/>
        <v>0</v>
      </c>
      <c r="W442" s="4">
        <v>0</v>
      </c>
      <c r="X442" s="4">
        <v>0</v>
      </c>
      <c r="Y442" s="4">
        <v>0</v>
      </c>
      <c r="Z442" s="4">
        <v>1</v>
      </c>
      <c r="AA442" s="4">
        <v>0</v>
      </c>
      <c r="AB442" s="4">
        <v>2</v>
      </c>
      <c r="AC442" s="4">
        <v>1</v>
      </c>
      <c r="AD442" s="4">
        <v>0</v>
      </c>
      <c r="AE442" s="4">
        <v>1</v>
      </c>
      <c r="AF442" s="4">
        <v>2</v>
      </c>
      <c r="AG442" s="4">
        <v>1</v>
      </c>
      <c r="AH442" s="4">
        <v>2</v>
      </c>
      <c r="AI442" s="7">
        <f t="shared" si="13"/>
        <v>24</v>
      </c>
      <c r="AJ442" s="7"/>
    </row>
    <row r="443" spans="1:36" x14ac:dyDescent="0.3">
      <c r="A443" s="12" t="s">
        <v>1044</v>
      </c>
      <c r="B443" s="12" t="s">
        <v>863</v>
      </c>
      <c r="C443" s="12" t="s">
        <v>5</v>
      </c>
      <c r="D443" s="13">
        <v>9307347</v>
      </c>
      <c r="E443" s="12" t="s">
        <v>481</v>
      </c>
      <c r="F443" s="12" t="s">
        <v>3</v>
      </c>
      <c r="G443" s="9">
        <v>80000</v>
      </c>
      <c r="H443" s="9">
        <v>0</v>
      </c>
      <c r="I443" s="9">
        <v>10000</v>
      </c>
      <c r="J443" s="9">
        <v>0</v>
      </c>
      <c r="K443" s="9">
        <v>13000</v>
      </c>
      <c r="L443" s="9">
        <v>0</v>
      </c>
      <c r="M443" s="9">
        <v>14000</v>
      </c>
      <c r="N443" s="9">
        <v>29400</v>
      </c>
      <c r="O443" s="9">
        <v>15000</v>
      </c>
      <c r="P443" s="9">
        <v>29400</v>
      </c>
      <c r="Q443" s="9">
        <v>16000</v>
      </c>
      <c r="R443" s="9">
        <v>0</v>
      </c>
      <c r="S443" s="9">
        <v>15000</v>
      </c>
      <c r="T443" s="9"/>
      <c r="U443" s="4">
        <f t="shared" si="14"/>
        <v>58800</v>
      </c>
      <c r="W443" s="4">
        <v>10000</v>
      </c>
      <c r="X443" s="4">
        <v>0</v>
      </c>
      <c r="Y443" s="4">
        <v>8000</v>
      </c>
      <c r="Z443" s="4">
        <v>0</v>
      </c>
      <c r="AA443" s="4">
        <v>8000</v>
      </c>
      <c r="AB443" s="4">
        <v>0</v>
      </c>
      <c r="AC443" s="4">
        <v>20000</v>
      </c>
      <c r="AD443" s="4">
        <v>11880</v>
      </c>
      <c r="AE443" s="4">
        <v>5000</v>
      </c>
      <c r="AF443" s="4">
        <v>6120</v>
      </c>
      <c r="AG443" s="4">
        <v>7000</v>
      </c>
      <c r="AH443" s="4">
        <v>9792</v>
      </c>
      <c r="AI443" s="7">
        <f t="shared" si="13"/>
        <v>366392</v>
      </c>
      <c r="AJ443" s="7"/>
    </row>
    <row r="444" spans="1:36" x14ac:dyDescent="0.3">
      <c r="A444" s="12" t="s">
        <v>1042</v>
      </c>
      <c r="B444" s="12" t="str">
        <f>INDEX([1]오송!$C:$C,MATCH(D444,[1]오송!$D:$D,0))</f>
        <v>오송</v>
      </c>
      <c r="C444" s="12" t="s">
        <v>5</v>
      </c>
      <c r="D444" s="13">
        <v>9307592</v>
      </c>
      <c r="E444" s="12" t="s">
        <v>267</v>
      </c>
      <c r="F444" s="12" t="s">
        <v>3</v>
      </c>
      <c r="G444" s="9">
        <v>14</v>
      </c>
      <c r="H444" s="9">
        <v>0</v>
      </c>
      <c r="I444" s="9">
        <v>16</v>
      </c>
      <c r="J444" s="9">
        <v>0</v>
      </c>
      <c r="K444" s="9">
        <v>15</v>
      </c>
      <c r="L444" s="9">
        <v>0</v>
      </c>
      <c r="M444" s="9">
        <v>19</v>
      </c>
      <c r="N444" s="9">
        <v>0</v>
      </c>
      <c r="O444" s="9">
        <v>15</v>
      </c>
      <c r="P444" s="9">
        <v>0</v>
      </c>
      <c r="Q444" s="9">
        <v>25</v>
      </c>
      <c r="R444" s="9">
        <v>0</v>
      </c>
      <c r="S444" s="9">
        <v>19.666666666666668</v>
      </c>
      <c r="T444" s="9"/>
      <c r="U444" s="4">
        <f t="shared" si="14"/>
        <v>0</v>
      </c>
      <c r="W444" s="4">
        <v>29</v>
      </c>
      <c r="X444" s="4">
        <v>38</v>
      </c>
      <c r="Y444" s="4">
        <v>32</v>
      </c>
      <c r="Z444" s="4">
        <v>31</v>
      </c>
      <c r="AA444" s="4">
        <v>32</v>
      </c>
      <c r="AB444" s="4">
        <v>0</v>
      </c>
      <c r="AC444" s="4">
        <v>28</v>
      </c>
      <c r="AD444" s="4">
        <v>5</v>
      </c>
      <c r="AE444" s="4">
        <v>12</v>
      </c>
      <c r="AF444" s="4">
        <v>0</v>
      </c>
      <c r="AG444" s="4">
        <v>2</v>
      </c>
      <c r="AH444" s="4">
        <v>0</v>
      </c>
      <c r="AI444" s="7">
        <f t="shared" si="13"/>
        <v>332.66666666666669</v>
      </c>
      <c r="AJ444" s="7"/>
    </row>
    <row r="445" spans="1:36" x14ac:dyDescent="0.3">
      <c r="A445" s="12" t="s">
        <v>1044</v>
      </c>
      <c r="B445" s="12" t="s">
        <v>863</v>
      </c>
      <c r="C445" s="12" t="s">
        <v>5</v>
      </c>
      <c r="D445" s="13">
        <v>9307773</v>
      </c>
      <c r="E445" s="12" t="s">
        <v>482</v>
      </c>
      <c r="F445" s="12" t="s">
        <v>3</v>
      </c>
      <c r="G445" s="9">
        <v>7000</v>
      </c>
      <c r="H445" s="9">
        <v>0</v>
      </c>
      <c r="I445" s="9">
        <v>7000</v>
      </c>
      <c r="J445" s="9">
        <v>0</v>
      </c>
      <c r="K445" s="9">
        <v>7000</v>
      </c>
      <c r="L445" s="9">
        <v>0</v>
      </c>
      <c r="M445" s="9">
        <v>7000</v>
      </c>
      <c r="N445" s="9">
        <v>0</v>
      </c>
      <c r="O445" s="9">
        <v>7000</v>
      </c>
      <c r="P445" s="9">
        <v>0</v>
      </c>
      <c r="Q445" s="9">
        <v>7000</v>
      </c>
      <c r="R445" s="9">
        <v>0</v>
      </c>
      <c r="S445" s="9">
        <v>7000</v>
      </c>
      <c r="T445" s="9"/>
      <c r="U445" s="4">
        <f t="shared" si="14"/>
        <v>0</v>
      </c>
      <c r="W445" s="4">
        <v>6000</v>
      </c>
      <c r="X445" s="4">
        <v>5856</v>
      </c>
      <c r="Y445" s="4">
        <v>6000</v>
      </c>
      <c r="Z445" s="4">
        <v>5816</v>
      </c>
      <c r="AA445" s="4">
        <v>5760</v>
      </c>
      <c r="AB445" s="4">
        <v>8640</v>
      </c>
      <c r="AC445" s="4">
        <v>5760</v>
      </c>
      <c r="AD445" s="4">
        <v>0</v>
      </c>
      <c r="AE445" s="4">
        <v>8000</v>
      </c>
      <c r="AF445" s="4">
        <v>215</v>
      </c>
      <c r="AG445" s="4">
        <v>6000</v>
      </c>
      <c r="AH445" s="4">
        <v>7200</v>
      </c>
      <c r="AI445" s="7">
        <f t="shared" si="13"/>
        <v>114247</v>
      </c>
      <c r="AJ445" s="7"/>
    </row>
    <row r="446" spans="1:36" x14ac:dyDescent="0.3">
      <c r="A446" s="12" t="s">
        <v>1044</v>
      </c>
      <c r="B446" s="12" t="s">
        <v>863</v>
      </c>
      <c r="C446" s="12" t="s">
        <v>5</v>
      </c>
      <c r="D446" s="13">
        <v>9308242</v>
      </c>
      <c r="E446" s="12" t="s">
        <v>483</v>
      </c>
      <c r="F446" s="12" t="s">
        <v>3</v>
      </c>
      <c r="G446" s="9">
        <v>5000</v>
      </c>
      <c r="H446" s="9">
        <v>22866.666666666668</v>
      </c>
      <c r="I446" s="9">
        <v>5000</v>
      </c>
      <c r="J446" s="9">
        <v>0</v>
      </c>
      <c r="K446" s="9">
        <v>12000</v>
      </c>
      <c r="L446" s="9">
        <v>0</v>
      </c>
      <c r="M446" s="9">
        <v>5000</v>
      </c>
      <c r="N446" s="9">
        <v>22866.666666666668</v>
      </c>
      <c r="O446" s="9">
        <v>5000</v>
      </c>
      <c r="P446" s="9">
        <v>0</v>
      </c>
      <c r="Q446" s="9">
        <v>5000</v>
      </c>
      <c r="R446" s="9">
        <v>0</v>
      </c>
      <c r="S446" s="9">
        <v>5000</v>
      </c>
      <c r="T446" s="9"/>
      <c r="U446" s="4">
        <f t="shared" si="14"/>
        <v>45733.333333333336</v>
      </c>
      <c r="W446" s="4">
        <v>2000</v>
      </c>
      <c r="X446" s="4">
        <v>1255</v>
      </c>
      <c r="Y446" s="4">
        <v>3000</v>
      </c>
      <c r="Z446" s="4">
        <v>3210</v>
      </c>
      <c r="AA446" s="4">
        <v>3000</v>
      </c>
      <c r="AB446" s="4">
        <v>1410</v>
      </c>
      <c r="AC446" s="4">
        <v>4000</v>
      </c>
      <c r="AD446" s="4">
        <v>2966</v>
      </c>
      <c r="AE446" s="4">
        <v>4000</v>
      </c>
      <c r="AF446" s="4">
        <v>1952</v>
      </c>
      <c r="AG446" s="4">
        <v>10000</v>
      </c>
      <c r="AH446" s="4">
        <v>1464</v>
      </c>
      <c r="AI446" s="7">
        <f t="shared" si="13"/>
        <v>171723.66666666669</v>
      </c>
      <c r="AJ446" s="7"/>
    </row>
    <row r="447" spans="1:36" x14ac:dyDescent="0.3">
      <c r="A447" s="12" t="s">
        <v>1044</v>
      </c>
      <c r="B447" s="12" t="s">
        <v>863</v>
      </c>
      <c r="C447" s="12" t="s">
        <v>5</v>
      </c>
      <c r="D447" s="13">
        <v>9308243</v>
      </c>
      <c r="E447" s="12" t="s">
        <v>484</v>
      </c>
      <c r="F447" s="12" t="s">
        <v>3</v>
      </c>
      <c r="G447" s="9">
        <v>0</v>
      </c>
      <c r="H447" s="9">
        <v>0</v>
      </c>
      <c r="I447" s="9">
        <v>0</v>
      </c>
      <c r="J447" s="9">
        <v>0</v>
      </c>
      <c r="K447" s="9">
        <v>0</v>
      </c>
      <c r="L447" s="9">
        <v>0</v>
      </c>
      <c r="M447" s="9">
        <v>0</v>
      </c>
      <c r="N447" s="9">
        <v>0</v>
      </c>
      <c r="O447" s="9">
        <v>0</v>
      </c>
      <c r="P447" s="9">
        <v>0</v>
      </c>
      <c r="Q447" s="9">
        <v>0</v>
      </c>
      <c r="R447" s="9">
        <v>0</v>
      </c>
      <c r="S447" s="9">
        <v>0</v>
      </c>
      <c r="T447" s="9"/>
      <c r="U447" s="4">
        <f t="shared" si="14"/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50</v>
      </c>
      <c r="AE447" s="4">
        <v>0</v>
      </c>
      <c r="AF447" s="4">
        <v>25</v>
      </c>
      <c r="AG447" s="4">
        <v>0</v>
      </c>
      <c r="AH447" s="4">
        <v>50</v>
      </c>
      <c r="AI447" s="7">
        <f t="shared" si="13"/>
        <v>125</v>
      </c>
      <c r="AJ447" s="7"/>
    </row>
    <row r="448" spans="1:36" x14ac:dyDescent="0.3">
      <c r="A448" s="12" t="s">
        <v>1044</v>
      </c>
      <c r="B448" s="12" t="s">
        <v>863</v>
      </c>
      <c r="C448" s="12" t="s">
        <v>5</v>
      </c>
      <c r="D448" s="13">
        <v>9308675</v>
      </c>
      <c r="E448" s="12" t="s">
        <v>485</v>
      </c>
      <c r="F448" s="12" t="s">
        <v>3</v>
      </c>
      <c r="G448" s="9">
        <v>9500</v>
      </c>
      <c r="H448" s="9">
        <v>0</v>
      </c>
      <c r="I448" s="9">
        <v>6000</v>
      </c>
      <c r="J448" s="9">
        <v>49000</v>
      </c>
      <c r="K448" s="9">
        <v>7500</v>
      </c>
      <c r="L448" s="9">
        <v>0</v>
      </c>
      <c r="M448" s="9">
        <v>7000</v>
      </c>
      <c r="N448" s="9">
        <v>0</v>
      </c>
      <c r="O448" s="9">
        <v>6000</v>
      </c>
      <c r="P448" s="9">
        <v>0</v>
      </c>
      <c r="Q448" s="9">
        <v>6500</v>
      </c>
      <c r="R448" s="9">
        <v>0</v>
      </c>
      <c r="S448" s="9">
        <v>6500</v>
      </c>
      <c r="T448" s="9"/>
      <c r="U448" s="4">
        <f t="shared" si="14"/>
        <v>49000</v>
      </c>
      <c r="W448" s="4">
        <v>5908</v>
      </c>
      <c r="X448" s="4">
        <v>5273</v>
      </c>
      <c r="Y448" s="4">
        <v>5571</v>
      </c>
      <c r="Z448" s="4">
        <v>5671</v>
      </c>
      <c r="AA448" s="4">
        <v>5932</v>
      </c>
      <c r="AB448" s="4">
        <v>5809</v>
      </c>
      <c r="AC448" s="4">
        <v>5746</v>
      </c>
      <c r="AD448" s="4">
        <v>7477</v>
      </c>
      <c r="AE448" s="4">
        <v>7300</v>
      </c>
      <c r="AF448" s="4">
        <v>5436</v>
      </c>
      <c r="AG448" s="4">
        <v>5805</v>
      </c>
      <c r="AH448" s="4">
        <v>9293</v>
      </c>
      <c r="AI448" s="7">
        <f t="shared" si="13"/>
        <v>222221</v>
      </c>
      <c r="AJ448" s="7"/>
    </row>
    <row r="449" spans="1:36" x14ac:dyDescent="0.3">
      <c r="A449" s="12" t="s">
        <v>1042</v>
      </c>
      <c r="B449" s="12" t="str">
        <f>INDEX([1]오송!$C:$C,MATCH(D449,[1]오송!$D:$D,0))</f>
        <v>오송</v>
      </c>
      <c r="C449" s="12" t="s">
        <v>5</v>
      </c>
      <c r="D449" s="13">
        <v>9308681</v>
      </c>
      <c r="E449" s="12" t="s">
        <v>268</v>
      </c>
      <c r="F449" s="12" t="s">
        <v>3</v>
      </c>
      <c r="G449" s="9">
        <v>87</v>
      </c>
      <c r="H449" s="9">
        <v>0</v>
      </c>
      <c r="I449" s="9">
        <v>87</v>
      </c>
      <c r="J449" s="9">
        <v>0</v>
      </c>
      <c r="K449" s="9">
        <v>87</v>
      </c>
      <c r="L449" s="9">
        <v>0</v>
      </c>
      <c r="M449" s="9">
        <v>87</v>
      </c>
      <c r="N449" s="9">
        <v>0</v>
      </c>
      <c r="O449" s="9">
        <v>87</v>
      </c>
      <c r="P449" s="9">
        <v>0</v>
      </c>
      <c r="Q449" s="9">
        <v>87</v>
      </c>
      <c r="R449" s="9">
        <v>0</v>
      </c>
      <c r="S449" s="9">
        <v>87</v>
      </c>
      <c r="T449" s="9"/>
      <c r="U449" s="4">
        <f t="shared" si="14"/>
        <v>0</v>
      </c>
      <c r="W449" s="4">
        <v>120</v>
      </c>
      <c r="X449" s="4">
        <v>92</v>
      </c>
      <c r="Y449" s="4">
        <v>92</v>
      </c>
      <c r="Z449" s="4">
        <v>148</v>
      </c>
      <c r="AA449" s="4">
        <v>111</v>
      </c>
      <c r="AB449" s="4">
        <v>194</v>
      </c>
      <c r="AC449" s="4">
        <v>145</v>
      </c>
      <c r="AD449" s="4">
        <v>24</v>
      </c>
      <c r="AE449" s="4">
        <v>122</v>
      </c>
      <c r="AF449" s="4">
        <v>14</v>
      </c>
      <c r="AG449" s="4">
        <v>77</v>
      </c>
      <c r="AH449" s="4">
        <v>84</v>
      </c>
      <c r="AI449" s="7">
        <f t="shared" si="13"/>
        <v>1832</v>
      </c>
      <c r="AJ449" s="7"/>
    </row>
    <row r="450" spans="1:36" x14ac:dyDescent="0.3">
      <c r="A450" s="12" t="s">
        <v>1042</v>
      </c>
      <c r="B450" s="12" t="str">
        <f>INDEX([1]오송!$C:$C,MATCH(D450,[1]오송!$D:$D,0))</f>
        <v>오송</v>
      </c>
      <c r="C450" s="12" t="s">
        <v>5</v>
      </c>
      <c r="D450" s="13">
        <v>9308682</v>
      </c>
      <c r="E450" s="12" t="s">
        <v>269</v>
      </c>
      <c r="F450" s="12" t="s">
        <v>3</v>
      </c>
      <c r="G450" s="9">
        <v>44</v>
      </c>
      <c r="H450" s="9">
        <v>0</v>
      </c>
      <c r="I450" s="9">
        <v>44</v>
      </c>
      <c r="J450" s="9">
        <v>0</v>
      </c>
      <c r="K450" s="9">
        <v>44</v>
      </c>
      <c r="L450" s="9">
        <v>0</v>
      </c>
      <c r="M450" s="9">
        <v>44</v>
      </c>
      <c r="N450" s="9">
        <v>0</v>
      </c>
      <c r="O450" s="9">
        <v>44</v>
      </c>
      <c r="P450" s="9">
        <v>0</v>
      </c>
      <c r="Q450" s="9">
        <v>44</v>
      </c>
      <c r="R450" s="9">
        <v>0</v>
      </c>
      <c r="S450" s="9">
        <v>44</v>
      </c>
      <c r="T450" s="9"/>
      <c r="U450" s="4">
        <f t="shared" si="14"/>
        <v>0</v>
      </c>
      <c r="W450" s="4">
        <v>52</v>
      </c>
      <c r="X450" s="4">
        <v>67</v>
      </c>
      <c r="Y450" s="4">
        <v>64</v>
      </c>
      <c r="Z450" s="4">
        <v>36</v>
      </c>
      <c r="AA450" s="4">
        <v>44</v>
      </c>
      <c r="AB450" s="4">
        <v>35</v>
      </c>
      <c r="AC450" s="4">
        <v>46</v>
      </c>
      <c r="AD450" s="4">
        <v>11</v>
      </c>
      <c r="AE450" s="4">
        <v>27</v>
      </c>
      <c r="AF450" s="4">
        <v>43</v>
      </c>
      <c r="AG450" s="4">
        <v>30</v>
      </c>
      <c r="AH450" s="4">
        <v>72</v>
      </c>
      <c r="AI450" s="7">
        <f t="shared" si="13"/>
        <v>835</v>
      </c>
      <c r="AJ450" s="7"/>
    </row>
    <row r="451" spans="1:36" x14ac:dyDescent="0.3">
      <c r="A451" s="12" t="s">
        <v>1044</v>
      </c>
      <c r="B451" s="12" t="s">
        <v>863</v>
      </c>
      <c r="C451" s="12" t="s">
        <v>5</v>
      </c>
      <c r="D451" s="13">
        <v>9308829</v>
      </c>
      <c r="E451" s="12" t="s">
        <v>486</v>
      </c>
      <c r="F451" s="12" t="s">
        <v>3</v>
      </c>
      <c r="G451" s="9">
        <v>20000</v>
      </c>
      <c r="H451" s="9">
        <v>0</v>
      </c>
      <c r="I451" s="9">
        <v>15000</v>
      </c>
      <c r="J451" s="9">
        <v>0</v>
      </c>
      <c r="K451" s="9">
        <v>15000</v>
      </c>
      <c r="L451" s="9">
        <v>0</v>
      </c>
      <c r="M451" s="9">
        <v>2500</v>
      </c>
      <c r="N451" s="9">
        <v>0</v>
      </c>
      <c r="O451" s="9">
        <v>2500</v>
      </c>
      <c r="P451" s="9">
        <v>0</v>
      </c>
      <c r="Q451" s="9">
        <v>2500</v>
      </c>
      <c r="R451" s="9">
        <v>0</v>
      </c>
      <c r="S451" s="9">
        <v>2500</v>
      </c>
      <c r="T451" s="9"/>
      <c r="U451" s="4">
        <f t="shared" si="14"/>
        <v>0</v>
      </c>
      <c r="W451" s="4">
        <v>20000</v>
      </c>
      <c r="X451" s="4">
        <v>1560</v>
      </c>
      <c r="Y451" s="4">
        <v>9700</v>
      </c>
      <c r="Z451" s="4">
        <v>2460</v>
      </c>
      <c r="AA451" s="4">
        <v>32000</v>
      </c>
      <c r="AB451" s="4">
        <v>2340</v>
      </c>
      <c r="AC451" s="4">
        <v>3000</v>
      </c>
      <c r="AD451" s="4">
        <v>1960</v>
      </c>
      <c r="AE451" s="4">
        <v>2200</v>
      </c>
      <c r="AF451" s="4">
        <v>1740</v>
      </c>
      <c r="AG451" s="4">
        <v>2000</v>
      </c>
      <c r="AH451" s="4">
        <v>1980</v>
      </c>
      <c r="AI451" s="7">
        <f t="shared" si="13"/>
        <v>140940</v>
      </c>
      <c r="AJ451" s="7"/>
    </row>
    <row r="452" spans="1:36" x14ac:dyDescent="0.3">
      <c r="A452" s="12" t="s">
        <v>1042</v>
      </c>
      <c r="B452" s="12" t="str">
        <f>INDEX([1]오송!$C:$C,MATCH(D452,[1]오송!$D:$D,0))</f>
        <v>오송</v>
      </c>
      <c r="C452" s="12" t="s">
        <v>5</v>
      </c>
      <c r="D452" s="13">
        <v>9308830</v>
      </c>
      <c r="E452" s="12" t="s">
        <v>270</v>
      </c>
      <c r="F452" s="12" t="s">
        <v>3</v>
      </c>
      <c r="G452" s="9">
        <v>30</v>
      </c>
      <c r="H452" s="9">
        <v>0</v>
      </c>
      <c r="I452" s="9">
        <v>30</v>
      </c>
      <c r="J452" s="9">
        <v>0</v>
      </c>
      <c r="K452" s="9">
        <v>30</v>
      </c>
      <c r="L452" s="9">
        <v>0</v>
      </c>
      <c r="M452" s="9">
        <v>30</v>
      </c>
      <c r="N452" s="9">
        <v>0</v>
      </c>
      <c r="O452" s="9">
        <v>30</v>
      </c>
      <c r="P452" s="9">
        <v>0</v>
      </c>
      <c r="Q452" s="9">
        <v>30</v>
      </c>
      <c r="R452" s="9">
        <v>0</v>
      </c>
      <c r="S452" s="9">
        <v>30</v>
      </c>
      <c r="T452" s="9"/>
      <c r="U452" s="4">
        <f t="shared" si="14"/>
        <v>0</v>
      </c>
      <c r="W452" s="4">
        <v>200</v>
      </c>
      <c r="X452" s="4">
        <v>47</v>
      </c>
      <c r="Y452" s="4">
        <v>35</v>
      </c>
      <c r="Z452" s="4">
        <v>25</v>
      </c>
      <c r="AA452" s="4">
        <v>32</v>
      </c>
      <c r="AB452" s="4">
        <v>22</v>
      </c>
      <c r="AC452" s="4">
        <v>31</v>
      </c>
      <c r="AD452" s="4">
        <v>36</v>
      </c>
      <c r="AE452" s="4">
        <v>28</v>
      </c>
      <c r="AF452" s="4">
        <v>28</v>
      </c>
      <c r="AG452" s="4">
        <v>31</v>
      </c>
      <c r="AH452" s="4">
        <v>22</v>
      </c>
      <c r="AI452" s="7">
        <f t="shared" si="13"/>
        <v>747</v>
      </c>
      <c r="AJ452" s="7"/>
    </row>
    <row r="453" spans="1:36" x14ac:dyDescent="0.3">
      <c r="A453" s="12" t="s">
        <v>1042</v>
      </c>
      <c r="B453" s="12" t="str">
        <f>INDEX([1]오송!$C:$C,MATCH(D453,[1]오송!$D:$D,0))</f>
        <v>오송</v>
      </c>
      <c r="C453" s="12" t="s">
        <v>5</v>
      </c>
      <c r="D453" s="13">
        <v>9308831</v>
      </c>
      <c r="E453" s="12" t="s">
        <v>271</v>
      </c>
      <c r="F453" s="12" t="s">
        <v>3</v>
      </c>
      <c r="G453" s="9">
        <v>122</v>
      </c>
      <c r="H453" s="9">
        <v>0</v>
      </c>
      <c r="I453" s="9">
        <v>122</v>
      </c>
      <c r="J453" s="9">
        <v>0</v>
      </c>
      <c r="K453" s="9">
        <v>122</v>
      </c>
      <c r="L453" s="9">
        <v>0</v>
      </c>
      <c r="M453" s="9">
        <v>122</v>
      </c>
      <c r="N453" s="9">
        <v>0</v>
      </c>
      <c r="O453" s="9">
        <v>122</v>
      </c>
      <c r="P453" s="9">
        <v>0</v>
      </c>
      <c r="Q453" s="9">
        <v>122</v>
      </c>
      <c r="R453" s="9">
        <v>0</v>
      </c>
      <c r="S453" s="9">
        <v>122</v>
      </c>
      <c r="T453" s="9"/>
      <c r="U453" s="4">
        <f t="shared" si="14"/>
        <v>0</v>
      </c>
      <c r="W453" s="4">
        <v>200</v>
      </c>
      <c r="X453" s="4">
        <v>116</v>
      </c>
      <c r="Y453" s="4">
        <v>89</v>
      </c>
      <c r="Z453" s="4">
        <v>76</v>
      </c>
      <c r="AA453" s="4">
        <v>98</v>
      </c>
      <c r="AB453" s="4">
        <v>128</v>
      </c>
      <c r="AC453" s="4">
        <v>107</v>
      </c>
      <c r="AD453" s="4">
        <v>122</v>
      </c>
      <c r="AE453" s="4">
        <v>109</v>
      </c>
      <c r="AF453" s="4">
        <v>108</v>
      </c>
      <c r="AG453" s="4">
        <v>119</v>
      </c>
      <c r="AH453" s="4">
        <v>174</v>
      </c>
      <c r="AI453" s="7">
        <f t="shared" ref="AI453:AI516" si="15">SUM(G453:AH453)</f>
        <v>2300</v>
      </c>
      <c r="AJ453" s="7"/>
    </row>
    <row r="454" spans="1:36" x14ac:dyDescent="0.3">
      <c r="A454" s="12" t="s">
        <v>1042</v>
      </c>
      <c r="B454" s="12" t="str">
        <f>INDEX([1]오송!$C:$C,MATCH(D454,[1]오송!$D:$D,0))</f>
        <v>오송</v>
      </c>
      <c r="C454" s="12" t="s">
        <v>5</v>
      </c>
      <c r="D454" s="13">
        <v>9308832</v>
      </c>
      <c r="E454" s="12" t="s">
        <v>272</v>
      </c>
      <c r="F454" s="12" t="s">
        <v>3</v>
      </c>
      <c r="G454" s="9">
        <v>22</v>
      </c>
      <c r="H454" s="9">
        <v>0</v>
      </c>
      <c r="I454" s="9">
        <v>22</v>
      </c>
      <c r="J454" s="9">
        <v>0</v>
      </c>
      <c r="K454" s="9">
        <v>22</v>
      </c>
      <c r="L454" s="9">
        <v>0</v>
      </c>
      <c r="M454" s="9">
        <v>22</v>
      </c>
      <c r="N454" s="9">
        <v>0</v>
      </c>
      <c r="O454" s="9">
        <v>22</v>
      </c>
      <c r="P454" s="9">
        <v>0</v>
      </c>
      <c r="Q454" s="9">
        <v>22</v>
      </c>
      <c r="R454" s="9">
        <v>0</v>
      </c>
      <c r="S454" s="9">
        <v>22</v>
      </c>
      <c r="T454" s="9"/>
      <c r="U454" s="4">
        <f t="shared" si="14"/>
        <v>0</v>
      </c>
      <c r="W454" s="4">
        <v>40</v>
      </c>
      <c r="X454" s="4">
        <v>30</v>
      </c>
      <c r="Y454" s="4">
        <v>21</v>
      </c>
      <c r="Z454" s="4">
        <v>14</v>
      </c>
      <c r="AA454" s="4">
        <v>18</v>
      </c>
      <c r="AB454" s="4">
        <v>33</v>
      </c>
      <c r="AC454" s="4">
        <v>21</v>
      </c>
      <c r="AD454" s="4">
        <v>15</v>
      </c>
      <c r="AE454" s="4">
        <v>21</v>
      </c>
      <c r="AF454" s="4">
        <v>25</v>
      </c>
      <c r="AG454" s="4">
        <v>24</v>
      </c>
      <c r="AH454" s="4">
        <v>20</v>
      </c>
      <c r="AI454" s="7">
        <f t="shared" si="15"/>
        <v>436</v>
      </c>
      <c r="AJ454" s="7"/>
    </row>
    <row r="455" spans="1:36" x14ac:dyDescent="0.3">
      <c r="A455" s="12" t="s">
        <v>1044</v>
      </c>
      <c r="B455" s="12" t="s">
        <v>863</v>
      </c>
      <c r="C455" s="12" t="s">
        <v>5</v>
      </c>
      <c r="D455" s="13">
        <v>9309108</v>
      </c>
      <c r="E455" s="12" t="s">
        <v>487</v>
      </c>
      <c r="F455" s="12" t="s">
        <v>3</v>
      </c>
      <c r="G455" s="9">
        <v>19</v>
      </c>
      <c r="H455" s="9">
        <v>0</v>
      </c>
      <c r="I455" s="9">
        <v>20</v>
      </c>
      <c r="J455" s="9">
        <v>0</v>
      </c>
      <c r="K455" s="9">
        <v>24</v>
      </c>
      <c r="L455" s="9">
        <v>0</v>
      </c>
      <c r="M455" s="9">
        <v>22</v>
      </c>
      <c r="N455" s="9">
        <v>0</v>
      </c>
      <c r="O455" s="9">
        <v>22</v>
      </c>
      <c r="P455" s="9">
        <v>0</v>
      </c>
      <c r="Q455" s="9">
        <v>23</v>
      </c>
      <c r="R455" s="9">
        <v>0</v>
      </c>
      <c r="S455" s="9">
        <v>22.333333333333332</v>
      </c>
      <c r="T455" s="9"/>
      <c r="U455" s="4">
        <f t="shared" si="14"/>
        <v>0</v>
      </c>
      <c r="W455" s="4">
        <v>32</v>
      </c>
      <c r="X455" s="4">
        <v>28</v>
      </c>
      <c r="Y455" s="4">
        <v>31</v>
      </c>
      <c r="Z455" s="4">
        <v>71</v>
      </c>
      <c r="AA455" s="4">
        <v>45</v>
      </c>
      <c r="AB455" s="4">
        <v>26</v>
      </c>
      <c r="AC455" s="4">
        <v>37</v>
      </c>
      <c r="AD455" s="4">
        <v>23</v>
      </c>
      <c r="AE455" s="4">
        <v>35</v>
      </c>
      <c r="AF455" s="4">
        <v>17</v>
      </c>
      <c r="AG455" s="4">
        <v>33</v>
      </c>
      <c r="AH455" s="4">
        <v>9</v>
      </c>
      <c r="AI455" s="7">
        <f t="shared" si="15"/>
        <v>539.33333333333337</v>
      </c>
      <c r="AJ455" s="7"/>
    </row>
    <row r="456" spans="1:36" x14ac:dyDescent="0.3">
      <c r="A456" s="12" t="s">
        <v>1044</v>
      </c>
      <c r="B456" s="12" t="s">
        <v>863</v>
      </c>
      <c r="C456" s="12" t="s">
        <v>5</v>
      </c>
      <c r="D456" s="13">
        <v>9309358</v>
      </c>
      <c r="E456" s="12" t="s">
        <v>488</v>
      </c>
      <c r="F456" s="12" t="s">
        <v>3</v>
      </c>
      <c r="G456" s="9">
        <v>8000</v>
      </c>
      <c r="H456" s="9">
        <v>0</v>
      </c>
      <c r="I456" s="9">
        <v>5000</v>
      </c>
      <c r="J456" s="9">
        <v>46836.5</v>
      </c>
      <c r="K456" s="9">
        <v>5000</v>
      </c>
      <c r="L456" s="9">
        <v>0</v>
      </c>
      <c r="M456" s="9">
        <v>5500</v>
      </c>
      <c r="N456" s="9">
        <v>0</v>
      </c>
      <c r="O456" s="9">
        <v>4500</v>
      </c>
      <c r="P456" s="9">
        <v>0</v>
      </c>
      <c r="Q456" s="9">
        <v>5000</v>
      </c>
      <c r="R456" s="9">
        <v>0</v>
      </c>
      <c r="S456" s="9">
        <v>5000</v>
      </c>
      <c r="T456" s="9"/>
      <c r="U456" s="4">
        <f t="shared" si="14"/>
        <v>46836.5</v>
      </c>
      <c r="W456" s="4">
        <v>4524</v>
      </c>
      <c r="X456" s="4">
        <v>4668</v>
      </c>
      <c r="Y456" s="4">
        <v>4369</v>
      </c>
      <c r="Z456" s="4">
        <v>5470</v>
      </c>
      <c r="AA456" s="4">
        <v>4756</v>
      </c>
      <c r="AB456" s="4">
        <v>3510</v>
      </c>
      <c r="AC456" s="4">
        <v>4537</v>
      </c>
      <c r="AD456" s="4">
        <v>6555</v>
      </c>
      <c r="AE456" s="4">
        <v>5500</v>
      </c>
      <c r="AF456" s="4">
        <v>5575</v>
      </c>
      <c r="AG456" s="4">
        <v>5085</v>
      </c>
      <c r="AH456" s="4">
        <v>7007</v>
      </c>
      <c r="AI456" s="7">
        <f t="shared" si="15"/>
        <v>193229</v>
      </c>
      <c r="AJ456" s="7"/>
    </row>
    <row r="457" spans="1:36" x14ac:dyDescent="0.3">
      <c r="A457" s="12" t="s">
        <v>1042</v>
      </c>
      <c r="B457" s="12" t="s">
        <v>1041</v>
      </c>
      <c r="C457" s="12" t="s">
        <v>5</v>
      </c>
      <c r="D457" s="13">
        <v>9310297</v>
      </c>
      <c r="E457" s="12" t="s">
        <v>1040</v>
      </c>
      <c r="F457" s="12" t="s">
        <v>3</v>
      </c>
      <c r="G457" s="9">
        <v>0</v>
      </c>
      <c r="H457" s="9">
        <v>0</v>
      </c>
      <c r="I457" s="9">
        <v>0</v>
      </c>
      <c r="J457" s="9">
        <v>0</v>
      </c>
      <c r="K457" s="9">
        <v>0</v>
      </c>
      <c r="L457" s="9">
        <v>0</v>
      </c>
      <c r="M457" s="9">
        <v>0</v>
      </c>
      <c r="N457" s="9">
        <v>0</v>
      </c>
      <c r="O457" s="9">
        <v>0</v>
      </c>
      <c r="P457" s="9">
        <v>0</v>
      </c>
      <c r="Q457" s="9">
        <v>0</v>
      </c>
      <c r="R457" s="9">
        <v>0</v>
      </c>
      <c r="S457" s="9">
        <v>0</v>
      </c>
      <c r="T457" s="9"/>
      <c r="U457" s="4">
        <f t="shared" si="14"/>
        <v>0</v>
      </c>
      <c r="W457" s="4">
        <v>0</v>
      </c>
      <c r="X457" s="4">
        <v>9623</v>
      </c>
      <c r="Y457" s="4">
        <v>3208</v>
      </c>
      <c r="Z457" s="4">
        <v>0</v>
      </c>
      <c r="AA457" s="4">
        <v>3208</v>
      </c>
      <c r="AB457" s="4">
        <v>0</v>
      </c>
      <c r="AC457" s="4">
        <v>3208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7">
        <f t="shared" si="15"/>
        <v>19247</v>
      </c>
      <c r="AJ457" s="7"/>
    </row>
    <row r="458" spans="1:36" x14ac:dyDescent="0.3">
      <c r="A458" s="12" t="s">
        <v>1044</v>
      </c>
      <c r="B458" s="12" t="s">
        <v>863</v>
      </c>
      <c r="C458" s="12" t="s">
        <v>5</v>
      </c>
      <c r="D458" s="13">
        <v>9310637</v>
      </c>
      <c r="E458" s="12" t="s">
        <v>489</v>
      </c>
      <c r="F458" s="12" t="s">
        <v>3</v>
      </c>
      <c r="G458" s="9">
        <v>9993</v>
      </c>
      <c r="H458" s="9">
        <v>0</v>
      </c>
      <c r="I458" s="9">
        <v>9993</v>
      </c>
      <c r="J458" s="9">
        <v>19950</v>
      </c>
      <c r="K458" s="9">
        <v>9993</v>
      </c>
      <c r="L458" s="9">
        <v>0</v>
      </c>
      <c r="M458" s="9">
        <v>9993</v>
      </c>
      <c r="N458" s="9">
        <v>19950</v>
      </c>
      <c r="O458" s="9">
        <v>9993</v>
      </c>
      <c r="P458" s="9">
        <v>0</v>
      </c>
      <c r="Q458" s="9">
        <v>9993</v>
      </c>
      <c r="R458" s="9">
        <v>19950</v>
      </c>
      <c r="S458" s="9">
        <v>9993</v>
      </c>
      <c r="T458" s="9"/>
      <c r="U458" s="4">
        <f t="shared" si="14"/>
        <v>59850</v>
      </c>
      <c r="W458" s="4">
        <v>19869</v>
      </c>
      <c r="X458" s="4">
        <v>8287</v>
      </c>
      <c r="Y458" s="4">
        <v>16558</v>
      </c>
      <c r="Z458" s="4">
        <v>6586</v>
      </c>
      <c r="AA458" s="4">
        <v>8904</v>
      </c>
      <c r="AB458" s="4">
        <v>14293</v>
      </c>
      <c r="AC458" s="4">
        <v>9722</v>
      </c>
      <c r="AD458" s="4">
        <v>11925</v>
      </c>
      <c r="AE458" s="4">
        <v>10683</v>
      </c>
      <c r="AF458" s="4">
        <v>7927</v>
      </c>
      <c r="AG458" s="4">
        <v>10539</v>
      </c>
      <c r="AH458" s="4">
        <v>10439</v>
      </c>
      <c r="AI458" s="7">
        <f t="shared" si="15"/>
        <v>325383</v>
      </c>
      <c r="AJ458" s="7"/>
    </row>
    <row r="459" spans="1:36" x14ac:dyDescent="0.3">
      <c r="A459" s="12" t="s">
        <v>1044</v>
      </c>
      <c r="B459" s="12" t="s">
        <v>863</v>
      </c>
      <c r="C459" s="12" t="s">
        <v>5</v>
      </c>
      <c r="D459" s="13">
        <v>9311096</v>
      </c>
      <c r="E459" s="12" t="s">
        <v>490</v>
      </c>
      <c r="F459" s="12" t="s">
        <v>3</v>
      </c>
      <c r="G459" s="9">
        <v>1000</v>
      </c>
      <c r="H459" s="9">
        <v>0</v>
      </c>
      <c r="I459" s="9">
        <v>1000</v>
      </c>
      <c r="J459" s="9">
        <v>0</v>
      </c>
      <c r="K459" s="9">
        <v>3000</v>
      </c>
      <c r="L459" s="9">
        <v>0</v>
      </c>
      <c r="M459" s="9">
        <v>2500</v>
      </c>
      <c r="N459" s="9">
        <v>0</v>
      </c>
      <c r="O459" s="9">
        <v>2500</v>
      </c>
      <c r="P459" s="9">
        <v>0</v>
      </c>
      <c r="Q459" s="9">
        <v>2000</v>
      </c>
      <c r="R459" s="9">
        <v>0</v>
      </c>
      <c r="S459" s="9">
        <v>2333.3333333333335</v>
      </c>
      <c r="T459" s="9"/>
      <c r="U459" s="4">
        <f t="shared" si="14"/>
        <v>0</v>
      </c>
      <c r="W459" s="4">
        <v>1000</v>
      </c>
      <c r="X459" s="4">
        <v>820</v>
      </c>
      <c r="Y459" s="4">
        <v>1500</v>
      </c>
      <c r="Z459" s="4">
        <v>990</v>
      </c>
      <c r="AA459" s="4">
        <v>3000</v>
      </c>
      <c r="AB459" s="4">
        <v>1320</v>
      </c>
      <c r="AC459" s="4">
        <v>3000</v>
      </c>
      <c r="AD459" s="4">
        <v>2300</v>
      </c>
      <c r="AE459" s="4">
        <v>2200</v>
      </c>
      <c r="AF459" s="4">
        <v>1430</v>
      </c>
      <c r="AG459" s="4">
        <v>1700</v>
      </c>
      <c r="AH459" s="4">
        <v>1180</v>
      </c>
      <c r="AI459" s="7">
        <f t="shared" si="15"/>
        <v>34773.333333333336</v>
      </c>
      <c r="AJ459" s="7"/>
    </row>
    <row r="460" spans="1:36" x14ac:dyDescent="0.3">
      <c r="A460" s="12" t="s">
        <v>1044</v>
      </c>
      <c r="B460" s="12" t="s">
        <v>863</v>
      </c>
      <c r="C460" s="12" t="s">
        <v>5</v>
      </c>
      <c r="D460" s="13">
        <v>9311199</v>
      </c>
      <c r="E460" s="12" t="s">
        <v>491</v>
      </c>
      <c r="F460" s="12" t="s">
        <v>3</v>
      </c>
      <c r="G460" s="9">
        <v>5000</v>
      </c>
      <c r="H460" s="9">
        <v>0</v>
      </c>
      <c r="I460" s="9">
        <v>3000</v>
      </c>
      <c r="J460" s="9">
        <v>0</v>
      </c>
      <c r="K460" s="9">
        <v>6000</v>
      </c>
      <c r="L460" s="9">
        <v>0</v>
      </c>
      <c r="M460" s="9">
        <v>5000</v>
      </c>
      <c r="N460" s="9">
        <v>0</v>
      </c>
      <c r="O460" s="9">
        <v>5000</v>
      </c>
      <c r="P460" s="9">
        <v>0</v>
      </c>
      <c r="Q460" s="9">
        <v>5000</v>
      </c>
      <c r="R460" s="9">
        <v>0</v>
      </c>
      <c r="S460" s="9">
        <v>5000</v>
      </c>
      <c r="T460" s="9"/>
      <c r="U460" s="4">
        <f t="shared" si="14"/>
        <v>0</v>
      </c>
      <c r="W460" s="4">
        <v>5000</v>
      </c>
      <c r="X460" s="4">
        <v>1896</v>
      </c>
      <c r="Y460" s="4">
        <v>667</v>
      </c>
      <c r="Z460" s="4">
        <v>500</v>
      </c>
      <c r="AA460" s="4">
        <v>3800</v>
      </c>
      <c r="AB460" s="4">
        <v>536</v>
      </c>
      <c r="AC460" s="4">
        <v>16200</v>
      </c>
      <c r="AD460" s="4">
        <v>1742</v>
      </c>
      <c r="AE460" s="4">
        <v>1440</v>
      </c>
      <c r="AF460" s="4">
        <v>1044</v>
      </c>
      <c r="AG460" s="4">
        <v>5000</v>
      </c>
      <c r="AH460" s="4">
        <v>826</v>
      </c>
      <c r="AI460" s="7">
        <f t="shared" si="15"/>
        <v>72651</v>
      </c>
      <c r="AJ460" s="7"/>
    </row>
    <row r="461" spans="1:36" x14ac:dyDescent="0.3">
      <c r="A461" s="12" t="s">
        <v>1042</v>
      </c>
      <c r="B461" s="12" t="str">
        <f>INDEX([1]오송!$C:$C,MATCH(D461,[1]오송!$D:$D,0))</f>
        <v>오송</v>
      </c>
      <c r="C461" s="12" t="s">
        <v>5</v>
      </c>
      <c r="D461" s="13">
        <v>9311337</v>
      </c>
      <c r="E461" s="12" t="s">
        <v>273</v>
      </c>
      <c r="F461" s="12" t="s">
        <v>3</v>
      </c>
      <c r="G461" s="9">
        <v>175.2</v>
      </c>
      <c r="H461" s="9">
        <v>0</v>
      </c>
      <c r="I461" s="9">
        <v>175.2</v>
      </c>
      <c r="J461" s="9">
        <v>0</v>
      </c>
      <c r="K461" s="9">
        <v>175.2</v>
      </c>
      <c r="L461" s="9">
        <v>0</v>
      </c>
      <c r="M461" s="9">
        <v>175.2</v>
      </c>
      <c r="N461" s="9">
        <v>0</v>
      </c>
      <c r="O461" s="9">
        <v>175.2</v>
      </c>
      <c r="P461" s="9">
        <v>0</v>
      </c>
      <c r="Q461" s="9">
        <v>175.2</v>
      </c>
      <c r="R461" s="9">
        <v>0</v>
      </c>
      <c r="S461" s="9">
        <v>175.19999999999996</v>
      </c>
      <c r="T461" s="9"/>
      <c r="U461" s="4">
        <f t="shared" ref="U461:U487" si="16">SUM(T461,R461,P461,N461,L461,J461,H461)</f>
        <v>0</v>
      </c>
      <c r="W461" s="4">
        <v>5500</v>
      </c>
      <c r="X461" s="4">
        <v>5145</v>
      </c>
      <c r="Y461" s="4">
        <v>1500</v>
      </c>
      <c r="Z461" s="4">
        <v>1157</v>
      </c>
      <c r="AA461" s="4">
        <v>1229</v>
      </c>
      <c r="AB461" s="4">
        <v>634</v>
      </c>
      <c r="AC461" s="4">
        <v>0</v>
      </c>
      <c r="AD461" s="4">
        <v>141</v>
      </c>
      <c r="AE461" s="4">
        <v>195.6</v>
      </c>
      <c r="AF461" s="4">
        <v>299</v>
      </c>
      <c r="AG461" s="4">
        <v>175.2</v>
      </c>
      <c r="AH461" s="4">
        <v>375</v>
      </c>
      <c r="AI461" s="7">
        <f t="shared" si="15"/>
        <v>17577.2</v>
      </c>
      <c r="AJ461" s="7"/>
    </row>
    <row r="462" spans="1:36" x14ac:dyDescent="0.3">
      <c r="A462" s="12" t="s">
        <v>1042</v>
      </c>
      <c r="B462" s="12" t="str">
        <f>INDEX([1]오송!$C:$C,MATCH(D462,[1]오송!$D:$D,0))</f>
        <v>오송</v>
      </c>
      <c r="C462" s="12" t="s">
        <v>5</v>
      </c>
      <c r="D462" s="13">
        <v>9311338</v>
      </c>
      <c r="E462" s="12" t="s">
        <v>274</v>
      </c>
      <c r="F462" s="12" t="s">
        <v>3</v>
      </c>
      <c r="G462" s="9">
        <v>58.8</v>
      </c>
      <c r="H462" s="9">
        <v>0</v>
      </c>
      <c r="I462" s="9">
        <v>58.8</v>
      </c>
      <c r="J462" s="9">
        <v>0</v>
      </c>
      <c r="K462" s="9">
        <v>58.8</v>
      </c>
      <c r="L462" s="9">
        <v>0</v>
      </c>
      <c r="M462" s="9">
        <v>58.8</v>
      </c>
      <c r="N462" s="9">
        <v>0</v>
      </c>
      <c r="O462" s="9">
        <v>58.8</v>
      </c>
      <c r="P462" s="9">
        <v>0</v>
      </c>
      <c r="Q462" s="9">
        <v>58.8</v>
      </c>
      <c r="R462" s="9">
        <v>0</v>
      </c>
      <c r="S462" s="9">
        <v>58.79999999999999</v>
      </c>
      <c r="T462" s="9"/>
      <c r="U462" s="4">
        <f t="shared" si="16"/>
        <v>0</v>
      </c>
      <c r="W462" s="4">
        <v>1070</v>
      </c>
      <c r="X462" s="4">
        <v>1029</v>
      </c>
      <c r="Y462" s="4">
        <v>580</v>
      </c>
      <c r="Z462" s="4">
        <v>542</v>
      </c>
      <c r="AA462" s="4">
        <v>536.66666666666663</v>
      </c>
      <c r="AB462" s="4">
        <v>559</v>
      </c>
      <c r="AC462" s="4">
        <v>0</v>
      </c>
      <c r="AD462" s="4">
        <v>82</v>
      </c>
      <c r="AE462" s="4">
        <v>42.2</v>
      </c>
      <c r="AF462" s="4">
        <v>82</v>
      </c>
      <c r="AG462" s="4">
        <v>58.8</v>
      </c>
      <c r="AH462" s="4">
        <v>195</v>
      </c>
      <c r="AI462" s="7">
        <f t="shared" si="15"/>
        <v>5188.2666666666664</v>
      </c>
      <c r="AJ462" s="7"/>
    </row>
    <row r="463" spans="1:36" x14ac:dyDescent="0.3">
      <c r="A463" s="12" t="s">
        <v>1042</v>
      </c>
      <c r="B463" s="12" t="str">
        <f>INDEX([1]오송!$C:$C,MATCH(D463,[1]오송!$D:$D,0))</f>
        <v>오송</v>
      </c>
      <c r="C463" s="12" t="s">
        <v>5</v>
      </c>
      <c r="D463" s="13">
        <v>9311339</v>
      </c>
      <c r="E463" s="12" t="s">
        <v>275</v>
      </c>
      <c r="F463" s="12" t="s">
        <v>3</v>
      </c>
      <c r="G463" s="9">
        <v>1924.2</v>
      </c>
      <c r="H463" s="9">
        <v>0</v>
      </c>
      <c r="I463" s="9">
        <v>1624.2</v>
      </c>
      <c r="J463" s="9">
        <v>0</v>
      </c>
      <c r="K463" s="9">
        <v>2324.1999999999998</v>
      </c>
      <c r="L463" s="9">
        <v>0</v>
      </c>
      <c r="M463" s="9">
        <v>1924.2</v>
      </c>
      <c r="N463" s="9">
        <v>0</v>
      </c>
      <c r="O463" s="9">
        <v>1624.2</v>
      </c>
      <c r="P463" s="9">
        <v>0</v>
      </c>
      <c r="Q463" s="9">
        <v>2324.1999999999998</v>
      </c>
      <c r="R463" s="9">
        <v>0</v>
      </c>
      <c r="S463" s="9">
        <v>1957.5333333333331</v>
      </c>
      <c r="T463" s="9"/>
      <c r="U463" s="4">
        <f t="shared" si="16"/>
        <v>0</v>
      </c>
      <c r="W463" s="4">
        <v>165</v>
      </c>
      <c r="X463" s="4">
        <v>159</v>
      </c>
      <c r="Y463" s="4">
        <v>215</v>
      </c>
      <c r="Z463" s="4">
        <v>207</v>
      </c>
      <c r="AA463" s="4">
        <v>208</v>
      </c>
      <c r="AB463" s="4">
        <v>232</v>
      </c>
      <c r="AC463" s="4">
        <v>0</v>
      </c>
      <c r="AD463" s="4">
        <v>20</v>
      </c>
      <c r="AE463" s="4">
        <v>12.6</v>
      </c>
      <c r="AF463" s="4">
        <v>53</v>
      </c>
      <c r="AG463" s="4">
        <v>1024.2</v>
      </c>
      <c r="AH463" s="4">
        <v>1047</v>
      </c>
      <c r="AI463" s="7">
        <f t="shared" si="15"/>
        <v>17045.533333333333</v>
      </c>
      <c r="AJ463" s="7"/>
    </row>
    <row r="464" spans="1:36" x14ac:dyDescent="0.3">
      <c r="A464" s="12" t="s">
        <v>1042</v>
      </c>
      <c r="B464" s="12" t="str">
        <f>INDEX([1]오송!$C:$C,MATCH(D464,[1]오송!$D:$D,0))</f>
        <v>오송</v>
      </c>
      <c r="C464" s="12" t="s">
        <v>5</v>
      </c>
      <c r="D464" s="13">
        <v>9311378</v>
      </c>
      <c r="E464" s="12" t="s">
        <v>287</v>
      </c>
      <c r="F464" s="12" t="s">
        <v>3</v>
      </c>
      <c r="G464" s="9">
        <v>0</v>
      </c>
      <c r="H464" s="9">
        <v>0</v>
      </c>
      <c r="I464" s="9">
        <v>0</v>
      </c>
      <c r="J464" s="9">
        <v>0</v>
      </c>
      <c r="K464" s="9">
        <v>0</v>
      </c>
      <c r="L464" s="9">
        <v>0</v>
      </c>
      <c r="M464" s="9">
        <v>0</v>
      </c>
      <c r="N464" s="9">
        <v>0</v>
      </c>
      <c r="O464" s="9">
        <v>0</v>
      </c>
      <c r="P464" s="9">
        <v>0</v>
      </c>
      <c r="Q464" s="9">
        <v>0</v>
      </c>
      <c r="R464" s="9">
        <v>0</v>
      </c>
      <c r="S464" s="9">
        <v>0</v>
      </c>
      <c r="T464" s="9"/>
      <c r="U464" s="4">
        <f t="shared" si="16"/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6544</v>
      </c>
      <c r="AC464" s="4">
        <v>2181</v>
      </c>
      <c r="AD464" s="4">
        <v>0</v>
      </c>
      <c r="AE464" s="4">
        <v>2181</v>
      </c>
      <c r="AF464" s="4">
        <v>0</v>
      </c>
      <c r="AG464" s="4">
        <v>2181</v>
      </c>
      <c r="AH464" s="4">
        <v>0</v>
      </c>
      <c r="AI464" s="7">
        <f t="shared" si="15"/>
        <v>13087</v>
      </c>
      <c r="AJ464" s="7"/>
    </row>
    <row r="465" spans="1:36" x14ac:dyDescent="0.3">
      <c r="A465" s="12" t="s">
        <v>1042</v>
      </c>
      <c r="B465" s="12" t="str">
        <f>INDEX([1]오송!$C:$C,MATCH(D465,[1]오송!$D:$D,0))</f>
        <v>오송</v>
      </c>
      <c r="C465" s="12" t="s">
        <v>5</v>
      </c>
      <c r="D465" s="13">
        <v>9311379</v>
      </c>
      <c r="E465" s="12" t="s">
        <v>288</v>
      </c>
      <c r="F465" s="12" t="s">
        <v>3</v>
      </c>
      <c r="G465" s="9">
        <v>0</v>
      </c>
      <c r="H465" s="9">
        <v>0</v>
      </c>
      <c r="I465" s="9">
        <v>0</v>
      </c>
      <c r="J465" s="9">
        <v>0</v>
      </c>
      <c r="K465" s="9">
        <v>0</v>
      </c>
      <c r="L465" s="9">
        <v>0</v>
      </c>
      <c r="M465" s="9">
        <v>0</v>
      </c>
      <c r="N465" s="9">
        <v>0</v>
      </c>
      <c r="O465" s="9">
        <v>0</v>
      </c>
      <c r="P465" s="9">
        <v>0</v>
      </c>
      <c r="Q465" s="9">
        <v>0</v>
      </c>
      <c r="R465" s="9">
        <v>0</v>
      </c>
      <c r="S465" s="9">
        <v>0</v>
      </c>
      <c r="T465" s="9"/>
      <c r="U465" s="4">
        <f t="shared" si="16"/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6352</v>
      </c>
      <c r="AC465" s="4">
        <v>2117</v>
      </c>
      <c r="AD465" s="4">
        <v>0</v>
      </c>
      <c r="AE465" s="4">
        <v>2117</v>
      </c>
      <c r="AF465" s="4">
        <v>0</v>
      </c>
      <c r="AG465" s="4">
        <v>2117</v>
      </c>
      <c r="AH465" s="4">
        <v>0</v>
      </c>
      <c r="AI465" s="7">
        <f t="shared" si="15"/>
        <v>12703</v>
      </c>
      <c r="AJ465" s="7"/>
    </row>
    <row r="466" spans="1:36" x14ac:dyDescent="0.3">
      <c r="A466" s="12" t="s">
        <v>1044</v>
      </c>
      <c r="B466" s="12" t="s">
        <v>863</v>
      </c>
      <c r="C466" s="12" t="s">
        <v>5</v>
      </c>
      <c r="D466" s="13">
        <v>9311853</v>
      </c>
      <c r="E466" s="12" t="s">
        <v>492</v>
      </c>
      <c r="F466" s="12" t="s">
        <v>3</v>
      </c>
      <c r="G466" s="9">
        <v>30000</v>
      </c>
      <c r="H466" s="9">
        <v>0</v>
      </c>
      <c r="I466" s="9">
        <v>30000</v>
      </c>
      <c r="J466" s="9">
        <v>0</v>
      </c>
      <c r="K466" s="9">
        <v>40000</v>
      </c>
      <c r="L466" s="9">
        <v>0</v>
      </c>
      <c r="M466" s="9">
        <v>40000</v>
      </c>
      <c r="N466" s="9">
        <v>0</v>
      </c>
      <c r="O466" s="9">
        <v>40000</v>
      </c>
      <c r="P466" s="9">
        <v>0</v>
      </c>
      <c r="Q466" s="9">
        <v>40000</v>
      </c>
      <c r="R466" s="9">
        <v>0</v>
      </c>
      <c r="S466" s="9">
        <v>40000</v>
      </c>
      <c r="T466" s="9"/>
      <c r="U466" s="4">
        <f t="shared" si="16"/>
        <v>0</v>
      </c>
      <c r="W466" s="4">
        <v>62000</v>
      </c>
      <c r="X466" s="4">
        <v>0</v>
      </c>
      <c r="Y466" s="4">
        <v>58000</v>
      </c>
      <c r="Z466" s="4">
        <v>0</v>
      </c>
      <c r="AA466" s="4">
        <v>41000</v>
      </c>
      <c r="AB466" s="4">
        <v>13792</v>
      </c>
      <c r="AC466" s="4">
        <v>41000</v>
      </c>
      <c r="AD466" s="4">
        <v>47323</v>
      </c>
      <c r="AE466" s="4">
        <v>50000</v>
      </c>
      <c r="AF466" s="4">
        <v>51607</v>
      </c>
      <c r="AG466" s="4">
        <v>52000</v>
      </c>
      <c r="AH466" s="4">
        <v>48831</v>
      </c>
      <c r="AI466" s="7">
        <f t="shared" si="15"/>
        <v>725553</v>
      </c>
      <c r="AJ466" s="7"/>
    </row>
    <row r="467" spans="1:36" x14ac:dyDescent="0.3">
      <c r="A467" s="12" t="s">
        <v>1044</v>
      </c>
      <c r="B467" s="12" t="s">
        <v>863</v>
      </c>
      <c r="C467" s="12" t="s">
        <v>5</v>
      </c>
      <c r="D467" s="13">
        <v>9312124</v>
      </c>
      <c r="E467" s="12" t="s">
        <v>493</v>
      </c>
      <c r="F467" s="12" t="s">
        <v>3</v>
      </c>
      <c r="G467" s="9">
        <v>25000</v>
      </c>
      <c r="H467" s="9">
        <v>0</v>
      </c>
      <c r="I467" s="9">
        <v>100000</v>
      </c>
      <c r="J467" s="9">
        <v>0</v>
      </c>
      <c r="K467" s="9">
        <v>40000</v>
      </c>
      <c r="L467" s="9">
        <v>0</v>
      </c>
      <c r="M467" s="9">
        <v>60000</v>
      </c>
      <c r="N467" s="9">
        <v>94940</v>
      </c>
      <c r="O467" s="9">
        <v>60000</v>
      </c>
      <c r="P467" s="9">
        <v>0</v>
      </c>
      <c r="Q467" s="9">
        <v>60000</v>
      </c>
      <c r="R467" s="9">
        <v>0</v>
      </c>
      <c r="S467" s="9">
        <v>60000</v>
      </c>
      <c r="T467" s="9"/>
      <c r="U467" s="4">
        <f t="shared" si="16"/>
        <v>94940</v>
      </c>
      <c r="W467" s="4">
        <v>53000</v>
      </c>
      <c r="X467" s="4">
        <v>45941</v>
      </c>
      <c r="Y467" s="4">
        <v>100000</v>
      </c>
      <c r="Z467" s="4">
        <v>98850</v>
      </c>
      <c r="AA467" s="4">
        <v>100000</v>
      </c>
      <c r="AB467" s="4">
        <v>43035</v>
      </c>
      <c r="AC467" s="4">
        <v>100000</v>
      </c>
      <c r="AD467" s="4">
        <v>89430</v>
      </c>
      <c r="AE467" s="4">
        <v>33000</v>
      </c>
      <c r="AF467" s="4">
        <v>16774</v>
      </c>
      <c r="AG467" s="4">
        <v>20000</v>
      </c>
      <c r="AH467" s="4">
        <v>22245</v>
      </c>
      <c r="AI467" s="7">
        <f t="shared" si="15"/>
        <v>1317155</v>
      </c>
      <c r="AJ467" s="7"/>
    </row>
    <row r="468" spans="1:36" x14ac:dyDescent="0.3">
      <c r="A468" s="12" t="s">
        <v>1044</v>
      </c>
      <c r="B468" s="12" t="s">
        <v>863</v>
      </c>
      <c r="C468" s="12" t="s">
        <v>5</v>
      </c>
      <c r="D468" s="13">
        <v>9312130</v>
      </c>
      <c r="E468" s="12" t="s">
        <v>494</v>
      </c>
      <c r="F468" s="12" t="s">
        <v>3</v>
      </c>
      <c r="G468" s="9">
        <v>6</v>
      </c>
      <c r="H468" s="9">
        <v>0</v>
      </c>
      <c r="I468" s="9">
        <v>6</v>
      </c>
      <c r="J468" s="9">
        <v>0</v>
      </c>
      <c r="K468" s="9">
        <v>6</v>
      </c>
      <c r="L468" s="9">
        <v>0</v>
      </c>
      <c r="M468" s="9">
        <v>6</v>
      </c>
      <c r="N468" s="9">
        <v>0</v>
      </c>
      <c r="O468" s="9">
        <v>6</v>
      </c>
      <c r="P468" s="9">
        <v>0</v>
      </c>
      <c r="Q468" s="9">
        <v>6</v>
      </c>
      <c r="R468" s="9">
        <v>0</v>
      </c>
      <c r="S468" s="9">
        <v>6</v>
      </c>
      <c r="T468" s="9"/>
      <c r="U468" s="4">
        <f t="shared" si="16"/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7</v>
      </c>
      <c r="AC468" s="4">
        <v>2</v>
      </c>
      <c r="AD468" s="4">
        <v>0</v>
      </c>
      <c r="AE468" s="4">
        <v>2</v>
      </c>
      <c r="AF468" s="4">
        <v>9</v>
      </c>
      <c r="AG468" s="4">
        <v>5</v>
      </c>
      <c r="AH468" s="4">
        <v>3</v>
      </c>
      <c r="AI468" s="7">
        <f t="shared" si="15"/>
        <v>70</v>
      </c>
      <c r="AJ468" s="7"/>
    </row>
    <row r="469" spans="1:36" x14ac:dyDescent="0.3">
      <c r="A469" s="12" t="s">
        <v>1044</v>
      </c>
      <c r="B469" s="12" t="s">
        <v>863</v>
      </c>
      <c r="C469" s="12" t="s">
        <v>5</v>
      </c>
      <c r="D469" s="13">
        <v>9312187</v>
      </c>
      <c r="E469" s="12" t="s">
        <v>495</v>
      </c>
      <c r="F469" s="12" t="s">
        <v>3</v>
      </c>
      <c r="G469" s="9">
        <v>500</v>
      </c>
      <c r="H469" s="9">
        <v>0</v>
      </c>
      <c r="I469" s="9">
        <v>500</v>
      </c>
      <c r="J469" s="9">
        <v>0</v>
      </c>
      <c r="K469" s="9">
        <v>500</v>
      </c>
      <c r="L469" s="9">
        <v>0</v>
      </c>
      <c r="M469" s="9">
        <v>500</v>
      </c>
      <c r="N469" s="9">
        <v>0</v>
      </c>
      <c r="O469" s="9">
        <v>0</v>
      </c>
      <c r="P469" s="9">
        <v>0</v>
      </c>
      <c r="Q469" s="9">
        <v>0</v>
      </c>
      <c r="R469" s="9">
        <v>0</v>
      </c>
      <c r="S469" s="9">
        <v>166.66666666666666</v>
      </c>
      <c r="T469" s="9"/>
      <c r="U469" s="4">
        <f t="shared" si="16"/>
        <v>0</v>
      </c>
      <c r="W469" s="4">
        <v>3000</v>
      </c>
      <c r="X469" s="4">
        <v>936</v>
      </c>
      <c r="Y469" s="4">
        <v>3000</v>
      </c>
      <c r="Z469" s="4">
        <v>423</v>
      </c>
      <c r="AA469" s="4">
        <v>1000</v>
      </c>
      <c r="AB469" s="4">
        <v>682</v>
      </c>
      <c r="AC469" s="4">
        <v>1000</v>
      </c>
      <c r="AD469" s="4">
        <v>603</v>
      </c>
      <c r="AE469" s="4">
        <v>1000</v>
      </c>
      <c r="AF469" s="4">
        <v>474</v>
      </c>
      <c r="AG469" s="4">
        <v>1000</v>
      </c>
      <c r="AH469" s="4">
        <v>466</v>
      </c>
      <c r="AI469" s="7">
        <f t="shared" si="15"/>
        <v>15750.666666666666</v>
      </c>
      <c r="AJ469" s="7"/>
    </row>
    <row r="470" spans="1:36" x14ac:dyDescent="0.3">
      <c r="A470" s="12" t="s">
        <v>1044</v>
      </c>
      <c r="B470" s="12" t="s">
        <v>863</v>
      </c>
      <c r="C470" s="12" t="s">
        <v>5</v>
      </c>
      <c r="D470" s="13">
        <v>9312291</v>
      </c>
      <c r="E470" s="12" t="s">
        <v>496</v>
      </c>
      <c r="F470" s="12" t="s">
        <v>3</v>
      </c>
      <c r="G470" s="9">
        <v>4</v>
      </c>
      <c r="H470" s="9">
        <v>0</v>
      </c>
      <c r="I470" s="9">
        <v>4</v>
      </c>
      <c r="J470" s="9">
        <v>0</v>
      </c>
      <c r="K470" s="9">
        <v>4</v>
      </c>
      <c r="L470" s="9">
        <v>0</v>
      </c>
      <c r="M470" s="9">
        <v>4</v>
      </c>
      <c r="N470" s="9">
        <v>0</v>
      </c>
      <c r="O470" s="9">
        <v>4</v>
      </c>
      <c r="P470" s="9">
        <v>0</v>
      </c>
      <c r="Q470" s="9">
        <v>4</v>
      </c>
      <c r="R470" s="9">
        <v>0</v>
      </c>
      <c r="S470" s="9">
        <v>4</v>
      </c>
      <c r="T470" s="9"/>
      <c r="U470" s="4">
        <f t="shared" si="16"/>
        <v>0</v>
      </c>
      <c r="W470" s="4">
        <v>0</v>
      </c>
      <c r="X470" s="4">
        <v>3</v>
      </c>
      <c r="Y470" s="4">
        <v>1</v>
      </c>
      <c r="Z470" s="4">
        <v>0</v>
      </c>
      <c r="AA470" s="4">
        <v>1</v>
      </c>
      <c r="AB470" s="4">
        <v>7</v>
      </c>
      <c r="AC470" s="4">
        <v>3</v>
      </c>
      <c r="AD470" s="4">
        <v>2</v>
      </c>
      <c r="AE470" s="4">
        <v>3</v>
      </c>
      <c r="AF470" s="4">
        <v>3</v>
      </c>
      <c r="AG470" s="4">
        <v>4</v>
      </c>
      <c r="AH470" s="4">
        <v>7</v>
      </c>
      <c r="AI470" s="7">
        <f t="shared" si="15"/>
        <v>62</v>
      </c>
      <c r="AJ470" s="7"/>
    </row>
    <row r="471" spans="1:36" x14ac:dyDescent="0.3">
      <c r="A471" s="12" t="s">
        <v>1042</v>
      </c>
      <c r="B471" s="12" t="str">
        <f>INDEX([1]오송!$C:$C,MATCH(D471,[1]오송!$D:$D,0))</f>
        <v>오송</v>
      </c>
      <c r="C471" s="12" t="s">
        <v>5</v>
      </c>
      <c r="D471" s="13">
        <v>9313108</v>
      </c>
      <c r="E471" s="12" t="s">
        <v>289</v>
      </c>
      <c r="F471" s="12" t="s">
        <v>3</v>
      </c>
      <c r="G471" s="9">
        <v>0</v>
      </c>
      <c r="H471" s="9">
        <v>0</v>
      </c>
      <c r="I471" s="9">
        <v>0</v>
      </c>
      <c r="J471" s="9">
        <v>0</v>
      </c>
      <c r="K471" s="9">
        <v>0</v>
      </c>
      <c r="L471" s="9">
        <v>0</v>
      </c>
      <c r="M471" s="9">
        <v>0</v>
      </c>
      <c r="N471" s="9">
        <v>0</v>
      </c>
      <c r="O471" s="9">
        <v>0</v>
      </c>
      <c r="P471" s="9">
        <v>0</v>
      </c>
      <c r="Q471" s="9">
        <v>0</v>
      </c>
      <c r="R471" s="9">
        <v>0</v>
      </c>
      <c r="S471" s="9">
        <v>0</v>
      </c>
      <c r="T471" s="9"/>
      <c r="U471" s="4">
        <f t="shared" si="16"/>
        <v>0</v>
      </c>
      <c r="W471" s="4">
        <v>9000</v>
      </c>
      <c r="X471" s="4">
        <v>0</v>
      </c>
      <c r="Y471" s="4">
        <v>0</v>
      </c>
      <c r="Z471" s="4">
        <v>0</v>
      </c>
      <c r="AA471" s="4">
        <v>0</v>
      </c>
      <c r="AB471" s="4">
        <v>8386</v>
      </c>
      <c r="AC471" s="4">
        <v>2795</v>
      </c>
      <c r="AD471" s="4">
        <v>0</v>
      </c>
      <c r="AE471" s="4">
        <v>2795</v>
      </c>
      <c r="AF471" s="4">
        <v>0</v>
      </c>
      <c r="AG471" s="4">
        <v>2795</v>
      </c>
      <c r="AH471" s="4">
        <v>0</v>
      </c>
      <c r="AI471" s="7">
        <f t="shared" si="15"/>
        <v>25771</v>
      </c>
      <c r="AJ471" s="7"/>
    </row>
    <row r="472" spans="1:36" x14ac:dyDescent="0.3">
      <c r="A472" s="12" t="s">
        <v>1034</v>
      </c>
      <c r="B472" s="12" t="s">
        <v>863</v>
      </c>
      <c r="C472" s="12" t="s">
        <v>867</v>
      </c>
      <c r="D472" s="13">
        <v>9313366</v>
      </c>
      <c r="E472" s="12" t="s">
        <v>497</v>
      </c>
      <c r="F472" s="12" t="s">
        <v>3</v>
      </c>
      <c r="G472" s="9">
        <v>1669</v>
      </c>
      <c r="H472" s="9">
        <v>0</v>
      </c>
      <c r="I472" s="9">
        <v>1669</v>
      </c>
      <c r="J472" s="9">
        <v>3636</v>
      </c>
      <c r="K472" s="9">
        <v>1669</v>
      </c>
      <c r="L472" s="9">
        <v>0</v>
      </c>
      <c r="M472" s="9">
        <v>1669</v>
      </c>
      <c r="N472" s="9">
        <v>3636</v>
      </c>
      <c r="O472" s="9">
        <v>1669</v>
      </c>
      <c r="P472" s="9">
        <v>0</v>
      </c>
      <c r="Q472" s="9">
        <v>1669</v>
      </c>
      <c r="R472" s="9">
        <v>0</v>
      </c>
      <c r="S472" s="9">
        <v>1669</v>
      </c>
      <c r="T472" s="9"/>
      <c r="U472" s="4">
        <f t="shared" si="16"/>
        <v>7272</v>
      </c>
      <c r="W472" s="4">
        <v>0</v>
      </c>
      <c r="X472" s="4">
        <v>0</v>
      </c>
      <c r="Y472" s="4">
        <v>0</v>
      </c>
      <c r="Z472" s="4">
        <v>0</v>
      </c>
      <c r="AA472" s="4">
        <v>1667</v>
      </c>
      <c r="AB472" s="4">
        <v>723</v>
      </c>
      <c r="AC472" s="4">
        <v>241</v>
      </c>
      <c r="AD472" s="4">
        <v>2480</v>
      </c>
      <c r="AE472" s="4">
        <v>1280</v>
      </c>
      <c r="AF472" s="4">
        <v>1289</v>
      </c>
      <c r="AG472" s="4">
        <v>1497</v>
      </c>
      <c r="AH472" s="4">
        <v>2063</v>
      </c>
      <c r="AI472" s="7">
        <f t="shared" si="15"/>
        <v>37467</v>
      </c>
      <c r="AJ472" s="7"/>
    </row>
    <row r="473" spans="1:36" x14ac:dyDescent="0.3">
      <c r="A473" s="12" t="s">
        <v>1044</v>
      </c>
      <c r="B473" s="12" t="s">
        <v>863</v>
      </c>
      <c r="C473" s="12" t="s">
        <v>5</v>
      </c>
      <c r="D473" s="13">
        <v>9313453</v>
      </c>
      <c r="E473" s="12" t="s">
        <v>709</v>
      </c>
      <c r="F473" s="12" t="s">
        <v>3</v>
      </c>
      <c r="G473" s="9">
        <v>3</v>
      </c>
      <c r="H473" s="9">
        <v>0</v>
      </c>
      <c r="I473" s="9">
        <v>3</v>
      </c>
      <c r="J473" s="9">
        <v>0</v>
      </c>
      <c r="K473" s="9">
        <v>3</v>
      </c>
      <c r="L473" s="9">
        <v>0</v>
      </c>
      <c r="M473" s="9">
        <v>3</v>
      </c>
      <c r="N473" s="9">
        <v>0</v>
      </c>
      <c r="O473" s="9">
        <v>3</v>
      </c>
      <c r="P473" s="9">
        <v>0</v>
      </c>
      <c r="Q473" s="9">
        <v>3</v>
      </c>
      <c r="R473" s="9">
        <v>0</v>
      </c>
      <c r="S473" s="9">
        <v>3</v>
      </c>
      <c r="T473" s="9"/>
      <c r="U473" s="4">
        <f t="shared" si="16"/>
        <v>0</v>
      </c>
      <c r="W473" s="4">
        <v>413.22314049586777</v>
      </c>
      <c r="X473" s="4">
        <v>0</v>
      </c>
      <c r="Y473" s="4">
        <v>1446.2809917355371</v>
      </c>
      <c r="Z473" s="4">
        <v>3</v>
      </c>
      <c r="AA473" s="4">
        <v>5</v>
      </c>
      <c r="AB473" s="4">
        <v>3</v>
      </c>
      <c r="AC473" s="4">
        <v>2</v>
      </c>
      <c r="AD473" s="4">
        <v>2</v>
      </c>
      <c r="AE473" s="4">
        <v>3</v>
      </c>
      <c r="AF473" s="4">
        <v>3</v>
      </c>
      <c r="AG473" s="4">
        <v>3</v>
      </c>
      <c r="AH473" s="4">
        <v>0</v>
      </c>
      <c r="AI473" s="7">
        <f t="shared" si="15"/>
        <v>1904.5041322314048</v>
      </c>
      <c r="AJ473" s="7"/>
    </row>
    <row r="474" spans="1:36" x14ac:dyDescent="0.3">
      <c r="A474" s="12" t="s">
        <v>1044</v>
      </c>
      <c r="B474" s="12" t="s">
        <v>864</v>
      </c>
      <c r="C474" s="12" t="s">
        <v>5</v>
      </c>
      <c r="D474" s="13">
        <v>9313454</v>
      </c>
      <c r="E474" s="12" t="s">
        <v>710</v>
      </c>
      <c r="F474" s="12" t="s">
        <v>3</v>
      </c>
      <c r="G474" s="9">
        <v>0</v>
      </c>
      <c r="H474" s="9">
        <v>0</v>
      </c>
      <c r="I474" s="9">
        <v>0</v>
      </c>
      <c r="J474" s="9">
        <v>0</v>
      </c>
      <c r="K474" s="9">
        <v>0</v>
      </c>
      <c r="L474" s="9">
        <v>0</v>
      </c>
      <c r="M474" s="9">
        <v>0</v>
      </c>
      <c r="N474" s="9">
        <v>0</v>
      </c>
      <c r="O474" s="9">
        <v>0</v>
      </c>
      <c r="P474" s="9">
        <v>0</v>
      </c>
      <c r="Q474" s="9">
        <v>0</v>
      </c>
      <c r="R474" s="9">
        <v>0</v>
      </c>
      <c r="S474" s="9">
        <v>0</v>
      </c>
      <c r="T474" s="9"/>
      <c r="U474" s="4">
        <f t="shared" si="16"/>
        <v>0</v>
      </c>
      <c r="W474" s="4">
        <v>1239.6694214876034</v>
      </c>
      <c r="X474" s="4">
        <v>0</v>
      </c>
      <c r="Y474" s="4">
        <v>895.31680440771345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7">
        <f t="shared" si="15"/>
        <v>2134.9862258953167</v>
      </c>
      <c r="AJ474" s="7"/>
    </row>
    <row r="475" spans="1:36" x14ac:dyDescent="0.3">
      <c r="A475" s="12" t="s">
        <v>1042</v>
      </c>
      <c r="B475" s="12" t="str">
        <f>INDEX([1]오송!$C:$C,MATCH(D475,[1]오송!$D:$D,0))</f>
        <v>오송</v>
      </c>
      <c r="C475" s="12" t="s">
        <v>5</v>
      </c>
      <c r="D475" s="13">
        <v>9400256</v>
      </c>
      <c r="E475" s="12" t="s">
        <v>290</v>
      </c>
      <c r="F475" s="12" t="s">
        <v>3</v>
      </c>
      <c r="G475" s="9">
        <v>39000</v>
      </c>
      <c r="H475" s="9">
        <v>0</v>
      </c>
      <c r="I475" s="9">
        <v>50000</v>
      </c>
      <c r="J475" s="9">
        <v>0</v>
      </c>
      <c r="K475" s="9">
        <v>65000</v>
      </c>
      <c r="L475" s="9">
        <v>0</v>
      </c>
      <c r="M475" s="9">
        <v>70000</v>
      </c>
      <c r="N475" s="9">
        <v>0</v>
      </c>
      <c r="O475" s="9">
        <v>70000</v>
      </c>
      <c r="P475" s="9">
        <v>0</v>
      </c>
      <c r="Q475" s="9">
        <v>70000</v>
      </c>
      <c r="R475" s="9">
        <v>0</v>
      </c>
      <c r="S475" s="9">
        <v>70000</v>
      </c>
      <c r="T475" s="9"/>
      <c r="U475" s="4">
        <f t="shared" si="16"/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7255</v>
      </c>
      <c r="AC475" s="4">
        <v>0</v>
      </c>
      <c r="AD475" s="4">
        <v>29785</v>
      </c>
      <c r="AE475" s="4">
        <v>44527.866666666669</v>
      </c>
      <c r="AF475" s="4">
        <v>18897</v>
      </c>
      <c r="AG475" s="4">
        <v>18646</v>
      </c>
      <c r="AH475" s="4">
        <v>29456</v>
      </c>
      <c r="AI475" s="7">
        <f t="shared" si="15"/>
        <v>582566.8666666667</v>
      </c>
      <c r="AJ475" s="7"/>
    </row>
    <row r="476" spans="1:36" x14ac:dyDescent="0.3">
      <c r="A476" s="12" t="s">
        <v>1015</v>
      </c>
      <c r="B476" s="12" t="s">
        <v>863</v>
      </c>
      <c r="C476" s="12" t="s">
        <v>1012</v>
      </c>
      <c r="D476" s="13">
        <v>7400090</v>
      </c>
      <c r="E476" s="12" t="s">
        <v>713</v>
      </c>
      <c r="F476" s="12" t="s">
        <v>3</v>
      </c>
      <c r="G476" s="9">
        <v>9000</v>
      </c>
      <c r="H476" s="9">
        <v>0</v>
      </c>
      <c r="I476" s="9">
        <v>20000</v>
      </c>
      <c r="J476" s="9">
        <v>25000</v>
      </c>
      <c r="K476" s="9">
        <v>20000</v>
      </c>
      <c r="L476" s="9">
        <v>0</v>
      </c>
      <c r="M476" s="9">
        <v>20000</v>
      </c>
      <c r="N476" s="9">
        <v>0</v>
      </c>
      <c r="O476" s="9">
        <v>20000</v>
      </c>
      <c r="P476" s="9">
        <v>0</v>
      </c>
      <c r="Q476" s="9">
        <v>20000</v>
      </c>
      <c r="R476" s="9">
        <v>0</v>
      </c>
      <c r="S476" s="9">
        <v>20000</v>
      </c>
      <c r="T476" s="9"/>
      <c r="U476" s="4">
        <f t="shared" si="16"/>
        <v>25000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2000</v>
      </c>
      <c r="AF476" s="4">
        <v>0</v>
      </c>
      <c r="AG476" s="4">
        <v>6000</v>
      </c>
      <c r="AH476" s="4">
        <v>0</v>
      </c>
      <c r="AI476" s="7">
        <f t="shared" si="15"/>
        <v>187000</v>
      </c>
      <c r="AJ476" s="7"/>
    </row>
    <row r="477" spans="1:36" x14ac:dyDescent="0.3">
      <c r="A477" s="12" t="s">
        <v>1015</v>
      </c>
      <c r="B477" s="12" t="s">
        <v>863</v>
      </c>
      <c r="C477" s="12" t="s">
        <v>1012</v>
      </c>
      <c r="D477" s="13">
        <v>7400091</v>
      </c>
      <c r="E477" s="12" t="s">
        <v>714</v>
      </c>
      <c r="F477" s="12" t="s">
        <v>3</v>
      </c>
      <c r="G477" s="9">
        <v>9000</v>
      </c>
      <c r="H477" s="9">
        <v>0</v>
      </c>
      <c r="I477" s="9">
        <v>20000</v>
      </c>
      <c r="J477" s="9">
        <v>25000</v>
      </c>
      <c r="K477" s="9">
        <v>20000</v>
      </c>
      <c r="L477" s="9">
        <v>0</v>
      </c>
      <c r="M477" s="9">
        <v>20000</v>
      </c>
      <c r="N477" s="9">
        <v>0</v>
      </c>
      <c r="O477" s="9">
        <v>20000</v>
      </c>
      <c r="P477" s="9">
        <v>0</v>
      </c>
      <c r="Q477" s="9">
        <v>20000</v>
      </c>
      <c r="R477" s="9">
        <v>0</v>
      </c>
      <c r="S477" s="9">
        <v>20000</v>
      </c>
      <c r="T477" s="9"/>
      <c r="U477" s="4">
        <f t="shared" si="16"/>
        <v>25000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2000</v>
      </c>
      <c r="AF477" s="4">
        <v>0</v>
      </c>
      <c r="AG477" s="4">
        <v>6000</v>
      </c>
      <c r="AH477" s="4">
        <v>0</v>
      </c>
      <c r="AI477" s="7">
        <f t="shared" si="15"/>
        <v>187000</v>
      </c>
      <c r="AJ477" s="7"/>
    </row>
    <row r="478" spans="1:36" x14ac:dyDescent="0.3">
      <c r="A478" s="12" t="s">
        <v>1015</v>
      </c>
      <c r="B478" s="12" t="s">
        <v>863</v>
      </c>
      <c r="C478" s="12" t="s">
        <v>1012</v>
      </c>
      <c r="D478" s="13">
        <v>7400092</v>
      </c>
      <c r="E478" s="12" t="s">
        <v>715</v>
      </c>
      <c r="F478" s="12" t="s">
        <v>3</v>
      </c>
      <c r="G478" s="9">
        <v>9000</v>
      </c>
      <c r="H478" s="9">
        <v>0</v>
      </c>
      <c r="I478" s="9">
        <v>20000</v>
      </c>
      <c r="J478" s="9">
        <v>25000</v>
      </c>
      <c r="K478" s="9">
        <v>20000</v>
      </c>
      <c r="L478" s="9">
        <v>0</v>
      </c>
      <c r="M478" s="9">
        <v>20000</v>
      </c>
      <c r="N478" s="9">
        <v>0</v>
      </c>
      <c r="O478" s="9">
        <v>20000</v>
      </c>
      <c r="P478" s="9">
        <v>0</v>
      </c>
      <c r="Q478" s="9">
        <v>20000</v>
      </c>
      <c r="R478" s="9">
        <v>0</v>
      </c>
      <c r="S478" s="9">
        <v>20000</v>
      </c>
      <c r="T478" s="9"/>
      <c r="U478" s="4">
        <f t="shared" si="16"/>
        <v>25000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2000</v>
      </c>
      <c r="AF478" s="4">
        <v>0</v>
      </c>
      <c r="AG478" s="4">
        <v>6000</v>
      </c>
      <c r="AH478" s="4">
        <v>0</v>
      </c>
      <c r="AI478" s="7">
        <f t="shared" si="15"/>
        <v>187000</v>
      </c>
      <c r="AJ478" s="7"/>
    </row>
    <row r="479" spans="1:36" x14ac:dyDescent="0.3">
      <c r="A479" s="12" t="s">
        <v>1015</v>
      </c>
      <c r="B479" s="12" t="s">
        <v>863</v>
      </c>
      <c r="C479" s="12" t="s">
        <v>1012</v>
      </c>
      <c r="D479" s="13">
        <v>7302295</v>
      </c>
      <c r="E479" s="12" t="s">
        <v>687</v>
      </c>
      <c r="F479" s="12" t="s">
        <v>3</v>
      </c>
      <c r="G479" s="9">
        <v>4480</v>
      </c>
      <c r="H479" s="9">
        <v>0</v>
      </c>
      <c r="I479" s="9">
        <v>0</v>
      </c>
      <c r="J479" s="9">
        <v>0</v>
      </c>
      <c r="K479" s="9">
        <v>0</v>
      </c>
      <c r="L479" s="9">
        <v>0</v>
      </c>
      <c r="M479" s="9">
        <v>5040</v>
      </c>
      <c r="N479" s="9">
        <v>0</v>
      </c>
      <c r="O479" s="9">
        <v>0</v>
      </c>
      <c r="P479" s="9">
        <v>0</v>
      </c>
      <c r="Q479" s="9">
        <v>0</v>
      </c>
      <c r="R479" s="9">
        <v>0</v>
      </c>
      <c r="S479" s="9">
        <v>1680</v>
      </c>
      <c r="T479" s="9"/>
      <c r="U479" s="4">
        <f t="shared" si="16"/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5040</v>
      </c>
      <c r="AF479" s="4">
        <v>0</v>
      </c>
      <c r="AG479" s="4">
        <v>4480</v>
      </c>
      <c r="AH479" s="4">
        <v>0</v>
      </c>
      <c r="AI479" s="7">
        <f t="shared" si="15"/>
        <v>20720</v>
      </c>
      <c r="AJ479" s="7"/>
    </row>
    <row r="480" spans="1:36" x14ac:dyDescent="0.3">
      <c r="A480" s="12" t="s">
        <v>1015</v>
      </c>
      <c r="B480" s="12" t="s">
        <v>863</v>
      </c>
      <c r="C480" s="12" t="s">
        <v>1012</v>
      </c>
      <c r="D480" s="13">
        <v>7302423</v>
      </c>
      <c r="E480" s="12" t="s">
        <v>700</v>
      </c>
      <c r="F480" s="12" t="s">
        <v>3</v>
      </c>
      <c r="G480" s="9">
        <v>0</v>
      </c>
      <c r="H480" s="9">
        <v>0</v>
      </c>
      <c r="I480" s="9">
        <v>0</v>
      </c>
      <c r="J480" s="9">
        <v>0</v>
      </c>
      <c r="K480" s="9">
        <v>0</v>
      </c>
      <c r="L480" s="9">
        <v>0</v>
      </c>
      <c r="M480" s="9">
        <v>0</v>
      </c>
      <c r="N480" s="9">
        <v>0</v>
      </c>
      <c r="O480" s="9">
        <v>0</v>
      </c>
      <c r="P480" s="9">
        <v>0</v>
      </c>
      <c r="Q480" s="9">
        <v>0</v>
      </c>
      <c r="R480" s="9">
        <v>0</v>
      </c>
      <c r="S480" s="9">
        <v>0</v>
      </c>
      <c r="T480" s="9"/>
      <c r="U480" s="4">
        <f t="shared" si="16"/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20</v>
      </c>
      <c r="AF480" s="4">
        <v>0</v>
      </c>
      <c r="AG480" s="4">
        <v>150</v>
      </c>
      <c r="AH480" s="4">
        <v>0</v>
      </c>
      <c r="AI480" s="7">
        <f t="shared" si="15"/>
        <v>170</v>
      </c>
      <c r="AJ480" s="7"/>
    </row>
    <row r="481" spans="1:36" x14ac:dyDescent="0.3">
      <c r="A481" s="12" t="s">
        <v>1044</v>
      </c>
      <c r="B481" s="12" t="s">
        <v>863</v>
      </c>
      <c r="C481" s="12" t="s">
        <v>5</v>
      </c>
      <c r="D481" s="13">
        <v>9401695</v>
      </c>
      <c r="E481" s="12" t="s">
        <v>712</v>
      </c>
      <c r="F481" s="12" t="s">
        <v>3</v>
      </c>
      <c r="G481" s="9">
        <v>0</v>
      </c>
      <c r="H481" s="9">
        <v>0</v>
      </c>
      <c r="I481" s="9">
        <v>5000</v>
      </c>
      <c r="J481" s="9">
        <v>0</v>
      </c>
      <c r="K481" s="9">
        <v>25000</v>
      </c>
      <c r="L481" s="9">
        <v>0</v>
      </c>
      <c r="M481" s="9">
        <v>30000</v>
      </c>
      <c r="N481" s="9">
        <v>0</v>
      </c>
      <c r="O481" s="9">
        <v>30000</v>
      </c>
      <c r="P481" s="9">
        <v>0</v>
      </c>
      <c r="Q481" s="9">
        <v>30000</v>
      </c>
      <c r="R481" s="9">
        <v>0</v>
      </c>
      <c r="S481" s="9">
        <v>30000</v>
      </c>
      <c r="T481" s="9"/>
      <c r="U481" s="4">
        <f t="shared" si="16"/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7">
        <f t="shared" si="15"/>
        <v>150000</v>
      </c>
      <c r="AJ481" s="7"/>
    </row>
    <row r="482" spans="1:36" x14ac:dyDescent="0.3">
      <c r="A482" s="12" t="s">
        <v>1015</v>
      </c>
      <c r="B482" s="12" t="s">
        <v>863</v>
      </c>
      <c r="C482" s="12" t="s">
        <v>1012</v>
      </c>
      <c r="D482" s="13">
        <v>7400023</v>
      </c>
      <c r="E482" s="12" t="s">
        <v>720</v>
      </c>
      <c r="F482" s="12" t="s">
        <v>3</v>
      </c>
      <c r="G482" s="9">
        <v>0</v>
      </c>
      <c r="H482" s="9">
        <v>0</v>
      </c>
      <c r="I482" s="9">
        <v>0</v>
      </c>
      <c r="J482" s="9">
        <v>0</v>
      </c>
      <c r="K482" s="9">
        <v>0</v>
      </c>
      <c r="L482" s="9">
        <v>0</v>
      </c>
      <c r="M482" s="9">
        <v>0</v>
      </c>
      <c r="N482" s="9">
        <v>0</v>
      </c>
      <c r="O482" s="9">
        <v>0</v>
      </c>
      <c r="P482" s="9">
        <v>0</v>
      </c>
      <c r="Q482" s="9">
        <v>0</v>
      </c>
      <c r="R482" s="9">
        <v>3799</v>
      </c>
      <c r="S482" s="9">
        <v>0</v>
      </c>
      <c r="T482" s="9"/>
      <c r="U482" s="4">
        <f t="shared" si="16"/>
        <v>3799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2000</v>
      </c>
      <c r="AF482" s="4">
        <v>0</v>
      </c>
      <c r="AG482" s="4">
        <v>1000</v>
      </c>
      <c r="AH482" s="4">
        <v>0</v>
      </c>
      <c r="AI482" s="7">
        <f t="shared" si="15"/>
        <v>10598</v>
      </c>
      <c r="AJ482" s="7"/>
    </row>
    <row r="483" spans="1:36" x14ac:dyDescent="0.3">
      <c r="A483" s="12" t="s">
        <v>1011</v>
      </c>
      <c r="B483" s="12" t="s">
        <v>863</v>
      </c>
      <c r="C483" s="12" t="s">
        <v>1012</v>
      </c>
      <c r="D483" s="13">
        <v>7400041</v>
      </c>
      <c r="E483" s="12" t="s">
        <v>721</v>
      </c>
      <c r="F483" s="12" t="s">
        <v>3</v>
      </c>
      <c r="G483" s="9">
        <v>36</v>
      </c>
      <c r="H483" s="9">
        <v>0</v>
      </c>
      <c r="I483" s="9">
        <v>36</v>
      </c>
      <c r="J483" s="9">
        <v>0</v>
      </c>
      <c r="K483" s="9">
        <v>36</v>
      </c>
      <c r="L483" s="9">
        <v>0</v>
      </c>
      <c r="M483" s="9">
        <v>36</v>
      </c>
      <c r="N483" s="9">
        <v>0</v>
      </c>
      <c r="O483" s="9">
        <v>36</v>
      </c>
      <c r="P483" s="9">
        <v>0</v>
      </c>
      <c r="Q483" s="9">
        <v>36</v>
      </c>
      <c r="R483" s="9">
        <v>0</v>
      </c>
      <c r="S483" s="9">
        <v>36</v>
      </c>
      <c r="T483" s="9"/>
      <c r="U483" s="4">
        <f t="shared" si="16"/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36</v>
      </c>
      <c r="AF483" s="4">
        <v>0</v>
      </c>
      <c r="AG483" s="4">
        <v>36</v>
      </c>
      <c r="AH483" s="4">
        <v>0</v>
      </c>
      <c r="AI483" s="7">
        <f t="shared" si="15"/>
        <v>324</v>
      </c>
      <c r="AJ483" s="7"/>
    </row>
    <row r="484" spans="1:36" x14ac:dyDescent="0.3">
      <c r="A484" s="12" t="s">
        <v>1011</v>
      </c>
      <c r="B484" s="12" t="s">
        <v>863</v>
      </c>
      <c r="C484" s="12" t="s">
        <v>1012</v>
      </c>
      <c r="D484" s="13">
        <v>7400079</v>
      </c>
      <c r="E484" s="12" t="s">
        <v>722</v>
      </c>
      <c r="F484" s="12" t="s">
        <v>3</v>
      </c>
      <c r="G484" s="9">
        <v>457</v>
      </c>
      <c r="H484" s="9">
        <v>0</v>
      </c>
      <c r="I484" s="9">
        <v>472</v>
      </c>
      <c r="J484" s="9">
        <v>0</v>
      </c>
      <c r="K484" s="9">
        <v>487</v>
      </c>
      <c r="L484" s="9">
        <v>0</v>
      </c>
      <c r="M484" s="9">
        <v>501</v>
      </c>
      <c r="N484" s="9">
        <v>0</v>
      </c>
      <c r="O484" s="9">
        <v>516</v>
      </c>
      <c r="P484" s="9">
        <v>0</v>
      </c>
      <c r="Q484" s="9">
        <v>531</v>
      </c>
      <c r="R484" s="9">
        <v>0</v>
      </c>
      <c r="S484" s="9">
        <v>516</v>
      </c>
      <c r="T484" s="9"/>
      <c r="U484" s="4">
        <f t="shared" si="16"/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428</v>
      </c>
      <c r="AF484" s="4">
        <v>0</v>
      </c>
      <c r="AG484" s="4">
        <v>442</v>
      </c>
      <c r="AH484" s="4">
        <v>0</v>
      </c>
      <c r="AI484" s="7">
        <f t="shared" si="15"/>
        <v>4350</v>
      </c>
      <c r="AJ484" s="7"/>
    </row>
    <row r="485" spans="1:36" x14ac:dyDescent="0.3">
      <c r="A485" s="12" t="s">
        <v>1044</v>
      </c>
      <c r="B485" s="12" t="s">
        <v>863</v>
      </c>
      <c r="C485" s="12" t="s">
        <v>5</v>
      </c>
      <c r="D485" s="13">
        <v>9402734</v>
      </c>
      <c r="E485" s="12" t="s">
        <v>727</v>
      </c>
      <c r="F485" s="12" t="s">
        <v>3</v>
      </c>
      <c r="G485" s="9">
        <v>0</v>
      </c>
      <c r="H485" s="9">
        <v>0</v>
      </c>
      <c r="I485" s="9">
        <v>0</v>
      </c>
      <c r="J485" s="9">
        <v>4083.3333333333335</v>
      </c>
      <c r="K485" s="9">
        <v>2000</v>
      </c>
      <c r="L485" s="9">
        <v>4083.3333333333335</v>
      </c>
      <c r="M485" s="9">
        <v>4000</v>
      </c>
      <c r="N485" s="9">
        <v>8166.666666666667</v>
      </c>
      <c r="O485" s="9">
        <v>4000</v>
      </c>
      <c r="P485" s="9">
        <v>8166.666666666667</v>
      </c>
      <c r="Q485" s="9">
        <v>5000</v>
      </c>
      <c r="R485" s="9">
        <v>4083.3333333333335</v>
      </c>
      <c r="S485" s="9">
        <v>4333.333333333333</v>
      </c>
      <c r="T485" s="9"/>
      <c r="U485" s="4">
        <f t="shared" si="16"/>
        <v>28583.333333333332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7">
        <f t="shared" si="15"/>
        <v>76500</v>
      </c>
      <c r="AJ485" s="7"/>
    </row>
    <row r="486" spans="1:36" x14ac:dyDescent="0.3">
      <c r="A486" s="12" t="s">
        <v>1027</v>
      </c>
      <c r="B486" s="12" t="s">
        <v>864</v>
      </c>
      <c r="C486" s="12" t="s">
        <v>1039</v>
      </c>
      <c r="D486" s="13">
        <v>7400050</v>
      </c>
      <c r="E486" s="12" t="s">
        <v>848</v>
      </c>
      <c r="F486" s="12" t="s">
        <v>3</v>
      </c>
      <c r="G486" s="9">
        <v>670</v>
      </c>
      <c r="H486" s="9">
        <v>900</v>
      </c>
      <c r="I486" s="9">
        <v>670</v>
      </c>
      <c r="J486" s="9">
        <v>0</v>
      </c>
      <c r="K486" s="9">
        <v>670</v>
      </c>
      <c r="L486" s="24"/>
      <c r="M486" s="9">
        <v>670</v>
      </c>
      <c r="N486" s="9">
        <v>0</v>
      </c>
      <c r="O486" s="9">
        <v>670</v>
      </c>
      <c r="P486" s="24">
        <v>5400</v>
      </c>
      <c r="Q486" s="9">
        <v>670</v>
      </c>
      <c r="R486" s="9">
        <v>0</v>
      </c>
      <c r="S486" s="9">
        <v>670</v>
      </c>
      <c r="T486" s="9"/>
      <c r="U486" s="4">
        <f t="shared" si="16"/>
        <v>6300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4</v>
      </c>
      <c r="AC486" s="4">
        <v>0</v>
      </c>
      <c r="AD486" s="4">
        <v>249</v>
      </c>
      <c r="AE486" s="4">
        <v>0</v>
      </c>
      <c r="AF486" s="4">
        <v>348</v>
      </c>
      <c r="AG486" s="4">
        <v>0</v>
      </c>
      <c r="AH486" s="4">
        <v>549</v>
      </c>
      <c r="AI486" s="7">
        <f t="shared" si="15"/>
        <v>18440</v>
      </c>
      <c r="AJ486" s="7"/>
    </row>
    <row r="487" spans="1:36" x14ac:dyDescent="0.3">
      <c r="A487" s="12" t="s">
        <v>1010</v>
      </c>
      <c r="B487" s="12" t="s">
        <v>863</v>
      </c>
      <c r="C487" s="12" t="s">
        <v>1012</v>
      </c>
      <c r="D487" s="13">
        <v>7300121</v>
      </c>
      <c r="E487" s="12" t="s">
        <v>728</v>
      </c>
      <c r="F487" s="12" t="s">
        <v>3</v>
      </c>
      <c r="G487" s="9">
        <v>5298.3684364889887</v>
      </c>
      <c r="H487" s="9">
        <v>12000</v>
      </c>
      <c r="I487" s="9">
        <v>5298.3684364889887</v>
      </c>
      <c r="J487" s="9">
        <v>0</v>
      </c>
      <c r="K487" s="9">
        <v>6202.8470517314054</v>
      </c>
      <c r="L487" s="9">
        <v>12000</v>
      </c>
      <c r="M487" s="9">
        <v>10227.257325377879</v>
      </c>
      <c r="N487" s="9">
        <v>0</v>
      </c>
      <c r="O487" s="9">
        <v>10138.368436488989</v>
      </c>
      <c r="P487" s="9">
        <v>12000</v>
      </c>
      <c r="Q487" s="9"/>
      <c r="R487" s="9">
        <v>0</v>
      </c>
      <c r="S487" s="9"/>
      <c r="T487" s="9"/>
      <c r="U487" s="4">
        <f t="shared" si="16"/>
        <v>36000</v>
      </c>
      <c r="W487" s="4">
        <v>1692.3076923076926</v>
      </c>
      <c r="X487" s="4">
        <v>1606.1538871794874</v>
      </c>
      <c r="Y487" s="4">
        <v>1692.3076923076926</v>
      </c>
      <c r="Z487" s="4">
        <v>806.15389743589753</v>
      </c>
      <c r="AA487" s="4">
        <v>1692.3076923076926</v>
      </c>
      <c r="AB487" s="4">
        <v>799.99998974358982</v>
      </c>
      <c r="AC487" s="4">
        <v>1579.4871794871797</v>
      </c>
      <c r="AD487" s="4">
        <v>0</v>
      </c>
      <c r="AE487" s="4">
        <v>1579.4871794871797</v>
      </c>
      <c r="AF487" s="4">
        <v>799.99998974358982</v>
      </c>
      <c r="AG487" s="4">
        <v>799.99998974358982</v>
      </c>
      <c r="AH487" s="4">
        <v>0</v>
      </c>
      <c r="AI487" s="7">
        <f t="shared" si="15"/>
        <v>122213.41487631985</v>
      </c>
    </row>
    <row r="488" spans="1:36" x14ac:dyDescent="0.3">
      <c r="A488" s="12" t="s">
        <v>1010</v>
      </c>
      <c r="B488" s="12" t="s">
        <v>863</v>
      </c>
      <c r="C488" s="12" t="s">
        <v>1012</v>
      </c>
      <c r="D488" s="13">
        <v>7301807</v>
      </c>
      <c r="E488" s="12" t="s">
        <v>729</v>
      </c>
      <c r="F488" s="12" t="s">
        <v>3</v>
      </c>
      <c r="G488" s="9">
        <v>988.30825496342732</v>
      </c>
      <c r="H488" s="9">
        <v>0</v>
      </c>
      <c r="I488" s="9">
        <v>988.30825496342732</v>
      </c>
      <c r="J488" s="9">
        <v>0</v>
      </c>
      <c r="K488" s="9">
        <v>1186.847377070962</v>
      </c>
      <c r="L488" s="9">
        <v>0</v>
      </c>
      <c r="M488" s="9">
        <v>990.92261218067983</v>
      </c>
      <c r="N488" s="9">
        <v>0</v>
      </c>
      <c r="O488" s="9">
        <v>990.92261218067983</v>
      </c>
      <c r="P488" s="9">
        <v>0</v>
      </c>
      <c r="Q488" s="9"/>
      <c r="R488" s="9">
        <v>0</v>
      </c>
      <c r="S488" s="9"/>
      <c r="T488" s="9"/>
      <c r="W488" s="4">
        <v>0</v>
      </c>
      <c r="X488" s="4">
        <v>0</v>
      </c>
      <c r="Y488" s="4">
        <v>0</v>
      </c>
      <c r="Z488" s="4">
        <v>56.770526071304147</v>
      </c>
      <c r="AA488" s="4">
        <v>0</v>
      </c>
      <c r="AB488" s="4">
        <v>0</v>
      </c>
      <c r="AC488" s="4">
        <v>0</v>
      </c>
      <c r="AD488" s="4">
        <v>120.67378933921728</v>
      </c>
      <c r="AE488" s="4">
        <v>0</v>
      </c>
      <c r="AF488" s="4">
        <v>270.7366159563349</v>
      </c>
      <c r="AG488" s="4">
        <v>36.000464522122869</v>
      </c>
      <c r="AH488" s="4">
        <v>0</v>
      </c>
      <c r="AI488" s="7">
        <f t="shared" si="15"/>
        <v>5629.4905072481552</v>
      </c>
    </row>
    <row r="489" spans="1:36" x14ac:dyDescent="0.3">
      <c r="A489" s="12" t="s">
        <v>1010</v>
      </c>
      <c r="B489" s="12" t="s">
        <v>863</v>
      </c>
      <c r="C489" s="12" t="s">
        <v>1012</v>
      </c>
      <c r="D489" s="13">
        <v>7300120</v>
      </c>
      <c r="E489" s="12" t="s">
        <v>730</v>
      </c>
      <c r="F489" s="12" t="s">
        <v>3</v>
      </c>
      <c r="G489" s="9">
        <v>2107.7645722203424</v>
      </c>
      <c r="H489" s="9">
        <v>12000</v>
      </c>
      <c r="I489" s="9">
        <v>2107.7645722203424</v>
      </c>
      <c r="J489" s="9">
        <v>0</v>
      </c>
      <c r="K489" s="9">
        <v>3845.3156348241546</v>
      </c>
      <c r="L489" s="9">
        <v>0</v>
      </c>
      <c r="M489" s="9">
        <v>2366.3466271190678</v>
      </c>
      <c r="N489" s="9">
        <v>0</v>
      </c>
      <c r="O489" s="9">
        <v>3704.5574747692167</v>
      </c>
      <c r="P489" s="9">
        <v>12000</v>
      </c>
      <c r="Q489" s="9"/>
      <c r="R489" s="9">
        <v>0</v>
      </c>
      <c r="S489" s="9"/>
      <c r="T489" s="9"/>
      <c r="W489" s="4">
        <v>723.20841551610783</v>
      </c>
      <c r="X489" s="4">
        <v>0</v>
      </c>
      <c r="Y489" s="4">
        <v>723.20841551610783</v>
      </c>
      <c r="Z489" s="4">
        <v>639.99996055226825</v>
      </c>
      <c r="AA489" s="4">
        <v>867.85009861932951</v>
      </c>
      <c r="AB489" s="4">
        <v>639.99996055226825</v>
      </c>
      <c r="AC489" s="4">
        <v>723.20841551610783</v>
      </c>
      <c r="AD489" s="4">
        <v>0</v>
      </c>
      <c r="AE489" s="4">
        <v>723.20841551610783</v>
      </c>
      <c r="AF489" s="4">
        <v>639.99996055226825</v>
      </c>
      <c r="AG489" s="4">
        <v>867.85009861932951</v>
      </c>
      <c r="AH489" s="4">
        <v>0</v>
      </c>
      <c r="AI489" s="7">
        <f t="shared" si="15"/>
        <v>44680.282622113016</v>
      </c>
    </row>
    <row r="490" spans="1:36" x14ac:dyDescent="0.3">
      <c r="A490" s="12" t="s">
        <v>1010</v>
      </c>
      <c r="B490" s="12" t="s">
        <v>863</v>
      </c>
      <c r="C490" s="12" t="s">
        <v>1012</v>
      </c>
      <c r="D490" s="13">
        <v>7300194</v>
      </c>
      <c r="E490" s="12" t="s">
        <v>731</v>
      </c>
      <c r="F490" s="12" t="s">
        <v>3</v>
      </c>
      <c r="G490" s="9">
        <v>2820.5334837617856</v>
      </c>
      <c r="H490" s="9">
        <v>0</v>
      </c>
      <c r="I490" s="9">
        <v>2820.5334837617856</v>
      </c>
      <c r="J490" s="9">
        <v>10000</v>
      </c>
      <c r="K490" s="9">
        <v>3223.4668385848981</v>
      </c>
      <c r="L490" s="9">
        <v>0</v>
      </c>
      <c r="M490" s="9">
        <v>2820.5334837617856</v>
      </c>
      <c r="N490" s="9">
        <v>0</v>
      </c>
      <c r="O490" s="9">
        <v>2820.5334837617856</v>
      </c>
      <c r="P490" s="9">
        <v>10000</v>
      </c>
      <c r="Q490" s="9"/>
      <c r="R490" s="9">
        <v>10000</v>
      </c>
      <c r="S490" s="9"/>
      <c r="T490" s="9"/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7">
        <f t="shared" si="15"/>
        <v>44505.600773632039</v>
      </c>
    </row>
    <row r="491" spans="1:36" x14ac:dyDescent="0.3">
      <c r="A491" s="12" t="s">
        <v>1010</v>
      </c>
      <c r="B491" s="12" t="s">
        <v>863</v>
      </c>
      <c r="C491" s="12" t="s">
        <v>1012</v>
      </c>
      <c r="D491" s="13">
        <v>7300195</v>
      </c>
      <c r="E491" s="12" t="s">
        <v>732</v>
      </c>
      <c r="F491" s="12" t="s">
        <v>3</v>
      </c>
      <c r="G491" s="9">
        <v>1642.966862780537</v>
      </c>
      <c r="H491" s="9">
        <v>6000</v>
      </c>
      <c r="I491" s="9">
        <v>1642.966862780537</v>
      </c>
      <c r="J491" s="9">
        <v>0</v>
      </c>
      <c r="K491" s="9">
        <v>1840.925957333945</v>
      </c>
      <c r="L491" s="9">
        <v>0</v>
      </c>
      <c r="M491" s="9">
        <v>1990.6974258523678</v>
      </c>
      <c r="N491" s="9">
        <v>0</v>
      </c>
      <c r="O491" s="9">
        <v>2465.7311640440012</v>
      </c>
      <c r="P491" s="9">
        <v>6000</v>
      </c>
      <c r="Q491" s="9"/>
      <c r="R491" s="9">
        <v>0</v>
      </c>
      <c r="S491" s="9"/>
      <c r="T491" s="9"/>
      <c r="W491" s="4">
        <v>1900.134952766532</v>
      </c>
      <c r="X491" s="4">
        <v>959.99995681511484</v>
      </c>
      <c r="Y491" s="4">
        <v>1900.134952766532</v>
      </c>
      <c r="Z491" s="4">
        <v>1439.9999352226723</v>
      </c>
      <c r="AA491" s="4">
        <v>1484.4804318488532</v>
      </c>
      <c r="AB491" s="4">
        <v>1459.9999244264509</v>
      </c>
      <c r="AC491" s="4">
        <v>1425.1012145748989</v>
      </c>
      <c r="AD491" s="4">
        <v>0</v>
      </c>
      <c r="AE491" s="4">
        <v>1425.1012145748989</v>
      </c>
      <c r="AF491" s="4">
        <v>1199.9999460188935</v>
      </c>
      <c r="AG491" s="4">
        <v>1459.9999244264509</v>
      </c>
      <c r="AH491" s="4">
        <v>0</v>
      </c>
      <c r="AI491" s="7">
        <f t="shared" si="15"/>
        <v>36238.240726232689</v>
      </c>
    </row>
    <row r="492" spans="1:36" x14ac:dyDescent="0.3">
      <c r="A492" s="12" t="s">
        <v>1010</v>
      </c>
      <c r="B492" s="12" t="s">
        <v>863</v>
      </c>
      <c r="C492" s="12" t="s">
        <v>1012</v>
      </c>
      <c r="D492" s="13">
        <v>7301186</v>
      </c>
      <c r="E492" s="12" t="s">
        <v>733</v>
      </c>
      <c r="F492" s="12" t="s">
        <v>3</v>
      </c>
      <c r="G492" s="9">
        <v>1868.0157821051291</v>
      </c>
      <c r="H492" s="9">
        <v>0</v>
      </c>
      <c r="I492" s="9">
        <v>1868.0157821051291</v>
      </c>
      <c r="J492" s="9">
        <v>0</v>
      </c>
      <c r="K492" s="9">
        <v>2280.3869161257476</v>
      </c>
      <c r="L492" s="9">
        <v>0</v>
      </c>
      <c r="M492" s="9">
        <v>1868.0157821051291</v>
      </c>
      <c r="N492" s="9">
        <v>0</v>
      </c>
      <c r="O492" s="9">
        <v>1868.0157821051291</v>
      </c>
      <c r="P492" s="9">
        <v>0</v>
      </c>
      <c r="Q492" s="9"/>
      <c r="R492" s="9">
        <v>0</v>
      </c>
      <c r="S492" s="9"/>
      <c r="T492" s="9"/>
      <c r="W492" s="4">
        <v>0</v>
      </c>
      <c r="X492" s="4">
        <v>0</v>
      </c>
      <c r="Y492" s="4">
        <v>0</v>
      </c>
      <c r="Z492" s="4">
        <v>230.58078763341922</v>
      </c>
      <c r="AA492" s="4">
        <v>0</v>
      </c>
      <c r="AB492" s="4">
        <v>0</v>
      </c>
      <c r="AC492" s="4">
        <v>0</v>
      </c>
      <c r="AD492" s="4">
        <v>149.59624585940375</v>
      </c>
      <c r="AE492" s="4">
        <v>0</v>
      </c>
      <c r="AF492" s="4">
        <v>1628.2857931542142</v>
      </c>
      <c r="AG492" s="4">
        <v>338.77603974972396</v>
      </c>
      <c r="AH492" s="4">
        <v>0</v>
      </c>
      <c r="AI492" s="7">
        <f t="shared" si="15"/>
        <v>12099.688910943025</v>
      </c>
    </row>
    <row r="493" spans="1:36" x14ac:dyDescent="0.3">
      <c r="A493" s="12" t="s">
        <v>1010</v>
      </c>
      <c r="B493" s="12" t="s">
        <v>863</v>
      </c>
      <c r="C493" s="12" t="s">
        <v>1012</v>
      </c>
      <c r="D493" s="13">
        <v>7301187</v>
      </c>
      <c r="E493" s="12" t="s">
        <v>734</v>
      </c>
      <c r="F493" s="12" t="s">
        <v>3</v>
      </c>
      <c r="G493" s="9">
        <v>2873.2500442177425</v>
      </c>
      <c r="H493" s="9">
        <v>0</v>
      </c>
      <c r="I493" s="9">
        <v>2873.2500442177425</v>
      </c>
      <c r="J493" s="9">
        <v>0</v>
      </c>
      <c r="K493" s="9">
        <v>3086.8121906173278</v>
      </c>
      <c r="L493" s="9">
        <v>18000</v>
      </c>
      <c r="M493" s="9">
        <v>2959.1290929987913</v>
      </c>
      <c r="N493" s="9">
        <v>0</v>
      </c>
      <c r="O493" s="9">
        <v>2835.1621508500311</v>
      </c>
      <c r="P493" s="9">
        <v>0</v>
      </c>
      <c r="Q493" s="9"/>
      <c r="R493" s="9">
        <v>0</v>
      </c>
      <c r="S493" s="9"/>
      <c r="T493" s="9"/>
      <c r="W493" s="4">
        <v>370.75208913649033</v>
      </c>
      <c r="X493" s="4">
        <v>198.00003064066854</v>
      </c>
      <c r="Y493" s="4">
        <v>306.40668523676885</v>
      </c>
      <c r="Z493" s="4">
        <v>702.36044846796665</v>
      </c>
      <c r="AA493" s="4">
        <v>260.4456824512535</v>
      </c>
      <c r="AB493" s="4">
        <v>423.00000557103067</v>
      </c>
      <c r="AC493" s="4">
        <v>153.20334261838443</v>
      </c>
      <c r="AD493" s="4">
        <v>693.99998885793877</v>
      </c>
      <c r="AE493" s="4">
        <v>153.20334261838443</v>
      </c>
      <c r="AF493" s="4">
        <v>313.73201114206131</v>
      </c>
      <c r="AG493" s="4">
        <v>612.8133704735377</v>
      </c>
      <c r="AH493" s="4">
        <v>0</v>
      </c>
      <c r="AI493" s="7">
        <f t="shared" si="15"/>
        <v>36815.520520116122</v>
      </c>
    </row>
    <row r="494" spans="1:36" x14ac:dyDescent="0.3">
      <c r="A494" s="12" t="s">
        <v>1010</v>
      </c>
      <c r="B494" s="12" t="s">
        <v>863</v>
      </c>
      <c r="C494" s="12" t="s">
        <v>1012</v>
      </c>
      <c r="D494" s="13">
        <v>7301260</v>
      </c>
      <c r="E494" s="12" t="s">
        <v>735</v>
      </c>
      <c r="F494" s="12" t="s">
        <v>3</v>
      </c>
      <c r="G494" s="9">
        <v>633.20167037967542</v>
      </c>
      <c r="H494" s="9">
        <v>0</v>
      </c>
      <c r="I494" s="9">
        <v>633.20167037967542</v>
      </c>
      <c r="J494" s="9">
        <v>0</v>
      </c>
      <c r="K494" s="9">
        <v>496.8132361189007</v>
      </c>
      <c r="L494" s="9">
        <v>2500</v>
      </c>
      <c r="M494" s="9">
        <v>552.01470679877855</v>
      </c>
      <c r="N494" s="9">
        <v>0</v>
      </c>
      <c r="O494" s="9">
        <v>496.8132361189007</v>
      </c>
      <c r="P494" s="9">
        <v>0</v>
      </c>
      <c r="Q494" s="9"/>
      <c r="R494" s="9">
        <v>2000</v>
      </c>
      <c r="S494" s="9"/>
      <c r="T494" s="9"/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7">
        <f t="shared" si="15"/>
        <v>7312.0445197959307</v>
      </c>
    </row>
    <row r="495" spans="1:36" x14ac:dyDescent="0.3">
      <c r="A495" s="12" t="s">
        <v>1010</v>
      </c>
      <c r="B495" s="12" t="s">
        <v>863</v>
      </c>
      <c r="C495" s="12" t="s">
        <v>1012</v>
      </c>
      <c r="D495" s="13">
        <v>7301409</v>
      </c>
      <c r="E495" s="12" t="s">
        <v>736</v>
      </c>
      <c r="F495" s="12" t="s">
        <v>3</v>
      </c>
      <c r="G495" s="9">
        <v>1599.9540442671637</v>
      </c>
      <c r="H495" s="9">
        <v>0</v>
      </c>
      <c r="I495" s="9">
        <v>1599.9540442671637</v>
      </c>
      <c r="J495" s="9">
        <v>0</v>
      </c>
      <c r="K495" s="9">
        <v>2760.0990315141762</v>
      </c>
      <c r="L495" s="9">
        <v>0</v>
      </c>
      <c r="M495" s="9">
        <v>1491.3999843453228</v>
      </c>
      <c r="N495" s="9">
        <v>0</v>
      </c>
      <c r="O495" s="9">
        <v>1652.5590452291408</v>
      </c>
      <c r="P495" s="9">
        <v>0</v>
      </c>
      <c r="Q495" s="9"/>
      <c r="R495" s="9">
        <v>0</v>
      </c>
      <c r="S495" s="9"/>
      <c r="T495" s="9"/>
      <c r="W495" s="4">
        <v>0</v>
      </c>
      <c r="X495" s="4">
        <v>35.256738413806474</v>
      </c>
      <c r="Y495" s="4">
        <v>0</v>
      </c>
      <c r="Z495" s="4">
        <v>116.11770409152608</v>
      </c>
      <c r="AA495" s="4">
        <v>0</v>
      </c>
      <c r="AB495" s="4">
        <v>53.70467325964708</v>
      </c>
      <c r="AC495" s="4">
        <v>0</v>
      </c>
      <c r="AD495" s="4">
        <v>747.21146015125078</v>
      </c>
      <c r="AE495" s="4">
        <v>0</v>
      </c>
      <c r="AF495" s="4">
        <v>1730.3943184021718</v>
      </c>
      <c r="AG495" s="4">
        <v>78.005138646499901</v>
      </c>
      <c r="AH495" s="4">
        <v>0</v>
      </c>
      <c r="AI495" s="7">
        <f t="shared" si="15"/>
        <v>11864.656182587869</v>
      </c>
    </row>
    <row r="496" spans="1:36" x14ac:dyDescent="0.3">
      <c r="A496" s="12" t="s">
        <v>1010</v>
      </c>
      <c r="B496" s="12" t="s">
        <v>863</v>
      </c>
      <c r="C496" s="12" t="s">
        <v>1012</v>
      </c>
      <c r="D496" s="13">
        <v>7301697</v>
      </c>
      <c r="E496" s="12" t="s">
        <v>737</v>
      </c>
      <c r="F496" s="12" t="s">
        <v>3</v>
      </c>
      <c r="G496" s="9">
        <v>24324.990269684313</v>
      </c>
      <c r="H496" s="9">
        <v>40000</v>
      </c>
      <c r="I496" s="9">
        <v>24324.990269684313</v>
      </c>
      <c r="J496" s="9">
        <v>74000</v>
      </c>
      <c r="K496" s="9">
        <v>62999.31920265525</v>
      </c>
      <c r="L496" s="9">
        <v>56000</v>
      </c>
      <c r="M496" s="9">
        <v>29799.340404116505</v>
      </c>
      <c r="N496" s="9">
        <v>56000</v>
      </c>
      <c r="O496" s="9">
        <v>15600.71601701572</v>
      </c>
      <c r="P496" s="9">
        <v>56000</v>
      </c>
      <c r="Q496" s="9"/>
      <c r="R496" s="9">
        <v>40000</v>
      </c>
      <c r="S496" s="9"/>
      <c r="T496" s="9"/>
      <c r="W496" s="4">
        <v>1590.7102521275749</v>
      </c>
      <c r="X496" s="4">
        <v>577.95923804978918</v>
      </c>
      <c r="Y496" s="4">
        <v>1193.0326890956812</v>
      </c>
      <c r="Z496" s="4">
        <v>1972.8134096874255</v>
      </c>
      <c r="AA496" s="4">
        <v>1789.5490336435219</v>
      </c>
      <c r="AB496" s="4">
        <v>3444.1120655372624</v>
      </c>
      <c r="AC496" s="4">
        <v>1670.2457647339538</v>
      </c>
      <c r="AD496" s="4">
        <v>9705.7807603595011</v>
      </c>
      <c r="AE496" s="4">
        <v>1670.2457647339538</v>
      </c>
      <c r="AF496" s="4">
        <v>2522.9951085659745</v>
      </c>
      <c r="AG496" s="4">
        <v>2386.0653781913625</v>
      </c>
      <c r="AH496" s="4">
        <v>0</v>
      </c>
      <c r="AI496" s="7">
        <f t="shared" si="15"/>
        <v>507572.86562788207</v>
      </c>
    </row>
    <row r="497" spans="1:35" x14ac:dyDescent="0.3">
      <c r="A497" s="12" t="s">
        <v>1010</v>
      </c>
      <c r="B497" s="12" t="s">
        <v>863</v>
      </c>
      <c r="C497" s="12" t="s">
        <v>1012</v>
      </c>
      <c r="D497" s="13">
        <v>7302354</v>
      </c>
      <c r="E497" s="12" t="s">
        <v>738</v>
      </c>
      <c r="F497" s="12" t="s">
        <v>3</v>
      </c>
      <c r="G497" s="9">
        <v>55797.497369292338</v>
      </c>
      <c r="H497" s="9">
        <v>60220</v>
      </c>
      <c r="I497" s="9">
        <v>55797.497369292338</v>
      </c>
      <c r="J497" s="9">
        <v>218000</v>
      </c>
      <c r="K497" s="9">
        <v>138903.66309258074</v>
      </c>
      <c r="L497" s="9">
        <v>56000</v>
      </c>
      <c r="M497" s="9">
        <v>61869.192741973558</v>
      </c>
      <c r="N497" s="9">
        <v>140000</v>
      </c>
      <c r="O497" s="9">
        <v>37440.764902366995</v>
      </c>
      <c r="P497" s="9">
        <v>140000</v>
      </c>
      <c r="Q497" s="9"/>
      <c r="R497" s="9">
        <v>60000</v>
      </c>
      <c r="S497" s="9"/>
      <c r="T497" s="9"/>
      <c r="W497" s="4">
        <v>0</v>
      </c>
      <c r="X497" s="4">
        <v>0</v>
      </c>
      <c r="Y497" s="4">
        <v>0</v>
      </c>
      <c r="Z497" s="4">
        <v>44.707519088909024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51.07855571373107</v>
      </c>
      <c r="AG497" s="4">
        <v>0</v>
      </c>
      <c r="AH497" s="4">
        <v>0</v>
      </c>
      <c r="AI497" s="7">
        <f t="shared" si="15"/>
        <v>1024124.4015503087</v>
      </c>
    </row>
    <row r="498" spans="1:35" x14ac:dyDescent="0.3">
      <c r="A498" s="12" t="s">
        <v>1010</v>
      </c>
      <c r="B498" s="12" t="s">
        <v>863</v>
      </c>
      <c r="C498" s="12" t="s">
        <v>1012</v>
      </c>
      <c r="D498" s="13">
        <v>7302291</v>
      </c>
      <c r="E498" s="12" t="s">
        <v>739</v>
      </c>
      <c r="F498" s="12" t="s">
        <v>3</v>
      </c>
      <c r="G498" s="9">
        <v>1960.1437438745509</v>
      </c>
      <c r="H498" s="9">
        <v>8000</v>
      </c>
      <c r="I498" s="9">
        <v>1960.1437438745509</v>
      </c>
      <c r="J498" s="9">
        <v>0</v>
      </c>
      <c r="K498" s="9">
        <v>5227.049983665469</v>
      </c>
      <c r="L498" s="9">
        <v>8000</v>
      </c>
      <c r="M498" s="9">
        <v>3266.9062397909179</v>
      </c>
      <c r="N498" s="9">
        <v>0</v>
      </c>
      <c r="O498" s="9">
        <v>3266.9062397909179</v>
      </c>
      <c r="P498" s="9">
        <v>8000</v>
      </c>
      <c r="Q498" s="9"/>
      <c r="R498" s="9">
        <v>0</v>
      </c>
      <c r="S498" s="9"/>
      <c r="T498" s="9"/>
      <c r="W498" s="4">
        <v>1306.7624959163672</v>
      </c>
      <c r="X498" s="4">
        <v>19.962561254491995</v>
      </c>
      <c r="Y498" s="4">
        <v>1306.7624959163672</v>
      </c>
      <c r="Z498" s="4">
        <v>55.31969944462594</v>
      </c>
      <c r="AA498" s="4">
        <v>1633.4531198954589</v>
      </c>
      <c r="AB498" s="4">
        <v>1450.6970271153218</v>
      </c>
      <c r="AC498" s="4">
        <v>326.69062397909181</v>
      </c>
      <c r="AD498" s="4">
        <v>55.552695197647829</v>
      </c>
      <c r="AE498" s="4">
        <v>326.69062397909181</v>
      </c>
      <c r="AF498" s="4">
        <v>2559.9240770989873</v>
      </c>
      <c r="AG498" s="4">
        <v>3920.2874877491017</v>
      </c>
      <c r="AH498" s="4">
        <v>0</v>
      </c>
      <c r="AI498" s="7">
        <f t="shared" si="15"/>
        <v>52643.252858542954</v>
      </c>
    </row>
    <row r="499" spans="1:35" x14ac:dyDescent="0.3">
      <c r="A499" s="12" t="s">
        <v>1010</v>
      </c>
      <c r="B499" s="12" t="s">
        <v>863</v>
      </c>
      <c r="C499" s="12" t="s">
        <v>1012</v>
      </c>
      <c r="D499" s="13">
        <v>7301517</v>
      </c>
      <c r="E499" s="12" t="s">
        <v>740</v>
      </c>
      <c r="F499" s="12" t="s">
        <v>3</v>
      </c>
      <c r="G499" s="9">
        <v>11265.412867165045</v>
      </c>
      <c r="H499" s="9">
        <v>10000</v>
      </c>
      <c r="I499" s="9">
        <v>11265.412867165045</v>
      </c>
      <c r="J499" s="9">
        <v>0</v>
      </c>
      <c r="K499" s="9">
        <v>15601.488958827576</v>
      </c>
      <c r="L499" s="9">
        <v>10000</v>
      </c>
      <c r="M499" s="9">
        <v>13959.373175755354</v>
      </c>
      <c r="N499" s="9">
        <v>0</v>
      </c>
      <c r="O499" s="9">
        <v>16275.23407792553</v>
      </c>
      <c r="P499" s="9">
        <v>20000</v>
      </c>
      <c r="Q499" s="9"/>
      <c r="R499" s="9">
        <v>20000</v>
      </c>
      <c r="S499" s="9"/>
      <c r="T499" s="9"/>
      <c r="W499" s="4">
        <v>2275.0799121819155</v>
      </c>
      <c r="X499" s="4">
        <v>1728.3032681522939</v>
      </c>
      <c r="Y499" s="4">
        <v>1706.3099341364366</v>
      </c>
      <c r="Z499" s="4">
        <v>1629.2656269551469</v>
      </c>
      <c r="AA499" s="4">
        <v>2730.0958946182986</v>
      </c>
      <c r="AB499" s="4">
        <v>2425.3806322447076</v>
      </c>
      <c r="AC499" s="4">
        <v>1820.0639297455323</v>
      </c>
      <c r="AD499" s="4">
        <v>348.66109272088181</v>
      </c>
      <c r="AE499" s="4">
        <v>1820.0639297455323</v>
      </c>
      <c r="AF499" s="4">
        <v>1834.4406602281906</v>
      </c>
      <c r="AG499" s="4">
        <v>1706.3099341364366</v>
      </c>
      <c r="AH499" s="4">
        <v>0</v>
      </c>
      <c r="AI499" s="7">
        <f t="shared" si="15"/>
        <v>148390.89676170389</v>
      </c>
    </row>
    <row r="500" spans="1:35" x14ac:dyDescent="0.3">
      <c r="A500" s="12" t="s">
        <v>1010</v>
      </c>
      <c r="B500" s="12" t="s">
        <v>863</v>
      </c>
      <c r="C500" s="12" t="s">
        <v>1012</v>
      </c>
      <c r="D500" s="13">
        <v>7302068</v>
      </c>
      <c r="E500" s="12" t="s">
        <v>741</v>
      </c>
      <c r="F500" s="12" t="s">
        <v>3</v>
      </c>
      <c r="G500" s="9">
        <v>1096.7311990161995</v>
      </c>
      <c r="H500" s="9">
        <v>10000</v>
      </c>
      <c r="I500" s="9">
        <v>1096.7311990161995</v>
      </c>
      <c r="J500" s="9">
        <v>0</v>
      </c>
      <c r="K500" s="9">
        <v>2260.2026079456327</v>
      </c>
      <c r="L500" s="9">
        <v>0</v>
      </c>
      <c r="M500" s="9">
        <v>1459.659076944035</v>
      </c>
      <c r="N500" s="9">
        <v>0</v>
      </c>
      <c r="O500" s="9">
        <v>1679.326572983769</v>
      </c>
      <c r="P500" s="9">
        <v>0</v>
      </c>
      <c r="Q500" s="9"/>
      <c r="R500" s="9">
        <v>0</v>
      </c>
      <c r="S500" s="9"/>
      <c r="T500" s="9"/>
      <c r="W500" s="4">
        <v>1003.3244041971462</v>
      </c>
      <c r="X500" s="4">
        <v>1924.3876012528915</v>
      </c>
      <c r="Y500" s="4">
        <v>1003.3244041971462</v>
      </c>
      <c r="Z500" s="4">
        <v>1447.2510434079427</v>
      </c>
      <c r="AA500" s="4">
        <v>2853.2037744356344</v>
      </c>
      <c r="AB500" s="4">
        <v>1687</v>
      </c>
      <c r="AC500" s="4">
        <v>1608.4544354785501</v>
      </c>
      <c r="AD500" s="4">
        <v>746.61945956826048</v>
      </c>
      <c r="AE500" s="4">
        <v>1608.4544354785501</v>
      </c>
      <c r="AF500" s="4">
        <v>1086.073051417216</v>
      </c>
      <c r="AG500" s="4">
        <v>1097.3860670906286</v>
      </c>
      <c r="AH500" s="4">
        <v>0</v>
      </c>
      <c r="AI500" s="7">
        <f t="shared" si="15"/>
        <v>33658.129332429802</v>
      </c>
    </row>
    <row r="501" spans="1:35" x14ac:dyDescent="0.3">
      <c r="A501" s="12" t="s">
        <v>1010</v>
      </c>
      <c r="B501" s="12" t="s">
        <v>863</v>
      </c>
      <c r="C501" s="12" t="s">
        <v>1012</v>
      </c>
      <c r="D501" s="13">
        <v>7302150</v>
      </c>
      <c r="E501" s="12" t="s">
        <v>742</v>
      </c>
      <c r="F501" s="12" t="s">
        <v>3</v>
      </c>
      <c r="G501" s="9">
        <v>11416.527260518475</v>
      </c>
      <c r="H501" s="9">
        <v>50000</v>
      </c>
      <c r="I501" s="9">
        <v>11416.527260518475</v>
      </c>
      <c r="J501" s="9">
        <v>0</v>
      </c>
      <c r="K501" s="9">
        <v>29117.198379915913</v>
      </c>
      <c r="L501" s="9">
        <v>50000</v>
      </c>
      <c r="M501" s="9">
        <v>7065.6276759470447</v>
      </c>
      <c r="N501" s="9">
        <v>0</v>
      </c>
      <c r="O501" s="9">
        <v>10633.439029423835</v>
      </c>
      <c r="P501" s="9">
        <v>50000</v>
      </c>
      <c r="Q501" s="9"/>
      <c r="R501" s="9">
        <v>50000</v>
      </c>
      <c r="S501" s="9"/>
      <c r="T501" s="9"/>
      <c r="W501" s="4">
        <v>4870.0082415524084</v>
      </c>
      <c r="X501" s="4">
        <v>4387.2596089008766</v>
      </c>
      <c r="Y501" s="4">
        <v>4870.0082415524084</v>
      </c>
      <c r="Z501" s="4">
        <v>5113.6109238031022</v>
      </c>
      <c r="AA501" s="4">
        <v>11987.712594590545</v>
      </c>
      <c r="AB501" s="4">
        <v>16578.661384580806</v>
      </c>
      <c r="AC501" s="4">
        <v>18730.800929047728</v>
      </c>
      <c r="AD501" s="4">
        <v>19038.225031842361</v>
      </c>
      <c r="AE501" s="4">
        <v>18730.800929047728</v>
      </c>
      <c r="AF501" s="4">
        <v>9149.6858470068182</v>
      </c>
      <c r="AG501" s="4">
        <v>14984.64074323818</v>
      </c>
      <c r="AH501" s="4">
        <v>0</v>
      </c>
      <c r="AI501" s="7">
        <f t="shared" si="15"/>
        <v>398090.73408148671</v>
      </c>
    </row>
    <row r="502" spans="1:35" x14ac:dyDescent="0.3">
      <c r="A502" s="12" t="s">
        <v>1010</v>
      </c>
      <c r="B502" s="12" t="s">
        <v>863</v>
      </c>
      <c r="C502" s="12" t="s">
        <v>1012</v>
      </c>
      <c r="D502" s="13">
        <v>7400095</v>
      </c>
      <c r="E502" s="12" t="s">
        <v>743</v>
      </c>
      <c r="F502" s="12" t="s">
        <v>3</v>
      </c>
      <c r="G502" s="9">
        <v>29132.905133806653</v>
      </c>
      <c r="H502" s="9">
        <v>0</v>
      </c>
      <c r="I502" s="9">
        <v>29132.905133806653</v>
      </c>
      <c r="J502" s="9">
        <v>50000</v>
      </c>
      <c r="K502" s="9">
        <v>43185.578378156504</v>
      </c>
      <c r="L502" s="9">
        <v>50000</v>
      </c>
      <c r="M502" s="9">
        <v>23355.113615459948</v>
      </c>
      <c r="N502" s="9">
        <v>0</v>
      </c>
      <c r="O502" s="9">
        <v>22950.337254399434</v>
      </c>
      <c r="P502" s="9">
        <v>50000</v>
      </c>
      <c r="Q502" s="9"/>
      <c r="R502" s="9">
        <v>0</v>
      </c>
      <c r="S502" s="9"/>
      <c r="T502" s="9"/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0.51361633206523782</v>
      </c>
      <c r="AE502" s="4">
        <v>0</v>
      </c>
      <c r="AF502" s="4">
        <v>3573.8818034577575</v>
      </c>
      <c r="AG502" s="4">
        <v>7156.578402199706</v>
      </c>
      <c r="AH502" s="4">
        <v>0</v>
      </c>
      <c r="AI502" s="7">
        <f t="shared" si="15"/>
        <v>308487.81333761872</v>
      </c>
    </row>
    <row r="503" spans="1:35" x14ac:dyDescent="0.3">
      <c r="A503" s="12" t="s">
        <v>1010</v>
      </c>
      <c r="B503" s="12" t="s">
        <v>863</v>
      </c>
      <c r="C503" s="12" t="s">
        <v>1012</v>
      </c>
      <c r="D503" s="13">
        <v>7301954</v>
      </c>
      <c r="E503" s="12" t="s">
        <v>744</v>
      </c>
      <c r="F503" s="12" t="s">
        <v>3</v>
      </c>
      <c r="G503" s="9">
        <v>1018.506183550518</v>
      </c>
      <c r="H503" s="9">
        <v>0</v>
      </c>
      <c r="I503" s="9">
        <v>1018.506183550518</v>
      </c>
      <c r="J503" s="9">
        <v>0</v>
      </c>
      <c r="K503" s="9">
        <v>1484.6947212222615</v>
      </c>
      <c r="L503" s="9">
        <v>0</v>
      </c>
      <c r="M503" s="9">
        <v>1018.506183550518</v>
      </c>
      <c r="N503" s="9">
        <v>10000</v>
      </c>
      <c r="O503" s="9">
        <v>1018.506183550518</v>
      </c>
      <c r="P503" s="9">
        <v>0</v>
      </c>
      <c r="Q503" s="9"/>
      <c r="R503" s="9">
        <v>0</v>
      </c>
      <c r="S503" s="9"/>
      <c r="T503" s="9"/>
      <c r="W503" s="4">
        <v>1141.8685121107267</v>
      </c>
      <c r="X503" s="4">
        <v>618.11279930795854</v>
      </c>
      <c r="Y503" s="4">
        <v>1141.8685121107267</v>
      </c>
      <c r="Z503" s="4">
        <v>436.21067128027681</v>
      </c>
      <c r="AA503" s="4">
        <v>761.24567474048445</v>
      </c>
      <c r="AB503" s="4">
        <v>867.64502076124575</v>
      </c>
      <c r="AC503" s="4">
        <v>494.8096885813149</v>
      </c>
      <c r="AD503" s="4">
        <v>0</v>
      </c>
      <c r="AE503" s="4">
        <v>494.8096885813149</v>
      </c>
      <c r="AF503" s="4">
        <v>471.96980622837373</v>
      </c>
      <c r="AG503" s="4">
        <v>570.93425605536333</v>
      </c>
      <c r="AH503" s="4">
        <v>0</v>
      </c>
      <c r="AI503" s="7">
        <f t="shared" si="15"/>
        <v>22558.19408518212</v>
      </c>
    </row>
    <row r="504" spans="1:35" x14ac:dyDescent="0.3">
      <c r="A504" s="12" t="s">
        <v>1010</v>
      </c>
      <c r="B504" s="12" t="s">
        <v>863</v>
      </c>
      <c r="C504" s="12" t="s">
        <v>1012</v>
      </c>
      <c r="D504" s="13">
        <v>7302151</v>
      </c>
      <c r="E504" s="12" t="s">
        <v>745</v>
      </c>
      <c r="F504" s="12" t="s">
        <v>3</v>
      </c>
      <c r="G504" s="9">
        <v>5274.7380323818479</v>
      </c>
      <c r="H504" s="9">
        <v>0</v>
      </c>
      <c r="I504" s="9">
        <v>5274.7380323818479</v>
      </c>
      <c r="J504" s="9">
        <v>14775</v>
      </c>
      <c r="K504" s="9">
        <v>5360.0203076796724</v>
      </c>
      <c r="L504" s="9">
        <v>0</v>
      </c>
      <c r="M504" s="9">
        <v>4976.769544946329</v>
      </c>
      <c r="N504" s="9">
        <v>0</v>
      </c>
      <c r="O504" s="9">
        <v>4955.312140363706</v>
      </c>
      <c r="P504" s="9">
        <v>0</v>
      </c>
      <c r="Q504" s="9"/>
      <c r="R504" s="9">
        <v>14775</v>
      </c>
      <c r="S504" s="9"/>
      <c r="T504" s="9"/>
      <c r="W504" s="4">
        <v>497.48743718592971</v>
      </c>
      <c r="X504" s="4">
        <v>606.84860804020104</v>
      </c>
      <c r="Y504" s="4">
        <v>497.48743718592971</v>
      </c>
      <c r="Z504" s="4">
        <v>632.37482110552776</v>
      </c>
      <c r="AA504" s="4">
        <v>596.9849246231156</v>
      </c>
      <c r="AB504" s="4">
        <v>769.19822713567851</v>
      </c>
      <c r="AC504" s="4">
        <v>630.15075376884431</v>
      </c>
      <c r="AD504" s="4">
        <v>3666.253153266332</v>
      </c>
      <c r="AE504" s="4">
        <v>630.15075376884431</v>
      </c>
      <c r="AF504" s="4">
        <v>643.3722286432162</v>
      </c>
      <c r="AG504" s="4">
        <v>596.9849246231156</v>
      </c>
      <c r="AH504" s="4">
        <v>0</v>
      </c>
      <c r="AI504" s="7">
        <f t="shared" si="15"/>
        <v>65158.871327100147</v>
      </c>
    </row>
    <row r="505" spans="1:35" x14ac:dyDescent="0.3">
      <c r="A505" s="12" t="s">
        <v>1010</v>
      </c>
      <c r="B505" s="12" t="s">
        <v>863</v>
      </c>
      <c r="C505" s="12" t="s">
        <v>1012</v>
      </c>
      <c r="D505" s="13">
        <v>7301652</v>
      </c>
      <c r="E505" s="12" t="s">
        <v>746</v>
      </c>
      <c r="F505" s="12" t="s">
        <v>3</v>
      </c>
      <c r="G505" s="9">
        <v>1272.4265173686219</v>
      </c>
      <c r="H505" s="9">
        <v>0</v>
      </c>
      <c r="I505" s="9">
        <v>1272.4265173686219</v>
      </c>
      <c r="J505" s="9">
        <v>0</v>
      </c>
      <c r="K505" s="9">
        <v>1636.299953344361</v>
      </c>
      <c r="L505" s="9">
        <v>5000</v>
      </c>
      <c r="M505" s="9">
        <v>1060.3554311405182</v>
      </c>
      <c r="N505" s="9">
        <v>0</v>
      </c>
      <c r="O505" s="9">
        <v>1060.3554311405182</v>
      </c>
      <c r="P505" s="9">
        <v>0</v>
      </c>
      <c r="Q505" s="9"/>
      <c r="R505" s="9">
        <v>5000</v>
      </c>
      <c r="S505" s="9"/>
      <c r="T505" s="9"/>
      <c r="W505" s="4">
        <v>2120.7108622810365</v>
      </c>
      <c r="X505" s="4">
        <v>1636.299953344361</v>
      </c>
      <c r="Y505" s="4">
        <v>2120.7108622810365</v>
      </c>
      <c r="Z505" s="4">
        <v>700.00797387284217</v>
      </c>
      <c r="AA505" s="4">
        <v>1696.5686898248293</v>
      </c>
      <c r="AB505" s="4">
        <v>1060.0121304661322</v>
      </c>
      <c r="AC505" s="4">
        <v>1399.6691691054841</v>
      </c>
      <c r="AD505" s="4">
        <v>12332.898078635959</v>
      </c>
      <c r="AE505" s="4">
        <v>1399.6691691054841</v>
      </c>
      <c r="AF505" s="4">
        <v>840.00945837044583</v>
      </c>
      <c r="AG505" s="4">
        <v>1017.9412138948976</v>
      </c>
      <c r="AH505" s="4">
        <v>0</v>
      </c>
      <c r="AI505" s="7">
        <f t="shared" si="15"/>
        <v>42626.361411545156</v>
      </c>
    </row>
    <row r="506" spans="1:35" x14ac:dyDescent="0.3">
      <c r="A506" s="12" t="s">
        <v>1010</v>
      </c>
      <c r="B506" s="12" t="s">
        <v>863</v>
      </c>
      <c r="C506" s="12" t="s">
        <v>1012</v>
      </c>
      <c r="D506" s="13">
        <v>7302376</v>
      </c>
      <c r="E506" s="12" t="s">
        <v>747</v>
      </c>
      <c r="F506" s="12" t="s">
        <v>3</v>
      </c>
      <c r="G506" s="9">
        <v>0</v>
      </c>
      <c r="H506" s="9">
        <v>0</v>
      </c>
      <c r="I506" s="9">
        <v>0</v>
      </c>
      <c r="J506" s="9">
        <v>0</v>
      </c>
      <c r="K506" s="9">
        <v>0</v>
      </c>
      <c r="L506" s="9">
        <v>0</v>
      </c>
      <c r="M506" s="9">
        <v>0</v>
      </c>
      <c r="N506" s="9">
        <v>0</v>
      </c>
      <c r="O506" s="9">
        <v>0</v>
      </c>
      <c r="P506" s="9">
        <v>0</v>
      </c>
      <c r="Q506" s="9"/>
      <c r="R506" s="9">
        <v>0</v>
      </c>
      <c r="S506" s="9"/>
      <c r="T506" s="9"/>
      <c r="W506" s="4">
        <v>1440</v>
      </c>
      <c r="X506" s="4">
        <v>2511.0476964769646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92.570356472795496</v>
      </c>
      <c r="AE506" s="4">
        <v>0</v>
      </c>
      <c r="AF506" s="4">
        <v>0</v>
      </c>
      <c r="AG506" s="4">
        <v>0</v>
      </c>
      <c r="AH506" s="4">
        <v>0</v>
      </c>
      <c r="AI506" s="7">
        <f t="shared" si="15"/>
        <v>4043.6180529497601</v>
      </c>
    </row>
    <row r="507" spans="1:35" x14ac:dyDescent="0.3">
      <c r="A507" s="12" t="s">
        <v>1010</v>
      </c>
      <c r="B507" s="12" t="s">
        <v>863</v>
      </c>
      <c r="C507" s="12" t="s">
        <v>1012</v>
      </c>
      <c r="D507" s="13">
        <v>7302443</v>
      </c>
      <c r="E507" s="12" t="s">
        <v>748</v>
      </c>
      <c r="F507" s="12" t="s">
        <v>3</v>
      </c>
      <c r="G507" s="9">
        <v>6.6815144766146997</v>
      </c>
      <c r="H507" s="9">
        <v>0</v>
      </c>
      <c r="I507" s="9">
        <v>6.6815144766146997</v>
      </c>
      <c r="J507" s="9">
        <v>0</v>
      </c>
      <c r="K507" s="9">
        <v>6.6815144766146997</v>
      </c>
      <c r="L507" s="9">
        <v>0</v>
      </c>
      <c r="M507" s="9">
        <v>6.6815144766146997</v>
      </c>
      <c r="N507" s="9">
        <v>0</v>
      </c>
      <c r="O507" s="9">
        <v>6.6815144766146997</v>
      </c>
      <c r="P507" s="9">
        <v>0</v>
      </c>
      <c r="Q507" s="9"/>
      <c r="R507" s="9">
        <v>0</v>
      </c>
      <c r="S507" s="9"/>
      <c r="T507" s="9"/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7">
        <f t="shared" si="15"/>
        <v>33.4075723830735</v>
      </c>
    </row>
    <row r="508" spans="1:35" x14ac:dyDescent="0.3">
      <c r="A508" s="12" t="s">
        <v>1010</v>
      </c>
      <c r="B508" s="12" t="s">
        <v>863</v>
      </c>
      <c r="C508" s="12" t="s">
        <v>1012</v>
      </c>
      <c r="D508" s="13">
        <v>7302153</v>
      </c>
      <c r="E508" s="12" t="s">
        <v>749</v>
      </c>
      <c r="F508" s="12" t="s">
        <v>3</v>
      </c>
      <c r="G508" s="9">
        <v>20712.405005735531</v>
      </c>
      <c r="H508" s="9">
        <v>50000</v>
      </c>
      <c r="I508" s="9">
        <v>20712.405005735531</v>
      </c>
      <c r="J508" s="9">
        <v>0</v>
      </c>
      <c r="K508" s="9">
        <v>32384.405608103662</v>
      </c>
      <c r="L508" s="9">
        <v>0</v>
      </c>
      <c r="M508" s="9">
        <v>29625.319239452299</v>
      </c>
      <c r="N508" s="9">
        <v>0</v>
      </c>
      <c r="O508" s="9">
        <v>29202.055349874754</v>
      </c>
      <c r="P508" s="9">
        <v>0</v>
      </c>
      <c r="Q508" s="9"/>
      <c r="R508" s="9">
        <v>50000</v>
      </c>
      <c r="S508" s="9"/>
      <c r="T508" s="9"/>
      <c r="W508" s="4">
        <v>4007.29327375824</v>
      </c>
      <c r="X508" s="4">
        <v>3266.6548718667977</v>
      </c>
      <c r="Y508" s="4">
        <v>3005.4699553186801</v>
      </c>
      <c r="Z508" s="4">
        <v>2599.6357170049491</v>
      </c>
      <c r="AA508" s="4">
        <v>4007.29327375824</v>
      </c>
      <c r="AB508" s="4">
        <v>4688.7101124045766</v>
      </c>
      <c r="AC508" s="4">
        <v>3606.5639463824159</v>
      </c>
      <c r="AD508" s="4">
        <v>1449.9310745556913</v>
      </c>
      <c r="AE508" s="4">
        <v>3606.5639463824159</v>
      </c>
      <c r="AF508" s="4">
        <v>3100.256546915386</v>
      </c>
      <c r="AG508" s="4">
        <v>3606.5639463824159</v>
      </c>
      <c r="AH508" s="4">
        <v>0</v>
      </c>
      <c r="AI508" s="7">
        <f t="shared" si="15"/>
        <v>269581.52687363164</v>
      </c>
    </row>
    <row r="509" spans="1:35" x14ac:dyDescent="0.3">
      <c r="A509" s="12" t="s">
        <v>1010</v>
      </c>
      <c r="B509" s="12" t="s">
        <v>863</v>
      </c>
      <c r="C509" s="12" t="s">
        <v>1012</v>
      </c>
      <c r="D509" s="13">
        <v>7302377</v>
      </c>
      <c r="E509" s="12" t="s">
        <v>750</v>
      </c>
      <c r="F509" s="12" t="s">
        <v>3</v>
      </c>
      <c r="G509" s="9">
        <v>0</v>
      </c>
      <c r="H509" s="9">
        <v>0</v>
      </c>
      <c r="I509" s="9">
        <v>0</v>
      </c>
      <c r="J509" s="9">
        <v>0</v>
      </c>
      <c r="K509" s="9">
        <v>0</v>
      </c>
      <c r="L509" s="9">
        <v>0</v>
      </c>
      <c r="M509" s="9">
        <v>0</v>
      </c>
      <c r="N509" s="9">
        <v>0</v>
      </c>
      <c r="O509" s="9">
        <v>0</v>
      </c>
      <c r="P509" s="9">
        <v>0</v>
      </c>
      <c r="Q509" s="9"/>
      <c r="R509" s="9">
        <v>0</v>
      </c>
      <c r="S509" s="9"/>
      <c r="T509" s="9"/>
      <c r="W509" s="4">
        <v>91.819699499165282</v>
      </c>
      <c r="X509" s="4">
        <v>53.000442404006684</v>
      </c>
      <c r="Y509" s="4">
        <v>73.455759599332225</v>
      </c>
      <c r="Z509" s="4">
        <v>83.000601001669452</v>
      </c>
      <c r="AA509" s="4">
        <v>55.091819699499169</v>
      </c>
      <c r="AB509" s="4">
        <v>84.332335559265445</v>
      </c>
      <c r="AC509" s="4">
        <v>82.63772954924876</v>
      </c>
      <c r="AD509" s="4">
        <v>63.465794657762942</v>
      </c>
      <c r="AE509" s="4">
        <v>82.63772954924876</v>
      </c>
      <c r="AF509" s="4">
        <v>0</v>
      </c>
      <c r="AG509" s="4">
        <v>0</v>
      </c>
      <c r="AH509" s="4">
        <v>0</v>
      </c>
      <c r="AI509" s="7">
        <f t="shared" si="15"/>
        <v>669.4419115191987</v>
      </c>
    </row>
    <row r="510" spans="1:35" x14ac:dyDescent="0.3">
      <c r="A510" s="12" t="s">
        <v>1010</v>
      </c>
      <c r="B510" s="12" t="s">
        <v>863</v>
      </c>
      <c r="C510" s="12" t="s">
        <v>1012</v>
      </c>
      <c r="D510" s="13">
        <v>7302300</v>
      </c>
      <c r="E510" s="12" t="s">
        <v>751</v>
      </c>
      <c r="F510" s="12" t="s">
        <v>3</v>
      </c>
      <c r="G510" s="9">
        <v>2529.2413398417098</v>
      </c>
      <c r="H510" s="9">
        <v>5000</v>
      </c>
      <c r="I510" s="9">
        <v>2529.2413398417098</v>
      </c>
      <c r="J510" s="9">
        <v>5000</v>
      </c>
      <c r="K510" s="9">
        <v>2992.2918656128068</v>
      </c>
      <c r="L510" s="9">
        <v>0</v>
      </c>
      <c r="M510" s="9">
        <v>2464.2390603322788</v>
      </c>
      <c r="N510" s="9">
        <v>5000</v>
      </c>
      <c r="O510" s="9">
        <v>539.41943610420458</v>
      </c>
      <c r="P510" s="9">
        <v>0</v>
      </c>
      <c r="Q510" s="9"/>
      <c r="R510" s="9">
        <v>5000</v>
      </c>
      <c r="S510" s="9"/>
      <c r="T510" s="9"/>
      <c r="W510" s="4">
        <v>165.01650165016503</v>
      </c>
      <c r="X510" s="4">
        <v>579.12475247524753</v>
      </c>
      <c r="Y510" s="4">
        <v>0</v>
      </c>
      <c r="Z510" s="4">
        <v>44.777227722772274</v>
      </c>
      <c r="AA510" s="4">
        <v>577.55775577557756</v>
      </c>
      <c r="AB510" s="4">
        <v>47.762376237623762</v>
      </c>
      <c r="AC510" s="4">
        <v>577.55775577557756</v>
      </c>
      <c r="AD510" s="4">
        <v>0</v>
      </c>
      <c r="AE510" s="4">
        <v>577.55775577557756</v>
      </c>
      <c r="AF510" s="4">
        <v>86.570297029702971</v>
      </c>
      <c r="AG510" s="4">
        <v>82.508250825082513</v>
      </c>
      <c r="AH510" s="4">
        <v>0</v>
      </c>
      <c r="AI510" s="7">
        <f t="shared" si="15"/>
        <v>33792.865715000036</v>
      </c>
    </row>
    <row r="511" spans="1:35" x14ac:dyDescent="0.3">
      <c r="A511" s="12" t="s">
        <v>1010</v>
      </c>
      <c r="B511" s="12" t="s">
        <v>863</v>
      </c>
      <c r="C511" s="12" t="s">
        <v>1012</v>
      </c>
      <c r="D511" s="13">
        <v>7302314</v>
      </c>
      <c r="E511" s="12" t="s">
        <v>752</v>
      </c>
      <c r="F511" s="12" t="s">
        <v>3</v>
      </c>
      <c r="G511" s="9">
        <v>665.01283463934726</v>
      </c>
      <c r="H511" s="9">
        <v>0</v>
      </c>
      <c r="I511" s="9">
        <v>665.01283463934726</v>
      </c>
      <c r="J511" s="9">
        <v>0</v>
      </c>
      <c r="K511" s="9">
        <v>665.01405223631309</v>
      </c>
      <c r="L511" s="9">
        <v>0</v>
      </c>
      <c r="M511" s="9">
        <v>665.01405223631309</v>
      </c>
      <c r="N511" s="9">
        <v>0</v>
      </c>
      <c r="O511" s="9">
        <v>462.21222739224095</v>
      </c>
      <c r="P511" s="9">
        <v>0</v>
      </c>
      <c r="Q511" s="9"/>
      <c r="R511" s="9">
        <v>0</v>
      </c>
      <c r="S511" s="9"/>
      <c r="T511" s="9"/>
      <c r="W511" s="4">
        <v>110.01100110011001</v>
      </c>
      <c r="X511" s="4">
        <v>47.005060506050604</v>
      </c>
      <c r="Y511" s="4">
        <v>220.02200220022002</v>
      </c>
      <c r="Z511" s="4">
        <v>200.34851485148513</v>
      </c>
      <c r="AA511" s="4">
        <v>22.002200220022001</v>
      </c>
      <c r="AB511" s="4">
        <v>233.12343234323433</v>
      </c>
      <c r="AC511" s="4">
        <v>22.002200220022001</v>
      </c>
      <c r="AD511" s="4">
        <v>70.207040704070408</v>
      </c>
      <c r="AE511" s="4">
        <v>22.002200220022001</v>
      </c>
      <c r="AF511" s="4">
        <v>320.79207920792078</v>
      </c>
      <c r="AG511" s="4">
        <v>176.01760176017601</v>
      </c>
      <c r="AH511" s="4">
        <v>0</v>
      </c>
      <c r="AI511" s="7">
        <f t="shared" si="15"/>
        <v>4565.7993344768956</v>
      </c>
    </row>
    <row r="512" spans="1:35" x14ac:dyDescent="0.3">
      <c r="A512" s="12" t="s">
        <v>1010</v>
      </c>
      <c r="B512" s="12" t="s">
        <v>863</v>
      </c>
      <c r="C512" s="12" t="s">
        <v>1012</v>
      </c>
      <c r="D512" s="13">
        <v>7302315</v>
      </c>
      <c r="E512" s="12" t="s">
        <v>753</v>
      </c>
      <c r="F512" s="12" t="s">
        <v>3</v>
      </c>
      <c r="G512" s="9">
        <v>381.12723711701102</v>
      </c>
      <c r="H512" s="9">
        <v>0</v>
      </c>
      <c r="I512" s="9">
        <v>381.12723711701102</v>
      </c>
      <c r="J512" s="9">
        <v>0</v>
      </c>
      <c r="K512" s="9">
        <v>330.39569656696403</v>
      </c>
      <c r="L512" s="9">
        <v>0</v>
      </c>
      <c r="M512" s="9">
        <v>330.39569656696403</v>
      </c>
      <c r="N512" s="9">
        <v>0</v>
      </c>
      <c r="O512" s="9">
        <v>330.9969491400517</v>
      </c>
      <c r="P512" s="9">
        <v>0</v>
      </c>
      <c r="Q512" s="9"/>
      <c r="R512" s="9">
        <v>0</v>
      </c>
      <c r="S512" s="9"/>
      <c r="T512" s="9"/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7">
        <f t="shared" si="15"/>
        <v>1754.0428165080016</v>
      </c>
    </row>
    <row r="513" spans="1:35" x14ac:dyDescent="0.3">
      <c r="A513" s="12" t="s">
        <v>1010</v>
      </c>
      <c r="B513" s="12" t="s">
        <v>863</v>
      </c>
      <c r="C513" s="12" t="s">
        <v>1012</v>
      </c>
      <c r="D513" s="13">
        <v>7302316</v>
      </c>
      <c r="E513" s="12" t="s">
        <v>754</v>
      </c>
      <c r="F513" s="12" t="s">
        <v>3</v>
      </c>
      <c r="G513" s="9">
        <v>1043.7843277818199</v>
      </c>
      <c r="H513" s="9">
        <v>0</v>
      </c>
      <c r="I513" s="9">
        <v>1043.7843277818199</v>
      </c>
      <c r="J513" s="9">
        <v>0</v>
      </c>
      <c r="K513" s="9">
        <v>1122.0032622833276</v>
      </c>
      <c r="L513" s="9">
        <v>5000</v>
      </c>
      <c r="M513" s="9">
        <v>1022.0032622833277</v>
      </c>
      <c r="N513" s="9">
        <v>0</v>
      </c>
      <c r="O513" s="9">
        <v>207.30869798313026</v>
      </c>
      <c r="P513" s="9">
        <v>0</v>
      </c>
      <c r="Q513" s="9"/>
      <c r="R513" s="9">
        <v>0</v>
      </c>
      <c r="S513" s="9"/>
      <c r="T513" s="9"/>
      <c r="W513" s="4">
        <v>165.61775422325275</v>
      </c>
      <c r="X513" s="4">
        <v>28.087611791984102</v>
      </c>
      <c r="Y513" s="4">
        <v>82.808877111626373</v>
      </c>
      <c r="Z513" s="4">
        <v>21.076515402451143</v>
      </c>
      <c r="AA513" s="4">
        <v>33.123550844650545</v>
      </c>
      <c r="AB513" s="4">
        <v>10.860052997681352</v>
      </c>
      <c r="AC513" s="4">
        <v>33.123550844650545</v>
      </c>
      <c r="AD513" s="4">
        <v>465.69493209672078</v>
      </c>
      <c r="AE513" s="4">
        <v>33.123550844650545</v>
      </c>
      <c r="AF513" s="4">
        <v>206.41321629678703</v>
      </c>
      <c r="AG513" s="4">
        <v>33.123550844650545</v>
      </c>
      <c r="AH513" s="4">
        <v>0</v>
      </c>
      <c r="AI513" s="7">
        <f t="shared" si="15"/>
        <v>10551.937041412526</v>
      </c>
    </row>
    <row r="514" spans="1:35" x14ac:dyDescent="0.3">
      <c r="A514" s="12" t="s">
        <v>1010</v>
      </c>
      <c r="B514" s="12" t="s">
        <v>863</v>
      </c>
      <c r="C514" s="12" t="s">
        <v>1012</v>
      </c>
      <c r="D514" s="13">
        <v>7302302</v>
      </c>
      <c r="E514" s="12" t="s">
        <v>755</v>
      </c>
      <c r="F514" s="12" t="s">
        <v>3</v>
      </c>
      <c r="G514" s="9">
        <v>1770.372843704477</v>
      </c>
      <c r="H514" s="9">
        <v>6250</v>
      </c>
      <c r="I514" s="9">
        <v>1770.372843704477</v>
      </c>
      <c r="J514" s="9">
        <v>0</v>
      </c>
      <c r="K514" s="9">
        <v>1903.986267062804</v>
      </c>
      <c r="L514" s="9">
        <v>0</v>
      </c>
      <c r="M514" s="9">
        <v>1803.1398974258404</v>
      </c>
      <c r="N514" s="9">
        <v>0</v>
      </c>
      <c r="O514" s="9">
        <v>1253.2734566661634</v>
      </c>
      <c r="P514" s="9">
        <v>6667</v>
      </c>
      <c r="Q514" s="9"/>
      <c r="R514" s="9">
        <v>0</v>
      </c>
      <c r="S514" s="9"/>
      <c r="T514" s="9"/>
      <c r="W514" s="4">
        <v>165.01650165016503</v>
      </c>
      <c r="X514" s="4">
        <v>252.27046204620461</v>
      </c>
      <c r="Y514" s="4">
        <v>165.01650165016503</v>
      </c>
      <c r="Z514" s="4">
        <v>147.83498349834983</v>
      </c>
      <c r="AA514" s="4">
        <v>165.01650165016503</v>
      </c>
      <c r="AB514" s="4">
        <v>149.2884488448845</v>
      </c>
      <c r="AC514" s="4">
        <v>165.01650165016503</v>
      </c>
      <c r="AD514" s="4">
        <v>0</v>
      </c>
      <c r="AE514" s="4">
        <v>165.01650165016503</v>
      </c>
      <c r="AF514" s="4">
        <v>0</v>
      </c>
      <c r="AG514" s="4">
        <v>165.01650165016503</v>
      </c>
      <c r="AH514" s="4">
        <v>0</v>
      </c>
      <c r="AI514" s="7">
        <f t="shared" si="15"/>
        <v>22957.638212854181</v>
      </c>
    </row>
    <row r="515" spans="1:35" x14ac:dyDescent="0.3">
      <c r="A515" s="12" t="s">
        <v>1010</v>
      </c>
      <c r="B515" s="12" t="s">
        <v>1016</v>
      </c>
      <c r="C515" s="12" t="s">
        <v>5</v>
      </c>
      <c r="D515" s="13">
        <v>9311600</v>
      </c>
      <c r="E515" s="12" t="s">
        <v>756</v>
      </c>
      <c r="F515" s="12" t="s">
        <v>3</v>
      </c>
      <c r="G515" s="9">
        <v>82.508250825082513</v>
      </c>
      <c r="H515" s="9">
        <v>0</v>
      </c>
      <c r="I515" s="9">
        <v>82.508250825082513</v>
      </c>
      <c r="J515" s="9">
        <v>0</v>
      </c>
      <c r="K515" s="9">
        <v>82.508250825082513</v>
      </c>
      <c r="L515" s="9">
        <v>0</v>
      </c>
      <c r="M515" s="9">
        <v>82.508250825082513</v>
      </c>
      <c r="N515" s="9">
        <v>0</v>
      </c>
      <c r="O515" s="9">
        <v>82.508250825082513</v>
      </c>
      <c r="P515" s="9">
        <v>0</v>
      </c>
      <c r="Q515" s="9"/>
      <c r="R515" s="9">
        <v>0</v>
      </c>
      <c r="S515" s="9"/>
      <c r="T515" s="9"/>
      <c r="W515" s="4">
        <v>82.508250825082513</v>
      </c>
      <c r="X515" s="4">
        <v>33.002640264026404</v>
      </c>
      <c r="Y515" s="4">
        <v>82.508250825082513</v>
      </c>
      <c r="Z515" s="4">
        <v>107.73630363036304</v>
      </c>
      <c r="AA515" s="4">
        <v>99.009900990099013</v>
      </c>
      <c r="AB515" s="4">
        <v>71.975247524752476</v>
      </c>
      <c r="AC515" s="4">
        <v>100</v>
      </c>
      <c r="AD515" s="4">
        <v>13.456270627062706</v>
      </c>
      <c r="AE515" s="4">
        <v>100</v>
      </c>
      <c r="AF515" s="4">
        <v>4.4854785478547852</v>
      </c>
      <c r="AG515" s="4">
        <v>100</v>
      </c>
      <c r="AH515" s="4">
        <v>0</v>
      </c>
      <c r="AI515" s="7">
        <f t="shared" si="15"/>
        <v>1207.2235973597362</v>
      </c>
    </row>
    <row r="516" spans="1:35" x14ac:dyDescent="0.3">
      <c r="A516" s="12" t="s">
        <v>1010</v>
      </c>
      <c r="B516" s="12" t="s">
        <v>863</v>
      </c>
      <c r="C516" s="12" t="s">
        <v>1012</v>
      </c>
      <c r="D516" s="13">
        <v>7400096</v>
      </c>
      <c r="E516" s="12" t="s">
        <v>756</v>
      </c>
      <c r="F516" s="12" t="s">
        <v>3</v>
      </c>
      <c r="G516" s="9">
        <v>728.46494494323997</v>
      </c>
      <c r="H516" s="9">
        <v>0</v>
      </c>
      <c r="I516" s="9">
        <v>728.46494494323997</v>
      </c>
      <c r="J516" s="9">
        <v>0</v>
      </c>
      <c r="K516" s="9">
        <v>995.51395484423006</v>
      </c>
      <c r="L516" s="9">
        <v>0</v>
      </c>
      <c r="M516" s="9">
        <v>728.46494494323997</v>
      </c>
      <c r="N516" s="9">
        <v>0</v>
      </c>
      <c r="O516" s="9">
        <v>728.63430757178503</v>
      </c>
      <c r="P516" s="9">
        <v>0</v>
      </c>
      <c r="Q516" s="9"/>
      <c r="R516" s="9">
        <v>0</v>
      </c>
      <c r="S516" s="9"/>
      <c r="T516" s="9"/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31.983278327832782</v>
      </c>
      <c r="AE516" s="4">
        <v>0</v>
      </c>
      <c r="AF516" s="4">
        <v>753.37513751375138</v>
      </c>
      <c r="AG516" s="4">
        <v>220.02200220022002</v>
      </c>
      <c r="AH516" s="4">
        <v>0</v>
      </c>
      <c r="AI516" s="7">
        <f t="shared" si="15"/>
        <v>4914.9235152875399</v>
      </c>
    </row>
    <row r="517" spans="1:35" x14ac:dyDescent="0.3">
      <c r="A517" s="12" t="s">
        <v>1010</v>
      </c>
      <c r="B517" s="12" t="s">
        <v>863</v>
      </c>
      <c r="C517" s="12" t="s">
        <v>1012</v>
      </c>
      <c r="D517" s="13">
        <v>7302487</v>
      </c>
      <c r="E517" s="12" t="s">
        <v>757</v>
      </c>
      <c r="F517" s="12" t="s">
        <v>3</v>
      </c>
      <c r="G517" s="9">
        <v>1751.3480134413953</v>
      </c>
      <c r="H517" s="9">
        <v>10000</v>
      </c>
      <c r="I517" s="9">
        <v>1751.3480134413953</v>
      </c>
      <c r="J517" s="9">
        <v>0</v>
      </c>
      <c r="K517" s="9">
        <v>1651.3480134413953</v>
      </c>
      <c r="L517" s="9">
        <v>0</v>
      </c>
      <c r="M517" s="9">
        <v>1751.3480134413953</v>
      </c>
      <c r="N517" s="9">
        <v>5000</v>
      </c>
      <c r="O517" s="9">
        <v>1651.3480134413953</v>
      </c>
      <c r="P517" s="9">
        <v>10000</v>
      </c>
      <c r="Q517" s="9"/>
      <c r="R517" s="9">
        <v>10000</v>
      </c>
      <c r="S517" s="9"/>
      <c r="T517" s="9"/>
      <c r="W517" s="4">
        <v>0</v>
      </c>
      <c r="X517" s="4">
        <v>151.51072607260727</v>
      </c>
      <c r="Y517" s="4">
        <v>0</v>
      </c>
      <c r="Z517" s="4">
        <v>165.54884488448846</v>
      </c>
      <c r="AA517" s="4">
        <v>0</v>
      </c>
      <c r="AB517" s="4">
        <v>218.26617161716172</v>
      </c>
      <c r="AC517" s="4">
        <v>150</v>
      </c>
      <c r="AD517" s="4">
        <v>2.8085808580858087</v>
      </c>
      <c r="AE517" s="4">
        <v>150</v>
      </c>
      <c r="AF517" s="4">
        <v>36.002640264026404</v>
      </c>
      <c r="AG517" s="4">
        <v>49.504950495049506</v>
      </c>
      <c r="AH517" s="4">
        <v>0</v>
      </c>
      <c r="AI517" s="7">
        <f t="shared" ref="AI517:AI551" si="17">SUM(G517:AH517)</f>
        <v>44480.381981398408</v>
      </c>
    </row>
    <row r="518" spans="1:35" x14ac:dyDescent="0.3">
      <c r="A518" s="12" t="s">
        <v>1010</v>
      </c>
      <c r="B518" s="12" t="s">
        <v>1016</v>
      </c>
      <c r="C518" s="12" t="s">
        <v>5</v>
      </c>
      <c r="D518" s="13">
        <v>9311602</v>
      </c>
      <c r="E518" s="12" t="s">
        <v>758</v>
      </c>
      <c r="F518" s="12" t="s">
        <v>3</v>
      </c>
      <c r="G518" s="9">
        <v>547.99343663616571</v>
      </c>
      <c r="H518" s="9">
        <v>0</v>
      </c>
      <c r="I518" s="9">
        <v>547.99343663616571</v>
      </c>
      <c r="J518" s="9">
        <v>5000</v>
      </c>
      <c r="K518" s="9">
        <v>464.18754187701887</v>
      </c>
      <c r="L518" s="9">
        <v>0</v>
      </c>
      <c r="M518" s="9">
        <v>464.99044097884922</v>
      </c>
      <c r="N518" s="9">
        <v>0</v>
      </c>
      <c r="O518" s="9">
        <v>515.11069149346679</v>
      </c>
      <c r="P518" s="9">
        <v>0</v>
      </c>
      <c r="Q518" s="9"/>
      <c r="R518" s="9">
        <v>0</v>
      </c>
      <c r="S518" s="9"/>
      <c r="T518" s="9"/>
      <c r="W518" s="4">
        <v>165.61775422325275</v>
      </c>
      <c r="X518" s="4">
        <v>34.080655846306726</v>
      </c>
      <c r="Y518" s="4">
        <v>82.808877111626373</v>
      </c>
      <c r="Z518" s="4">
        <v>24.087611791984102</v>
      </c>
      <c r="AA518" s="4">
        <v>49.685326266975821</v>
      </c>
      <c r="AB518" s="4">
        <v>13.871646240476979</v>
      </c>
      <c r="AC518" s="4">
        <v>49.685326266975821</v>
      </c>
      <c r="AD518" s="4">
        <v>0</v>
      </c>
      <c r="AE518" s="4">
        <v>49.685326266975821</v>
      </c>
      <c r="AF518" s="4">
        <v>203.43358728055648</v>
      </c>
      <c r="AG518" s="4">
        <v>24.84266313348791</v>
      </c>
      <c r="AH518" s="4">
        <v>0</v>
      </c>
      <c r="AI518" s="7">
        <f t="shared" si="17"/>
        <v>8238.0743220502845</v>
      </c>
    </row>
    <row r="519" spans="1:35" x14ac:dyDescent="0.3">
      <c r="A519" s="12" t="s">
        <v>1010</v>
      </c>
      <c r="B519" s="12" t="s">
        <v>863</v>
      </c>
      <c r="C519" s="12" t="s">
        <v>1012</v>
      </c>
      <c r="D519" s="13">
        <v>7302467</v>
      </c>
      <c r="E519" s="12" t="s">
        <v>759</v>
      </c>
      <c r="F519" s="12" t="s">
        <v>3</v>
      </c>
      <c r="G519" s="9">
        <v>4764.3088575325564</v>
      </c>
      <c r="H519" s="9">
        <v>10000</v>
      </c>
      <c r="I519" s="9">
        <v>4764.3088575325564</v>
      </c>
      <c r="J519" s="9">
        <v>0</v>
      </c>
      <c r="K519" s="9">
        <v>5204.3528619329963</v>
      </c>
      <c r="L519" s="9">
        <v>5000</v>
      </c>
      <c r="M519" s="9">
        <v>4940.3264592927317</v>
      </c>
      <c r="N519" s="9">
        <v>0</v>
      </c>
      <c r="O519" s="9">
        <v>4252.8264592927326</v>
      </c>
      <c r="P519" s="9">
        <v>5000</v>
      </c>
      <c r="Q519" s="9"/>
      <c r="R519" s="9">
        <v>5000</v>
      </c>
      <c r="S519" s="9"/>
      <c r="T519" s="9"/>
      <c r="W519" s="4">
        <v>0</v>
      </c>
      <c r="X519" s="4">
        <v>0</v>
      </c>
      <c r="Y519" s="4">
        <v>100</v>
      </c>
      <c r="Z519" s="4">
        <v>0</v>
      </c>
      <c r="AA519" s="4">
        <v>0</v>
      </c>
      <c r="AB519" s="4">
        <v>100</v>
      </c>
      <c r="AC519" s="4">
        <v>0</v>
      </c>
      <c r="AD519" s="4">
        <v>100</v>
      </c>
      <c r="AE519" s="4">
        <v>0</v>
      </c>
      <c r="AF519" s="4">
        <v>749.99974999999995</v>
      </c>
      <c r="AG519" s="4">
        <v>0</v>
      </c>
      <c r="AH519" s="4">
        <v>0</v>
      </c>
      <c r="AI519" s="7">
        <f t="shared" si="17"/>
        <v>49976.123245583571</v>
      </c>
    </row>
    <row r="520" spans="1:35" x14ac:dyDescent="0.3">
      <c r="A520" s="12" t="s">
        <v>1010</v>
      </c>
      <c r="B520" s="12" t="s">
        <v>863</v>
      </c>
      <c r="C520" s="12" t="s">
        <v>1012</v>
      </c>
      <c r="D520" s="13">
        <v>7302486</v>
      </c>
      <c r="E520" s="12" t="s">
        <v>760</v>
      </c>
      <c r="F520" s="12" t="s">
        <v>3</v>
      </c>
      <c r="G520" s="9">
        <v>951.57565130952128</v>
      </c>
      <c r="H520" s="9">
        <v>0</v>
      </c>
      <c r="I520" s="9">
        <v>951.57565130952128</v>
      </c>
      <c r="J520" s="9">
        <v>0</v>
      </c>
      <c r="K520" s="9">
        <v>1051.5756513095212</v>
      </c>
      <c r="L520" s="9">
        <v>5000</v>
      </c>
      <c r="M520" s="9">
        <v>951.57565130952128</v>
      </c>
      <c r="N520" s="9">
        <v>0</v>
      </c>
      <c r="O520" s="9">
        <v>1053.0787827422405</v>
      </c>
      <c r="P520" s="9">
        <v>0</v>
      </c>
      <c r="Q520" s="9"/>
      <c r="R520" s="9">
        <v>0</v>
      </c>
      <c r="S520" s="9"/>
      <c r="T520" s="9"/>
      <c r="W520" s="4">
        <v>0</v>
      </c>
      <c r="X520" s="4">
        <v>157.01650165016503</v>
      </c>
      <c r="Y520" s="4">
        <v>0</v>
      </c>
      <c r="Z520" s="4">
        <v>501.93509350935096</v>
      </c>
      <c r="AA520" s="4">
        <v>0</v>
      </c>
      <c r="AB520" s="4">
        <v>720.37183718371841</v>
      </c>
      <c r="AC520" s="4">
        <v>0</v>
      </c>
      <c r="AD520" s="4">
        <v>0</v>
      </c>
      <c r="AE520" s="4">
        <v>0</v>
      </c>
      <c r="AF520" s="4">
        <v>702.07018701870186</v>
      </c>
      <c r="AG520" s="4">
        <v>330.03300330033005</v>
      </c>
      <c r="AH520" s="4">
        <v>0</v>
      </c>
      <c r="AI520" s="7">
        <f t="shared" si="17"/>
        <v>12370.808010642593</v>
      </c>
    </row>
    <row r="521" spans="1:35" x14ac:dyDescent="0.3">
      <c r="A521" s="12" t="s">
        <v>1010</v>
      </c>
      <c r="B521" s="12" t="s">
        <v>1016</v>
      </c>
      <c r="C521" s="12" t="s">
        <v>5</v>
      </c>
      <c r="D521" s="13">
        <v>9311606</v>
      </c>
      <c r="E521" s="12" t="s">
        <v>761</v>
      </c>
      <c r="F521" s="12" t="s">
        <v>3</v>
      </c>
      <c r="G521" s="9">
        <v>66.006600660066013</v>
      </c>
      <c r="H521" s="9">
        <v>0</v>
      </c>
      <c r="I521" s="9">
        <v>66.006600660066013</v>
      </c>
      <c r="J521" s="9">
        <v>0</v>
      </c>
      <c r="K521" s="9">
        <v>66.006600660066013</v>
      </c>
      <c r="L521" s="9">
        <v>0</v>
      </c>
      <c r="M521" s="9">
        <v>66.006600660066013</v>
      </c>
      <c r="N521" s="9">
        <v>0</v>
      </c>
      <c r="O521" s="9">
        <v>66.006600660066013</v>
      </c>
      <c r="P521" s="9">
        <v>0</v>
      </c>
      <c r="Q521" s="9"/>
      <c r="R521" s="9">
        <v>0</v>
      </c>
      <c r="S521" s="9"/>
      <c r="T521" s="9"/>
      <c r="W521" s="4">
        <v>495.04950495049508</v>
      </c>
      <c r="X521" s="4">
        <v>210.01188118811882</v>
      </c>
      <c r="Y521" s="4">
        <v>495.04950495049508</v>
      </c>
      <c r="Z521" s="4">
        <v>114.0062706270627</v>
      </c>
      <c r="AA521" s="4">
        <v>214.52145214521451</v>
      </c>
      <c r="AB521" s="4">
        <v>120.00693069306931</v>
      </c>
      <c r="AC521" s="4">
        <v>214.52145214521451</v>
      </c>
      <c r="AD521" s="4">
        <v>0</v>
      </c>
      <c r="AE521" s="4">
        <v>214.52145214521451</v>
      </c>
      <c r="AF521" s="4">
        <v>0</v>
      </c>
      <c r="AG521" s="4">
        <v>0</v>
      </c>
      <c r="AH521" s="4">
        <v>0</v>
      </c>
      <c r="AI521" s="7">
        <f t="shared" si="17"/>
        <v>2407.7214521452147</v>
      </c>
    </row>
    <row r="522" spans="1:35" x14ac:dyDescent="0.3">
      <c r="A522" s="12" t="s">
        <v>1010</v>
      </c>
      <c r="B522" s="12" t="s">
        <v>863</v>
      </c>
      <c r="C522" s="12" t="s">
        <v>1012</v>
      </c>
      <c r="D522" s="13">
        <v>7400094</v>
      </c>
      <c r="E522" s="12" t="s">
        <v>762</v>
      </c>
      <c r="F522" s="12" t="s">
        <v>3</v>
      </c>
      <c r="G522" s="9">
        <v>478.54785478547853</v>
      </c>
      <c r="H522" s="9">
        <v>0</v>
      </c>
      <c r="I522" s="9">
        <v>478.54785478547853</v>
      </c>
      <c r="J522" s="9">
        <v>0</v>
      </c>
      <c r="K522" s="9">
        <v>478.54785478547853</v>
      </c>
      <c r="L522" s="9">
        <v>0</v>
      </c>
      <c r="M522" s="9">
        <v>478.54785478547853</v>
      </c>
      <c r="N522" s="9">
        <v>0</v>
      </c>
      <c r="O522" s="9">
        <v>478.54785478547853</v>
      </c>
      <c r="P522" s="9">
        <v>0</v>
      </c>
      <c r="Q522" s="9"/>
      <c r="R522" s="9">
        <v>0</v>
      </c>
      <c r="S522" s="9"/>
      <c r="T522" s="9"/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47.974917491749174</v>
      </c>
      <c r="AC522" s="4">
        <v>0</v>
      </c>
      <c r="AD522" s="4">
        <v>2.2501650165016502</v>
      </c>
      <c r="AE522" s="4">
        <v>0</v>
      </c>
      <c r="AF522" s="4">
        <v>327.02376237623764</v>
      </c>
      <c r="AG522" s="4">
        <v>313.53135313531351</v>
      </c>
      <c r="AH522" s="4">
        <v>0</v>
      </c>
      <c r="AI522" s="7">
        <f t="shared" si="17"/>
        <v>3083.5194719471951</v>
      </c>
    </row>
    <row r="523" spans="1:35" x14ac:dyDescent="0.3">
      <c r="A523" s="12" t="s">
        <v>1010</v>
      </c>
      <c r="B523" s="12" t="s">
        <v>1016</v>
      </c>
      <c r="C523" s="12" t="s">
        <v>5</v>
      </c>
      <c r="D523" s="13">
        <v>9311612</v>
      </c>
      <c r="E523" s="12" t="s">
        <v>763</v>
      </c>
      <c r="F523" s="12" t="s">
        <v>3</v>
      </c>
      <c r="G523" s="9">
        <v>718.44205599389454</v>
      </c>
      <c r="H523" s="9">
        <v>0</v>
      </c>
      <c r="I523" s="9">
        <v>718.44205599389454</v>
      </c>
      <c r="J523" s="9">
        <v>0</v>
      </c>
      <c r="K523" s="9">
        <v>555.52629324590998</v>
      </c>
      <c r="L523" s="9">
        <v>0</v>
      </c>
      <c r="M523" s="9">
        <v>555.52629324590998</v>
      </c>
      <c r="N523" s="9">
        <v>0</v>
      </c>
      <c r="O523" s="9">
        <v>555.52629324590998</v>
      </c>
      <c r="P523" s="9">
        <v>0</v>
      </c>
      <c r="Q523" s="9"/>
      <c r="R523" s="9">
        <v>0</v>
      </c>
      <c r="S523" s="9"/>
      <c r="T523" s="9"/>
      <c r="W523" s="4">
        <v>0</v>
      </c>
      <c r="X523" s="4">
        <v>20.281848184818482</v>
      </c>
      <c r="Y523" s="4">
        <v>0</v>
      </c>
      <c r="Z523" s="4">
        <v>60.005940594059403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478.18811881188117</v>
      </c>
      <c r="AG523" s="4">
        <v>0</v>
      </c>
      <c r="AH523" s="4">
        <v>0</v>
      </c>
      <c r="AI523" s="7">
        <f t="shared" si="17"/>
        <v>3661.9388993162775</v>
      </c>
    </row>
    <row r="524" spans="1:35" x14ac:dyDescent="0.3">
      <c r="A524" s="12" t="s">
        <v>1010</v>
      </c>
      <c r="B524" s="12" t="s">
        <v>863</v>
      </c>
      <c r="C524" s="12" t="s">
        <v>1012</v>
      </c>
      <c r="D524" s="13">
        <v>7302450</v>
      </c>
      <c r="E524" s="12" t="s">
        <v>764</v>
      </c>
      <c r="F524" s="12" t="s">
        <v>3</v>
      </c>
      <c r="G524" s="9">
        <v>0</v>
      </c>
      <c r="H524" s="9">
        <v>0</v>
      </c>
      <c r="I524" s="9">
        <v>0</v>
      </c>
      <c r="J524" s="9">
        <v>0</v>
      </c>
      <c r="K524" s="9">
        <v>270.08362676056339</v>
      </c>
      <c r="L524" s="9">
        <v>0</v>
      </c>
      <c r="M524" s="9">
        <v>0</v>
      </c>
      <c r="N524" s="9">
        <v>0</v>
      </c>
      <c r="O524" s="9">
        <v>0</v>
      </c>
      <c r="P524" s="9">
        <v>0</v>
      </c>
      <c r="Q524" s="9"/>
      <c r="R524" s="9">
        <v>0</v>
      </c>
      <c r="S524" s="9"/>
      <c r="T524" s="9"/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52.816901408450704</v>
      </c>
      <c r="AC524" s="4">
        <v>0</v>
      </c>
      <c r="AD524" s="4">
        <v>36.011443661971832</v>
      </c>
      <c r="AE524" s="4">
        <v>0</v>
      </c>
      <c r="AF524" s="4">
        <v>618.19190140845069</v>
      </c>
      <c r="AG524" s="4">
        <v>246.07874519846351</v>
      </c>
      <c r="AH524" s="4">
        <v>0</v>
      </c>
      <c r="AI524" s="7">
        <f t="shared" si="17"/>
        <v>1223.1826184379001</v>
      </c>
    </row>
    <row r="525" spans="1:35" x14ac:dyDescent="0.3">
      <c r="A525" s="12" t="s">
        <v>1010</v>
      </c>
      <c r="B525" s="12" t="s">
        <v>863</v>
      </c>
      <c r="C525" s="12" t="s">
        <v>1012</v>
      </c>
      <c r="D525" s="13">
        <v>7302457</v>
      </c>
      <c r="E525" s="12" t="s">
        <v>765</v>
      </c>
      <c r="F525" s="12" t="s">
        <v>3</v>
      </c>
      <c r="G525" s="9">
        <v>0</v>
      </c>
      <c r="H525" s="9">
        <v>0</v>
      </c>
      <c r="I525" s="9">
        <v>0</v>
      </c>
      <c r="J525" s="9">
        <v>0</v>
      </c>
      <c r="K525" s="9">
        <v>1230.3851232394366</v>
      </c>
      <c r="L525" s="9">
        <v>0</v>
      </c>
      <c r="M525" s="9">
        <v>0</v>
      </c>
      <c r="N525" s="9">
        <v>0</v>
      </c>
      <c r="O525" s="9">
        <v>0</v>
      </c>
      <c r="P525" s="9">
        <v>0</v>
      </c>
      <c r="Q525" s="9"/>
      <c r="R525" s="9">
        <v>0</v>
      </c>
      <c r="S525" s="9"/>
      <c r="T525" s="9"/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72.02200704225352</v>
      </c>
      <c r="AE525" s="4">
        <v>0</v>
      </c>
      <c r="AF525" s="4">
        <v>2142.675616197183</v>
      </c>
      <c r="AG525" s="4">
        <v>378.12099871959026</v>
      </c>
      <c r="AH525" s="4">
        <v>0</v>
      </c>
      <c r="AI525" s="7">
        <f t="shared" si="17"/>
        <v>3823.2037451984634</v>
      </c>
    </row>
    <row r="526" spans="1:35" x14ac:dyDescent="0.3">
      <c r="A526" s="12" t="s">
        <v>1010</v>
      </c>
      <c r="B526" s="12" t="s">
        <v>863</v>
      </c>
      <c r="C526" s="12" t="s">
        <v>1012</v>
      </c>
      <c r="D526" s="13">
        <v>7302451</v>
      </c>
      <c r="E526" s="12" t="s">
        <v>766</v>
      </c>
      <c r="F526" s="12" t="s">
        <v>3</v>
      </c>
      <c r="G526" s="9">
        <v>0</v>
      </c>
      <c r="H526" s="9">
        <v>0</v>
      </c>
      <c r="I526" s="9">
        <v>0</v>
      </c>
      <c r="J526" s="9">
        <v>0</v>
      </c>
      <c r="K526" s="9">
        <v>0</v>
      </c>
      <c r="L526" s="9">
        <v>0</v>
      </c>
      <c r="M526" s="9">
        <v>0</v>
      </c>
      <c r="N526" s="9">
        <v>0</v>
      </c>
      <c r="O526" s="9">
        <v>0</v>
      </c>
      <c r="P526" s="9">
        <v>0</v>
      </c>
      <c r="Q526" s="9"/>
      <c r="R526" s="9">
        <v>0</v>
      </c>
      <c r="S526" s="9"/>
      <c r="T526" s="9"/>
      <c r="W526" s="4">
        <v>3000</v>
      </c>
      <c r="X526" s="4">
        <v>0</v>
      </c>
      <c r="Y526" s="4">
        <v>1800</v>
      </c>
      <c r="Z526" s="4">
        <v>180.02155365963179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7">
        <f t="shared" si="17"/>
        <v>4980.0215536596315</v>
      </c>
    </row>
    <row r="527" spans="1:35" x14ac:dyDescent="0.3">
      <c r="A527" s="12" t="s">
        <v>1010</v>
      </c>
      <c r="B527" s="12" t="s">
        <v>863</v>
      </c>
      <c r="C527" s="12" t="s">
        <v>1012</v>
      </c>
      <c r="D527" s="13">
        <v>7302452</v>
      </c>
      <c r="E527" s="12" t="s">
        <v>767</v>
      </c>
      <c r="F527" s="12" t="s">
        <v>3</v>
      </c>
      <c r="G527" s="9">
        <v>0</v>
      </c>
      <c r="H527" s="9">
        <v>0</v>
      </c>
      <c r="I527" s="9">
        <v>0</v>
      </c>
      <c r="J527" s="9">
        <v>0</v>
      </c>
      <c r="K527" s="9">
        <v>90.028609154929583</v>
      </c>
      <c r="L527" s="9">
        <v>0</v>
      </c>
      <c r="M527" s="9">
        <v>0</v>
      </c>
      <c r="N527" s="9">
        <v>0</v>
      </c>
      <c r="O527" s="9">
        <v>0</v>
      </c>
      <c r="P527" s="9">
        <v>0</v>
      </c>
      <c r="Q527" s="9"/>
      <c r="R527" s="9">
        <v>0</v>
      </c>
      <c r="S527" s="9"/>
      <c r="T527" s="9"/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52.816901408450704</v>
      </c>
      <c r="AC527" s="4">
        <v>0</v>
      </c>
      <c r="AD527" s="4">
        <v>108.03433098591549</v>
      </c>
      <c r="AE527" s="4">
        <v>0</v>
      </c>
      <c r="AF527" s="4">
        <v>210.06602112676057</v>
      </c>
      <c r="AG527" s="4">
        <v>120.03829225352112</v>
      </c>
      <c r="AH527" s="4">
        <v>0</v>
      </c>
      <c r="AI527" s="7">
        <f t="shared" si="17"/>
        <v>580.98415492957747</v>
      </c>
    </row>
    <row r="528" spans="1:35" x14ac:dyDescent="0.3">
      <c r="A528" s="12" t="s">
        <v>1010</v>
      </c>
      <c r="B528" s="12" t="s">
        <v>863</v>
      </c>
      <c r="C528" s="12" t="s">
        <v>1012</v>
      </c>
      <c r="D528" s="13">
        <v>7302458</v>
      </c>
      <c r="E528" s="12" t="s">
        <v>768</v>
      </c>
      <c r="F528" s="12" t="s">
        <v>3</v>
      </c>
      <c r="G528" s="9">
        <v>0</v>
      </c>
      <c r="H528" s="9">
        <v>0</v>
      </c>
      <c r="I528" s="9">
        <v>0</v>
      </c>
      <c r="J528" s="9">
        <v>0</v>
      </c>
      <c r="K528" s="9">
        <v>480.14744718309856</v>
      </c>
      <c r="L528" s="9">
        <v>0</v>
      </c>
      <c r="M528" s="9">
        <v>0</v>
      </c>
      <c r="N528" s="9">
        <v>0</v>
      </c>
      <c r="O528" s="9">
        <v>0</v>
      </c>
      <c r="P528" s="9">
        <v>0</v>
      </c>
      <c r="Q528" s="9"/>
      <c r="R528" s="9">
        <v>0</v>
      </c>
      <c r="S528" s="9"/>
      <c r="T528" s="9"/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52.816901408450704</v>
      </c>
      <c r="AC528" s="4">
        <v>0</v>
      </c>
      <c r="AD528" s="4">
        <v>0</v>
      </c>
      <c r="AE528" s="4">
        <v>0</v>
      </c>
      <c r="AF528" s="4">
        <v>1206.3798415492959</v>
      </c>
      <c r="AG528" s="4">
        <v>288.09218950064019</v>
      </c>
      <c r="AH528" s="4">
        <v>0</v>
      </c>
      <c r="AI528" s="7">
        <f t="shared" si="17"/>
        <v>2027.4363796414852</v>
      </c>
    </row>
    <row r="529" spans="1:35" x14ac:dyDescent="0.3">
      <c r="A529" s="12" t="s">
        <v>1010</v>
      </c>
      <c r="B529" s="12" t="s">
        <v>863</v>
      </c>
      <c r="C529" s="12" t="s">
        <v>1012</v>
      </c>
      <c r="D529" s="13">
        <v>7302449</v>
      </c>
      <c r="E529" s="12" t="s">
        <v>769</v>
      </c>
      <c r="F529" s="12" t="s">
        <v>3</v>
      </c>
      <c r="G529" s="9">
        <v>0</v>
      </c>
      <c r="H529" s="9">
        <v>0</v>
      </c>
      <c r="I529" s="9">
        <v>0</v>
      </c>
      <c r="J529" s="9">
        <v>0</v>
      </c>
      <c r="K529" s="9">
        <v>0</v>
      </c>
      <c r="L529" s="9">
        <v>0</v>
      </c>
      <c r="M529" s="9">
        <v>0</v>
      </c>
      <c r="N529" s="9">
        <v>0</v>
      </c>
      <c r="O529" s="9">
        <v>0</v>
      </c>
      <c r="P529" s="9">
        <v>0</v>
      </c>
      <c r="Q529" s="9"/>
      <c r="R529" s="9">
        <v>0</v>
      </c>
      <c r="S529" s="9"/>
      <c r="T529" s="9"/>
      <c r="W529" s="4">
        <v>3000</v>
      </c>
      <c r="X529" s="4">
        <v>-60.0071845532106</v>
      </c>
      <c r="Y529" s="4">
        <v>1800</v>
      </c>
      <c r="Z529" s="4">
        <v>600.07184553210595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180.02155365963179</v>
      </c>
      <c r="AG529" s="4">
        <v>0</v>
      </c>
      <c r="AH529" s="4">
        <v>0</v>
      </c>
      <c r="AI529" s="7">
        <f t="shared" si="17"/>
        <v>5520.0862146385261</v>
      </c>
    </row>
    <row r="530" spans="1:35" x14ac:dyDescent="0.3">
      <c r="A530" s="12" t="s">
        <v>1010</v>
      </c>
      <c r="B530" s="12" t="s">
        <v>863</v>
      </c>
      <c r="C530" s="12" t="s">
        <v>1012</v>
      </c>
      <c r="D530" s="13">
        <v>7302459</v>
      </c>
      <c r="E530" s="12" t="s">
        <v>770</v>
      </c>
      <c r="F530" s="12" t="s">
        <v>3</v>
      </c>
      <c r="G530" s="9">
        <v>0</v>
      </c>
      <c r="H530" s="9">
        <v>0</v>
      </c>
      <c r="I530" s="9">
        <v>0</v>
      </c>
      <c r="J530" s="9">
        <v>0</v>
      </c>
      <c r="K530" s="9">
        <v>180.05501760563379</v>
      </c>
      <c r="L530" s="9">
        <v>0</v>
      </c>
      <c r="M530" s="9">
        <v>0</v>
      </c>
      <c r="N530" s="9">
        <v>0</v>
      </c>
      <c r="O530" s="9">
        <v>0</v>
      </c>
      <c r="P530" s="9">
        <v>0</v>
      </c>
      <c r="Q530" s="9"/>
      <c r="R530" s="9">
        <v>0</v>
      </c>
      <c r="S530" s="9"/>
      <c r="T530" s="9"/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52.816901408450704</v>
      </c>
      <c r="AC530" s="4">
        <v>0</v>
      </c>
      <c r="AD530" s="4">
        <v>84.025968309859152</v>
      </c>
      <c r="AE530" s="4">
        <v>0</v>
      </c>
      <c r="AF530" s="4">
        <v>444.14084507042253</v>
      </c>
      <c r="AG530" s="4">
        <v>150.04801536491675</v>
      </c>
      <c r="AH530" s="4">
        <v>0</v>
      </c>
      <c r="AI530" s="7">
        <f t="shared" si="17"/>
        <v>911.08674775928296</v>
      </c>
    </row>
    <row r="531" spans="1:35" x14ac:dyDescent="0.3">
      <c r="A531" s="12" t="s">
        <v>1010</v>
      </c>
      <c r="B531" s="12" t="s">
        <v>863</v>
      </c>
      <c r="C531" s="12" t="s">
        <v>1012</v>
      </c>
      <c r="D531" s="13">
        <v>7302455</v>
      </c>
      <c r="E531" s="12" t="s">
        <v>771</v>
      </c>
      <c r="F531" s="12" t="s">
        <v>3</v>
      </c>
      <c r="G531" s="9">
        <v>0</v>
      </c>
      <c r="H531" s="9">
        <v>0</v>
      </c>
      <c r="I531" s="9">
        <v>0</v>
      </c>
      <c r="J531" s="9">
        <v>0</v>
      </c>
      <c r="K531" s="9">
        <v>90.026408450704224</v>
      </c>
      <c r="L531" s="9">
        <v>0</v>
      </c>
      <c r="M531" s="9">
        <v>0</v>
      </c>
      <c r="N531" s="9">
        <v>0</v>
      </c>
      <c r="O531" s="9">
        <v>0</v>
      </c>
      <c r="P531" s="9">
        <v>0</v>
      </c>
      <c r="Q531" s="9"/>
      <c r="R531" s="9">
        <v>0</v>
      </c>
      <c r="S531" s="9"/>
      <c r="T531" s="9"/>
      <c r="W531" s="4">
        <v>3000</v>
      </c>
      <c r="X531" s="4">
        <v>0</v>
      </c>
      <c r="Y531" s="4">
        <v>1800</v>
      </c>
      <c r="Z531" s="4">
        <v>660.0794791198922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360.04400538841492</v>
      </c>
      <c r="AG531" s="4">
        <v>0</v>
      </c>
      <c r="AH531" s="4">
        <v>0</v>
      </c>
      <c r="AI531" s="7">
        <f t="shared" si="17"/>
        <v>5910.1498929590116</v>
      </c>
    </row>
    <row r="532" spans="1:35" x14ac:dyDescent="0.3">
      <c r="A532" s="12" t="s">
        <v>1010</v>
      </c>
      <c r="B532" s="12" t="s">
        <v>863</v>
      </c>
      <c r="C532" s="12" t="s">
        <v>1012</v>
      </c>
      <c r="D532" s="13">
        <v>7302456</v>
      </c>
      <c r="E532" s="12" t="s">
        <v>772</v>
      </c>
      <c r="F532" s="12" t="s">
        <v>3</v>
      </c>
      <c r="G532" s="9">
        <v>0</v>
      </c>
      <c r="H532" s="9">
        <v>0</v>
      </c>
      <c r="I532" s="9">
        <v>0</v>
      </c>
      <c r="J532" s="9">
        <v>0</v>
      </c>
      <c r="K532" s="9">
        <v>630.20026408450701</v>
      </c>
      <c r="L532" s="9">
        <v>0</v>
      </c>
      <c r="M532" s="9">
        <v>0</v>
      </c>
      <c r="N532" s="9">
        <v>0</v>
      </c>
      <c r="O532" s="9">
        <v>0</v>
      </c>
      <c r="P532" s="9">
        <v>0</v>
      </c>
      <c r="Q532" s="9"/>
      <c r="R532" s="9">
        <v>0</v>
      </c>
      <c r="S532" s="9"/>
      <c r="T532" s="9"/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52.816901408450704</v>
      </c>
      <c r="AC532" s="4">
        <v>0</v>
      </c>
      <c r="AD532" s="4">
        <v>0</v>
      </c>
      <c r="AE532" s="4">
        <v>0</v>
      </c>
      <c r="AF532" s="4">
        <v>690.21566901408448</v>
      </c>
      <c r="AG532" s="4">
        <v>120.03829225352112</v>
      </c>
      <c r="AH532" s="4">
        <v>0</v>
      </c>
      <c r="AI532" s="7">
        <f t="shared" si="17"/>
        <v>1493.2711267605634</v>
      </c>
    </row>
    <row r="533" spans="1:35" x14ac:dyDescent="0.3">
      <c r="A533" s="12" t="s">
        <v>1010</v>
      </c>
      <c r="B533" s="12" t="s">
        <v>863</v>
      </c>
      <c r="C533" s="12" t="s">
        <v>1012</v>
      </c>
      <c r="D533" s="13">
        <v>7302454</v>
      </c>
      <c r="E533" s="12" t="s">
        <v>773</v>
      </c>
      <c r="F533" s="12" t="s">
        <v>3</v>
      </c>
      <c r="G533" s="9">
        <v>0</v>
      </c>
      <c r="H533" s="9">
        <v>0</v>
      </c>
      <c r="I533" s="9">
        <v>0</v>
      </c>
      <c r="J533" s="9">
        <v>0</v>
      </c>
      <c r="K533" s="9">
        <v>480.15184859154931</v>
      </c>
      <c r="L533" s="9">
        <v>0</v>
      </c>
      <c r="M533" s="9">
        <v>0</v>
      </c>
      <c r="N533" s="9">
        <v>0</v>
      </c>
      <c r="O533" s="9">
        <v>0</v>
      </c>
      <c r="P533" s="9">
        <v>0</v>
      </c>
      <c r="Q533" s="9"/>
      <c r="R533" s="9">
        <v>0</v>
      </c>
      <c r="S533" s="9"/>
      <c r="T533" s="9"/>
      <c r="W533" s="4">
        <v>3000</v>
      </c>
      <c r="X533" s="4">
        <v>0</v>
      </c>
      <c r="Y533" s="4">
        <v>1800</v>
      </c>
      <c r="Z533" s="4">
        <v>780.09429726088911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1500.1827570722946</v>
      </c>
      <c r="AG533" s="4">
        <v>0</v>
      </c>
      <c r="AH533" s="4">
        <v>0</v>
      </c>
      <c r="AI533" s="7">
        <f t="shared" si="17"/>
        <v>7560.4289029247329</v>
      </c>
    </row>
    <row r="534" spans="1:35" x14ac:dyDescent="0.3">
      <c r="A534" s="12" t="s">
        <v>1010</v>
      </c>
      <c r="B534" s="12" t="s">
        <v>863</v>
      </c>
      <c r="C534" s="12" t="s">
        <v>1012</v>
      </c>
      <c r="D534" s="13">
        <v>7302453</v>
      </c>
      <c r="E534" s="12" t="s">
        <v>774</v>
      </c>
      <c r="F534" s="12" t="s">
        <v>3</v>
      </c>
      <c r="G534" s="9">
        <v>0</v>
      </c>
      <c r="H534" s="9">
        <v>0</v>
      </c>
      <c r="I534" s="9">
        <v>0</v>
      </c>
      <c r="J534" s="9">
        <v>0</v>
      </c>
      <c r="K534" s="9">
        <v>270.08802816901408</v>
      </c>
      <c r="L534" s="9">
        <v>0</v>
      </c>
      <c r="M534" s="9">
        <v>0</v>
      </c>
      <c r="N534" s="9">
        <v>0</v>
      </c>
      <c r="O534" s="9">
        <v>0</v>
      </c>
      <c r="P534" s="9">
        <v>0</v>
      </c>
      <c r="Q534" s="9"/>
      <c r="R534" s="9">
        <v>0</v>
      </c>
      <c r="S534" s="9"/>
      <c r="T534" s="9"/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52.816901408450704</v>
      </c>
      <c r="AC534" s="4">
        <v>0</v>
      </c>
      <c r="AD534" s="4">
        <v>54.01672535211268</v>
      </c>
      <c r="AE534" s="4">
        <v>0</v>
      </c>
      <c r="AF534" s="4">
        <v>240.07570422535213</v>
      </c>
      <c r="AG534" s="4">
        <v>60.019206145966706</v>
      </c>
      <c r="AH534" s="4">
        <v>0</v>
      </c>
      <c r="AI534" s="7">
        <f t="shared" si="17"/>
        <v>677.01656530089633</v>
      </c>
    </row>
    <row r="535" spans="1:35" x14ac:dyDescent="0.3">
      <c r="A535" s="12" t="s">
        <v>1010</v>
      </c>
      <c r="B535" s="12" t="s">
        <v>863</v>
      </c>
      <c r="C535" s="12" t="s">
        <v>1012</v>
      </c>
      <c r="D535" s="13">
        <v>7302460</v>
      </c>
      <c r="E535" s="12" t="s">
        <v>775</v>
      </c>
      <c r="F535" s="12" t="s">
        <v>3</v>
      </c>
      <c r="G535" s="9">
        <v>0</v>
      </c>
      <c r="H535" s="9">
        <v>0</v>
      </c>
      <c r="I535" s="9">
        <v>0</v>
      </c>
      <c r="J535" s="9">
        <v>0</v>
      </c>
      <c r="K535" s="9">
        <v>600.18485915492954</v>
      </c>
      <c r="L535" s="9">
        <v>0</v>
      </c>
      <c r="M535" s="9">
        <v>0</v>
      </c>
      <c r="N535" s="9">
        <v>0</v>
      </c>
      <c r="O535" s="9">
        <v>0</v>
      </c>
      <c r="P535" s="9">
        <v>0</v>
      </c>
      <c r="Q535" s="9"/>
      <c r="R535" s="9">
        <v>0</v>
      </c>
      <c r="S535" s="9"/>
      <c r="T535" s="9"/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52.816901408450704</v>
      </c>
      <c r="AC535" s="4">
        <v>0</v>
      </c>
      <c r="AD535" s="4">
        <v>12.003521126760564</v>
      </c>
      <c r="AE535" s="4">
        <v>0</v>
      </c>
      <c r="AF535" s="4">
        <v>1116.349471830986</v>
      </c>
      <c r="AG535" s="4">
        <v>276.08834827144682</v>
      </c>
      <c r="AH535" s="4">
        <v>0</v>
      </c>
      <c r="AI535" s="7">
        <f t="shared" si="17"/>
        <v>2057.4431017925735</v>
      </c>
    </row>
    <row r="536" spans="1:35" x14ac:dyDescent="0.3">
      <c r="A536" s="12" t="s">
        <v>1010</v>
      </c>
      <c r="B536" s="12" t="s">
        <v>863</v>
      </c>
      <c r="C536" s="12" t="s">
        <v>1012</v>
      </c>
      <c r="D536" s="13">
        <v>7302369</v>
      </c>
      <c r="E536" s="12" t="s">
        <v>776</v>
      </c>
      <c r="F536" s="12" t="s">
        <v>3</v>
      </c>
      <c r="G536" s="9">
        <v>32.015140045420139</v>
      </c>
      <c r="H536" s="9">
        <v>0</v>
      </c>
      <c r="I536" s="9">
        <v>32.015140045420139</v>
      </c>
      <c r="J536" s="9">
        <v>0</v>
      </c>
      <c r="K536" s="9">
        <v>32.015140045420139</v>
      </c>
      <c r="L536" s="9">
        <v>0</v>
      </c>
      <c r="M536" s="9">
        <v>32.015140045420139</v>
      </c>
      <c r="N536" s="9">
        <v>0</v>
      </c>
      <c r="O536" s="9">
        <v>32.015140045420139</v>
      </c>
      <c r="P536" s="9">
        <v>0</v>
      </c>
      <c r="Q536" s="9"/>
      <c r="R536" s="9">
        <v>0</v>
      </c>
      <c r="S536" s="9"/>
      <c r="T536" s="9"/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7">
        <f t="shared" si="17"/>
        <v>160.0757002271007</v>
      </c>
    </row>
    <row r="537" spans="1:35" x14ac:dyDescent="0.3">
      <c r="A537" s="12" t="s">
        <v>1010</v>
      </c>
      <c r="B537" s="12" t="s">
        <v>863</v>
      </c>
      <c r="C537" s="12" t="s">
        <v>1012</v>
      </c>
      <c r="D537" s="13">
        <v>7301438</v>
      </c>
      <c r="E537" s="12" t="s">
        <v>777</v>
      </c>
      <c r="F537" s="12" t="s">
        <v>3</v>
      </c>
      <c r="G537" s="9">
        <v>441.50110375275938</v>
      </c>
      <c r="H537" s="9">
        <v>0</v>
      </c>
      <c r="I537" s="9">
        <v>441.50110375275938</v>
      </c>
      <c r="J537" s="9">
        <v>0</v>
      </c>
      <c r="K537" s="9">
        <v>441.50110375275938</v>
      </c>
      <c r="L537" s="9">
        <v>0</v>
      </c>
      <c r="M537" s="9">
        <v>441.50110375275938</v>
      </c>
      <c r="N537" s="9">
        <v>0</v>
      </c>
      <c r="O537" s="9">
        <v>441.50110375275938</v>
      </c>
      <c r="P537" s="9">
        <v>0</v>
      </c>
      <c r="Q537" s="9"/>
      <c r="R537" s="9">
        <v>0</v>
      </c>
      <c r="S537" s="9"/>
      <c r="T537" s="9"/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120.00000000000001</v>
      </c>
      <c r="AC537" s="4">
        <v>0</v>
      </c>
      <c r="AD537" s="4">
        <v>5.6283536501472176</v>
      </c>
      <c r="AE537" s="4">
        <v>0</v>
      </c>
      <c r="AF537" s="4">
        <v>37.485759885528743</v>
      </c>
      <c r="AG537" s="4">
        <v>61.913541179384175</v>
      </c>
      <c r="AH537" s="4">
        <v>0</v>
      </c>
      <c r="AI537" s="7">
        <f t="shared" si="17"/>
        <v>2432.533173478857</v>
      </c>
    </row>
    <row r="538" spans="1:35" x14ac:dyDescent="0.3">
      <c r="A538" s="12" t="s">
        <v>1010</v>
      </c>
      <c r="B538" s="12" t="s">
        <v>1016</v>
      </c>
      <c r="C538" s="12" t="s">
        <v>5</v>
      </c>
      <c r="D538" s="13">
        <v>9311605</v>
      </c>
      <c r="E538" s="12" t="s">
        <v>760</v>
      </c>
      <c r="F538" s="12" t="s">
        <v>3</v>
      </c>
      <c r="G538" s="9">
        <v>0</v>
      </c>
      <c r="H538" s="9">
        <v>0</v>
      </c>
      <c r="I538" s="9">
        <v>0</v>
      </c>
      <c r="J538" s="9">
        <v>0</v>
      </c>
      <c r="K538" s="9">
        <v>0</v>
      </c>
      <c r="L538" s="9">
        <v>0</v>
      </c>
      <c r="M538" s="9">
        <v>0</v>
      </c>
      <c r="N538" s="9">
        <v>0</v>
      </c>
      <c r="O538" s="9">
        <v>0</v>
      </c>
      <c r="P538" s="9">
        <v>0</v>
      </c>
      <c r="Q538" s="9"/>
      <c r="R538" s="9">
        <v>0</v>
      </c>
      <c r="S538" s="9"/>
      <c r="T538" s="9"/>
      <c r="W538" s="4">
        <v>82.508250825082513</v>
      </c>
      <c r="X538" s="4">
        <v>39.00247524752475</v>
      </c>
      <c r="Y538" s="4">
        <v>82.508250825082513</v>
      </c>
      <c r="Z538" s="4">
        <v>17.94174917491749</v>
      </c>
      <c r="AA538" s="4">
        <v>198.01980198019803</v>
      </c>
      <c r="AB538" s="4">
        <v>8.9709570957095703</v>
      </c>
      <c r="AC538" s="4">
        <v>0</v>
      </c>
      <c r="AD538" s="4">
        <v>13.456270627062706</v>
      </c>
      <c r="AE538" s="4">
        <v>0</v>
      </c>
      <c r="AF538" s="4">
        <v>4.4854785478547852</v>
      </c>
      <c r="AG538" s="4">
        <v>0</v>
      </c>
      <c r="AH538" s="4">
        <v>0</v>
      </c>
      <c r="AI538" s="7">
        <f t="shared" si="17"/>
        <v>446.89323432343235</v>
      </c>
    </row>
    <row r="539" spans="1:35" x14ac:dyDescent="0.3">
      <c r="A539" s="12" t="s">
        <v>1010</v>
      </c>
      <c r="B539" s="12" t="s">
        <v>1016</v>
      </c>
      <c r="C539" s="12" t="s">
        <v>5</v>
      </c>
      <c r="D539" s="13">
        <v>9311601</v>
      </c>
      <c r="E539" s="12" t="s">
        <v>757</v>
      </c>
      <c r="F539" s="12" t="s">
        <v>3</v>
      </c>
      <c r="G539" s="9">
        <v>0</v>
      </c>
      <c r="H539" s="9">
        <v>0</v>
      </c>
      <c r="I539" s="9">
        <v>0</v>
      </c>
      <c r="J539" s="9">
        <v>0</v>
      </c>
      <c r="K539" s="9">
        <v>0</v>
      </c>
      <c r="L539" s="9">
        <v>0</v>
      </c>
      <c r="M539" s="9">
        <v>0</v>
      </c>
      <c r="N539" s="9">
        <v>0</v>
      </c>
      <c r="O539" s="9">
        <v>0</v>
      </c>
      <c r="P539" s="9">
        <v>0</v>
      </c>
      <c r="Q539" s="9"/>
      <c r="R539" s="9">
        <v>0</v>
      </c>
      <c r="S539" s="9"/>
      <c r="T539" s="9"/>
      <c r="W539" s="4">
        <v>165.01650165016503</v>
      </c>
      <c r="X539" s="4">
        <v>0</v>
      </c>
      <c r="Y539" s="4">
        <v>165.01650165016503</v>
      </c>
      <c r="Z539" s="4">
        <v>17.94174917491749</v>
      </c>
      <c r="AA539" s="4">
        <v>257.42574257425741</v>
      </c>
      <c r="AB539" s="4">
        <v>8.9709570957095703</v>
      </c>
      <c r="AC539" s="4">
        <v>0</v>
      </c>
      <c r="AD539" s="4">
        <v>13.456270627062706</v>
      </c>
      <c r="AE539" s="4">
        <v>0</v>
      </c>
      <c r="AF539" s="4">
        <v>4.4854785478547852</v>
      </c>
      <c r="AG539" s="4">
        <v>0</v>
      </c>
      <c r="AH539" s="4">
        <v>0</v>
      </c>
      <c r="AI539" s="7">
        <f t="shared" si="17"/>
        <v>632.31320132013207</v>
      </c>
    </row>
    <row r="540" spans="1:35" x14ac:dyDescent="0.3">
      <c r="A540" s="12" t="s">
        <v>1010</v>
      </c>
      <c r="B540" s="12" t="s">
        <v>1016</v>
      </c>
      <c r="C540" s="12" t="s">
        <v>5</v>
      </c>
      <c r="D540" s="13">
        <v>9311604</v>
      </c>
      <c r="E540" s="12" t="s">
        <v>778</v>
      </c>
      <c r="F540" s="12" t="s">
        <v>3</v>
      </c>
      <c r="G540" s="9">
        <v>0</v>
      </c>
      <c r="H540" s="9">
        <v>0</v>
      </c>
      <c r="I540" s="9">
        <v>0</v>
      </c>
      <c r="J540" s="9">
        <v>0</v>
      </c>
      <c r="K540" s="9">
        <v>0</v>
      </c>
      <c r="L540" s="9">
        <v>0</v>
      </c>
      <c r="M540" s="9">
        <v>0</v>
      </c>
      <c r="N540" s="9">
        <v>0</v>
      </c>
      <c r="O540" s="9">
        <v>0</v>
      </c>
      <c r="P540" s="9">
        <v>0</v>
      </c>
      <c r="Q540" s="9"/>
      <c r="R540" s="9">
        <v>0</v>
      </c>
      <c r="S540" s="9"/>
      <c r="T540" s="9"/>
      <c r="W540" s="4">
        <v>16.501650165016503</v>
      </c>
      <c r="X540" s="4">
        <v>0</v>
      </c>
      <c r="Y540" s="4">
        <v>16.501650165016503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7">
        <f t="shared" si="17"/>
        <v>33.003300330033007</v>
      </c>
    </row>
    <row r="541" spans="1:35" x14ac:dyDescent="0.3">
      <c r="A541" s="12" t="s">
        <v>1010</v>
      </c>
      <c r="B541" s="12" t="s">
        <v>863</v>
      </c>
      <c r="C541" s="12" t="s">
        <v>1012</v>
      </c>
      <c r="D541" s="13">
        <v>7301388</v>
      </c>
      <c r="E541" s="12" t="s">
        <v>779</v>
      </c>
      <c r="F541" s="12" t="s">
        <v>3</v>
      </c>
      <c r="G541" s="9">
        <v>77.007700770077008</v>
      </c>
      <c r="H541" s="9">
        <v>0</v>
      </c>
      <c r="I541" s="9">
        <v>77.007700770077008</v>
      </c>
      <c r="J541" s="9">
        <v>0</v>
      </c>
      <c r="K541" s="9">
        <v>0</v>
      </c>
      <c r="L541" s="9">
        <v>0</v>
      </c>
      <c r="M541" s="9">
        <v>0</v>
      </c>
      <c r="N541" s="9">
        <v>0</v>
      </c>
      <c r="O541" s="9">
        <v>0</v>
      </c>
      <c r="P541" s="9">
        <v>0</v>
      </c>
      <c r="Q541" s="9"/>
      <c r="R541" s="9">
        <v>0</v>
      </c>
      <c r="S541" s="9"/>
      <c r="T541" s="9"/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1.2002200220022001</v>
      </c>
      <c r="AC541" s="4">
        <v>0</v>
      </c>
      <c r="AD541" s="4">
        <v>100.41012101210121</v>
      </c>
      <c r="AE541" s="4">
        <v>0</v>
      </c>
      <c r="AF541" s="4">
        <v>310.02882288228824</v>
      </c>
      <c r="AG541" s="4">
        <v>99.009900990099013</v>
      </c>
      <c r="AH541" s="4">
        <v>0</v>
      </c>
      <c r="AI541" s="7">
        <f t="shared" si="17"/>
        <v>664.66446644664472</v>
      </c>
    </row>
    <row r="542" spans="1:35" x14ac:dyDescent="0.3">
      <c r="A542" s="12" t="s">
        <v>1010</v>
      </c>
      <c r="B542" s="12" t="s">
        <v>863</v>
      </c>
      <c r="C542" s="12" t="s">
        <v>1012</v>
      </c>
      <c r="D542" s="13">
        <v>7000376</v>
      </c>
      <c r="E542" s="12" t="s">
        <v>780</v>
      </c>
      <c r="F542" s="12" t="s">
        <v>3</v>
      </c>
      <c r="G542" s="9">
        <v>80.733944954128447</v>
      </c>
      <c r="H542" s="9">
        <v>0</v>
      </c>
      <c r="I542" s="9">
        <v>80.733944954128447</v>
      </c>
      <c r="J542" s="9">
        <v>0</v>
      </c>
      <c r="K542" s="9">
        <v>80.733944954128447</v>
      </c>
      <c r="L542" s="9">
        <v>0</v>
      </c>
      <c r="M542" s="9">
        <v>80.733944954128447</v>
      </c>
      <c r="N542" s="9">
        <v>0</v>
      </c>
      <c r="O542" s="9">
        <v>0</v>
      </c>
      <c r="P542" s="9">
        <v>0</v>
      </c>
      <c r="Q542" s="9"/>
      <c r="R542" s="9">
        <v>0</v>
      </c>
      <c r="S542" s="9"/>
      <c r="T542" s="9"/>
      <c r="W542" s="4">
        <v>60.550458715596335</v>
      </c>
      <c r="X542" s="4">
        <v>85.605229357798166</v>
      </c>
      <c r="Y542" s="4">
        <v>60.550458715596335</v>
      </c>
      <c r="Z542" s="4">
        <v>81.400020183486234</v>
      </c>
      <c r="AA542" s="4">
        <v>70.642201834862391</v>
      </c>
      <c r="AB542" s="4">
        <v>96.25</v>
      </c>
      <c r="AC542" s="4">
        <v>85.605229357798166</v>
      </c>
      <c r="AD542" s="4">
        <v>89.760020183486247</v>
      </c>
      <c r="AE542" s="4">
        <v>85.605229357798166</v>
      </c>
      <c r="AF542" s="4">
        <v>58.435229357798164</v>
      </c>
      <c r="AG542" s="4">
        <v>80.733944954128447</v>
      </c>
      <c r="AH542" s="4">
        <v>0</v>
      </c>
      <c r="AI542" s="7">
        <f t="shared" si="17"/>
        <v>1178.0738018348625</v>
      </c>
    </row>
    <row r="543" spans="1:35" x14ac:dyDescent="0.3">
      <c r="A543" s="12" t="s">
        <v>1010</v>
      </c>
      <c r="B543" s="12" t="s">
        <v>863</v>
      </c>
      <c r="C543" s="12" t="s">
        <v>1012</v>
      </c>
      <c r="D543" s="13">
        <v>7300049</v>
      </c>
      <c r="E543" s="12" t="s">
        <v>781</v>
      </c>
      <c r="F543" s="12" t="s">
        <v>3</v>
      </c>
      <c r="G543" s="9">
        <v>717.36285006379774</v>
      </c>
      <c r="H543" s="9">
        <v>0</v>
      </c>
      <c r="I543" s="9">
        <v>717.36285006379774</v>
      </c>
      <c r="J543" s="9">
        <v>0</v>
      </c>
      <c r="K543" s="9">
        <v>937.71879512373471</v>
      </c>
      <c r="L543" s="9">
        <v>0</v>
      </c>
      <c r="M543" s="9">
        <v>720.32749077590859</v>
      </c>
      <c r="N543" s="9">
        <v>0</v>
      </c>
      <c r="O543" s="9">
        <v>714.95586518905418</v>
      </c>
      <c r="P543" s="9">
        <v>0</v>
      </c>
      <c r="Q543" s="9"/>
      <c r="R543" s="9">
        <v>0</v>
      </c>
      <c r="S543" s="9"/>
      <c r="T543" s="9"/>
      <c r="W543" s="4">
        <v>1086.9565217391305</v>
      </c>
      <c r="X543" s="4">
        <v>737.43717391304347</v>
      </c>
      <c r="Y543" s="4">
        <v>1086.9565217391305</v>
      </c>
      <c r="Z543" s="4">
        <v>759.53173913043474</v>
      </c>
      <c r="AA543" s="4">
        <v>652.17391304347825</v>
      </c>
      <c r="AB543" s="4">
        <v>1055.4621739130434</v>
      </c>
      <c r="AC543" s="4">
        <v>652.17391304347825</v>
      </c>
      <c r="AD543" s="4">
        <v>0</v>
      </c>
      <c r="AE543" s="4">
        <v>652.17391304347825</v>
      </c>
      <c r="AF543" s="4">
        <v>600.93391304347824</v>
      </c>
      <c r="AG543" s="4">
        <v>652.17391304347825</v>
      </c>
      <c r="AH543" s="4">
        <v>0</v>
      </c>
      <c r="AI543" s="7">
        <f t="shared" si="17"/>
        <v>11743.701546868466</v>
      </c>
    </row>
    <row r="544" spans="1:35" x14ac:dyDescent="0.3">
      <c r="A544" s="12" t="s">
        <v>1010</v>
      </c>
      <c r="B544" s="12" t="s">
        <v>863</v>
      </c>
      <c r="C544" s="12" t="s">
        <v>1012</v>
      </c>
      <c r="D544" s="13">
        <v>7300743</v>
      </c>
      <c r="E544" s="12" t="s">
        <v>782</v>
      </c>
      <c r="F544" s="12" t="s">
        <v>3</v>
      </c>
      <c r="G544" s="9">
        <v>5.0926869016092891</v>
      </c>
      <c r="H544" s="9">
        <v>0</v>
      </c>
      <c r="I544" s="9">
        <v>5.0926869016092891</v>
      </c>
      <c r="J544" s="9">
        <v>0</v>
      </c>
      <c r="K544" s="9">
        <v>7.1297616622530047</v>
      </c>
      <c r="L544" s="9">
        <v>0</v>
      </c>
      <c r="M544" s="9">
        <v>5.0926869016092891</v>
      </c>
      <c r="N544" s="9">
        <v>0</v>
      </c>
      <c r="O544" s="9">
        <v>5.0926869016092891</v>
      </c>
      <c r="P544" s="9">
        <v>0</v>
      </c>
      <c r="Q544" s="9"/>
      <c r="R544" s="9">
        <v>0</v>
      </c>
      <c r="S544" s="9"/>
      <c r="T544" s="9"/>
      <c r="W544" s="4">
        <v>0</v>
      </c>
      <c r="X544" s="4">
        <v>4.0909374999999999</v>
      </c>
      <c r="Y544" s="4">
        <v>0</v>
      </c>
      <c r="Z544" s="4">
        <v>0</v>
      </c>
      <c r="AA544" s="4">
        <v>0</v>
      </c>
      <c r="AB544" s="4">
        <v>2.0454166666666667</v>
      </c>
      <c r="AC544" s="4">
        <v>0</v>
      </c>
      <c r="AD544" s="4">
        <v>0</v>
      </c>
      <c r="AE544" s="4">
        <v>0</v>
      </c>
      <c r="AF544" s="4">
        <v>3.0681250000000002</v>
      </c>
      <c r="AG544" s="4">
        <v>0</v>
      </c>
      <c r="AH544" s="4">
        <v>0</v>
      </c>
      <c r="AI544" s="7">
        <f t="shared" si="17"/>
        <v>36.704988435356832</v>
      </c>
    </row>
    <row r="545" spans="1:35" x14ac:dyDescent="0.3">
      <c r="A545" s="12" t="s">
        <v>1010</v>
      </c>
      <c r="B545" s="12" t="s">
        <v>863</v>
      </c>
      <c r="C545" s="12" t="s">
        <v>1012</v>
      </c>
      <c r="D545" s="13">
        <v>7300768</v>
      </c>
      <c r="E545" s="12" t="s">
        <v>783</v>
      </c>
      <c r="F545" s="12" t="s">
        <v>3</v>
      </c>
      <c r="G545" s="9">
        <v>80.792955745770257</v>
      </c>
      <c r="H545" s="9">
        <v>0</v>
      </c>
      <c r="I545" s="9">
        <v>80.792955745770257</v>
      </c>
      <c r="J545" s="9">
        <v>0</v>
      </c>
      <c r="K545" s="9">
        <v>80.79302667900285</v>
      </c>
      <c r="L545" s="9">
        <v>0</v>
      </c>
      <c r="M545" s="9">
        <v>80.79302667900285</v>
      </c>
      <c r="N545" s="9">
        <v>0</v>
      </c>
      <c r="O545" s="9">
        <v>80.79302667900285</v>
      </c>
      <c r="P545" s="9">
        <v>0</v>
      </c>
      <c r="Q545" s="9"/>
      <c r="R545" s="9">
        <v>0</v>
      </c>
      <c r="S545" s="9"/>
      <c r="T545" s="9"/>
      <c r="W545" s="4">
        <v>0</v>
      </c>
      <c r="X545" s="4">
        <v>12.00000783484154</v>
      </c>
      <c r="Y545" s="4">
        <v>0</v>
      </c>
      <c r="Z545" s="4">
        <v>33.000148861989267</v>
      </c>
      <c r="AA545" s="4">
        <v>10.185294002428801</v>
      </c>
      <c r="AB545" s="4">
        <v>18.00006267873232</v>
      </c>
      <c r="AC545" s="4">
        <v>15.2779410036432</v>
      </c>
      <c r="AD545" s="4">
        <v>0</v>
      </c>
      <c r="AE545" s="4">
        <v>15.2779410036432</v>
      </c>
      <c r="AF545" s="4">
        <v>17.999858972852273</v>
      </c>
      <c r="AG545" s="4">
        <v>20.370588004857602</v>
      </c>
      <c r="AH545" s="4">
        <v>0</v>
      </c>
      <c r="AI545" s="7">
        <f t="shared" si="17"/>
        <v>546.07683389153726</v>
      </c>
    </row>
    <row r="546" spans="1:35" x14ac:dyDescent="0.3">
      <c r="A546" s="12" t="s">
        <v>1010</v>
      </c>
      <c r="B546" s="12" t="s">
        <v>863</v>
      </c>
      <c r="C546" s="12" t="s">
        <v>1012</v>
      </c>
      <c r="D546" s="13">
        <v>7300800</v>
      </c>
      <c r="E546" s="12" t="s">
        <v>784</v>
      </c>
      <c r="F546" s="12" t="s">
        <v>3</v>
      </c>
      <c r="G546" s="9">
        <v>4</v>
      </c>
      <c r="H546" s="9">
        <v>0</v>
      </c>
      <c r="I546" s="9">
        <v>4</v>
      </c>
      <c r="J546" s="9">
        <v>0</v>
      </c>
      <c r="K546" s="9">
        <v>3.9999686606338383</v>
      </c>
      <c r="L546" s="9">
        <v>0</v>
      </c>
      <c r="M546" s="9">
        <v>3.9999686606338383</v>
      </c>
      <c r="N546" s="9">
        <v>0</v>
      </c>
      <c r="O546" s="9">
        <v>3.9999686606338383</v>
      </c>
      <c r="P546" s="9">
        <v>0</v>
      </c>
      <c r="Q546" s="9"/>
      <c r="R546" s="9">
        <v>0</v>
      </c>
      <c r="S546" s="9"/>
      <c r="T546" s="9"/>
      <c r="W546" s="4">
        <v>0</v>
      </c>
      <c r="X546" s="4">
        <v>8.3988121425428943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7">
        <f t="shared" si="17"/>
        <v>28.398718124444407</v>
      </c>
    </row>
    <row r="547" spans="1:35" x14ac:dyDescent="0.3">
      <c r="A547" s="12" t="s">
        <v>1010</v>
      </c>
      <c r="B547" s="12" t="s">
        <v>863</v>
      </c>
      <c r="C547" s="12" t="s">
        <v>1012</v>
      </c>
      <c r="D547" s="13">
        <v>7301950</v>
      </c>
      <c r="E547" s="12" t="s">
        <v>785</v>
      </c>
      <c r="F547" s="12" t="s">
        <v>3</v>
      </c>
      <c r="G547" s="9">
        <v>0</v>
      </c>
      <c r="H547" s="9">
        <v>0</v>
      </c>
      <c r="I547" s="9">
        <v>0</v>
      </c>
      <c r="J547" s="9">
        <v>0</v>
      </c>
      <c r="K547" s="9">
        <v>0</v>
      </c>
      <c r="L547" s="9">
        <v>0</v>
      </c>
      <c r="M547" s="9">
        <v>0</v>
      </c>
      <c r="N547" s="9">
        <v>0</v>
      </c>
      <c r="O547" s="9">
        <v>0</v>
      </c>
      <c r="P547" s="9">
        <v>0</v>
      </c>
      <c r="Q547" s="9"/>
      <c r="R547" s="9">
        <v>0</v>
      </c>
      <c r="S547" s="9"/>
      <c r="T547" s="9"/>
      <c r="W547" s="4">
        <v>80</v>
      </c>
      <c r="X547" s="4">
        <v>0</v>
      </c>
      <c r="Y547" s="4">
        <v>80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7">
        <f t="shared" si="17"/>
        <v>160</v>
      </c>
    </row>
    <row r="548" spans="1:35" x14ac:dyDescent="0.3">
      <c r="A548" s="12" t="s">
        <v>1010</v>
      </c>
      <c r="B548" s="12" t="s">
        <v>863</v>
      </c>
      <c r="C548" s="12" t="s">
        <v>1012</v>
      </c>
      <c r="D548" s="15">
        <v>7302027</v>
      </c>
      <c r="E548" s="16" t="s">
        <v>786</v>
      </c>
      <c r="F548" s="12" t="s">
        <v>3</v>
      </c>
      <c r="G548" s="9">
        <v>41560.753427096322</v>
      </c>
      <c r="H548" s="9">
        <v>0</v>
      </c>
      <c r="I548" s="9">
        <v>41560.753427096322</v>
      </c>
      <c r="J548" s="9">
        <v>50000</v>
      </c>
      <c r="K548" s="9">
        <v>45339.947560975612</v>
      </c>
      <c r="L548" s="9">
        <v>40000</v>
      </c>
      <c r="M548" s="9">
        <v>45948.731707317071</v>
      </c>
      <c r="N548" s="9">
        <v>60000</v>
      </c>
      <c r="O548" s="9">
        <v>45948.731707317071</v>
      </c>
      <c r="P548" s="9">
        <v>50000</v>
      </c>
      <c r="Q548" s="9">
        <v>45745.803658536584</v>
      </c>
      <c r="R548" s="9">
        <v>50000</v>
      </c>
      <c r="S548" s="9"/>
      <c r="T548" s="9"/>
      <c r="W548" s="4">
        <v>9216</v>
      </c>
      <c r="X548" s="4">
        <v>47748</v>
      </c>
      <c r="Y548" s="4">
        <v>33616</v>
      </c>
      <c r="Z548" s="4">
        <v>48960</v>
      </c>
      <c r="AA548" s="4">
        <v>46080</v>
      </c>
      <c r="AB548" s="4">
        <v>61344</v>
      </c>
      <c r="AC548" s="4">
        <v>46080</v>
      </c>
      <c r="AD548" s="4">
        <v>40755.512195121948</v>
      </c>
      <c r="AE548" s="4">
        <v>46080</v>
      </c>
      <c r="AF548" s="4">
        <v>24477.804878048781</v>
      </c>
      <c r="AG548" s="4">
        <v>50973.274536585363</v>
      </c>
      <c r="AH548" s="4">
        <v>0</v>
      </c>
      <c r="AI548" s="7">
        <f t="shared" si="17"/>
        <v>971435.31309809501</v>
      </c>
    </row>
    <row r="549" spans="1:35" x14ac:dyDescent="0.3">
      <c r="A549" s="12" t="s">
        <v>1010</v>
      </c>
      <c r="B549" s="12" t="s">
        <v>863</v>
      </c>
      <c r="C549" s="12" t="s">
        <v>1012</v>
      </c>
      <c r="D549" s="15">
        <v>7302241</v>
      </c>
      <c r="E549" s="16" t="s">
        <v>787</v>
      </c>
      <c r="F549" s="12" t="s">
        <v>3</v>
      </c>
      <c r="G549" s="9">
        <v>0</v>
      </c>
      <c r="H549" s="9">
        <v>120000</v>
      </c>
      <c r="I549" s="9">
        <v>0</v>
      </c>
      <c r="J549" s="9">
        <v>0</v>
      </c>
      <c r="K549" s="9">
        <v>0</v>
      </c>
      <c r="L549" s="9">
        <v>0</v>
      </c>
      <c r="M549" s="9">
        <v>0</v>
      </c>
      <c r="N549" s="9">
        <v>0</v>
      </c>
      <c r="O549" s="9">
        <v>0</v>
      </c>
      <c r="P549" s="9">
        <v>0</v>
      </c>
      <c r="Q549" s="9">
        <v>0</v>
      </c>
      <c r="R549" s="9">
        <v>0</v>
      </c>
      <c r="S549" s="9"/>
      <c r="T549" s="9"/>
      <c r="W549" s="4">
        <v>25220.3</v>
      </c>
      <c r="X549" s="4">
        <v>1212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31222.536585365855</v>
      </c>
      <c r="AG549" s="4">
        <v>0</v>
      </c>
      <c r="AH549" s="4">
        <v>0</v>
      </c>
      <c r="AI549" s="7">
        <f t="shared" si="17"/>
        <v>177654.83658536585</v>
      </c>
    </row>
    <row r="550" spans="1:35" x14ac:dyDescent="0.3">
      <c r="A550" s="12" t="s">
        <v>1010</v>
      </c>
      <c r="B550" s="12" t="s">
        <v>863</v>
      </c>
      <c r="C550" s="12" t="s">
        <v>1012</v>
      </c>
      <c r="D550" s="15">
        <v>7302039</v>
      </c>
      <c r="E550" s="16" t="s">
        <v>788</v>
      </c>
      <c r="F550" s="12" t="s">
        <v>3</v>
      </c>
      <c r="G550" s="9">
        <v>0</v>
      </c>
      <c r="H550" s="9">
        <v>0</v>
      </c>
      <c r="I550" s="9">
        <v>0</v>
      </c>
      <c r="J550" s="9">
        <v>13500</v>
      </c>
      <c r="K550" s="9">
        <v>0</v>
      </c>
      <c r="L550" s="9">
        <v>0</v>
      </c>
      <c r="M550" s="9">
        <v>0</v>
      </c>
      <c r="N550" s="9">
        <v>13500</v>
      </c>
      <c r="O550" s="9">
        <v>0</v>
      </c>
      <c r="P550" s="9">
        <v>13500</v>
      </c>
      <c r="Q550" s="9">
        <v>0</v>
      </c>
      <c r="R550" s="9">
        <v>13500</v>
      </c>
      <c r="S550" s="9"/>
      <c r="T550" s="9"/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14178.335999999999</v>
      </c>
      <c r="AE550" s="4">
        <v>0</v>
      </c>
      <c r="AF550" s="4">
        <v>12213.504000000001</v>
      </c>
      <c r="AG550" s="4">
        <v>0</v>
      </c>
      <c r="AH550" s="4">
        <v>0</v>
      </c>
      <c r="AI550" s="7">
        <f t="shared" si="17"/>
        <v>80391.839999999997</v>
      </c>
    </row>
    <row r="551" spans="1:35" x14ac:dyDescent="0.3">
      <c r="A551" s="12" t="s">
        <v>1010</v>
      </c>
      <c r="B551" s="12" t="s">
        <v>863</v>
      </c>
      <c r="C551" s="12" t="s">
        <v>1012</v>
      </c>
      <c r="D551" s="15">
        <v>7302259</v>
      </c>
      <c r="E551" s="16" t="s">
        <v>789</v>
      </c>
      <c r="F551" s="12" t="s">
        <v>3</v>
      </c>
      <c r="G551" s="9">
        <v>8705.5907737226298</v>
      </c>
      <c r="H551" s="9">
        <v>0</v>
      </c>
      <c r="I551" s="9">
        <v>8705.5907737226298</v>
      </c>
      <c r="J551" s="9">
        <v>0</v>
      </c>
      <c r="K551" s="9">
        <v>9660.3935999999994</v>
      </c>
      <c r="L551" s="9">
        <v>0</v>
      </c>
      <c r="M551" s="9">
        <v>10749.312</v>
      </c>
      <c r="N551" s="9">
        <v>0</v>
      </c>
      <c r="O551" s="9">
        <v>10749.312</v>
      </c>
      <c r="P551" s="9">
        <v>0</v>
      </c>
      <c r="Q551" s="9">
        <v>10386.3392</v>
      </c>
      <c r="R551" s="9">
        <v>0</v>
      </c>
      <c r="S551" s="9"/>
      <c r="T551" s="9"/>
      <c r="W551" s="4">
        <v>5000</v>
      </c>
      <c r="X551" s="4">
        <v>6912</v>
      </c>
      <c r="Y551" s="4">
        <v>4837</v>
      </c>
      <c r="Z551" s="4">
        <v>7092</v>
      </c>
      <c r="AA551" s="4">
        <v>6444</v>
      </c>
      <c r="AB551" s="4">
        <v>9708</v>
      </c>
      <c r="AC551" s="4">
        <v>6444</v>
      </c>
      <c r="AD551" s="4">
        <v>0</v>
      </c>
      <c r="AE551" s="4">
        <v>6444</v>
      </c>
      <c r="AF551" s="4">
        <v>0</v>
      </c>
      <c r="AG551" s="4">
        <v>9706.5452800000003</v>
      </c>
      <c r="AH551" s="4">
        <v>0</v>
      </c>
      <c r="AI551" s="7">
        <f t="shared" si="17"/>
        <v>121544.08362744526</v>
      </c>
    </row>
    <row r="552" spans="1:35" x14ac:dyDescent="0.3">
      <c r="A552" s="12" t="s">
        <v>1010</v>
      </c>
      <c r="B552" s="12" t="s">
        <v>863</v>
      </c>
      <c r="C552" s="12" t="s">
        <v>1012</v>
      </c>
      <c r="D552" s="15">
        <v>7302030</v>
      </c>
      <c r="E552" s="16" t="s">
        <v>790</v>
      </c>
      <c r="F552" s="12" t="s">
        <v>3</v>
      </c>
      <c r="G552" s="9">
        <v>17492.189459468151</v>
      </c>
      <c r="H552" s="9">
        <v>0</v>
      </c>
      <c r="I552" s="9">
        <v>17492.189459468151</v>
      </c>
      <c r="J552" s="9">
        <v>25800</v>
      </c>
      <c r="K552" s="9">
        <v>17444.933920704847</v>
      </c>
      <c r="L552" s="9">
        <v>25800</v>
      </c>
      <c r="M552" s="9">
        <v>19030.837004405286</v>
      </c>
      <c r="N552" s="9">
        <v>25800</v>
      </c>
      <c r="O552" s="9">
        <v>19030.837004405286</v>
      </c>
      <c r="P552" s="9">
        <v>25800</v>
      </c>
      <c r="Q552" s="9">
        <v>18502.202643171808</v>
      </c>
      <c r="R552" s="9">
        <v>25800</v>
      </c>
      <c r="S552" s="9"/>
      <c r="T552" s="9"/>
      <c r="W552" s="4">
        <v>13694.2</v>
      </c>
      <c r="X552" s="4">
        <v>17600</v>
      </c>
      <c r="Y552" s="4">
        <v>13451</v>
      </c>
      <c r="Z552" s="4">
        <v>20800</v>
      </c>
      <c r="AA552" s="4">
        <v>19200</v>
      </c>
      <c r="AB552" s="4">
        <v>22400</v>
      </c>
      <c r="AC552" s="4">
        <v>19200</v>
      </c>
      <c r="AD552" s="4">
        <v>23844.933920704847</v>
      </c>
      <c r="AE552" s="4">
        <v>19200</v>
      </c>
      <c r="AF552" s="4">
        <v>17444.933920704847</v>
      </c>
      <c r="AG552" s="4">
        <v>19503.412628487516</v>
      </c>
      <c r="AH552" s="4">
        <v>0</v>
      </c>
      <c r="AI552" s="7">
        <f t="shared" ref="AI552:AI600" si="18">SUM(G552:AH552)</f>
        <v>444331.66996152076</v>
      </c>
    </row>
    <row r="553" spans="1:35" x14ac:dyDescent="0.3">
      <c r="A553" s="12" t="s">
        <v>1010</v>
      </c>
      <c r="B553" s="12" t="s">
        <v>863</v>
      </c>
      <c r="C553" s="12" t="s">
        <v>1012</v>
      </c>
      <c r="D553" s="15">
        <v>7302040</v>
      </c>
      <c r="E553" s="16" t="s">
        <v>791</v>
      </c>
      <c r="F553" s="12" t="s">
        <v>3</v>
      </c>
      <c r="G553" s="9">
        <v>16394.298894144926</v>
      </c>
      <c r="H553" s="9">
        <v>37460</v>
      </c>
      <c r="I553" s="9">
        <v>16394.298894144926</v>
      </c>
      <c r="J553" s="9">
        <v>37650</v>
      </c>
      <c r="K553" s="9">
        <v>19605.505364806868</v>
      </c>
      <c r="L553" s="9">
        <v>0</v>
      </c>
      <c r="M553" s="9">
        <v>21860.729613733907</v>
      </c>
      <c r="N553" s="9">
        <v>37650</v>
      </c>
      <c r="O553" s="9">
        <v>21860.729613733907</v>
      </c>
      <c r="P553" s="9">
        <v>0</v>
      </c>
      <c r="Q553" s="9">
        <v>21108.988197424896</v>
      </c>
      <c r="R553" s="9">
        <v>37650</v>
      </c>
      <c r="S553" s="9"/>
      <c r="T553" s="9"/>
      <c r="W553" s="4">
        <v>15464.7</v>
      </c>
      <c r="X553" s="4">
        <v>21120</v>
      </c>
      <c r="Y553" s="4">
        <v>14370.171673819743</v>
      </c>
      <c r="Z553" s="4">
        <v>23040</v>
      </c>
      <c r="AA553" s="4">
        <v>17280</v>
      </c>
      <c r="AB553" s="4">
        <v>17280</v>
      </c>
      <c r="AC553" s="4">
        <v>17280</v>
      </c>
      <c r="AD553" s="4">
        <v>18018.154506437768</v>
      </c>
      <c r="AE553" s="4">
        <v>17280</v>
      </c>
      <c r="AF553" s="4">
        <v>28552.789699570814</v>
      </c>
      <c r="AG553" s="4">
        <v>18279.288412017166</v>
      </c>
      <c r="AH553" s="4">
        <v>0</v>
      </c>
      <c r="AI553" s="7">
        <f t="shared" si="18"/>
        <v>475599.65486983489</v>
      </c>
    </row>
    <row r="554" spans="1:35" x14ac:dyDescent="0.3">
      <c r="A554" s="12" t="s">
        <v>1010</v>
      </c>
      <c r="B554" s="12" t="s">
        <v>863</v>
      </c>
      <c r="C554" s="12" t="s">
        <v>1012</v>
      </c>
      <c r="D554" s="15">
        <v>7302238</v>
      </c>
      <c r="E554" s="16" t="s">
        <v>792</v>
      </c>
      <c r="F554" s="12" t="s">
        <v>3</v>
      </c>
      <c r="G554" s="9">
        <v>0</v>
      </c>
      <c r="H554" s="9">
        <v>35000</v>
      </c>
      <c r="I554" s="9">
        <v>0</v>
      </c>
      <c r="J554" s="9">
        <v>0</v>
      </c>
      <c r="K554" s="9">
        <v>0</v>
      </c>
      <c r="L554" s="9">
        <v>0</v>
      </c>
      <c r="M554" s="9">
        <v>0</v>
      </c>
      <c r="N554" s="9">
        <v>0</v>
      </c>
      <c r="O554" s="9">
        <v>0</v>
      </c>
      <c r="P554" s="9">
        <v>0</v>
      </c>
      <c r="Q554" s="9">
        <v>0</v>
      </c>
      <c r="R554" s="9">
        <v>0</v>
      </c>
      <c r="S554" s="9"/>
      <c r="T554" s="9"/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11435.604395604396</v>
      </c>
      <c r="AE554" s="4">
        <v>0</v>
      </c>
      <c r="AF554" s="4">
        <v>14294.505494505494</v>
      </c>
      <c r="AG554" s="4">
        <v>0</v>
      </c>
      <c r="AH554" s="4">
        <v>0</v>
      </c>
      <c r="AI554" s="7">
        <f t="shared" si="18"/>
        <v>60730.109890109889</v>
      </c>
    </row>
    <row r="555" spans="1:35" x14ac:dyDescent="0.3">
      <c r="A555" s="12" t="s">
        <v>1010</v>
      </c>
      <c r="B555" s="12" t="s">
        <v>863</v>
      </c>
      <c r="C555" s="12" t="s">
        <v>1012</v>
      </c>
      <c r="D555" s="15">
        <v>7302029</v>
      </c>
      <c r="E555" s="16" t="s">
        <v>793</v>
      </c>
      <c r="F555" s="12" t="s">
        <v>3</v>
      </c>
      <c r="G555" s="9">
        <v>49825.664233576652</v>
      </c>
      <c r="H555" s="9">
        <v>60000</v>
      </c>
      <c r="I555" s="9">
        <v>49825.664233576652</v>
      </c>
      <c r="J555" s="9">
        <v>30000</v>
      </c>
      <c r="K555" s="9">
        <v>62207.9010989011</v>
      </c>
      <c r="L555" s="9">
        <v>60000</v>
      </c>
      <c r="M555" s="9">
        <v>66683.868131868134</v>
      </c>
      <c r="N555" s="9">
        <v>60000</v>
      </c>
      <c r="O555" s="9">
        <v>66683.868131868134</v>
      </c>
      <c r="P555" s="9">
        <v>60000</v>
      </c>
      <c r="Q555" s="9">
        <v>65191.87912087913</v>
      </c>
      <c r="R555" s="9">
        <v>60000</v>
      </c>
      <c r="S555" s="9"/>
      <c r="T555" s="9"/>
      <c r="W555" s="4">
        <v>39771.599999999999</v>
      </c>
      <c r="X555" s="4">
        <v>53856</v>
      </c>
      <c r="Y555" s="4">
        <v>39887</v>
      </c>
      <c r="Z555" s="4">
        <v>59040</v>
      </c>
      <c r="AA555" s="4">
        <v>50976</v>
      </c>
      <c r="AB555" s="4">
        <v>74592</v>
      </c>
      <c r="AC555" s="4">
        <v>50976</v>
      </c>
      <c r="AD555" s="4">
        <v>32234.109890109889</v>
      </c>
      <c r="AE555" s="4">
        <v>50976</v>
      </c>
      <c r="AF555" s="4">
        <v>68041.846153846156</v>
      </c>
      <c r="AG555" s="4">
        <v>61109.990857142853</v>
      </c>
      <c r="AH555" s="4">
        <v>0</v>
      </c>
      <c r="AI555" s="7">
        <f t="shared" si="18"/>
        <v>1271879.3918517688</v>
      </c>
    </row>
    <row r="556" spans="1:35" x14ac:dyDescent="0.3">
      <c r="A556" s="12" t="s">
        <v>1010</v>
      </c>
      <c r="B556" s="12" t="s">
        <v>863</v>
      </c>
      <c r="C556" s="12" t="s">
        <v>1012</v>
      </c>
      <c r="D556" s="15">
        <v>7302033</v>
      </c>
      <c r="E556" s="16" t="s">
        <v>794</v>
      </c>
      <c r="F556" s="12" t="s">
        <v>3</v>
      </c>
      <c r="G556" s="9">
        <v>0</v>
      </c>
      <c r="H556" s="9">
        <v>20000</v>
      </c>
      <c r="I556" s="9">
        <v>0</v>
      </c>
      <c r="J556" s="9">
        <v>0</v>
      </c>
      <c r="K556" s="9">
        <v>0</v>
      </c>
      <c r="L556" s="9">
        <v>0</v>
      </c>
      <c r="M556" s="9">
        <v>0</v>
      </c>
      <c r="N556" s="9">
        <v>0</v>
      </c>
      <c r="O556" s="9">
        <v>0</v>
      </c>
      <c r="P556" s="9">
        <v>20000</v>
      </c>
      <c r="Q556" s="9">
        <v>0</v>
      </c>
      <c r="R556" s="9">
        <v>0</v>
      </c>
      <c r="S556" s="9"/>
      <c r="T556" s="9"/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8025.0980392156862</v>
      </c>
      <c r="AE556" s="4">
        <v>0</v>
      </c>
      <c r="AF556" s="4">
        <v>6885.5686274509808</v>
      </c>
      <c r="AG556" s="4">
        <v>0</v>
      </c>
      <c r="AH556" s="4">
        <v>0</v>
      </c>
      <c r="AI556" s="7">
        <f t="shared" si="18"/>
        <v>54910.666666666664</v>
      </c>
    </row>
    <row r="557" spans="1:35" x14ac:dyDescent="0.3">
      <c r="A557" s="12" t="s">
        <v>1010</v>
      </c>
      <c r="B557" s="12" t="s">
        <v>863</v>
      </c>
      <c r="C557" s="12" t="s">
        <v>1012</v>
      </c>
      <c r="D557" s="15">
        <v>7302258</v>
      </c>
      <c r="E557" s="16" t="s">
        <v>795</v>
      </c>
      <c r="F557" s="12" t="s">
        <v>3</v>
      </c>
      <c r="G557" s="9">
        <v>6335.6662372978399</v>
      </c>
      <c r="H557" s="9">
        <v>0</v>
      </c>
      <c r="I557" s="9">
        <v>6335.6662372978399</v>
      </c>
      <c r="J557" s="9">
        <v>0</v>
      </c>
      <c r="K557" s="9">
        <v>6815.6215686274509</v>
      </c>
      <c r="L557" s="9">
        <v>0</v>
      </c>
      <c r="M557" s="9">
        <v>6858.7803921568629</v>
      </c>
      <c r="N557" s="9">
        <v>0</v>
      </c>
      <c r="O557" s="9">
        <v>6858.7803921568629</v>
      </c>
      <c r="P557" s="9">
        <v>0</v>
      </c>
      <c r="Q557" s="9">
        <v>6844.3941176470589</v>
      </c>
      <c r="R557" s="9">
        <v>0</v>
      </c>
      <c r="S557" s="9"/>
      <c r="T557" s="9"/>
      <c r="W557" s="4">
        <v>5600</v>
      </c>
      <c r="X557" s="4">
        <v>8340</v>
      </c>
      <c r="Y557" s="4">
        <v>5343</v>
      </c>
      <c r="Z557" s="4">
        <v>5700</v>
      </c>
      <c r="AA557" s="4">
        <v>7020</v>
      </c>
      <c r="AB557" s="4">
        <v>8760</v>
      </c>
      <c r="AC557" s="4">
        <v>7020</v>
      </c>
      <c r="AD557" s="4">
        <v>0</v>
      </c>
      <c r="AE557" s="4">
        <v>7020</v>
      </c>
      <c r="AF557" s="4">
        <v>0</v>
      </c>
      <c r="AG557" s="4">
        <v>7064.1307189542476</v>
      </c>
      <c r="AH557" s="4">
        <v>0</v>
      </c>
      <c r="AI557" s="7">
        <f t="shared" si="18"/>
        <v>101916.03966413815</v>
      </c>
    </row>
    <row r="558" spans="1:35" x14ac:dyDescent="0.3">
      <c r="A558" s="12" t="s">
        <v>1010</v>
      </c>
      <c r="B558" s="12" t="s">
        <v>863</v>
      </c>
      <c r="C558" s="12" t="s">
        <v>1012</v>
      </c>
      <c r="D558" s="15">
        <v>7302032</v>
      </c>
      <c r="E558" s="16" t="s">
        <v>796</v>
      </c>
      <c r="F558" s="12" t="s">
        <v>3</v>
      </c>
      <c r="G558" s="9">
        <v>34906.930769478124</v>
      </c>
      <c r="H558" s="9">
        <v>0</v>
      </c>
      <c r="I558" s="9">
        <v>34906.930769478124</v>
      </c>
      <c r="J558" s="9">
        <v>30000</v>
      </c>
      <c r="K558" s="9">
        <v>39695.947136563875</v>
      </c>
      <c r="L558" s="9">
        <v>0</v>
      </c>
      <c r="M558" s="9">
        <v>43231.718061674008</v>
      </c>
      <c r="N558" s="9">
        <v>0</v>
      </c>
      <c r="O558" s="9">
        <v>43231.718061674008</v>
      </c>
      <c r="P558" s="9">
        <v>0</v>
      </c>
      <c r="Q558" s="9">
        <v>42053.127753303961</v>
      </c>
      <c r="R558" s="9">
        <v>0</v>
      </c>
      <c r="S558" s="9"/>
      <c r="T558" s="9"/>
      <c r="W558" s="4">
        <v>27869.399999999998</v>
      </c>
      <c r="X558" s="4">
        <v>37912</v>
      </c>
      <c r="Y558" s="4">
        <v>27847</v>
      </c>
      <c r="Z558" s="4">
        <v>33792</v>
      </c>
      <c r="AA558" s="4">
        <v>33792</v>
      </c>
      <c r="AB558" s="4">
        <v>54912</v>
      </c>
      <c r="AC558" s="4">
        <v>33792</v>
      </c>
      <c r="AD558" s="4">
        <v>35510.273127753302</v>
      </c>
      <c r="AE558" s="4">
        <v>33792</v>
      </c>
      <c r="AF558" s="4">
        <v>46611.894273127757</v>
      </c>
      <c r="AG558" s="4">
        <v>38920.472246696037</v>
      </c>
      <c r="AH558" s="4">
        <v>0</v>
      </c>
      <c r="AI558" s="7">
        <f t="shared" si="18"/>
        <v>672777.41219974926</v>
      </c>
    </row>
    <row r="559" spans="1:35" x14ac:dyDescent="0.3">
      <c r="A559" s="12" t="s">
        <v>1010</v>
      </c>
      <c r="B559" s="12" t="s">
        <v>863</v>
      </c>
      <c r="C559" s="12" t="s">
        <v>1012</v>
      </c>
      <c r="D559" s="15">
        <v>7302231</v>
      </c>
      <c r="E559" s="16" t="s">
        <v>797</v>
      </c>
      <c r="F559" s="12" t="s">
        <v>3</v>
      </c>
      <c r="G559" s="9">
        <v>0</v>
      </c>
      <c r="H559" s="9">
        <v>0</v>
      </c>
      <c r="I559" s="9">
        <v>0</v>
      </c>
      <c r="J559" s="9">
        <v>0</v>
      </c>
      <c r="K559" s="9">
        <v>0</v>
      </c>
      <c r="L559" s="9">
        <v>0</v>
      </c>
      <c r="M559" s="9">
        <v>0</v>
      </c>
      <c r="N559" s="9">
        <v>0</v>
      </c>
      <c r="O559" s="9">
        <v>0</v>
      </c>
      <c r="P559" s="9">
        <v>0</v>
      </c>
      <c r="Q559" s="9">
        <v>0</v>
      </c>
      <c r="R559" s="9">
        <v>0</v>
      </c>
      <c r="S559" s="9"/>
      <c r="T559" s="9"/>
      <c r="W559" s="4">
        <v>4224</v>
      </c>
      <c r="X559" s="4">
        <v>2216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7">
        <f t="shared" si="18"/>
        <v>6440</v>
      </c>
    </row>
    <row r="560" spans="1:35" x14ac:dyDescent="0.3">
      <c r="A560" s="12" t="s">
        <v>1010</v>
      </c>
      <c r="B560" s="12" t="s">
        <v>1016</v>
      </c>
      <c r="C560" s="12" t="s">
        <v>5</v>
      </c>
      <c r="D560" s="15">
        <v>9401367</v>
      </c>
      <c r="E560" s="16" t="s">
        <v>798</v>
      </c>
      <c r="F560" s="12" t="s">
        <v>3</v>
      </c>
      <c r="G560" s="9">
        <v>0</v>
      </c>
      <c r="H560" s="9">
        <v>27667</v>
      </c>
      <c r="I560" s="9">
        <v>0</v>
      </c>
      <c r="J560" s="9">
        <v>41500</v>
      </c>
      <c r="K560" s="9">
        <v>0</v>
      </c>
      <c r="L560" s="9">
        <v>27667</v>
      </c>
      <c r="M560" s="9">
        <v>0</v>
      </c>
      <c r="N560" s="9">
        <v>45000</v>
      </c>
      <c r="O560" s="9">
        <v>0</v>
      </c>
      <c r="P560" s="9">
        <v>45000</v>
      </c>
      <c r="Q560" s="9">
        <v>0</v>
      </c>
      <c r="R560" s="9">
        <v>45000</v>
      </c>
      <c r="S560" s="9"/>
      <c r="T560" s="9"/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7">
        <f t="shared" si="18"/>
        <v>231834</v>
      </c>
    </row>
    <row r="561" spans="1:35" x14ac:dyDescent="0.3">
      <c r="A561" s="12" t="s">
        <v>1010</v>
      </c>
      <c r="B561" s="12" t="s">
        <v>863</v>
      </c>
      <c r="C561" s="12" t="s">
        <v>1012</v>
      </c>
      <c r="D561" s="15">
        <v>7302034</v>
      </c>
      <c r="E561" s="16" t="s">
        <v>799</v>
      </c>
      <c r="F561" s="12" t="s">
        <v>3</v>
      </c>
      <c r="G561" s="9">
        <v>8314.5365652114033</v>
      </c>
      <c r="H561" s="9">
        <v>20000</v>
      </c>
      <c r="I561" s="9">
        <v>8314.5365652114033</v>
      </c>
      <c r="J561" s="9">
        <v>12500</v>
      </c>
      <c r="K561" s="9">
        <v>9181.8867924528295</v>
      </c>
      <c r="L561" s="9">
        <v>12500</v>
      </c>
      <c r="M561" s="9">
        <v>9261.3836477987425</v>
      </c>
      <c r="N561" s="9">
        <v>0</v>
      </c>
      <c r="O561" s="9">
        <v>9261.3836477987425</v>
      </c>
      <c r="P561" s="9">
        <v>12500</v>
      </c>
      <c r="Q561" s="9">
        <v>9234.8846960167721</v>
      </c>
      <c r="R561" s="9">
        <v>12500</v>
      </c>
      <c r="S561" s="9"/>
      <c r="T561" s="9"/>
      <c r="W561" s="4">
        <v>7500</v>
      </c>
      <c r="X561" s="4">
        <v>10080</v>
      </c>
      <c r="Y561" s="4">
        <v>7157</v>
      </c>
      <c r="Z561" s="4">
        <v>10320</v>
      </c>
      <c r="AA561" s="4">
        <v>10860</v>
      </c>
      <c r="AB561" s="4">
        <v>10860</v>
      </c>
      <c r="AC561" s="4">
        <v>10860</v>
      </c>
      <c r="AD561" s="4">
        <v>9726.7924528301883</v>
      </c>
      <c r="AE561" s="4">
        <v>10860</v>
      </c>
      <c r="AF561" s="4">
        <v>10135.849056603774</v>
      </c>
      <c r="AG561" s="4">
        <v>9270.5283018867922</v>
      </c>
      <c r="AH561" s="4">
        <v>0</v>
      </c>
      <c r="AI561" s="7">
        <f t="shared" si="18"/>
        <v>231198.78172581061</v>
      </c>
    </row>
    <row r="562" spans="1:35" x14ac:dyDescent="0.3">
      <c r="A562" s="12" t="s">
        <v>1010</v>
      </c>
      <c r="B562" s="12" t="s">
        <v>863</v>
      </c>
      <c r="C562" s="12" t="s">
        <v>1012</v>
      </c>
      <c r="D562" s="15">
        <v>7302233</v>
      </c>
      <c r="E562" s="16" t="s">
        <v>800</v>
      </c>
      <c r="F562" s="12" t="s">
        <v>3</v>
      </c>
      <c r="G562" s="9">
        <v>22894.045219868261</v>
      </c>
      <c r="H562" s="9">
        <v>0</v>
      </c>
      <c r="I562" s="9">
        <v>22894.045219868261</v>
      </c>
      <c r="J562" s="9">
        <v>0</v>
      </c>
      <c r="K562" s="9">
        <v>20888.517073170733</v>
      </c>
      <c r="L562" s="9">
        <v>0</v>
      </c>
      <c r="M562" s="9">
        <v>19440</v>
      </c>
      <c r="N562" s="9">
        <v>0</v>
      </c>
      <c r="O562" s="9">
        <v>19440</v>
      </c>
      <c r="P562" s="9">
        <v>0</v>
      </c>
      <c r="Q562" s="9">
        <v>19922.839024390243</v>
      </c>
      <c r="R562" s="9">
        <v>0</v>
      </c>
      <c r="S562" s="9"/>
      <c r="T562" s="9"/>
      <c r="W562" s="4">
        <v>16000</v>
      </c>
      <c r="X562" s="4">
        <v>0</v>
      </c>
      <c r="Y562" s="4">
        <v>0</v>
      </c>
      <c r="Z562" s="4">
        <v>0</v>
      </c>
      <c r="AA562" s="4">
        <v>0</v>
      </c>
      <c r="AB562" s="4">
        <v>1428</v>
      </c>
      <c r="AC562" s="4">
        <v>0</v>
      </c>
      <c r="AD562" s="4">
        <v>0</v>
      </c>
      <c r="AE562" s="4">
        <v>0</v>
      </c>
      <c r="AF562" s="4">
        <v>0</v>
      </c>
      <c r="AG562" s="4">
        <v>25526.364878048778</v>
      </c>
      <c r="AH562" s="4">
        <v>0</v>
      </c>
      <c r="AI562" s="7">
        <f t="shared" si="18"/>
        <v>168433.81141534628</v>
      </c>
    </row>
    <row r="563" spans="1:35" x14ac:dyDescent="0.3">
      <c r="A563" s="12" t="s">
        <v>1010</v>
      </c>
      <c r="B563" s="12" t="s">
        <v>863</v>
      </c>
      <c r="C563" s="12" t="s">
        <v>1012</v>
      </c>
      <c r="D563" s="15">
        <v>7302037</v>
      </c>
      <c r="E563" s="16" t="s">
        <v>801</v>
      </c>
      <c r="F563" s="12" t="s">
        <v>3</v>
      </c>
      <c r="G563" s="9">
        <v>0</v>
      </c>
      <c r="H563" s="9">
        <v>0</v>
      </c>
      <c r="I563" s="9">
        <v>0</v>
      </c>
      <c r="J563" s="9">
        <v>0</v>
      </c>
      <c r="K563" s="9">
        <v>0</v>
      </c>
      <c r="L563" s="9">
        <v>50000</v>
      </c>
      <c r="M563" s="9">
        <v>0</v>
      </c>
      <c r="N563" s="9">
        <v>0</v>
      </c>
      <c r="O563" s="9">
        <v>0</v>
      </c>
      <c r="P563" s="9">
        <v>0</v>
      </c>
      <c r="Q563" s="9">
        <v>0</v>
      </c>
      <c r="R563" s="9">
        <v>0</v>
      </c>
      <c r="S563" s="9"/>
      <c r="T563" s="9"/>
      <c r="W563" s="4">
        <v>0</v>
      </c>
      <c r="X563" s="4">
        <v>19296</v>
      </c>
      <c r="Y563" s="4">
        <v>16251</v>
      </c>
      <c r="Z563" s="4">
        <v>32832</v>
      </c>
      <c r="AA563" s="4">
        <v>26784</v>
      </c>
      <c r="AB563" s="4">
        <v>32556</v>
      </c>
      <c r="AC563" s="4">
        <v>26784</v>
      </c>
      <c r="AD563" s="4">
        <v>17819.121951219513</v>
      </c>
      <c r="AE563" s="4">
        <v>26784</v>
      </c>
      <c r="AF563" s="4">
        <v>0</v>
      </c>
      <c r="AG563" s="4">
        <v>0</v>
      </c>
      <c r="AH563" s="4">
        <v>0</v>
      </c>
      <c r="AI563" s="7">
        <f t="shared" si="18"/>
        <v>249106.12195121951</v>
      </c>
    </row>
    <row r="564" spans="1:35" x14ac:dyDescent="0.3">
      <c r="A564" s="12" t="s">
        <v>1010</v>
      </c>
      <c r="B564" s="12" t="s">
        <v>1016</v>
      </c>
      <c r="C564" s="12" t="s">
        <v>5</v>
      </c>
      <c r="D564" s="15">
        <v>9401369</v>
      </c>
      <c r="E564" s="16" t="s">
        <v>802</v>
      </c>
      <c r="F564" s="12" t="s">
        <v>3</v>
      </c>
      <c r="G564" s="9">
        <v>0</v>
      </c>
      <c r="H564" s="9">
        <v>25000</v>
      </c>
      <c r="I564" s="9">
        <v>0</v>
      </c>
      <c r="J564" s="9">
        <v>25000</v>
      </c>
      <c r="K564" s="9">
        <v>0</v>
      </c>
      <c r="L564" s="9">
        <v>0</v>
      </c>
      <c r="M564" s="9">
        <v>0</v>
      </c>
      <c r="N564" s="9">
        <v>25000</v>
      </c>
      <c r="O564" s="9">
        <v>0</v>
      </c>
      <c r="P564" s="9">
        <v>25000</v>
      </c>
      <c r="Q564" s="9">
        <v>0</v>
      </c>
      <c r="R564" s="9">
        <v>25000</v>
      </c>
      <c r="S564" s="9"/>
      <c r="T564" s="9"/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7">
        <f t="shared" si="18"/>
        <v>125000</v>
      </c>
    </row>
    <row r="565" spans="1:35" x14ac:dyDescent="0.3">
      <c r="A565" s="12" t="s">
        <v>1010</v>
      </c>
      <c r="B565" s="12" t="s">
        <v>863</v>
      </c>
      <c r="C565" s="12" t="s">
        <v>1012</v>
      </c>
      <c r="D565" s="15">
        <v>7302237</v>
      </c>
      <c r="E565" s="16" t="s">
        <v>803</v>
      </c>
      <c r="F565" s="12" t="s">
        <v>3</v>
      </c>
      <c r="G565" s="9">
        <v>0</v>
      </c>
      <c r="H565" s="9">
        <v>0</v>
      </c>
      <c r="I565" s="9">
        <v>0</v>
      </c>
      <c r="J565" s="9">
        <v>0</v>
      </c>
      <c r="K565" s="9">
        <v>0</v>
      </c>
      <c r="L565" s="9">
        <v>0</v>
      </c>
      <c r="M565" s="9">
        <v>0</v>
      </c>
      <c r="N565" s="9">
        <v>0</v>
      </c>
      <c r="O565" s="9">
        <v>0</v>
      </c>
      <c r="P565" s="9">
        <v>0</v>
      </c>
      <c r="Q565" s="9">
        <v>0</v>
      </c>
      <c r="R565" s="9">
        <v>0</v>
      </c>
      <c r="S565" s="9"/>
      <c r="T565" s="9"/>
      <c r="W565" s="4">
        <v>32930.9</v>
      </c>
      <c r="X565" s="4">
        <v>6912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7">
        <f t="shared" si="18"/>
        <v>39842.9</v>
      </c>
    </row>
    <row r="566" spans="1:35" x14ac:dyDescent="0.3">
      <c r="A566" s="12" t="s">
        <v>1010</v>
      </c>
      <c r="B566" s="12" t="s">
        <v>863</v>
      </c>
      <c r="C566" s="12" t="s">
        <v>1012</v>
      </c>
      <c r="D566" s="15">
        <v>7302028</v>
      </c>
      <c r="E566" s="16" t="s">
        <v>804</v>
      </c>
      <c r="F566" s="12" t="s">
        <v>3</v>
      </c>
      <c r="G566" s="9">
        <v>33156.828747894448</v>
      </c>
      <c r="H566" s="9">
        <v>51840</v>
      </c>
      <c r="I566" s="9">
        <v>33156.828747894448</v>
      </c>
      <c r="J566" s="9">
        <v>60000</v>
      </c>
      <c r="K566" s="9">
        <v>38169.903296703298</v>
      </c>
      <c r="L566" s="9">
        <v>60000</v>
      </c>
      <c r="M566" s="9">
        <v>40167.560439560439</v>
      </c>
      <c r="N566" s="9">
        <v>40000</v>
      </c>
      <c r="O566" s="9">
        <v>40167.560439560439</v>
      </c>
      <c r="P566" s="9">
        <v>40000</v>
      </c>
      <c r="Q566" s="9">
        <v>39501.674725274723</v>
      </c>
      <c r="R566" s="9">
        <v>40000</v>
      </c>
      <c r="S566" s="9"/>
      <c r="T566" s="9"/>
      <c r="W566" s="4">
        <v>0</v>
      </c>
      <c r="X566" s="4">
        <v>33120</v>
      </c>
      <c r="Y566" s="4">
        <v>27926</v>
      </c>
      <c r="Z566" s="4">
        <v>36852</v>
      </c>
      <c r="AA566" s="4">
        <v>36864</v>
      </c>
      <c r="AB566" s="4">
        <v>46080</v>
      </c>
      <c r="AC566" s="4">
        <v>36864</v>
      </c>
      <c r="AD566" s="4">
        <v>41378.637362637361</v>
      </c>
      <c r="AE566" s="4">
        <v>36864</v>
      </c>
      <c r="AF566" s="4">
        <v>42597.626373626372</v>
      </c>
      <c r="AG566" s="4">
        <v>36969.146373626369</v>
      </c>
      <c r="AH566" s="4">
        <v>0</v>
      </c>
      <c r="AI566" s="7">
        <f t="shared" si="18"/>
        <v>891675.76650677784</v>
      </c>
    </row>
    <row r="567" spans="1:35" x14ac:dyDescent="0.3">
      <c r="A567" s="12" t="s">
        <v>1010</v>
      </c>
      <c r="B567" s="12" t="s">
        <v>863</v>
      </c>
      <c r="C567" s="12" t="s">
        <v>1012</v>
      </c>
      <c r="D567" s="15">
        <v>7302041</v>
      </c>
      <c r="E567" s="16" t="s">
        <v>805</v>
      </c>
      <c r="F567" s="12" t="s">
        <v>3</v>
      </c>
      <c r="G567" s="9">
        <v>7884.1884963503671</v>
      </c>
      <c r="H567" s="9">
        <v>24030</v>
      </c>
      <c r="I567" s="9">
        <v>7884.1884963503671</v>
      </c>
      <c r="J567" s="9">
        <v>21600</v>
      </c>
      <c r="K567" s="9">
        <v>9120.2495999999992</v>
      </c>
      <c r="L567" s="9">
        <v>0</v>
      </c>
      <c r="M567" s="9">
        <v>9800.9599999999991</v>
      </c>
      <c r="N567" s="9">
        <v>0</v>
      </c>
      <c r="O567" s="9">
        <v>9800.9599999999991</v>
      </c>
      <c r="P567" s="9">
        <v>0</v>
      </c>
      <c r="Q567" s="9">
        <v>9574.0565333333325</v>
      </c>
      <c r="R567" s="9">
        <v>21600</v>
      </c>
      <c r="S567" s="9"/>
      <c r="T567" s="9"/>
      <c r="W567" s="4">
        <v>9000</v>
      </c>
      <c r="X567" s="4">
        <v>12888</v>
      </c>
      <c r="Y567" s="4">
        <v>10201</v>
      </c>
      <c r="Z567" s="4">
        <v>8352</v>
      </c>
      <c r="AA567" s="4">
        <v>6840</v>
      </c>
      <c r="AB567" s="4">
        <v>12144</v>
      </c>
      <c r="AC567" s="4">
        <v>6840</v>
      </c>
      <c r="AD567" s="4">
        <v>7559.424</v>
      </c>
      <c r="AE567" s="4">
        <v>6840</v>
      </c>
      <c r="AF567" s="4">
        <v>13570.56</v>
      </c>
      <c r="AG567" s="4">
        <v>8790.6995199999983</v>
      </c>
      <c r="AH567" s="4">
        <v>0</v>
      </c>
      <c r="AI567" s="7">
        <f t="shared" si="18"/>
        <v>224320.28664603407</v>
      </c>
    </row>
    <row r="568" spans="1:35" x14ac:dyDescent="0.3">
      <c r="A568" s="12" t="s">
        <v>1010</v>
      </c>
      <c r="B568" s="12" t="s">
        <v>863</v>
      </c>
      <c r="C568" s="12" t="s">
        <v>1012</v>
      </c>
      <c r="D568" s="15">
        <v>7302244</v>
      </c>
      <c r="E568" s="16" t="s">
        <v>806</v>
      </c>
      <c r="F568" s="12" t="s">
        <v>3</v>
      </c>
      <c r="G568" s="9">
        <v>28225.978957966279</v>
      </c>
      <c r="H568" s="9">
        <v>50000</v>
      </c>
      <c r="I568" s="9">
        <v>28225.978957966279</v>
      </c>
      <c r="J568" s="9">
        <v>50000</v>
      </c>
      <c r="K568" s="9">
        <v>34119.997241379308</v>
      </c>
      <c r="L568" s="9">
        <v>50000</v>
      </c>
      <c r="M568" s="9">
        <v>36339.751724137932</v>
      </c>
      <c r="N568" s="9">
        <v>0</v>
      </c>
      <c r="O568" s="9">
        <v>36339.751724137932</v>
      </c>
      <c r="P568" s="9">
        <v>50000</v>
      </c>
      <c r="Q568" s="9">
        <v>35599.833563218388</v>
      </c>
      <c r="R568" s="9">
        <v>50000</v>
      </c>
      <c r="S568" s="9"/>
      <c r="T568" s="9"/>
      <c r="W568" s="4">
        <v>19212.3</v>
      </c>
      <c r="X568" s="4">
        <v>30528</v>
      </c>
      <c r="Y568" s="4">
        <v>22655</v>
      </c>
      <c r="Z568" s="4">
        <v>28944</v>
      </c>
      <c r="AA568" s="4">
        <v>26064</v>
      </c>
      <c r="AB568" s="4">
        <v>39744</v>
      </c>
      <c r="AC568" s="4">
        <v>26064</v>
      </c>
      <c r="AD568" s="4">
        <v>34632.496551724136</v>
      </c>
      <c r="AE568" s="4">
        <v>26064</v>
      </c>
      <c r="AF568" s="4">
        <v>39195.806896551723</v>
      </c>
      <c r="AG568" s="4">
        <v>31471.355586206893</v>
      </c>
      <c r="AH568" s="4">
        <v>0</v>
      </c>
      <c r="AI568" s="7">
        <f t="shared" si="18"/>
        <v>773426.25120328891</v>
      </c>
    </row>
    <row r="569" spans="1:35" x14ac:dyDescent="0.3">
      <c r="A569" s="12" t="s">
        <v>1010</v>
      </c>
      <c r="B569" s="12" t="s">
        <v>863</v>
      </c>
      <c r="C569" s="12" t="s">
        <v>1012</v>
      </c>
      <c r="D569" s="15">
        <v>7302021</v>
      </c>
      <c r="E569" s="16" t="s">
        <v>807</v>
      </c>
      <c r="F569" s="12" t="s">
        <v>3</v>
      </c>
      <c r="G569" s="9">
        <v>37253.195978515359</v>
      </c>
      <c r="H569" s="9">
        <v>50000</v>
      </c>
      <c r="I569" s="9">
        <v>37253.195978515359</v>
      </c>
      <c r="J569" s="9">
        <v>80000</v>
      </c>
      <c r="K569" s="9">
        <v>44505.916981132075</v>
      </c>
      <c r="L569" s="9">
        <v>50000</v>
      </c>
      <c r="M569" s="9">
        <v>47173.433962264149</v>
      </c>
      <c r="N569" s="9">
        <v>50000</v>
      </c>
      <c r="O569" s="9">
        <v>47173.433962264149</v>
      </c>
      <c r="P569" s="9">
        <v>50000</v>
      </c>
      <c r="Q569" s="9">
        <v>46284.261635220122</v>
      </c>
      <c r="R569" s="9">
        <v>50000</v>
      </c>
      <c r="S569" s="9"/>
      <c r="T569" s="9"/>
      <c r="W569" s="4">
        <v>34779.5</v>
      </c>
      <c r="X569" s="4">
        <v>34128</v>
      </c>
      <c r="Y569" s="4">
        <v>29250</v>
      </c>
      <c r="Z569" s="4">
        <v>38304</v>
      </c>
      <c r="AA569" s="4">
        <v>37728</v>
      </c>
      <c r="AB569" s="4">
        <v>52992</v>
      </c>
      <c r="AC569" s="4">
        <v>37728</v>
      </c>
      <c r="AD569" s="4">
        <v>41267.32075471698</v>
      </c>
      <c r="AE569" s="4">
        <v>37728</v>
      </c>
      <c r="AF569" s="4">
        <v>58382.490566037734</v>
      </c>
      <c r="AG569" s="4">
        <v>41536.507169811317</v>
      </c>
      <c r="AH569" s="4">
        <v>0</v>
      </c>
      <c r="AI569" s="7">
        <f t="shared" si="18"/>
        <v>1033467.2569884772</v>
      </c>
    </row>
    <row r="570" spans="1:35" x14ac:dyDescent="0.3">
      <c r="A570" s="12" t="s">
        <v>1010</v>
      </c>
      <c r="B570" s="12" t="s">
        <v>863</v>
      </c>
      <c r="C570" s="12" t="s">
        <v>1012</v>
      </c>
      <c r="D570" s="15">
        <v>7302245</v>
      </c>
      <c r="E570" s="16" t="s">
        <v>808</v>
      </c>
      <c r="F570" s="12" t="s">
        <v>3</v>
      </c>
      <c r="G570" s="9">
        <v>28645.983683984552</v>
      </c>
      <c r="H570" s="9">
        <v>50000</v>
      </c>
      <c r="I570" s="9">
        <v>28645.983683984552</v>
      </c>
      <c r="J570" s="9">
        <v>50000</v>
      </c>
      <c r="K570" s="9">
        <v>31409.205882352941</v>
      </c>
      <c r="L570" s="9">
        <v>50000</v>
      </c>
      <c r="M570" s="9">
        <v>33626.117647058825</v>
      </c>
      <c r="N570" s="9">
        <v>0</v>
      </c>
      <c r="O570" s="9">
        <v>33626.117647058825</v>
      </c>
      <c r="P570" s="9">
        <v>50000</v>
      </c>
      <c r="Q570" s="9">
        <v>32887.147058823532</v>
      </c>
      <c r="R570" s="9">
        <v>50000</v>
      </c>
      <c r="S570" s="9"/>
      <c r="T570" s="9"/>
      <c r="W570" s="4">
        <v>22419.7</v>
      </c>
      <c r="X570" s="4">
        <v>28944</v>
      </c>
      <c r="Y570" s="4">
        <v>21375</v>
      </c>
      <c r="Z570" s="4">
        <v>28944</v>
      </c>
      <c r="AA570" s="4">
        <v>26064</v>
      </c>
      <c r="AB570" s="4">
        <v>39744</v>
      </c>
      <c r="AC570" s="4">
        <v>26064</v>
      </c>
      <c r="AD570" s="4">
        <v>33247.058823529413</v>
      </c>
      <c r="AE570" s="4">
        <v>26064</v>
      </c>
      <c r="AF570" s="4">
        <v>36038.117647058825</v>
      </c>
      <c r="AG570" s="4">
        <v>31939.651764705883</v>
      </c>
      <c r="AH570" s="4">
        <v>0</v>
      </c>
      <c r="AI570" s="7">
        <f t="shared" si="18"/>
        <v>759684.08383855736</v>
      </c>
    </row>
    <row r="571" spans="1:35" x14ac:dyDescent="0.3">
      <c r="A571" s="12" t="s">
        <v>1010</v>
      </c>
      <c r="B571" s="12" t="s">
        <v>863</v>
      </c>
      <c r="C571" s="12" t="s">
        <v>1012</v>
      </c>
      <c r="D571" s="15">
        <v>7302248</v>
      </c>
      <c r="E571" s="16" t="s">
        <v>809</v>
      </c>
      <c r="F571" s="12" t="s">
        <v>3</v>
      </c>
      <c r="G571" s="9">
        <v>0</v>
      </c>
      <c r="H571" s="9">
        <v>0</v>
      </c>
      <c r="I571" s="9">
        <v>0</v>
      </c>
      <c r="J571" s="9">
        <v>0</v>
      </c>
      <c r="K571" s="9">
        <v>0</v>
      </c>
      <c r="L571" s="9">
        <v>0</v>
      </c>
      <c r="M571" s="9">
        <v>0</v>
      </c>
      <c r="N571" s="9">
        <v>0</v>
      </c>
      <c r="O571" s="9">
        <v>0</v>
      </c>
      <c r="P571" s="9">
        <v>0</v>
      </c>
      <c r="Q571" s="9">
        <v>0</v>
      </c>
      <c r="R571" s="9">
        <v>0</v>
      </c>
      <c r="S571" s="9"/>
      <c r="T571" s="9"/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520</v>
      </c>
      <c r="AC571" s="4">
        <v>0</v>
      </c>
      <c r="AD571" s="4">
        <v>9859.0476190476184</v>
      </c>
      <c r="AE571" s="4">
        <v>0</v>
      </c>
      <c r="AF571" s="4">
        <v>575.75091575091574</v>
      </c>
      <c r="AG571" s="4">
        <v>0</v>
      </c>
      <c r="AH571" s="4">
        <v>0</v>
      </c>
      <c r="AI571" s="7">
        <f t="shared" si="18"/>
        <v>10954.798534798534</v>
      </c>
    </row>
    <row r="572" spans="1:35" x14ac:dyDescent="0.3">
      <c r="A572" s="12" t="s">
        <v>1010</v>
      </c>
      <c r="B572" s="12" t="s">
        <v>863</v>
      </c>
      <c r="C572" s="12" t="s">
        <v>1012</v>
      </c>
      <c r="D572" s="15">
        <v>7302038</v>
      </c>
      <c r="E572" s="16" t="s">
        <v>810</v>
      </c>
      <c r="F572" s="12" t="s">
        <v>3</v>
      </c>
      <c r="G572" s="9">
        <v>14361.310125397718</v>
      </c>
      <c r="H572" s="9">
        <v>0</v>
      </c>
      <c r="I572" s="9">
        <v>14361.310125397718</v>
      </c>
      <c r="J572" s="9">
        <v>0</v>
      </c>
      <c r="K572" s="9">
        <v>14675.692307692309</v>
      </c>
      <c r="L572" s="9">
        <v>20000</v>
      </c>
      <c r="M572" s="9">
        <v>15830.17216117216</v>
      </c>
      <c r="N572" s="9">
        <v>0</v>
      </c>
      <c r="O572" s="9">
        <v>15830.17216117216</v>
      </c>
      <c r="P572" s="9">
        <v>0</v>
      </c>
      <c r="Q572" s="9">
        <v>15445.345543345544</v>
      </c>
      <c r="R572" s="9">
        <v>0</v>
      </c>
      <c r="S572" s="9"/>
      <c r="T572" s="9"/>
      <c r="W572" s="4">
        <v>9328.9</v>
      </c>
      <c r="X572" s="4">
        <v>9920</v>
      </c>
      <c r="Y572" s="4">
        <v>12138</v>
      </c>
      <c r="Z572" s="4">
        <v>18240</v>
      </c>
      <c r="AA572" s="4">
        <v>15040</v>
      </c>
      <c r="AB572" s="4">
        <v>17720</v>
      </c>
      <c r="AC572" s="4">
        <v>15040</v>
      </c>
      <c r="AD572" s="4">
        <v>4764.8351648351645</v>
      </c>
      <c r="AE572" s="4">
        <v>15040</v>
      </c>
      <c r="AF572" s="4">
        <v>22613.113553113551</v>
      </c>
      <c r="AG572" s="4">
        <v>16012.54993894994</v>
      </c>
      <c r="AH572" s="4">
        <v>0</v>
      </c>
      <c r="AI572" s="7">
        <f t="shared" si="18"/>
        <v>266361.40108107624</v>
      </c>
    </row>
    <row r="573" spans="1:35" x14ac:dyDescent="0.3">
      <c r="A573" s="12" t="s">
        <v>1010</v>
      </c>
      <c r="B573" s="12" t="s">
        <v>1016</v>
      </c>
      <c r="C573" s="12" t="s">
        <v>5</v>
      </c>
      <c r="D573" s="15">
        <v>9401384</v>
      </c>
      <c r="E573" s="16" t="s">
        <v>811</v>
      </c>
      <c r="F573" s="12" t="s">
        <v>3</v>
      </c>
      <c r="G573" s="9">
        <v>0</v>
      </c>
      <c r="H573" s="9">
        <v>30333</v>
      </c>
      <c r="I573" s="9">
        <v>0</v>
      </c>
      <c r="J573" s="9">
        <v>30333</v>
      </c>
      <c r="K573" s="9">
        <v>0</v>
      </c>
      <c r="L573" s="9">
        <v>0</v>
      </c>
      <c r="M573" s="9">
        <v>0</v>
      </c>
      <c r="N573" s="9">
        <v>30333</v>
      </c>
      <c r="O573" s="9">
        <v>0</v>
      </c>
      <c r="P573" s="9">
        <v>0</v>
      </c>
      <c r="Q573" s="9">
        <v>0</v>
      </c>
      <c r="R573" s="9">
        <v>30333</v>
      </c>
      <c r="S573" s="9"/>
      <c r="T573" s="9"/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7">
        <f t="shared" si="18"/>
        <v>121332</v>
      </c>
    </row>
    <row r="574" spans="1:35" x14ac:dyDescent="0.3">
      <c r="A574" s="12" t="s">
        <v>1010</v>
      </c>
      <c r="B574" s="12" t="s">
        <v>863</v>
      </c>
      <c r="C574" s="12" t="s">
        <v>1012</v>
      </c>
      <c r="D574" s="15">
        <v>7302242</v>
      </c>
      <c r="E574" s="16" t="s">
        <v>812</v>
      </c>
      <c r="F574" s="12" t="s">
        <v>3</v>
      </c>
      <c r="G574" s="9">
        <v>39398.721737582338</v>
      </c>
      <c r="H574" s="9">
        <v>0</v>
      </c>
      <c r="I574" s="9">
        <v>39398.721737582338</v>
      </c>
      <c r="J574" s="9">
        <v>0</v>
      </c>
      <c r="K574" s="9">
        <v>48114</v>
      </c>
      <c r="L574" s="9">
        <v>50000</v>
      </c>
      <c r="M574" s="9">
        <v>52630.243902439026</v>
      </c>
      <c r="N574" s="9">
        <v>0</v>
      </c>
      <c r="O574" s="9">
        <v>52630.243902439026</v>
      </c>
      <c r="P574" s="9">
        <v>0</v>
      </c>
      <c r="Q574" s="9">
        <v>51124.829268292677</v>
      </c>
      <c r="R574" s="9">
        <v>0</v>
      </c>
      <c r="S574" s="9"/>
      <c r="T574" s="9"/>
      <c r="W574" s="4">
        <v>40000</v>
      </c>
      <c r="X574" s="4">
        <v>32832</v>
      </c>
      <c r="Y574" s="4">
        <v>36156</v>
      </c>
      <c r="Z574" s="4">
        <v>35424</v>
      </c>
      <c r="AA574" s="4">
        <v>33840</v>
      </c>
      <c r="AB574" s="4">
        <v>56448</v>
      </c>
      <c r="AC574" s="4">
        <v>33840</v>
      </c>
      <c r="AD574" s="4">
        <v>48326.048780487807</v>
      </c>
      <c r="AE574" s="4">
        <v>33840</v>
      </c>
      <c r="AF574" s="4">
        <v>61449.365853658535</v>
      </c>
      <c r="AG574" s="4">
        <v>48321.594146341457</v>
      </c>
      <c r="AH574" s="4">
        <v>0</v>
      </c>
      <c r="AI574" s="7">
        <f t="shared" si="18"/>
        <v>793773.76932882331</v>
      </c>
    </row>
    <row r="575" spans="1:35" x14ac:dyDescent="0.3">
      <c r="A575" s="12" t="s">
        <v>1010</v>
      </c>
      <c r="B575" s="12" t="s">
        <v>1016</v>
      </c>
      <c r="C575" s="12" t="s">
        <v>5</v>
      </c>
      <c r="D575" s="15">
        <v>9401381</v>
      </c>
      <c r="E575" s="16" t="s">
        <v>813</v>
      </c>
      <c r="F575" s="12" t="s">
        <v>3</v>
      </c>
      <c r="G575" s="9">
        <v>0</v>
      </c>
      <c r="H575" s="9">
        <v>0</v>
      </c>
      <c r="I575" s="9">
        <v>0</v>
      </c>
      <c r="J575" s="9">
        <v>100000</v>
      </c>
      <c r="K575" s="9">
        <v>0</v>
      </c>
      <c r="L575" s="9">
        <v>0</v>
      </c>
      <c r="M575" s="9">
        <v>0</v>
      </c>
      <c r="N575" s="9">
        <v>50000</v>
      </c>
      <c r="O575" s="9">
        <v>0</v>
      </c>
      <c r="P575" s="9">
        <v>50000</v>
      </c>
      <c r="Q575" s="9">
        <v>0</v>
      </c>
      <c r="R575" s="9">
        <v>50000</v>
      </c>
      <c r="S575" s="9"/>
      <c r="T575" s="9"/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7">
        <f t="shared" si="18"/>
        <v>250000</v>
      </c>
    </row>
    <row r="576" spans="1:35" x14ac:dyDescent="0.3">
      <c r="A576" s="12" t="s">
        <v>1010</v>
      </c>
      <c r="B576" s="12" t="s">
        <v>863</v>
      </c>
      <c r="C576" s="12" t="s">
        <v>1012</v>
      </c>
      <c r="D576" s="15">
        <v>7302236</v>
      </c>
      <c r="E576" s="16" t="s">
        <v>814</v>
      </c>
      <c r="F576" s="12" t="s">
        <v>3</v>
      </c>
      <c r="G576" s="9">
        <v>45162.232453677716</v>
      </c>
      <c r="H576" s="9">
        <v>0</v>
      </c>
      <c r="I576" s="9">
        <v>45162.232453677716</v>
      </c>
      <c r="J576" s="9">
        <v>30000</v>
      </c>
      <c r="K576" s="9">
        <v>54326.268131868135</v>
      </c>
      <c r="L576" s="9">
        <v>0</v>
      </c>
      <c r="M576" s="9">
        <v>57654.505494505494</v>
      </c>
      <c r="N576" s="9">
        <v>0</v>
      </c>
      <c r="O576" s="9">
        <v>57654.505494505494</v>
      </c>
      <c r="P576" s="9">
        <v>0</v>
      </c>
      <c r="Q576" s="9">
        <v>56545.093040293046</v>
      </c>
      <c r="R576" s="9">
        <v>0</v>
      </c>
      <c r="S576" s="9"/>
      <c r="T576" s="9"/>
      <c r="W576" s="4">
        <v>40096.1</v>
      </c>
      <c r="X576" s="4">
        <v>29916</v>
      </c>
      <c r="Y576" s="4">
        <v>0</v>
      </c>
      <c r="Z576" s="4">
        <v>50688</v>
      </c>
      <c r="AA576" s="4">
        <v>50976</v>
      </c>
      <c r="AB576" s="4">
        <v>65664</v>
      </c>
      <c r="AC576" s="4">
        <v>50976</v>
      </c>
      <c r="AD576" s="4">
        <v>44355.164835164833</v>
      </c>
      <c r="AE576" s="4">
        <v>50976</v>
      </c>
      <c r="AF576" s="4">
        <v>68041.846153846156</v>
      </c>
      <c r="AG576" s="4">
        <v>50354.911648351641</v>
      </c>
      <c r="AH576" s="4">
        <v>0</v>
      </c>
      <c r="AI576" s="7">
        <f t="shared" si="18"/>
        <v>848548.85970589006</v>
      </c>
    </row>
    <row r="577" spans="1:35" x14ac:dyDescent="0.3">
      <c r="A577" s="12" t="s">
        <v>1010</v>
      </c>
      <c r="B577" s="12" t="s">
        <v>863</v>
      </c>
      <c r="C577" s="12" t="s">
        <v>1012</v>
      </c>
      <c r="D577" s="15">
        <v>7302017</v>
      </c>
      <c r="E577" s="16" t="s">
        <v>815</v>
      </c>
      <c r="F577" s="12" t="s">
        <v>3</v>
      </c>
      <c r="G577" s="9">
        <v>0</v>
      </c>
      <c r="H577" s="9">
        <v>0</v>
      </c>
      <c r="I577" s="9">
        <v>0</v>
      </c>
      <c r="J577" s="9">
        <v>0</v>
      </c>
      <c r="K577" s="9">
        <v>0</v>
      </c>
      <c r="L577" s="9">
        <v>0</v>
      </c>
      <c r="M577" s="9">
        <v>0</v>
      </c>
      <c r="N577" s="9">
        <v>0</v>
      </c>
      <c r="O577" s="9">
        <v>0</v>
      </c>
      <c r="P577" s="9">
        <v>0</v>
      </c>
      <c r="Q577" s="9">
        <v>0</v>
      </c>
      <c r="R577" s="9">
        <v>0</v>
      </c>
      <c r="S577" s="9"/>
      <c r="T577" s="9"/>
      <c r="W577" s="4">
        <v>3168</v>
      </c>
      <c r="X577" s="4">
        <v>18252</v>
      </c>
      <c r="Y577" s="4">
        <v>41163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7">
        <f t="shared" si="18"/>
        <v>62583</v>
      </c>
    </row>
    <row r="578" spans="1:35" x14ac:dyDescent="0.3">
      <c r="A578" s="12" t="s">
        <v>1010</v>
      </c>
      <c r="B578" s="12" t="s">
        <v>1016</v>
      </c>
      <c r="C578" s="12" t="s">
        <v>5</v>
      </c>
      <c r="D578" s="15">
        <v>9401385</v>
      </c>
      <c r="E578" s="16" t="s">
        <v>816</v>
      </c>
      <c r="F578" s="12" t="s">
        <v>3</v>
      </c>
      <c r="G578" s="9">
        <v>0</v>
      </c>
      <c r="H578" s="9">
        <v>100000</v>
      </c>
      <c r="I578" s="9">
        <v>0</v>
      </c>
      <c r="J578" s="9">
        <v>33333</v>
      </c>
      <c r="K578" s="9">
        <v>0</v>
      </c>
      <c r="L578" s="9">
        <v>33333</v>
      </c>
      <c r="M578" s="9">
        <v>0</v>
      </c>
      <c r="N578" s="9">
        <v>66666</v>
      </c>
      <c r="O578" s="9">
        <v>0</v>
      </c>
      <c r="P578" s="9">
        <v>33333</v>
      </c>
      <c r="Q578" s="9">
        <v>0</v>
      </c>
      <c r="R578" s="9">
        <v>66666</v>
      </c>
      <c r="S578" s="9"/>
      <c r="T578" s="9"/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7">
        <f t="shared" si="18"/>
        <v>333331</v>
      </c>
    </row>
    <row r="579" spans="1:35" x14ac:dyDescent="0.3">
      <c r="A579" s="12" t="s">
        <v>1010</v>
      </c>
      <c r="B579" s="12" t="s">
        <v>863</v>
      </c>
      <c r="C579" s="12" t="s">
        <v>1012</v>
      </c>
      <c r="D579" s="15">
        <v>7302249</v>
      </c>
      <c r="E579" s="16" t="s">
        <v>817</v>
      </c>
      <c r="F579" s="12" t="s">
        <v>3</v>
      </c>
      <c r="G579" s="9">
        <v>6112.0689051094896</v>
      </c>
      <c r="H579" s="9">
        <v>0</v>
      </c>
      <c r="I579" s="9">
        <v>6112.0689051094896</v>
      </c>
      <c r="J579" s="9">
        <v>30000</v>
      </c>
      <c r="K579" s="9">
        <v>3712.808</v>
      </c>
      <c r="L579" s="9">
        <v>0</v>
      </c>
      <c r="M579" s="9">
        <v>2923.424</v>
      </c>
      <c r="N579" s="9">
        <v>0</v>
      </c>
      <c r="O579" s="9">
        <v>2923.424</v>
      </c>
      <c r="P579" s="9">
        <v>0</v>
      </c>
      <c r="Q579" s="9">
        <v>3186.5519999999997</v>
      </c>
      <c r="R579" s="9">
        <v>30000</v>
      </c>
      <c r="S579" s="9"/>
      <c r="T579" s="9"/>
      <c r="W579" s="4">
        <v>5600</v>
      </c>
      <c r="X579" s="4">
        <v>7690</v>
      </c>
      <c r="Y579" s="4">
        <v>5171</v>
      </c>
      <c r="Z579" s="4">
        <v>6990</v>
      </c>
      <c r="AA579" s="4">
        <v>8560</v>
      </c>
      <c r="AB579" s="4">
        <v>13450</v>
      </c>
      <c r="AC579" s="4">
        <v>8560</v>
      </c>
      <c r="AD579" s="4">
        <v>1309.44</v>
      </c>
      <c r="AE579" s="4">
        <v>8560</v>
      </c>
      <c r="AF579" s="4">
        <v>4821.12</v>
      </c>
      <c r="AG579" s="4">
        <v>6814.8245333333325</v>
      </c>
      <c r="AH579" s="4">
        <v>0</v>
      </c>
      <c r="AI579" s="7">
        <f t="shared" si="18"/>
        <v>162496.73034355231</v>
      </c>
    </row>
    <row r="580" spans="1:35" x14ac:dyDescent="0.3">
      <c r="A580" s="12" t="s">
        <v>1010</v>
      </c>
      <c r="B580" s="12" t="s">
        <v>863</v>
      </c>
      <c r="C580" s="12" t="s">
        <v>1012</v>
      </c>
      <c r="D580" s="15">
        <v>7302243</v>
      </c>
      <c r="E580" s="16" t="s">
        <v>818</v>
      </c>
      <c r="F580" s="12" t="s">
        <v>3</v>
      </c>
      <c r="G580" s="9">
        <v>0</v>
      </c>
      <c r="H580" s="9">
        <v>0</v>
      </c>
      <c r="I580" s="9">
        <v>0</v>
      </c>
      <c r="J580" s="9">
        <v>50000</v>
      </c>
      <c r="K580" s="9">
        <v>0</v>
      </c>
      <c r="L580" s="9">
        <v>50000</v>
      </c>
      <c r="M580" s="9">
        <v>0</v>
      </c>
      <c r="N580" s="9">
        <v>0</v>
      </c>
      <c r="O580" s="9">
        <v>0</v>
      </c>
      <c r="P580" s="9">
        <v>0</v>
      </c>
      <c r="Q580" s="9">
        <v>0</v>
      </c>
      <c r="R580" s="9">
        <v>0</v>
      </c>
      <c r="S580" s="9"/>
      <c r="T580" s="9"/>
      <c r="W580" s="4">
        <v>32900.800000000003</v>
      </c>
      <c r="X580" s="4">
        <v>36864</v>
      </c>
      <c r="Y580" s="4">
        <v>28136</v>
      </c>
      <c r="Z580" s="4">
        <v>38160</v>
      </c>
      <c r="AA580" s="4">
        <v>38160</v>
      </c>
      <c r="AB580" s="4">
        <v>51840</v>
      </c>
      <c r="AC580" s="4">
        <v>38160</v>
      </c>
      <c r="AD580" s="4">
        <v>36926.241758241755</v>
      </c>
      <c r="AE580" s="4">
        <v>38160</v>
      </c>
      <c r="AF580" s="4">
        <v>51746.109890109889</v>
      </c>
      <c r="AG580" s="4">
        <v>0</v>
      </c>
      <c r="AH580" s="4">
        <v>0</v>
      </c>
      <c r="AI580" s="7">
        <f t="shared" si="18"/>
        <v>491053.15164835157</v>
      </c>
    </row>
    <row r="581" spans="1:35" x14ac:dyDescent="0.3">
      <c r="A581" s="12" t="s">
        <v>1010</v>
      </c>
      <c r="B581" s="12" t="s">
        <v>863</v>
      </c>
      <c r="C581" s="12" t="s">
        <v>1012</v>
      </c>
      <c r="D581" s="15">
        <v>7302025</v>
      </c>
      <c r="E581" s="16" t="s">
        <v>819</v>
      </c>
      <c r="F581" s="12" t="s">
        <v>3</v>
      </c>
      <c r="G581" s="9">
        <v>35669.053340819773</v>
      </c>
      <c r="H581" s="9">
        <v>0</v>
      </c>
      <c r="I581" s="9">
        <v>35669.053340819773</v>
      </c>
      <c r="J581" s="9">
        <v>0</v>
      </c>
      <c r="K581" s="9">
        <v>37737.494505494506</v>
      </c>
      <c r="L581" s="9">
        <v>0</v>
      </c>
      <c r="M581" s="9">
        <v>40596.395604395606</v>
      </c>
      <c r="N581" s="9">
        <v>0</v>
      </c>
      <c r="O581" s="9">
        <v>40596.395604395606</v>
      </c>
      <c r="P581" s="9">
        <v>0</v>
      </c>
      <c r="Q581" s="9">
        <v>39643.428571428572</v>
      </c>
      <c r="R581" s="9">
        <v>0</v>
      </c>
      <c r="S581" s="9"/>
      <c r="T581" s="9"/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39770.222417582416</v>
      </c>
      <c r="AH581" s="4">
        <v>0</v>
      </c>
      <c r="AI581" s="7">
        <f t="shared" si="18"/>
        <v>269682.04338493623</v>
      </c>
    </row>
    <row r="582" spans="1:35" x14ac:dyDescent="0.3">
      <c r="A582" s="12" t="s">
        <v>1010</v>
      </c>
      <c r="B582" s="12" t="s">
        <v>1016</v>
      </c>
      <c r="C582" s="12" t="s">
        <v>5</v>
      </c>
      <c r="D582" s="15">
        <v>9401386</v>
      </c>
      <c r="E582" s="16" t="s">
        <v>820</v>
      </c>
      <c r="F582" s="12" t="s">
        <v>3</v>
      </c>
      <c r="G582" s="9">
        <v>0</v>
      </c>
      <c r="H582" s="9">
        <v>90000</v>
      </c>
      <c r="I582" s="9">
        <v>0</v>
      </c>
      <c r="J582" s="9">
        <v>0</v>
      </c>
      <c r="K582" s="9">
        <v>0</v>
      </c>
      <c r="L582" s="9">
        <v>0</v>
      </c>
      <c r="M582" s="9">
        <v>0</v>
      </c>
      <c r="N582" s="9">
        <v>50000</v>
      </c>
      <c r="O582" s="9">
        <v>0</v>
      </c>
      <c r="P582" s="9">
        <v>50000</v>
      </c>
      <c r="Q582" s="9">
        <v>0</v>
      </c>
      <c r="R582" s="9">
        <v>50000</v>
      </c>
      <c r="S582" s="9"/>
      <c r="T582" s="9"/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7">
        <f t="shared" si="18"/>
        <v>240000</v>
      </c>
    </row>
    <row r="583" spans="1:35" x14ac:dyDescent="0.3">
      <c r="A583" s="12" t="s">
        <v>1010</v>
      </c>
      <c r="B583" s="12" t="s">
        <v>863</v>
      </c>
      <c r="C583" s="12" t="s">
        <v>1012</v>
      </c>
      <c r="D583" s="15">
        <v>7302247</v>
      </c>
      <c r="E583" s="16" t="s">
        <v>821</v>
      </c>
      <c r="F583" s="12" t="s">
        <v>3</v>
      </c>
      <c r="G583" s="9">
        <v>17627.044265530531</v>
      </c>
      <c r="H583" s="9">
        <v>50000</v>
      </c>
      <c r="I583" s="9">
        <v>17627.044265530531</v>
      </c>
      <c r="J583" s="9">
        <v>0</v>
      </c>
      <c r="K583" s="9">
        <v>17154.476394849786</v>
      </c>
      <c r="L583" s="9">
        <v>0</v>
      </c>
      <c r="M583" s="9">
        <v>18824.021459227468</v>
      </c>
      <c r="N583" s="9">
        <v>0</v>
      </c>
      <c r="O583" s="9">
        <v>18824.021459227468</v>
      </c>
      <c r="P583" s="9">
        <v>0</v>
      </c>
      <c r="Q583" s="9">
        <v>18267.506437768239</v>
      </c>
      <c r="R583" s="9">
        <v>0</v>
      </c>
      <c r="S583" s="9"/>
      <c r="T583" s="9"/>
      <c r="W583" s="4">
        <v>13097.5</v>
      </c>
      <c r="X583" s="4">
        <v>18080</v>
      </c>
      <c r="Y583" s="4">
        <v>14212</v>
      </c>
      <c r="Z583" s="4">
        <v>21920</v>
      </c>
      <c r="AA583" s="4">
        <v>21440</v>
      </c>
      <c r="AB583" s="4">
        <v>19520</v>
      </c>
      <c r="AC583" s="4">
        <v>21440</v>
      </c>
      <c r="AD583" s="4">
        <v>4786.2660944206009</v>
      </c>
      <c r="AE583" s="4">
        <v>21440</v>
      </c>
      <c r="AF583" s="4">
        <v>406.48068669527896</v>
      </c>
      <c r="AG583" s="4">
        <v>19653.772818311874</v>
      </c>
      <c r="AH583" s="4">
        <v>0</v>
      </c>
      <c r="AI583" s="7">
        <f t="shared" si="18"/>
        <v>334320.13388156175</v>
      </c>
    </row>
    <row r="584" spans="1:35" x14ac:dyDescent="0.3">
      <c r="A584" s="12" t="s">
        <v>1010</v>
      </c>
      <c r="B584" s="12" t="s">
        <v>863</v>
      </c>
      <c r="C584" s="12" t="s">
        <v>1012</v>
      </c>
      <c r="D584" s="15">
        <v>7302035</v>
      </c>
      <c r="E584" s="16" t="s">
        <v>822</v>
      </c>
      <c r="F584" s="12" t="s">
        <v>3</v>
      </c>
      <c r="G584" s="9">
        <v>0</v>
      </c>
      <c r="H584" s="9">
        <v>0</v>
      </c>
      <c r="I584" s="9">
        <v>0</v>
      </c>
      <c r="J584" s="9">
        <v>20000</v>
      </c>
      <c r="K584" s="9">
        <v>0</v>
      </c>
      <c r="L584" s="9">
        <v>0</v>
      </c>
      <c r="M584" s="9">
        <v>0</v>
      </c>
      <c r="N584" s="9">
        <v>0</v>
      </c>
      <c r="O584" s="9">
        <v>0</v>
      </c>
      <c r="P584" s="9">
        <v>0</v>
      </c>
      <c r="Q584" s="9">
        <v>0</v>
      </c>
      <c r="R584" s="9">
        <v>0</v>
      </c>
      <c r="S584" s="9"/>
      <c r="T584" s="9"/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19698.540772532189</v>
      </c>
      <c r="AE584" s="4">
        <v>0</v>
      </c>
      <c r="AF584" s="4">
        <v>16090.68669527897</v>
      </c>
      <c r="AG584" s="4">
        <v>0</v>
      </c>
      <c r="AH584" s="4">
        <v>0</v>
      </c>
      <c r="AI584" s="7">
        <f t="shared" si="18"/>
        <v>55789.227467811157</v>
      </c>
    </row>
    <row r="585" spans="1:35" x14ac:dyDescent="0.3">
      <c r="A585" s="12" t="s">
        <v>1010</v>
      </c>
      <c r="B585" s="12" t="s">
        <v>863</v>
      </c>
      <c r="C585" s="12" t="s">
        <v>1012</v>
      </c>
      <c r="D585" s="15">
        <v>7302230</v>
      </c>
      <c r="E585" s="16" t="s">
        <v>823</v>
      </c>
      <c r="F585" s="12" t="s">
        <v>3</v>
      </c>
      <c r="G585" s="9">
        <v>82599.464126758059</v>
      </c>
      <c r="H585" s="9">
        <v>79532</v>
      </c>
      <c r="I585" s="9">
        <v>82599.464126758059</v>
      </c>
      <c r="J585" s="9">
        <v>80000</v>
      </c>
      <c r="K585" s="9">
        <v>85888.053658536592</v>
      </c>
      <c r="L585" s="9">
        <v>0</v>
      </c>
      <c r="M585" s="9">
        <v>93296.195121951227</v>
      </c>
      <c r="N585" s="9">
        <v>0</v>
      </c>
      <c r="O585" s="9">
        <v>93296.195121951227</v>
      </c>
      <c r="P585" s="9">
        <v>0</v>
      </c>
      <c r="Q585" s="9">
        <v>90826.814634146343</v>
      </c>
      <c r="R585" s="9">
        <v>0</v>
      </c>
      <c r="S585" s="9"/>
      <c r="T585" s="9"/>
      <c r="W585" s="4">
        <v>54950</v>
      </c>
      <c r="X585" s="4">
        <v>59760</v>
      </c>
      <c r="Y585" s="4">
        <v>55613</v>
      </c>
      <c r="Z585" s="4">
        <v>71724</v>
      </c>
      <c r="AA585" s="4">
        <v>66408</v>
      </c>
      <c r="AB585" s="4">
        <v>98172</v>
      </c>
      <c r="AC585" s="4">
        <v>66408</v>
      </c>
      <c r="AD585" s="4">
        <v>96876.878048780491</v>
      </c>
      <c r="AE585" s="4">
        <v>66408</v>
      </c>
      <c r="AF585" s="4">
        <v>78423.804878048773</v>
      </c>
      <c r="AG585" s="4">
        <v>100469.03414634147</v>
      </c>
      <c r="AH585" s="4">
        <v>0</v>
      </c>
      <c r="AI585" s="7">
        <f t="shared" si="18"/>
        <v>1503250.9038632724</v>
      </c>
    </row>
    <row r="586" spans="1:35" x14ac:dyDescent="0.3">
      <c r="A586" s="12" t="s">
        <v>1010</v>
      </c>
      <c r="B586" s="12" t="s">
        <v>863</v>
      </c>
      <c r="C586" s="12" t="s">
        <v>1012</v>
      </c>
      <c r="D586" s="15">
        <v>7302020</v>
      </c>
      <c r="E586" s="16" t="s">
        <v>824</v>
      </c>
      <c r="F586" s="12" t="s">
        <v>3</v>
      </c>
      <c r="G586" s="9">
        <v>0</v>
      </c>
      <c r="H586" s="9">
        <v>0</v>
      </c>
      <c r="I586" s="9">
        <v>0</v>
      </c>
      <c r="J586" s="9">
        <v>0</v>
      </c>
      <c r="K586" s="9">
        <v>0</v>
      </c>
      <c r="L586" s="9">
        <v>0</v>
      </c>
      <c r="M586" s="9">
        <v>0</v>
      </c>
      <c r="N586" s="9">
        <v>0</v>
      </c>
      <c r="O586" s="9">
        <v>0</v>
      </c>
      <c r="P586" s="9">
        <v>0</v>
      </c>
      <c r="Q586" s="9">
        <v>0</v>
      </c>
      <c r="R586" s="9">
        <v>0</v>
      </c>
      <c r="S586" s="9"/>
      <c r="T586" s="9"/>
      <c r="W586" s="4">
        <v>0</v>
      </c>
      <c r="X586" s="4">
        <v>4752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7">
        <f t="shared" si="18"/>
        <v>4752</v>
      </c>
    </row>
    <row r="587" spans="1:35" x14ac:dyDescent="0.3">
      <c r="A587" s="12" t="s">
        <v>1010</v>
      </c>
      <c r="B587" s="12" t="s">
        <v>1016</v>
      </c>
      <c r="C587" s="12" t="s">
        <v>5</v>
      </c>
      <c r="D587" s="15">
        <v>9401368</v>
      </c>
      <c r="E587" s="16" t="s">
        <v>825</v>
      </c>
      <c r="F587" s="12" t="s">
        <v>3</v>
      </c>
      <c r="G587" s="9">
        <v>0</v>
      </c>
      <c r="H587" s="9">
        <v>50000</v>
      </c>
      <c r="I587" s="9">
        <v>0</v>
      </c>
      <c r="J587" s="9">
        <v>75000</v>
      </c>
      <c r="K587" s="9">
        <v>0</v>
      </c>
      <c r="L587" s="9">
        <v>125000</v>
      </c>
      <c r="M587" s="9">
        <v>0</v>
      </c>
      <c r="N587" s="9">
        <v>100000</v>
      </c>
      <c r="O587" s="9">
        <v>0</v>
      </c>
      <c r="P587" s="9">
        <v>100000</v>
      </c>
      <c r="Q587" s="9">
        <v>0</v>
      </c>
      <c r="R587" s="9">
        <v>100000</v>
      </c>
      <c r="S587" s="9"/>
      <c r="T587" s="9"/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7">
        <f t="shared" si="18"/>
        <v>550000</v>
      </c>
    </row>
    <row r="588" spans="1:35" x14ac:dyDescent="0.3">
      <c r="A588" s="12" t="s">
        <v>1010</v>
      </c>
      <c r="B588" s="12" t="s">
        <v>863</v>
      </c>
      <c r="C588" s="12" t="s">
        <v>1012</v>
      </c>
      <c r="D588" s="15">
        <v>7302234</v>
      </c>
      <c r="E588" s="16" t="s">
        <v>826</v>
      </c>
      <c r="F588" s="12" t="s">
        <v>3</v>
      </c>
      <c r="G588" s="9">
        <v>30860.579206944178</v>
      </c>
      <c r="H588" s="9">
        <v>11376</v>
      </c>
      <c r="I588" s="9">
        <v>30860.579206944178</v>
      </c>
      <c r="J588" s="9">
        <v>55000</v>
      </c>
      <c r="K588" s="9">
        <v>40512.405405405407</v>
      </c>
      <c r="L588" s="9">
        <v>0</v>
      </c>
      <c r="M588" s="9">
        <v>41287.135135135133</v>
      </c>
      <c r="N588" s="9">
        <v>0</v>
      </c>
      <c r="O588" s="9">
        <v>41287.135135135133</v>
      </c>
      <c r="P588" s="9">
        <v>0</v>
      </c>
      <c r="Q588" s="9">
        <v>41028.891891891893</v>
      </c>
      <c r="R588" s="9">
        <v>0</v>
      </c>
      <c r="S588" s="9"/>
      <c r="T588" s="9"/>
      <c r="W588" s="4">
        <v>31723.800000000007</v>
      </c>
      <c r="X588" s="4">
        <v>38592</v>
      </c>
      <c r="Y588" s="4">
        <v>45820.4</v>
      </c>
      <c r="Z588" s="4">
        <v>36000</v>
      </c>
      <c r="AA588" s="4">
        <v>23904</v>
      </c>
      <c r="AB588" s="4">
        <v>38304</v>
      </c>
      <c r="AC588" s="4">
        <v>23904</v>
      </c>
      <c r="AD588" s="4">
        <v>35511.567567567567</v>
      </c>
      <c r="AE588" s="4">
        <v>23904</v>
      </c>
      <c r="AF588" s="4">
        <v>51775.783783783787</v>
      </c>
      <c r="AG588" s="4">
        <v>34408.877837837834</v>
      </c>
      <c r="AH588" s="4">
        <v>0</v>
      </c>
      <c r="AI588" s="7">
        <f t="shared" si="18"/>
        <v>676061.1551706451</v>
      </c>
    </row>
    <row r="589" spans="1:35" x14ac:dyDescent="0.3">
      <c r="A589" s="12" t="s">
        <v>1010</v>
      </c>
      <c r="B589" s="12" t="s">
        <v>1016</v>
      </c>
      <c r="C589" s="12" t="s">
        <v>5</v>
      </c>
      <c r="D589" s="15">
        <v>9401380</v>
      </c>
      <c r="E589" s="16" t="s">
        <v>827</v>
      </c>
      <c r="F589" s="12" t="s">
        <v>3</v>
      </c>
      <c r="G589" s="9">
        <v>0</v>
      </c>
      <c r="H589" s="9">
        <v>0</v>
      </c>
      <c r="I589" s="9">
        <v>0</v>
      </c>
      <c r="J589" s="9">
        <v>0</v>
      </c>
      <c r="K589" s="9">
        <v>0</v>
      </c>
      <c r="L589" s="9">
        <v>66667</v>
      </c>
      <c r="M589" s="9">
        <v>0</v>
      </c>
      <c r="N589" s="9">
        <v>40000</v>
      </c>
      <c r="O589" s="9">
        <v>0</v>
      </c>
      <c r="P589" s="9">
        <v>40000</v>
      </c>
      <c r="Q589" s="9">
        <v>0</v>
      </c>
      <c r="R589" s="9">
        <v>40000</v>
      </c>
      <c r="S589" s="9"/>
      <c r="T589" s="9"/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7">
        <f t="shared" si="18"/>
        <v>186667</v>
      </c>
    </row>
    <row r="590" spans="1:35" x14ac:dyDescent="0.3">
      <c r="A590" s="12" t="s">
        <v>1010</v>
      </c>
      <c r="B590" s="12" t="s">
        <v>863</v>
      </c>
      <c r="C590" s="12" t="s">
        <v>1012</v>
      </c>
      <c r="D590" s="15">
        <v>7302036</v>
      </c>
      <c r="E590" s="16" t="s">
        <v>828</v>
      </c>
      <c r="F590" s="12" t="s">
        <v>3</v>
      </c>
      <c r="G590" s="9">
        <v>15971.499639735601</v>
      </c>
      <c r="H590" s="9">
        <v>0</v>
      </c>
      <c r="I590" s="9">
        <v>15971.499639735601</v>
      </c>
      <c r="J590" s="9">
        <v>33912</v>
      </c>
      <c r="K590" s="9">
        <v>15616.789699570816</v>
      </c>
      <c r="L590" s="9">
        <v>33912</v>
      </c>
      <c r="M590" s="9">
        <v>16603.248927038625</v>
      </c>
      <c r="N590" s="9">
        <v>0</v>
      </c>
      <c r="O590" s="9">
        <v>16603.248927038625</v>
      </c>
      <c r="P590" s="9">
        <v>0</v>
      </c>
      <c r="Q590" s="9">
        <v>16274.429184549355</v>
      </c>
      <c r="R590" s="9">
        <v>33912</v>
      </c>
      <c r="S590" s="9"/>
      <c r="T590" s="9"/>
      <c r="W590" s="4">
        <v>11995.6</v>
      </c>
      <c r="X590" s="4">
        <v>16000</v>
      </c>
      <c r="Y590" s="4">
        <v>12312.557939914162</v>
      </c>
      <c r="Z590" s="4">
        <v>17920</v>
      </c>
      <c r="AA590" s="4">
        <v>16000</v>
      </c>
      <c r="AB590" s="4">
        <v>21120</v>
      </c>
      <c r="AC590" s="4">
        <v>16000</v>
      </c>
      <c r="AD590" s="4">
        <v>17793.648068669529</v>
      </c>
      <c r="AE590" s="4">
        <v>16000</v>
      </c>
      <c r="AF590" s="4">
        <v>17131.673819742489</v>
      </c>
      <c r="AG590" s="4">
        <v>17807.876394849787</v>
      </c>
      <c r="AH590" s="4">
        <v>0</v>
      </c>
      <c r="AI590" s="7">
        <f t="shared" si="18"/>
        <v>378858.0722408446</v>
      </c>
    </row>
    <row r="591" spans="1:35" x14ac:dyDescent="0.3">
      <c r="A591" s="12" t="s">
        <v>1010</v>
      </c>
      <c r="B591" s="12" t="s">
        <v>863</v>
      </c>
      <c r="C591" s="12" t="s">
        <v>1012</v>
      </c>
      <c r="D591" s="15">
        <v>7302240</v>
      </c>
      <c r="E591" s="16" t="s">
        <v>829</v>
      </c>
      <c r="F591" s="12" t="s">
        <v>3</v>
      </c>
      <c r="G591" s="9">
        <v>56261.110110265574</v>
      </c>
      <c r="H591" s="9">
        <v>160000</v>
      </c>
      <c r="I591" s="9">
        <v>56261.110110265574</v>
      </c>
      <c r="J591" s="9">
        <v>100000</v>
      </c>
      <c r="K591" s="9">
        <v>68815.063829787236</v>
      </c>
      <c r="L591" s="9">
        <v>0</v>
      </c>
      <c r="M591" s="9">
        <v>71211.347517730494</v>
      </c>
      <c r="N591" s="9">
        <v>0</v>
      </c>
      <c r="O591" s="9">
        <v>71211.347517730494</v>
      </c>
      <c r="P591" s="9">
        <v>60000</v>
      </c>
      <c r="Q591" s="9">
        <v>70412.586288416074</v>
      </c>
      <c r="R591" s="9">
        <v>60000</v>
      </c>
      <c r="S591" s="9"/>
      <c r="T591" s="9"/>
      <c r="W591" s="4">
        <v>42000</v>
      </c>
      <c r="X591" s="4">
        <v>86400</v>
      </c>
      <c r="Y591" s="4">
        <v>47413</v>
      </c>
      <c r="Z591" s="4">
        <v>42048</v>
      </c>
      <c r="AA591" s="4">
        <v>54720</v>
      </c>
      <c r="AB591" s="4">
        <v>88272</v>
      </c>
      <c r="AC591" s="4">
        <v>54720</v>
      </c>
      <c r="AD591" s="4">
        <v>69881.872340425529</v>
      </c>
      <c r="AE591" s="4">
        <v>54720</v>
      </c>
      <c r="AF591" s="4">
        <v>86216.170212765952</v>
      </c>
      <c r="AG591" s="4">
        <v>67351.439999999988</v>
      </c>
      <c r="AH591" s="4">
        <v>0</v>
      </c>
      <c r="AI591" s="7">
        <f t="shared" si="18"/>
        <v>1467915.0479273871</v>
      </c>
    </row>
    <row r="592" spans="1:35" x14ac:dyDescent="0.3">
      <c r="A592" s="12" t="s">
        <v>1010</v>
      </c>
      <c r="B592" s="12" t="s">
        <v>863</v>
      </c>
      <c r="C592" s="12" t="s">
        <v>1012</v>
      </c>
      <c r="D592" s="15">
        <v>7302232</v>
      </c>
      <c r="E592" s="16" t="s">
        <v>830</v>
      </c>
      <c r="F592" s="12" t="s">
        <v>3</v>
      </c>
      <c r="G592" s="9">
        <v>10574.206015560931</v>
      </c>
      <c r="H592" s="9">
        <v>0</v>
      </c>
      <c r="I592" s="9">
        <v>10574.206015560931</v>
      </c>
      <c r="J592" s="9">
        <v>30000</v>
      </c>
      <c r="K592" s="9">
        <v>7832.0110011001098</v>
      </c>
      <c r="L592" s="9">
        <v>0</v>
      </c>
      <c r="M592" s="9">
        <v>9470.0110011001107</v>
      </c>
      <c r="N592" s="9">
        <v>15000</v>
      </c>
      <c r="O592" s="9">
        <v>9470.0110011001107</v>
      </c>
      <c r="P592" s="9">
        <v>15000</v>
      </c>
      <c r="Q592" s="9">
        <v>8924.0110011001107</v>
      </c>
      <c r="R592" s="9">
        <v>15000</v>
      </c>
      <c r="S592" s="9"/>
      <c r="T592" s="9"/>
      <c r="W592" s="4">
        <v>10000</v>
      </c>
      <c r="X592" s="4">
        <v>10200</v>
      </c>
      <c r="Y592" s="4">
        <v>9534</v>
      </c>
      <c r="Z592" s="4">
        <v>14040</v>
      </c>
      <c r="AA592" s="4">
        <v>12720</v>
      </c>
      <c r="AB592" s="4">
        <v>20400</v>
      </c>
      <c r="AC592" s="4">
        <v>12720</v>
      </c>
      <c r="AD592" s="4">
        <v>5008.3018867924529</v>
      </c>
      <c r="AE592" s="4">
        <v>12720</v>
      </c>
      <c r="AF592" s="4">
        <v>22895.094339622643</v>
      </c>
      <c r="AG592" s="4">
        <v>11667.350943396226</v>
      </c>
      <c r="AH592" s="4">
        <v>0</v>
      </c>
      <c r="AI592" s="7">
        <f t="shared" si="18"/>
        <v>273749.20320533362</v>
      </c>
    </row>
    <row r="593" spans="1:35" x14ac:dyDescent="0.3">
      <c r="A593" s="12" t="s">
        <v>1010</v>
      </c>
      <c r="B593" s="12" t="s">
        <v>863</v>
      </c>
      <c r="C593" s="12" t="s">
        <v>1012</v>
      </c>
      <c r="D593" s="15">
        <v>7302257</v>
      </c>
      <c r="E593" s="16" t="s">
        <v>831</v>
      </c>
      <c r="F593" s="12" t="s">
        <v>3</v>
      </c>
      <c r="G593" s="9">
        <v>8298.4839977540723</v>
      </c>
      <c r="H593" s="9">
        <v>0</v>
      </c>
      <c r="I593" s="9">
        <v>8298.4839977540723</v>
      </c>
      <c r="J593" s="9">
        <v>30000</v>
      </c>
      <c r="K593" s="9">
        <v>9035.8150183150192</v>
      </c>
      <c r="L593" s="9">
        <v>0</v>
      </c>
      <c r="M593" s="9">
        <v>9562.4285714285706</v>
      </c>
      <c r="N593" s="9">
        <v>0</v>
      </c>
      <c r="O593" s="9">
        <v>9562.4285714285706</v>
      </c>
      <c r="P593" s="9">
        <v>0</v>
      </c>
      <c r="Q593" s="9">
        <v>9386.8907203907202</v>
      </c>
      <c r="R593" s="9">
        <v>30000</v>
      </c>
      <c r="S593" s="9"/>
      <c r="T593" s="9"/>
      <c r="W593" s="4">
        <v>8263.7362637362639</v>
      </c>
      <c r="X593" s="4">
        <v>10000</v>
      </c>
      <c r="Y593" s="4">
        <v>7610</v>
      </c>
      <c r="Z593" s="4">
        <v>10000</v>
      </c>
      <c r="AA593" s="4">
        <v>9000</v>
      </c>
      <c r="AB593" s="4">
        <v>10000</v>
      </c>
      <c r="AC593" s="4">
        <v>9000</v>
      </c>
      <c r="AD593" s="4">
        <v>11929.670329670329</v>
      </c>
      <c r="AE593" s="4">
        <v>9000</v>
      </c>
      <c r="AF593" s="4">
        <v>9628.9377289377298</v>
      </c>
      <c r="AG593" s="4">
        <v>9252.6300366300366</v>
      </c>
      <c r="AH593" s="4">
        <v>0</v>
      </c>
      <c r="AI593" s="7">
        <f t="shared" si="18"/>
        <v>217829.5052360454</v>
      </c>
    </row>
    <row r="594" spans="1:35" x14ac:dyDescent="0.3">
      <c r="A594" s="12" t="s">
        <v>1010</v>
      </c>
      <c r="B594" s="12" t="s">
        <v>863</v>
      </c>
      <c r="C594" s="12" t="s">
        <v>1012</v>
      </c>
      <c r="D594" s="15">
        <v>7302364</v>
      </c>
      <c r="E594" s="16" t="s">
        <v>832</v>
      </c>
      <c r="F594" s="12" t="s">
        <v>3</v>
      </c>
      <c r="G594" s="9">
        <v>6949.3125180873985</v>
      </c>
      <c r="H594" s="9">
        <v>0</v>
      </c>
      <c r="I594" s="9">
        <v>6949.3125180873985</v>
      </c>
      <c r="J594" s="9">
        <v>0</v>
      </c>
      <c r="K594" s="9">
        <v>7225.4735682819382</v>
      </c>
      <c r="L594" s="9">
        <v>0</v>
      </c>
      <c r="M594" s="9">
        <v>7786.7841409691628</v>
      </c>
      <c r="N594" s="9">
        <v>0</v>
      </c>
      <c r="O594" s="9">
        <v>7786.7841409691628</v>
      </c>
      <c r="P594" s="9">
        <v>0</v>
      </c>
      <c r="Q594" s="9">
        <v>7599.6806167400873</v>
      </c>
      <c r="R594" s="9">
        <v>0</v>
      </c>
      <c r="S594" s="9"/>
      <c r="T594" s="9"/>
      <c r="W594" s="4">
        <v>2729.2</v>
      </c>
      <c r="X594" s="4">
        <v>5820</v>
      </c>
      <c r="Y594" s="4">
        <v>4521</v>
      </c>
      <c r="Z594" s="4">
        <v>7320</v>
      </c>
      <c r="AA594" s="4">
        <v>7320</v>
      </c>
      <c r="AB594" s="4">
        <v>8760</v>
      </c>
      <c r="AC594" s="4">
        <v>7320</v>
      </c>
      <c r="AD594" s="4">
        <v>8648.7224669603529</v>
      </c>
      <c r="AE594" s="4">
        <v>7320</v>
      </c>
      <c r="AF594" s="4">
        <v>6494.2731277533039</v>
      </c>
      <c r="AG594" s="4">
        <v>7748.3330396475767</v>
      </c>
      <c r="AH594" s="4">
        <v>0</v>
      </c>
      <c r="AI594" s="7">
        <f t="shared" si="18"/>
        <v>118298.87613749637</v>
      </c>
    </row>
    <row r="595" spans="1:35" x14ac:dyDescent="0.3">
      <c r="A595" s="12" t="s">
        <v>1010</v>
      </c>
      <c r="B595" s="12" t="s">
        <v>1016</v>
      </c>
      <c r="C595" s="12" t="s">
        <v>5</v>
      </c>
      <c r="D595" s="15">
        <v>9401389</v>
      </c>
      <c r="E595" s="16" t="s">
        <v>833</v>
      </c>
      <c r="F595" s="12" t="s">
        <v>3</v>
      </c>
      <c r="G595" s="9">
        <v>0</v>
      </c>
      <c r="H595" s="9">
        <v>0</v>
      </c>
      <c r="I595" s="9">
        <v>0</v>
      </c>
      <c r="J595" s="9">
        <v>0</v>
      </c>
      <c r="K595" s="9">
        <v>0</v>
      </c>
      <c r="L595" s="9">
        <v>33333</v>
      </c>
      <c r="M595" s="9">
        <v>0</v>
      </c>
      <c r="N595" s="9">
        <v>0</v>
      </c>
      <c r="O595" s="9">
        <v>0</v>
      </c>
      <c r="P595" s="9">
        <v>0</v>
      </c>
      <c r="Q595" s="9">
        <v>0</v>
      </c>
      <c r="R595" s="9">
        <v>0</v>
      </c>
      <c r="S595" s="9"/>
      <c r="T595" s="9"/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7">
        <f t="shared" si="18"/>
        <v>33333</v>
      </c>
    </row>
    <row r="596" spans="1:35" x14ac:dyDescent="0.3">
      <c r="A596" s="12" t="s">
        <v>1010</v>
      </c>
      <c r="B596" s="12" t="s">
        <v>863</v>
      </c>
      <c r="C596" s="12" t="s">
        <v>1012</v>
      </c>
      <c r="D596" s="15">
        <v>7302365</v>
      </c>
      <c r="E596" s="16" t="s">
        <v>834</v>
      </c>
      <c r="F596" s="12" t="s">
        <v>3</v>
      </c>
      <c r="G596" s="9">
        <v>20580.691852436379</v>
      </c>
      <c r="H596" s="9">
        <v>76800</v>
      </c>
      <c r="I596" s="9">
        <v>20580.691852436379</v>
      </c>
      <c r="J596" s="9">
        <v>0</v>
      </c>
      <c r="K596" s="9">
        <v>19856.322972972972</v>
      </c>
      <c r="L596" s="9">
        <v>0</v>
      </c>
      <c r="M596" s="9">
        <v>22351.945945945947</v>
      </c>
      <c r="N596" s="9">
        <v>76800</v>
      </c>
      <c r="O596" s="9">
        <v>22351.945945945947</v>
      </c>
      <c r="P596" s="9">
        <v>0</v>
      </c>
      <c r="Q596" s="9">
        <v>21520.071621621621</v>
      </c>
      <c r="R596" s="9">
        <v>0</v>
      </c>
      <c r="S596" s="9"/>
      <c r="T596" s="9"/>
      <c r="W596" s="4">
        <v>10620</v>
      </c>
      <c r="X596" s="4">
        <v>20736</v>
      </c>
      <c r="Y596" s="4">
        <v>15764</v>
      </c>
      <c r="Z596" s="4">
        <v>21744</v>
      </c>
      <c r="AA596" s="4">
        <v>16416</v>
      </c>
      <c r="AB596" s="4">
        <v>26784</v>
      </c>
      <c r="AC596" s="4">
        <v>16416</v>
      </c>
      <c r="AD596" s="4">
        <v>24707.18918918919</v>
      </c>
      <c r="AE596" s="4">
        <v>16416</v>
      </c>
      <c r="AF596" s="4">
        <v>20595.891891891893</v>
      </c>
      <c r="AG596" s="4">
        <v>22947.025945945945</v>
      </c>
      <c r="AH596" s="4">
        <v>0</v>
      </c>
      <c r="AI596" s="7">
        <f t="shared" si="18"/>
        <v>493987.77721838624</v>
      </c>
    </row>
    <row r="597" spans="1:35" x14ac:dyDescent="0.3">
      <c r="A597" s="12" t="s">
        <v>1010</v>
      </c>
      <c r="B597" s="12" t="s">
        <v>863</v>
      </c>
      <c r="C597" s="12" t="s">
        <v>1012</v>
      </c>
      <c r="D597" s="15">
        <v>7302319</v>
      </c>
      <c r="E597" s="16" t="s">
        <v>835</v>
      </c>
      <c r="F597" s="12" t="s">
        <v>3</v>
      </c>
      <c r="G597" s="9">
        <v>8628.0242335766434</v>
      </c>
      <c r="H597" s="9">
        <v>0</v>
      </c>
      <c r="I597" s="9">
        <v>8628.0242335766434</v>
      </c>
      <c r="J597" s="9">
        <v>20000</v>
      </c>
      <c r="K597" s="9">
        <v>9974.9539999999997</v>
      </c>
      <c r="L597" s="9">
        <v>20000</v>
      </c>
      <c r="M597" s="9">
        <v>11053.813333333334</v>
      </c>
      <c r="N597" s="9">
        <v>0</v>
      </c>
      <c r="O597" s="9">
        <v>11053.813333333334</v>
      </c>
      <c r="P597" s="9">
        <v>20000</v>
      </c>
      <c r="Q597" s="9">
        <v>10694.193555555556</v>
      </c>
      <c r="R597" s="9">
        <v>0</v>
      </c>
      <c r="S597" s="9"/>
      <c r="T597" s="9"/>
      <c r="W597" s="4">
        <v>2960</v>
      </c>
      <c r="X597" s="4">
        <v>6756</v>
      </c>
      <c r="Y597" s="4">
        <v>5872</v>
      </c>
      <c r="Z597" s="4">
        <v>12996</v>
      </c>
      <c r="AA597" s="4">
        <v>10116</v>
      </c>
      <c r="AB597" s="4">
        <v>6480</v>
      </c>
      <c r="AC597" s="4">
        <v>10116</v>
      </c>
      <c r="AD597" s="4">
        <v>11226.32</v>
      </c>
      <c r="AE597" s="4">
        <v>10116</v>
      </c>
      <c r="AF597" s="4">
        <v>11538.56</v>
      </c>
      <c r="AG597" s="4">
        <v>9620.0602666666655</v>
      </c>
      <c r="AH597" s="4">
        <v>0</v>
      </c>
      <c r="AI597" s="7">
        <f t="shared" si="18"/>
        <v>217829.76295604219</v>
      </c>
    </row>
    <row r="598" spans="1:35" x14ac:dyDescent="0.3">
      <c r="A598" s="12" t="s">
        <v>1010</v>
      </c>
      <c r="B598" s="12" t="s">
        <v>863</v>
      </c>
      <c r="C598" s="12" t="s">
        <v>1012</v>
      </c>
      <c r="D598" s="15">
        <v>7302318</v>
      </c>
      <c r="E598" s="16" t="s">
        <v>836</v>
      </c>
      <c r="F598" s="12" t="s">
        <v>3</v>
      </c>
      <c r="G598" s="9">
        <v>6522.9004379562057</v>
      </c>
      <c r="H598" s="9">
        <v>20000</v>
      </c>
      <c r="I598" s="9">
        <v>6522.9004379562057</v>
      </c>
      <c r="J598" s="9">
        <v>0</v>
      </c>
      <c r="K598" s="9">
        <v>7542.6779999999999</v>
      </c>
      <c r="L598" s="9">
        <v>20000</v>
      </c>
      <c r="M598" s="9">
        <v>8562.5333333333328</v>
      </c>
      <c r="N598" s="9">
        <v>0</v>
      </c>
      <c r="O598" s="9">
        <v>8562.5333333333328</v>
      </c>
      <c r="P598" s="9">
        <v>20000</v>
      </c>
      <c r="Q598" s="9">
        <v>8222.5815555555546</v>
      </c>
      <c r="R598" s="9">
        <v>0</v>
      </c>
      <c r="S598" s="9"/>
      <c r="T598" s="9"/>
      <c r="W598" s="4">
        <v>1530</v>
      </c>
      <c r="X598" s="4">
        <v>10944</v>
      </c>
      <c r="Y598" s="4">
        <v>5303</v>
      </c>
      <c r="Z598" s="4">
        <v>7056</v>
      </c>
      <c r="AA598" s="4">
        <v>7056</v>
      </c>
      <c r="AB598" s="4">
        <v>9504</v>
      </c>
      <c r="AC598" s="4">
        <v>7056</v>
      </c>
      <c r="AD598" s="4">
        <v>6651.36</v>
      </c>
      <c r="AE598" s="4">
        <v>7056</v>
      </c>
      <c r="AF598" s="4">
        <v>10596.88</v>
      </c>
      <c r="AG598" s="4">
        <v>7272.8927999999996</v>
      </c>
      <c r="AH598" s="4">
        <v>0</v>
      </c>
      <c r="AI598" s="7">
        <f t="shared" si="18"/>
        <v>185962.25989813465</v>
      </c>
    </row>
    <row r="599" spans="1:35" x14ac:dyDescent="0.3">
      <c r="A599" s="12" t="s">
        <v>1010</v>
      </c>
      <c r="B599" s="12" t="s">
        <v>863</v>
      </c>
      <c r="C599" s="12" t="s">
        <v>1012</v>
      </c>
      <c r="D599" s="15">
        <v>7302440</v>
      </c>
      <c r="E599" s="16" t="s">
        <v>837</v>
      </c>
      <c r="F599" s="12" t="s">
        <v>3</v>
      </c>
      <c r="G599" s="9">
        <v>25073.982647018322</v>
      </c>
      <c r="H599" s="9">
        <v>42000</v>
      </c>
      <c r="I599" s="9">
        <v>25073.982647018322</v>
      </c>
      <c r="J599" s="9">
        <v>42000</v>
      </c>
      <c r="K599" s="9">
        <v>25715.841509433962</v>
      </c>
      <c r="L599" s="9">
        <v>42000</v>
      </c>
      <c r="M599" s="9">
        <v>28595.018867924529</v>
      </c>
      <c r="N599" s="9">
        <v>42000</v>
      </c>
      <c r="O599" s="9">
        <v>28595.018867924529</v>
      </c>
      <c r="P599" s="9">
        <v>0</v>
      </c>
      <c r="Q599" s="9">
        <v>27635.293081761007</v>
      </c>
      <c r="R599" s="9">
        <v>42000</v>
      </c>
      <c r="S599" s="9"/>
      <c r="T599" s="9"/>
      <c r="W599" s="4">
        <v>24000</v>
      </c>
      <c r="X599" s="4">
        <v>27432</v>
      </c>
      <c r="Y599" s="4">
        <v>20375</v>
      </c>
      <c r="Z599" s="4">
        <v>25116</v>
      </c>
      <c r="AA599" s="4">
        <v>26988</v>
      </c>
      <c r="AB599" s="4">
        <v>32172</v>
      </c>
      <c r="AC599" s="4">
        <v>26988</v>
      </c>
      <c r="AD599" s="4">
        <v>33592.301886792455</v>
      </c>
      <c r="AE599" s="4">
        <v>26988</v>
      </c>
      <c r="AF599" s="4">
        <v>27617.207547169812</v>
      </c>
      <c r="AG599" s="4">
        <v>27956.9479245283</v>
      </c>
      <c r="AH599" s="4">
        <v>0</v>
      </c>
      <c r="AI599" s="7">
        <f t="shared" si="18"/>
        <v>669914.59497957106</v>
      </c>
    </row>
    <row r="600" spans="1:35" x14ac:dyDescent="0.3">
      <c r="A600" s="12" t="s">
        <v>1010</v>
      </c>
      <c r="B600" s="12" t="s">
        <v>863</v>
      </c>
      <c r="C600" s="12" t="s">
        <v>1012</v>
      </c>
      <c r="D600" s="15">
        <v>7400070</v>
      </c>
      <c r="E600" s="16" t="s">
        <v>838</v>
      </c>
      <c r="F600" s="12" t="s">
        <v>3</v>
      </c>
      <c r="G600" s="9">
        <v>22029.306569343065</v>
      </c>
      <c r="H600" s="9">
        <v>108000</v>
      </c>
      <c r="I600" s="9">
        <v>22029.306569343065</v>
      </c>
      <c r="J600" s="9">
        <v>0</v>
      </c>
      <c r="K600" s="9">
        <v>27160</v>
      </c>
      <c r="L600" s="9">
        <v>0</v>
      </c>
      <c r="M600" s="9">
        <v>27160</v>
      </c>
      <c r="N600" s="9">
        <v>108000</v>
      </c>
      <c r="O600" s="9">
        <v>27160</v>
      </c>
      <c r="P600" s="9">
        <v>0</v>
      </c>
      <c r="Q600" s="9">
        <v>27160</v>
      </c>
      <c r="R600" s="9">
        <v>0</v>
      </c>
      <c r="S600" s="9"/>
      <c r="T600" s="9"/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22920</v>
      </c>
      <c r="AG600" s="4">
        <v>24562.2</v>
      </c>
      <c r="AH600" s="4">
        <v>0</v>
      </c>
      <c r="AI600" s="7">
        <f t="shared" si="18"/>
        <v>416180.81313868618</v>
      </c>
    </row>
    <row r="601" spans="1:35" x14ac:dyDescent="0.3">
      <c r="A601" s="12" t="s">
        <v>1010</v>
      </c>
      <c r="B601" s="12" t="s">
        <v>863</v>
      </c>
      <c r="C601" s="12" t="s">
        <v>1012</v>
      </c>
      <c r="D601" s="15">
        <v>7400069</v>
      </c>
      <c r="E601" s="16" t="s">
        <v>839</v>
      </c>
      <c r="F601" s="12" t="s">
        <v>3</v>
      </c>
      <c r="G601" s="9">
        <v>10521.4598540146</v>
      </c>
      <c r="H601" s="9">
        <v>0</v>
      </c>
      <c r="I601" s="9">
        <v>10521.4598540146</v>
      </c>
      <c r="J601" s="9">
        <v>108000</v>
      </c>
      <c r="K601" s="9">
        <v>16720</v>
      </c>
      <c r="L601" s="9">
        <v>0</v>
      </c>
      <c r="M601" s="9">
        <v>16720</v>
      </c>
      <c r="N601" s="9">
        <v>0</v>
      </c>
      <c r="O601" s="9">
        <v>16720</v>
      </c>
      <c r="P601" s="9">
        <v>0</v>
      </c>
      <c r="Q601" s="9">
        <v>16720</v>
      </c>
      <c r="R601" s="9">
        <v>0</v>
      </c>
      <c r="S601" s="9"/>
      <c r="T601" s="9"/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8880</v>
      </c>
      <c r="AG601" s="4">
        <v>11731.2</v>
      </c>
      <c r="AH601" s="4">
        <v>0</v>
      </c>
      <c r="AI601" s="7">
        <f t="shared" ref="AI601:AI617" si="19">SUM(G601:AH601)</f>
        <v>216534.1197080292</v>
      </c>
    </row>
    <row r="602" spans="1:35" x14ac:dyDescent="0.3">
      <c r="A602" s="12" t="s">
        <v>1010</v>
      </c>
      <c r="B602" s="12" t="s">
        <v>863</v>
      </c>
      <c r="C602" s="12" t="s">
        <v>1012</v>
      </c>
      <c r="D602" s="15">
        <v>7400068</v>
      </c>
      <c r="E602" s="16" t="s">
        <v>840</v>
      </c>
      <c r="F602" s="12" t="s">
        <v>3</v>
      </c>
      <c r="G602" s="9">
        <v>22029.306569343065</v>
      </c>
      <c r="H602" s="9">
        <v>108000</v>
      </c>
      <c r="I602" s="9">
        <v>22029.306569343065</v>
      </c>
      <c r="J602" s="9">
        <v>0</v>
      </c>
      <c r="K602" s="9">
        <v>28240</v>
      </c>
      <c r="L602" s="9">
        <v>0</v>
      </c>
      <c r="M602" s="9">
        <v>28240</v>
      </c>
      <c r="N602" s="9">
        <v>108000</v>
      </c>
      <c r="O602" s="9">
        <v>28240</v>
      </c>
      <c r="P602" s="9">
        <v>0</v>
      </c>
      <c r="Q602" s="9">
        <v>28240</v>
      </c>
      <c r="R602" s="9">
        <v>0</v>
      </c>
      <c r="S602" s="9"/>
      <c r="T602" s="9"/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22560</v>
      </c>
      <c r="AG602" s="4">
        <v>24562.2</v>
      </c>
      <c r="AH602" s="4">
        <v>0</v>
      </c>
      <c r="AI602" s="7">
        <f t="shared" si="19"/>
        <v>420140.81313868618</v>
      </c>
    </row>
    <row r="603" spans="1:35" x14ac:dyDescent="0.3">
      <c r="A603" s="12" t="s">
        <v>1010</v>
      </c>
      <c r="B603" s="12" t="s">
        <v>863</v>
      </c>
      <c r="C603" s="12" t="s">
        <v>1012</v>
      </c>
      <c r="D603" s="15">
        <v>7400067</v>
      </c>
      <c r="E603" s="16" t="s">
        <v>841</v>
      </c>
      <c r="F603" s="12" t="s">
        <v>3</v>
      </c>
      <c r="G603" s="9">
        <v>22029.306569343065</v>
      </c>
      <c r="H603" s="9">
        <v>110600</v>
      </c>
      <c r="I603" s="9">
        <v>22029.306569343065</v>
      </c>
      <c r="J603" s="9">
        <v>0</v>
      </c>
      <c r="K603" s="9">
        <v>26920</v>
      </c>
      <c r="L603" s="9">
        <v>0</v>
      </c>
      <c r="M603" s="9">
        <v>26920</v>
      </c>
      <c r="N603" s="9">
        <v>0</v>
      </c>
      <c r="O603" s="9">
        <v>26920</v>
      </c>
      <c r="P603" s="9">
        <v>110600</v>
      </c>
      <c r="Q603" s="9">
        <v>26920</v>
      </c>
      <c r="R603" s="9">
        <v>0</v>
      </c>
      <c r="S603" s="9"/>
      <c r="T603" s="9"/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30000</v>
      </c>
      <c r="AE603" s="4">
        <v>0</v>
      </c>
      <c r="AF603" s="4">
        <v>21720</v>
      </c>
      <c r="AG603" s="4">
        <v>24562.2</v>
      </c>
      <c r="AH603" s="4">
        <v>0</v>
      </c>
      <c r="AI603" s="7">
        <f t="shared" si="19"/>
        <v>449220.81313868612</v>
      </c>
    </row>
    <row r="604" spans="1:35" x14ac:dyDescent="0.3">
      <c r="A604" s="12" t="s">
        <v>1010</v>
      </c>
      <c r="B604" s="12" t="s">
        <v>863</v>
      </c>
      <c r="C604" s="12" t="s">
        <v>1012</v>
      </c>
      <c r="D604" s="15">
        <v>7400066</v>
      </c>
      <c r="E604" s="16" t="s">
        <v>842</v>
      </c>
      <c r="F604" s="12" t="s">
        <v>3</v>
      </c>
      <c r="G604" s="9">
        <v>19070.145985401465</v>
      </c>
      <c r="H604" s="9">
        <v>120000</v>
      </c>
      <c r="I604" s="9">
        <v>19070.145985401465</v>
      </c>
      <c r="J604" s="9">
        <v>0</v>
      </c>
      <c r="K604" s="9">
        <v>26800</v>
      </c>
      <c r="L604" s="9">
        <v>0</v>
      </c>
      <c r="M604" s="9">
        <v>26800</v>
      </c>
      <c r="N604" s="9">
        <v>0</v>
      </c>
      <c r="O604" s="9">
        <v>26800</v>
      </c>
      <c r="P604" s="9">
        <v>0</v>
      </c>
      <c r="Q604" s="9">
        <v>26800</v>
      </c>
      <c r="R604" s="9">
        <v>120000</v>
      </c>
      <c r="S604" s="9"/>
      <c r="T604" s="9"/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30000</v>
      </c>
      <c r="AE604" s="4">
        <v>0</v>
      </c>
      <c r="AF604" s="4">
        <v>20760</v>
      </c>
      <c r="AG604" s="4">
        <v>21262.799999999999</v>
      </c>
      <c r="AH604" s="4">
        <v>0</v>
      </c>
      <c r="AI604" s="7">
        <f t="shared" si="19"/>
        <v>457363.09197080293</v>
      </c>
    </row>
    <row r="605" spans="1:35" x14ac:dyDescent="0.3">
      <c r="A605" s="12" t="s">
        <v>1010</v>
      </c>
      <c r="B605" s="12" t="s">
        <v>863</v>
      </c>
      <c r="C605" s="12" t="s">
        <v>1012</v>
      </c>
      <c r="D605" s="15">
        <v>7400065</v>
      </c>
      <c r="E605" s="16" t="s">
        <v>843</v>
      </c>
      <c r="F605" s="12" t="s">
        <v>3</v>
      </c>
      <c r="G605" s="9">
        <v>11179.051094890512</v>
      </c>
      <c r="H605" s="9">
        <v>0</v>
      </c>
      <c r="I605" s="9">
        <v>11179.051094890512</v>
      </c>
      <c r="J605" s="9">
        <v>120000</v>
      </c>
      <c r="K605" s="9">
        <v>17960</v>
      </c>
      <c r="L605" s="9">
        <v>0</v>
      </c>
      <c r="M605" s="9">
        <v>17960</v>
      </c>
      <c r="N605" s="9">
        <v>0</v>
      </c>
      <c r="O605" s="9">
        <v>17960</v>
      </c>
      <c r="P605" s="9">
        <v>120000</v>
      </c>
      <c r="Q605" s="9">
        <v>17960</v>
      </c>
      <c r="R605" s="9">
        <v>0</v>
      </c>
      <c r="S605" s="9"/>
      <c r="T605" s="9"/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30000</v>
      </c>
      <c r="AE605" s="4">
        <v>0</v>
      </c>
      <c r="AF605" s="4">
        <v>7560</v>
      </c>
      <c r="AG605" s="4">
        <v>12464.4</v>
      </c>
      <c r="AH605" s="4">
        <v>0</v>
      </c>
      <c r="AI605" s="7">
        <f t="shared" si="19"/>
        <v>384222.50218978105</v>
      </c>
    </row>
    <row r="606" spans="1:35" x14ac:dyDescent="0.3">
      <c r="A606" s="12" t="s">
        <v>1010</v>
      </c>
      <c r="B606" s="12" t="s">
        <v>863</v>
      </c>
      <c r="C606" s="12" t="s">
        <v>1012</v>
      </c>
      <c r="D606" s="15">
        <v>7400064</v>
      </c>
      <c r="E606" s="16" t="s">
        <v>844</v>
      </c>
      <c r="F606" s="12" t="s">
        <v>3</v>
      </c>
      <c r="G606" s="9">
        <v>11339.848953060902</v>
      </c>
      <c r="H606" s="9">
        <v>0</v>
      </c>
      <c r="I606" s="9">
        <v>11339.848953060902</v>
      </c>
      <c r="J606" s="9">
        <v>120000</v>
      </c>
      <c r="K606" s="9">
        <v>21600</v>
      </c>
      <c r="L606" s="9">
        <v>0</v>
      </c>
      <c r="M606" s="9">
        <v>21600</v>
      </c>
      <c r="N606" s="9">
        <v>0</v>
      </c>
      <c r="O606" s="9">
        <v>21600</v>
      </c>
      <c r="P606" s="9">
        <v>0</v>
      </c>
      <c r="Q606" s="9">
        <v>21600</v>
      </c>
      <c r="R606" s="9">
        <v>0</v>
      </c>
      <c r="S606" s="9"/>
      <c r="T606" s="9"/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30000</v>
      </c>
      <c r="AE606" s="4">
        <v>0</v>
      </c>
      <c r="AF606" s="4">
        <v>12360</v>
      </c>
      <c r="AG606" s="4">
        <v>16497</v>
      </c>
      <c r="AH606" s="4">
        <v>0</v>
      </c>
      <c r="AI606" s="7">
        <f t="shared" si="19"/>
        <v>287936.69790612184</v>
      </c>
    </row>
    <row r="607" spans="1:35" x14ac:dyDescent="0.3">
      <c r="A607" s="12" t="s">
        <v>1010</v>
      </c>
      <c r="B607" s="12" t="s">
        <v>863</v>
      </c>
      <c r="C607" s="12" t="s">
        <v>1012</v>
      </c>
      <c r="D607" s="15">
        <v>7400063</v>
      </c>
      <c r="E607" s="16" t="s">
        <v>845</v>
      </c>
      <c r="F607" s="12" t="s">
        <v>3</v>
      </c>
      <c r="G607" s="9">
        <v>14795.802919708032</v>
      </c>
      <c r="H607" s="9">
        <v>0</v>
      </c>
      <c r="I607" s="9">
        <v>14795.802919708032</v>
      </c>
      <c r="J607" s="9">
        <v>120000</v>
      </c>
      <c r="K607" s="9">
        <v>21640</v>
      </c>
      <c r="L607" s="9">
        <v>0</v>
      </c>
      <c r="M607" s="9">
        <v>21640</v>
      </c>
      <c r="N607" s="9">
        <v>0</v>
      </c>
      <c r="O607" s="9">
        <v>21640</v>
      </c>
      <c r="P607" s="9">
        <v>0</v>
      </c>
      <c r="Q607" s="9">
        <v>21640</v>
      </c>
      <c r="R607" s="9">
        <v>0</v>
      </c>
      <c r="S607" s="9"/>
      <c r="T607" s="9"/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30000</v>
      </c>
      <c r="AE607" s="4">
        <v>0</v>
      </c>
      <c r="AF607" s="4">
        <v>13080</v>
      </c>
      <c r="AG607" s="4">
        <v>16497</v>
      </c>
      <c r="AH607" s="4">
        <v>0</v>
      </c>
      <c r="AI607" s="7">
        <f t="shared" si="19"/>
        <v>295728.60583941604</v>
      </c>
    </row>
    <row r="608" spans="1:35" x14ac:dyDescent="0.3">
      <c r="A608" s="17" t="s">
        <v>1011</v>
      </c>
      <c r="B608" s="18" t="s">
        <v>863</v>
      </c>
      <c r="C608" s="17" t="s">
        <v>1012</v>
      </c>
      <c r="D608" s="19">
        <v>7400742</v>
      </c>
      <c r="E608" s="17" t="s">
        <v>1017</v>
      </c>
      <c r="F608" s="17" t="s">
        <v>3</v>
      </c>
      <c r="G608" s="9"/>
      <c r="H608" s="10">
        <v>20</v>
      </c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AI608" s="7">
        <f t="shared" si="19"/>
        <v>20</v>
      </c>
    </row>
    <row r="609" spans="1:35" x14ac:dyDescent="0.3">
      <c r="A609" s="17" t="s">
        <v>1011</v>
      </c>
      <c r="B609" s="18" t="s">
        <v>863</v>
      </c>
      <c r="C609" s="17" t="s">
        <v>1012</v>
      </c>
      <c r="D609" s="19">
        <v>7400733</v>
      </c>
      <c r="E609" s="17" t="s">
        <v>1018</v>
      </c>
      <c r="F609" s="17" t="s">
        <v>3</v>
      </c>
      <c r="G609" s="9"/>
      <c r="H609" s="10">
        <v>10</v>
      </c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AI609" s="7">
        <f t="shared" si="19"/>
        <v>10</v>
      </c>
    </row>
    <row r="610" spans="1:35" x14ac:dyDescent="0.3">
      <c r="A610" s="17" t="s">
        <v>1011</v>
      </c>
      <c r="B610" s="18" t="s">
        <v>863</v>
      </c>
      <c r="C610" s="17" t="s">
        <v>1012</v>
      </c>
      <c r="D610" s="19">
        <v>7400734</v>
      </c>
      <c r="E610" s="17" t="s">
        <v>1019</v>
      </c>
      <c r="F610" s="17" t="s">
        <v>3</v>
      </c>
      <c r="G610" s="9"/>
      <c r="H610" s="10">
        <v>15</v>
      </c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AI610" s="7">
        <f t="shared" si="19"/>
        <v>15</v>
      </c>
    </row>
    <row r="611" spans="1:35" x14ac:dyDescent="0.3">
      <c r="A611" s="17" t="s">
        <v>1011</v>
      </c>
      <c r="B611" s="18" t="s">
        <v>863</v>
      </c>
      <c r="C611" s="17" t="s">
        <v>1012</v>
      </c>
      <c r="D611" s="19">
        <v>7400735</v>
      </c>
      <c r="E611" s="17" t="s">
        <v>1020</v>
      </c>
      <c r="F611" s="17" t="s">
        <v>3</v>
      </c>
      <c r="G611" s="9"/>
      <c r="H611" s="10">
        <v>20</v>
      </c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AI611" s="7">
        <f t="shared" si="19"/>
        <v>20</v>
      </c>
    </row>
    <row r="612" spans="1:35" x14ac:dyDescent="0.3">
      <c r="A612" s="17" t="s">
        <v>1011</v>
      </c>
      <c r="B612" s="18" t="s">
        <v>863</v>
      </c>
      <c r="C612" s="17" t="s">
        <v>1012</v>
      </c>
      <c r="D612" s="19">
        <v>7400736</v>
      </c>
      <c r="E612" s="17" t="s">
        <v>1021</v>
      </c>
      <c r="F612" s="17" t="s">
        <v>3</v>
      </c>
      <c r="G612" s="9"/>
      <c r="H612" s="10">
        <v>20</v>
      </c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AI612" s="7">
        <f t="shared" si="19"/>
        <v>20</v>
      </c>
    </row>
    <row r="613" spans="1:35" x14ac:dyDescent="0.3">
      <c r="A613" s="17" t="s">
        <v>1011</v>
      </c>
      <c r="B613" s="18" t="s">
        <v>863</v>
      </c>
      <c r="C613" s="17" t="s">
        <v>1012</v>
      </c>
      <c r="D613" s="19">
        <v>7400737</v>
      </c>
      <c r="E613" s="17" t="s">
        <v>1022</v>
      </c>
      <c r="F613" s="17" t="s">
        <v>3</v>
      </c>
      <c r="G613" s="9"/>
      <c r="H613" s="10">
        <v>15</v>
      </c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AI613" s="7">
        <f t="shared" si="19"/>
        <v>15</v>
      </c>
    </row>
    <row r="614" spans="1:35" x14ac:dyDescent="0.3">
      <c r="A614" s="17" t="s">
        <v>1011</v>
      </c>
      <c r="B614" s="18" t="s">
        <v>863</v>
      </c>
      <c r="C614" s="17" t="s">
        <v>1012</v>
      </c>
      <c r="D614" s="19">
        <v>7400738</v>
      </c>
      <c r="E614" s="17" t="s">
        <v>1023</v>
      </c>
      <c r="F614" s="17" t="s">
        <v>3</v>
      </c>
      <c r="G614" s="9"/>
      <c r="H614" s="10">
        <v>10</v>
      </c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AI614" s="7">
        <f t="shared" si="19"/>
        <v>10</v>
      </c>
    </row>
    <row r="615" spans="1:35" x14ac:dyDescent="0.3">
      <c r="A615" s="17" t="s">
        <v>1011</v>
      </c>
      <c r="B615" s="18" t="s">
        <v>863</v>
      </c>
      <c r="C615" s="17" t="s">
        <v>1012</v>
      </c>
      <c r="D615" s="19">
        <v>7400739</v>
      </c>
      <c r="E615" s="17" t="s">
        <v>1024</v>
      </c>
      <c r="F615" s="17" t="s">
        <v>3</v>
      </c>
      <c r="G615" s="9"/>
      <c r="H615" s="10">
        <v>10</v>
      </c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AI615" s="7">
        <f t="shared" si="19"/>
        <v>10</v>
      </c>
    </row>
    <row r="616" spans="1:35" x14ac:dyDescent="0.3">
      <c r="A616" s="20" t="s">
        <v>1036</v>
      </c>
      <c r="B616" s="20" t="s">
        <v>863</v>
      </c>
      <c r="C616" s="20" t="s">
        <v>5</v>
      </c>
      <c r="D616" s="20">
        <v>9313498</v>
      </c>
      <c r="E616" s="20" t="s">
        <v>1037</v>
      </c>
      <c r="F616" s="17" t="s">
        <v>3</v>
      </c>
      <c r="G616" s="9"/>
      <c r="H616" s="11">
        <v>25000</v>
      </c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AI616" s="7">
        <f t="shared" si="19"/>
        <v>25000</v>
      </c>
    </row>
    <row r="617" spans="1:35" x14ac:dyDescent="0.3">
      <c r="A617" s="20" t="s">
        <v>1036</v>
      </c>
      <c r="B617" s="20" t="s">
        <v>863</v>
      </c>
      <c r="C617" s="20" t="s">
        <v>5</v>
      </c>
      <c r="D617" s="20">
        <v>9000019</v>
      </c>
      <c r="E617" s="20" t="s">
        <v>1038</v>
      </c>
      <c r="F617" s="17" t="s">
        <v>3</v>
      </c>
      <c r="G617" s="9"/>
      <c r="H617" s="9"/>
      <c r="I617" s="9"/>
      <c r="J617" s="9"/>
      <c r="K617" s="9"/>
      <c r="L617" s="11">
        <v>5000</v>
      </c>
      <c r="M617" s="9"/>
      <c r="N617" s="9"/>
      <c r="O617" s="9"/>
      <c r="P617" s="11">
        <v>5000</v>
      </c>
      <c r="Q617" s="9"/>
      <c r="R617" s="9"/>
      <c r="S617" s="9"/>
      <c r="T617" s="9"/>
      <c r="AI617" s="7">
        <f t="shared" si="19"/>
        <v>10000</v>
      </c>
    </row>
  </sheetData>
  <autoFilter ref="A3:AI617"/>
  <phoneticPr fontId="2" type="noConversion"/>
  <conditionalFormatting sqref="G2">
    <cfRule type="expression" dxfId="6" priority="7">
      <formula>AND(ISNUMBER($I2),YEAR($I2)=YEAR(TODAY()),MONTH($I2)=MONTH(TODAY()))</formula>
    </cfRule>
  </conditionalFormatting>
  <conditionalFormatting sqref="W2">
    <cfRule type="expression" dxfId="5" priority="6">
      <formula>AND(ISNUMBER($I2),YEAR($I2)=YEAR(TODAY()),MONTH($I2)=MONTH(TODAY()))</formula>
    </cfRule>
  </conditionalFormatting>
  <conditionalFormatting sqref="Y2">
    <cfRule type="expression" dxfId="4" priority="5">
      <formula>AND(ISNUMBER($I2),YEAR($I2)=YEAR(TODAY()),MONTH($I2)=MONTH(TODAY()))</formula>
    </cfRule>
  </conditionalFormatting>
  <conditionalFormatting sqref="AA2">
    <cfRule type="expression" dxfId="3" priority="4">
      <formula>AND(ISNUMBER($I2),YEAR($I2)=YEAR(TODAY()),MONTH($I2)=MONTH(TODAY()))</formula>
    </cfRule>
  </conditionalFormatting>
  <conditionalFormatting sqref="AC2">
    <cfRule type="expression" dxfId="2" priority="3">
      <formula>AND(ISNUMBER($I2),YEAR($I2)=YEAR(TODAY()),MONTH($I2)=MONTH(TODAY()))</formula>
    </cfRule>
  </conditionalFormatting>
  <conditionalFormatting sqref="AE2">
    <cfRule type="expression" dxfId="1" priority="2">
      <formula>AND(ISNUMBER($I2),YEAR($I2)=YEAR(TODAY()),MONTH($I2)=MONTH(TODAY()))</formula>
    </cfRule>
  </conditionalFormatting>
  <conditionalFormatting sqref="AG2">
    <cfRule type="expression" dxfId="0" priority="1">
      <formula>AND(ISNUMBER($I2),YEAR($I2)=YEAR(TODAY()),MONTH($I2)=MONTH(TODAY()))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72"/>
  <sheetViews>
    <sheetView workbookViewId="0">
      <selection activeCell="E4" sqref="E4"/>
    </sheetView>
  </sheetViews>
  <sheetFormatPr defaultRowHeight="16.5" x14ac:dyDescent="0.3"/>
  <cols>
    <col min="5" max="5" width="64.25" bestFit="1" customWidth="1"/>
    <col min="6" max="6" width="5.5" bestFit="1" customWidth="1"/>
    <col min="7" max="20" width="18.25" bestFit="1" customWidth="1"/>
  </cols>
  <sheetData>
    <row r="1" spans="1:2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1" x14ac:dyDescent="0.3">
      <c r="A3" s="2" t="s">
        <v>13</v>
      </c>
      <c r="B3" s="2" t="s">
        <v>6</v>
      </c>
      <c r="C3" s="2" t="s">
        <v>4</v>
      </c>
      <c r="D3" s="2" t="s">
        <v>0</v>
      </c>
      <c r="E3" s="2" t="s">
        <v>1</v>
      </c>
      <c r="F3" s="2" t="s">
        <v>2</v>
      </c>
      <c r="G3" s="2" t="s">
        <v>7</v>
      </c>
      <c r="H3" s="2" t="s">
        <v>277</v>
      </c>
      <c r="I3" s="2" t="s">
        <v>8</v>
      </c>
      <c r="J3" s="2" t="s">
        <v>278</v>
      </c>
      <c r="K3" s="2" t="s">
        <v>9</v>
      </c>
      <c r="L3" s="2" t="s">
        <v>279</v>
      </c>
      <c r="M3" s="2" t="s">
        <v>10</v>
      </c>
      <c r="N3" s="2" t="s">
        <v>280</v>
      </c>
      <c r="O3" s="2" t="s">
        <v>11</v>
      </c>
      <c r="P3" s="2" t="s">
        <v>281</v>
      </c>
      <c r="Q3" s="2" t="s">
        <v>12</v>
      </c>
      <c r="R3" s="2" t="s">
        <v>282</v>
      </c>
      <c r="S3" s="2" t="s">
        <v>283</v>
      </c>
      <c r="T3" s="2" t="s">
        <v>284</v>
      </c>
      <c r="U3" s="2" t="s">
        <v>846</v>
      </c>
    </row>
    <row r="4" spans="1:21" x14ac:dyDescent="0.3">
      <c r="A4" t="s">
        <v>868</v>
      </c>
      <c r="B4" t="s">
        <v>38</v>
      </c>
      <c r="C4" s="3" t="s">
        <v>1028</v>
      </c>
      <c r="D4">
        <v>2000039</v>
      </c>
      <c r="E4" t="s">
        <v>291</v>
      </c>
      <c r="F4" t="s">
        <v>35</v>
      </c>
      <c r="H4" s="3">
        <v>0</v>
      </c>
      <c r="J4" s="3">
        <v>34000</v>
      </c>
      <c r="L4" s="3">
        <v>18000</v>
      </c>
      <c r="N4" s="3">
        <v>17500</v>
      </c>
      <c r="P4" s="3">
        <v>17000</v>
      </c>
      <c r="R4" s="3">
        <v>17333</v>
      </c>
      <c r="T4" s="3">
        <v>17278</v>
      </c>
      <c r="U4">
        <f t="shared" ref="U4:U57" si="0">SUM(G4:T4)</f>
        <v>121111</v>
      </c>
    </row>
    <row r="5" spans="1:21" x14ac:dyDescent="0.3">
      <c r="A5" t="s">
        <v>868</v>
      </c>
      <c r="B5" t="s">
        <v>38</v>
      </c>
      <c r="C5" s="3" t="s">
        <v>0</v>
      </c>
      <c r="D5">
        <v>2000040</v>
      </c>
      <c r="E5" t="s">
        <v>292</v>
      </c>
      <c r="F5" t="s">
        <v>35</v>
      </c>
      <c r="H5" s="3">
        <v>0</v>
      </c>
      <c r="J5" s="3">
        <v>34000</v>
      </c>
      <c r="L5" s="3">
        <v>18000</v>
      </c>
      <c r="N5" s="3">
        <v>17500</v>
      </c>
      <c r="P5" s="3">
        <v>17000</v>
      </c>
      <c r="R5" s="3">
        <v>17333</v>
      </c>
      <c r="T5" s="3">
        <v>17278</v>
      </c>
      <c r="U5">
        <f t="shared" si="0"/>
        <v>121111</v>
      </c>
    </row>
    <row r="6" spans="1:21" x14ac:dyDescent="0.3">
      <c r="A6" t="s">
        <v>868</v>
      </c>
      <c r="B6" t="s">
        <v>38</v>
      </c>
      <c r="C6" s="3" t="s">
        <v>0</v>
      </c>
      <c r="D6">
        <v>2000053</v>
      </c>
      <c r="E6" t="s">
        <v>108</v>
      </c>
      <c r="F6" t="s">
        <v>35</v>
      </c>
      <c r="H6" s="3">
        <v>0</v>
      </c>
      <c r="J6" s="3">
        <v>5000</v>
      </c>
      <c r="L6" s="3">
        <v>8192</v>
      </c>
      <c r="N6" s="3">
        <v>8000</v>
      </c>
      <c r="P6" s="3">
        <v>7808</v>
      </c>
      <c r="R6" s="3">
        <v>8000</v>
      </c>
      <c r="T6" s="3">
        <v>7936</v>
      </c>
      <c r="U6">
        <f t="shared" si="0"/>
        <v>44936</v>
      </c>
    </row>
    <row r="7" spans="1:21" x14ac:dyDescent="0.3">
      <c r="A7" t="s">
        <v>868</v>
      </c>
      <c r="B7" t="s">
        <v>38</v>
      </c>
      <c r="C7" s="3" t="s">
        <v>0</v>
      </c>
      <c r="D7">
        <v>2000766</v>
      </c>
      <c r="E7" t="s">
        <v>114</v>
      </c>
      <c r="F7" t="s">
        <v>35</v>
      </c>
      <c r="H7" s="3">
        <v>120000</v>
      </c>
      <c r="J7" s="3">
        <v>187000</v>
      </c>
      <c r="L7" s="3">
        <v>153900</v>
      </c>
      <c r="N7" s="3">
        <v>153900</v>
      </c>
      <c r="P7" s="3">
        <v>153900</v>
      </c>
      <c r="R7" s="3">
        <v>153900</v>
      </c>
      <c r="T7" s="3">
        <v>153900</v>
      </c>
      <c r="U7">
        <f t="shared" si="0"/>
        <v>1076500</v>
      </c>
    </row>
    <row r="8" spans="1:21" x14ac:dyDescent="0.3">
      <c r="A8" t="s">
        <v>868</v>
      </c>
      <c r="B8" t="s">
        <v>38</v>
      </c>
      <c r="C8" s="3" t="s">
        <v>0</v>
      </c>
      <c r="D8">
        <v>2000768</v>
      </c>
      <c r="E8" t="s">
        <v>116</v>
      </c>
      <c r="F8" t="s">
        <v>35</v>
      </c>
      <c r="H8" s="3">
        <v>45000</v>
      </c>
      <c r="J8" s="3">
        <v>3500</v>
      </c>
      <c r="L8" s="3">
        <v>30910</v>
      </c>
      <c r="N8" s="3">
        <v>30910</v>
      </c>
      <c r="P8" s="3">
        <v>30910</v>
      </c>
      <c r="R8" s="3">
        <v>30910</v>
      </c>
      <c r="T8" s="3">
        <v>30910</v>
      </c>
      <c r="U8">
        <f t="shared" si="0"/>
        <v>203050</v>
      </c>
    </row>
    <row r="9" spans="1:21" x14ac:dyDescent="0.3">
      <c r="A9" t="s">
        <v>868</v>
      </c>
      <c r="B9" t="s">
        <v>38</v>
      </c>
      <c r="C9" s="3" t="s">
        <v>0</v>
      </c>
      <c r="D9">
        <v>2000986</v>
      </c>
      <c r="E9" t="s">
        <v>127</v>
      </c>
      <c r="F9" t="s">
        <v>35</v>
      </c>
      <c r="H9" s="3">
        <v>80000</v>
      </c>
      <c r="J9" s="3">
        <v>15500</v>
      </c>
      <c r="L9" s="3">
        <v>90615</v>
      </c>
      <c r="N9" s="3">
        <v>91167</v>
      </c>
      <c r="P9" s="3">
        <v>91719</v>
      </c>
      <c r="R9" s="3">
        <v>91167</v>
      </c>
      <c r="T9" s="3">
        <v>91351</v>
      </c>
      <c r="U9">
        <f t="shared" si="0"/>
        <v>551519</v>
      </c>
    </row>
    <row r="10" spans="1:21" x14ac:dyDescent="0.3">
      <c r="A10" t="s">
        <v>868</v>
      </c>
      <c r="B10" t="s">
        <v>38</v>
      </c>
      <c r="C10" s="3" t="s">
        <v>0</v>
      </c>
      <c r="D10">
        <v>2000994</v>
      </c>
      <c r="E10" t="s">
        <v>128</v>
      </c>
      <c r="F10" t="s">
        <v>35</v>
      </c>
      <c r="H10" s="3">
        <v>200000</v>
      </c>
      <c r="J10" s="3">
        <v>71000</v>
      </c>
      <c r="L10" s="3">
        <v>159694</v>
      </c>
      <c r="N10" s="3">
        <v>159694</v>
      </c>
      <c r="P10" s="3">
        <v>159694</v>
      </c>
      <c r="R10" s="3">
        <v>159694</v>
      </c>
      <c r="T10" s="3">
        <v>159694</v>
      </c>
      <c r="U10">
        <f t="shared" si="0"/>
        <v>1069470</v>
      </c>
    </row>
    <row r="11" spans="1:21" x14ac:dyDescent="0.3">
      <c r="A11" t="s">
        <v>868</v>
      </c>
      <c r="B11" t="s">
        <v>38</v>
      </c>
      <c r="C11" s="3" t="s">
        <v>0</v>
      </c>
      <c r="D11">
        <v>2000995</v>
      </c>
      <c r="E11" t="s">
        <v>129</v>
      </c>
      <c r="F11" t="s">
        <v>35</v>
      </c>
      <c r="H11" s="3">
        <v>0</v>
      </c>
      <c r="J11" s="3">
        <v>14000</v>
      </c>
      <c r="L11" s="3">
        <v>30910</v>
      </c>
      <c r="N11" s="3">
        <v>30910</v>
      </c>
      <c r="P11" s="3">
        <v>30910</v>
      </c>
      <c r="R11" s="3">
        <v>30910</v>
      </c>
      <c r="T11" s="3">
        <v>30910</v>
      </c>
      <c r="U11">
        <f t="shared" si="0"/>
        <v>168550</v>
      </c>
    </row>
    <row r="12" spans="1:21" x14ac:dyDescent="0.3">
      <c r="A12" t="s">
        <v>868</v>
      </c>
      <c r="B12" t="s">
        <v>38</v>
      </c>
      <c r="C12" s="3" t="s">
        <v>0</v>
      </c>
      <c r="D12">
        <v>2001401</v>
      </c>
      <c r="E12" t="s">
        <v>135</v>
      </c>
      <c r="F12" t="s">
        <v>35</v>
      </c>
      <c r="H12" s="3">
        <v>160000</v>
      </c>
      <c r="J12" s="3">
        <v>196000</v>
      </c>
      <c r="L12" s="3">
        <v>243803</v>
      </c>
      <c r="N12" s="3">
        <v>244173</v>
      </c>
      <c r="P12" s="3">
        <v>244541</v>
      </c>
      <c r="R12" s="3">
        <v>244172</v>
      </c>
      <c r="T12" s="3">
        <v>244295</v>
      </c>
      <c r="U12">
        <f t="shared" si="0"/>
        <v>1576984</v>
      </c>
    </row>
    <row r="13" spans="1:21" x14ac:dyDescent="0.3">
      <c r="A13" t="s">
        <v>868</v>
      </c>
      <c r="B13" t="s">
        <v>38</v>
      </c>
      <c r="C13" s="3" t="s">
        <v>0</v>
      </c>
      <c r="D13">
        <v>2001428</v>
      </c>
      <c r="E13" t="s">
        <v>139</v>
      </c>
      <c r="F13" t="s">
        <v>35</v>
      </c>
      <c r="H13" s="3">
        <v>120000</v>
      </c>
      <c r="J13" s="3">
        <v>9000</v>
      </c>
      <c r="L13" s="3">
        <v>152120</v>
      </c>
      <c r="N13" s="3">
        <v>152866</v>
      </c>
      <c r="P13" s="3">
        <v>153612</v>
      </c>
      <c r="R13" s="3">
        <v>152866</v>
      </c>
      <c r="T13" s="3">
        <v>153115</v>
      </c>
      <c r="U13">
        <f t="shared" si="0"/>
        <v>893579</v>
      </c>
    </row>
    <row r="14" spans="1:21" x14ac:dyDescent="0.3">
      <c r="A14" t="s">
        <v>868</v>
      </c>
      <c r="B14" t="s">
        <v>38</v>
      </c>
      <c r="C14" s="3" t="s">
        <v>0</v>
      </c>
      <c r="D14">
        <v>2300105</v>
      </c>
      <c r="E14" t="s">
        <v>147</v>
      </c>
      <c r="F14" t="s">
        <v>35</v>
      </c>
      <c r="H14" s="3">
        <v>0</v>
      </c>
      <c r="J14" s="3">
        <v>28500</v>
      </c>
      <c r="L14" s="3">
        <v>28070</v>
      </c>
      <c r="N14" s="3">
        <v>27908</v>
      </c>
      <c r="P14" s="3">
        <v>27746</v>
      </c>
      <c r="R14" s="3">
        <v>27908</v>
      </c>
      <c r="T14" s="3">
        <v>27854</v>
      </c>
      <c r="U14">
        <f t="shared" si="0"/>
        <v>167986</v>
      </c>
    </row>
    <row r="15" spans="1:21" x14ac:dyDescent="0.3">
      <c r="A15" t="s">
        <v>868</v>
      </c>
      <c r="B15" t="s">
        <v>38</v>
      </c>
      <c r="C15" s="3" t="s">
        <v>0</v>
      </c>
      <c r="D15">
        <v>2300106</v>
      </c>
      <c r="E15" t="s">
        <v>148</v>
      </c>
      <c r="F15" t="s">
        <v>35</v>
      </c>
      <c r="H15" s="3">
        <v>0</v>
      </c>
      <c r="J15" s="3">
        <v>500</v>
      </c>
      <c r="L15" s="3">
        <v>6799</v>
      </c>
      <c r="N15" s="3">
        <v>6744</v>
      </c>
      <c r="P15" s="3">
        <v>6689</v>
      </c>
      <c r="R15" s="3">
        <v>6744</v>
      </c>
      <c r="T15" s="3">
        <v>6726</v>
      </c>
      <c r="U15">
        <f t="shared" si="0"/>
        <v>34202</v>
      </c>
    </row>
    <row r="16" spans="1:21" x14ac:dyDescent="0.3">
      <c r="A16" t="s">
        <v>868</v>
      </c>
      <c r="B16" t="s">
        <v>38</v>
      </c>
      <c r="C16" s="3" t="s">
        <v>0</v>
      </c>
      <c r="D16">
        <v>2300107</v>
      </c>
      <c r="E16" t="s">
        <v>149</v>
      </c>
      <c r="F16" t="s">
        <v>35</v>
      </c>
      <c r="H16" s="3">
        <v>0</v>
      </c>
      <c r="J16" s="3">
        <v>14000</v>
      </c>
      <c r="L16" s="3">
        <v>34869</v>
      </c>
      <c r="N16" s="3">
        <v>34652</v>
      </c>
      <c r="P16" s="3">
        <v>34435</v>
      </c>
      <c r="R16" s="3">
        <v>34652</v>
      </c>
      <c r="T16" s="3">
        <v>34580</v>
      </c>
      <c r="U16">
        <f t="shared" si="0"/>
        <v>187188</v>
      </c>
    </row>
    <row r="17" spans="1:21" x14ac:dyDescent="0.3">
      <c r="A17" t="s">
        <v>868</v>
      </c>
      <c r="B17" t="s">
        <v>38</v>
      </c>
      <c r="C17" s="3" t="s">
        <v>0</v>
      </c>
      <c r="D17">
        <v>2300225</v>
      </c>
      <c r="E17" t="s">
        <v>150</v>
      </c>
      <c r="F17" t="s">
        <v>35</v>
      </c>
      <c r="H17" s="3">
        <v>0</v>
      </c>
      <c r="J17" s="3">
        <v>500</v>
      </c>
      <c r="L17" s="3">
        <v>265</v>
      </c>
      <c r="N17" s="3">
        <v>265</v>
      </c>
      <c r="P17" s="3">
        <v>265</v>
      </c>
      <c r="R17" s="3">
        <v>265</v>
      </c>
      <c r="T17" s="3">
        <v>265</v>
      </c>
      <c r="U17">
        <f t="shared" si="0"/>
        <v>1825</v>
      </c>
    </row>
    <row r="18" spans="1:21" x14ac:dyDescent="0.3">
      <c r="A18" t="s">
        <v>868</v>
      </c>
      <c r="B18" t="s">
        <v>38</v>
      </c>
      <c r="C18" s="3" t="s">
        <v>0</v>
      </c>
      <c r="D18">
        <v>2300422</v>
      </c>
      <c r="E18" t="s">
        <v>293</v>
      </c>
      <c r="F18" t="s">
        <v>3</v>
      </c>
      <c r="H18" s="3">
        <v>0</v>
      </c>
      <c r="J18" s="3">
        <v>1009000</v>
      </c>
      <c r="L18" s="3">
        <v>492352</v>
      </c>
      <c r="N18" s="3">
        <v>491292</v>
      </c>
      <c r="P18" s="3">
        <v>490735</v>
      </c>
      <c r="R18" s="3">
        <v>491460</v>
      </c>
      <c r="T18" s="3">
        <v>491162</v>
      </c>
      <c r="U18">
        <f t="shared" si="0"/>
        <v>3466001</v>
      </c>
    </row>
    <row r="19" spans="1:21" x14ac:dyDescent="0.3">
      <c r="A19" t="s">
        <v>868</v>
      </c>
      <c r="B19" t="s">
        <v>38</v>
      </c>
      <c r="C19" s="3" t="s">
        <v>0</v>
      </c>
      <c r="D19">
        <v>2300426</v>
      </c>
      <c r="E19" t="s">
        <v>294</v>
      </c>
      <c r="F19" t="s">
        <v>3</v>
      </c>
      <c r="H19" s="3">
        <v>0</v>
      </c>
      <c r="J19" s="3">
        <v>892000</v>
      </c>
      <c r="L19" s="3">
        <v>433570</v>
      </c>
      <c r="N19" s="3">
        <v>432270</v>
      </c>
      <c r="P19" s="3">
        <v>431474</v>
      </c>
      <c r="R19" s="3">
        <v>432438</v>
      </c>
      <c r="T19" s="3">
        <v>432061</v>
      </c>
      <c r="U19">
        <f t="shared" si="0"/>
        <v>3053813</v>
      </c>
    </row>
    <row r="20" spans="1:21" x14ac:dyDescent="0.3">
      <c r="A20" t="s">
        <v>868</v>
      </c>
      <c r="B20" t="s">
        <v>38</v>
      </c>
      <c r="C20" s="3" t="s">
        <v>0</v>
      </c>
      <c r="D20">
        <v>2300427</v>
      </c>
      <c r="E20" t="s">
        <v>295</v>
      </c>
      <c r="F20" t="s">
        <v>3</v>
      </c>
      <c r="H20" s="3">
        <v>0</v>
      </c>
      <c r="J20" s="3">
        <v>117000</v>
      </c>
      <c r="L20" s="3">
        <v>58782</v>
      </c>
      <c r="N20" s="3">
        <v>59022</v>
      </c>
      <c r="P20" s="3">
        <v>59261</v>
      </c>
      <c r="R20" s="3">
        <v>59022</v>
      </c>
      <c r="T20" s="3">
        <v>59102</v>
      </c>
      <c r="U20">
        <f t="shared" si="0"/>
        <v>412189</v>
      </c>
    </row>
    <row r="21" spans="1:21" x14ac:dyDescent="0.3">
      <c r="A21" t="s">
        <v>868</v>
      </c>
      <c r="B21" t="s">
        <v>38</v>
      </c>
      <c r="C21" s="3" t="s">
        <v>0</v>
      </c>
      <c r="D21">
        <v>2300431</v>
      </c>
      <c r="E21" t="s">
        <v>160</v>
      </c>
      <c r="F21" t="s">
        <v>3</v>
      </c>
      <c r="H21" s="3">
        <v>0</v>
      </c>
      <c r="J21" s="3">
        <v>18000</v>
      </c>
      <c r="L21" s="3">
        <v>23103</v>
      </c>
      <c r="N21" s="3">
        <v>23113</v>
      </c>
      <c r="P21" s="3">
        <v>23120</v>
      </c>
      <c r="R21" s="3">
        <v>23112</v>
      </c>
      <c r="T21" s="3">
        <v>23115</v>
      </c>
      <c r="U21">
        <f t="shared" si="0"/>
        <v>133563</v>
      </c>
    </row>
    <row r="22" spans="1:21" x14ac:dyDescent="0.3">
      <c r="A22" t="s">
        <v>868</v>
      </c>
      <c r="B22" t="s">
        <v>38</v>
      </c>
      <c r="C22" s="3" t="s">
        <v>0</v>
      </c>
      <c r="D22">
        <v>2300554</v>
      </c>
      <c r="E22" t="s">
        <v>162</v>
      </c>
      <c r="F22" t="s">
        <v>35</v>
      </c>
      <c r="H22" s="3">
        <v>1000</v>
      </c>
      <c r="J22" s="3">
        <v>26500</v>
      </c>
      <c r="L22" s="3">
        <v>17719</v>
      </c>
      <c r="N22" s="3">
        <v>17719</v>
      </c>
      <c r="P22" s="3">
        <v>17213</v>
      </c>
      <c r="R22" s="3">
        <v>17550</v>
      </c>
      <c r="T22" s="3">
        <v>17494</v>
      </c>
      <c r="U22">
        <f t="shared" si="0"/>
        <v>115195</v>
      </c>
    </row>
    <row r="23" spans="1:21" x14ac:dyDescent="0.3">
      <c r="A23" t="s">
        <v>868</v>
      </c>
      <c r="B23" t="s">
        <v>38</v>
      </c>
      <c r="C23" s="3" t="s">
        <v>0</v>
      </c>
      <c r="D23">
        <v>2301080</v>
      </c>
      <c r="E23" t="s">
        <v>169</v>
      </c>
      <c r="F23" t="s">
        <v>35</v>
      </c>
      <c r="H23" s="3">
        <v>0</v>
      </c>
      <c r="J23" s="3">
        <v>2500</v>
      </c>
      <c r="L23" s="3">
        <v>11212</v>
      </c>
      <c r="N23" s="3">
        <v>10635</v>
      </c>
      <c r="P23" s="3">
        <v>10058</v>
      </c>
      <c r="R23" s="3">
        <v>10635</v>
      </c>
      <c r="T23" s="3">
        <v>10443</v>
      </c>
      <c r="U23">
        <f t="shared" si="0"/>
        <v>55483</v>
      </c>
    </row>
    <row r="24" spans="1:21" x14ac:dyDescent="0.3">
      <c r="A24" t="s">
        <v>868</v>
      </c>
      <c r="B24" t="s">
        <v>38</v>
      </c>
      <c r="C24" s="3" t="s">
        <v>0</v>
      </c>
      <c r="D24">
        <v>2301398</v>
      </c>
      <c r="E24" t="s">
        <v>172</v>
      </c>
      <c r="F24" t="s">
        <v>35</v>
      </c>
      <c r="H24" s="3">
        <v>0</v>
      </c>
      <c r="J24" s="3">
        <v>22500</v>
      </c>
      <c r="L24" s="3">
        <v>30872</v>
      </c>
      <c r="N24" s="3">
        <v>30870</v>
      </c>
      <c r="P24" s="3">
        <v>30868</v>
      </c>
      <c r="R24" s="3">
        <v>30870</v>
      </c>
      <c r="T24" s="3">
        <v>30869</v>
      </c>
      <c r="U24">
        <f t="shared" si="0"/>
        <v>176849</v>
      </c>
    </row>
    <row r="25" spans="1:21" x14ac:dyDescent="0.3">
      <c r="A25" t="s">
        <v>868</v>
      </c>
      <c r="B25" t="s">
        <v>38</v>
      </c>
      <c r="C25" s="3" t="s">
        <v>0</v>
      </c>
      <c r="D25">
        <v>2301399</v>
      </c>
      <c r="E25" t="s">
        <v>173</v>
      </c>
      <c r="F25" t="s">
        <v>35</v>
      </c>
      <c r="H25" s="3">
        <v>0</v>
      </c>
      <c r="J25" s="3">
        <v>500</v>
      </c>
      <c r="L25" s="3">
        <v>3442</v>
      </c>
      <c r="N25" s="3">
        <v>3480</v>
      </c>
      <c r="P25" s="3">
        <v>3520</v>
      </c>
      <c r="R25" s="3">
        <v>3481</v>
      </c>
      <c r="T25" s="3">
        <v>3494</v>
      </c>
      <c r="U25">
        <f t="shared" si="0"/>
        <v>17917</v>
      </c>
    </row>
    <row r="26" spans="1:21" x14ac:dyDescent="0.3">
      <c r="A26" t="s">
        <v>868</v>
      </c>
      <c r="B26" t="s">
        <v>38</v>
      </c>
      <c r="C26" s="3" t="s">
        <v>0</v>
      </c>
      <c r="D26">
        <v>2301764</v>
      </c>
      <c r="E26" t="s">
        <v>177</v>
      </c>
      <c r="F26" t="s">
        <v>3</v>
      </c>
      <c r="H26" s="3">
        <v>100000</v>
      </c>
      <c r="J26" s="3">
        <v>13000</v>
      </c>
      <c r="L26" s="3">
        <v>101982</v>
      </c>
      <c r="N26" s="3">
        <v>102509</v>
      </c>
      <c r="P26" s="3">
        <v>103035</v>
      </c>
      <c r="R26" s="3">
        <v>102509</v>
      </c>
      <c r="T26" s="3">
        <v>102684</v>
      </c>
      <c r="U26">
        <f t="shared" si="0"/>
        <v>625719</v>
      </c>
    </row>
    <row r="27" spans="1:21" x14ac:dyDescent="0.3">
      <c r="A27" t="s">
        <v>868</v>
      </c>
      <c r="B27" t="s">
        <v>38</v>
      </c>
      <c r="C27" s="3" t="s">
        <v>1028</v>
      </c>
      <c r="D27">
        <v>2301972</v>
      </c>
      <c r="E27" t="s">
        <v>296</v>
      </c>
      <c r="F27" t="s">
        <v>35</v>
      </c>
      <c r="H27" s="3">
        <v>0</v>
      </c>
      <c r="J27" s="3">
        <v>500</v>
      </c>
      <c r="L27" s="3">
        <v>74</v>
      </c>
      <c r="N27" s="3">
        <v>74</v>
      </c>
      <c r="P27" s="3">
        <v>74</v>
      </c>
      <c r="R27" s="3">
        <v>74</v>
      </c>
      <c r="T27" s="3">
        <v>74</v>
      </c>
      <c r="U27">
        <f t="shared" si="0"/>
        <v>870</v>
      </c>
    </row>
    <row r="28" spans="1:21" x14ac:dyDescent="0.3">
      <c r="A28" t="s">
        <v>868</v>
      </c>
      <c r="B28" t="s">
        <v>38</v>
      </c>
      <c r="C28" s="3" t="s">
        <v>0</v>
      </c>
      <c r="D28">
        <v>2301973</v>
      </c>
      <c r="E28" t="s">
        <v>297</v>
      </c>
      <c r="F28" t="s">
        <v>35</v>
      </c>
      <c r="H28" s="3">
        <v>0</v>
      </c>
      <c r="J28" s="3">
        <v>500</v>
      </c>
      <c r="L28" s="3">
        <v>84</v>
      </c>
      <c r="N28" s="3">
        <v>84</v>
      </c>
      <c r="P28" s="3">
        <v>84</v>
      </c>
      <c r="R28" s="3">
        <v>84</v>
      </c>
      <c r="T28" s="3">
        <v>84</v>
      </c>
      <c r="U28">
        <f t="shared" si="0"/>
        <v>920</v>
      </c>
    </row>
    <row r="29" spans="1:21" x14ac:dyDescent="0.3">
      <c r="A29" t="s">
        <v>868</v>
      </c>
      <c r="B29" t="s">
        <v>38</v>
      </c>
      <c r="C29" s="3" t="s">
        <v>0</v>
      </c>
      <c r="D29">
        <v>2302140</v>
      </c>
      <c r="E29" t="s">
        <v>298</v>
      </c>
      <c r="F29" t="s">
        <v>35</v>
      </c>
      <c r="H29" s="3">
        <v>0</v>
      </c>
      <c r="J29" s="3">
        <v>6000</v>
      </c>
      <c r="L29" s="3">
        <v>2946</v>
      </c>
      <c r="N29" s="3">
        <v>3053</v>
      </c>
      <c r="P29" s="3">
        <v>3160</v>
      </c>
      <c r="R29" s="3">
        <v>3053</v>
      </c>
      <c r="T29" s="3">
        <v>3089</v>
      </c>
      <c r="U29">
        <f t="shared" si="0"/>
        <v>21301</v>
      </c>
    </row>
    <row r="30" spans="1:21" x14ac:dyDescent="0.3">
      <c r="A30" t="s">
        <v>868</v>
      </c>
      <c r="B30" t="s">
        <v>38</v>
      </c>
      <c r="C30" s="3" t="s">
        <v>0</v>
      </c>
      <c r="D30">
        <v>2302141</v>
      </c>
      <c r="E30" t="s">
        <v>299</v>
      </c>
      <c r="F30" t="s">
        <v>35</v>
      </c>
      <c r="H30" s="3">
        <v>0</v>
      </c>
      <c r="J30" s="3">
        <v>6000</v>
      </c>
      <c r="L30" s="3">
        <v>2946</v>
      </c>
      <c r="N30" s="3">
        <v>3053</v>
      </c>
      <c r="P30" s="3">
        <v>3160</v>
      </c>
      <c r="R30" s="3">
        <v>3053</v>
      </c>
      <c r="T30" s="3">
        <v>3089</v>
      </c>
      <c r="U30">
        <f t="shared" si="0"/>
        <v>21301</v>
      </c>
    </row>
    <row r="31" spans="1:21" x14ac:dyDescent="0.3">
      <c r="A31" t="s">
        <v>868</v>
      </c>
      <c r="B31" t="s">
        <v>38</v>
      </c>
      <c r="C31" s="3" t="s">
        <v>0</v>
      </c>
      <c r="D31">
        <v>2302185</v>
      </c>
      <c r="E31" t="s">
        <v>300</v>
      </c>
      <c r="F31" t="s">
        <v>36</v>
      </c>
      <c r="H31" s="3">
        <v>0</v>
      </c>
      <c r="J31" s="3">
        <v>500</v>
      </c>
      <c r="L31" s="3">
        <v>1</v>
      </c>
      <c r="N31" s="3">
        <v>1</v>
      </c>
      <c r="P31" s="3">
        <v>1</v>
      </c>
      <c r="R31" s="3">
        <v>1</v>
      </c>
      <c r="T31" s="3">
        <v>1</v>
      </c>
      <c r="U31">
        <f t="shared" si="0"/>
        <v>505</v>
      </c>
    </row>
    <row r="32" spans="1:21" x14ac:dyDescent="0.3">
      <c r="A32" t="s">
        <v>868</v>
      </c>
      <c r="B32" t="s">
        <v>38</v>
      </c>
      <c r="C32" s="3" t="s">
        <v>0</v>
      </c>
      <c r="D32">
        <v>2302189</v>
      </c>
      <c r="E32" t="s">
        <v>179</v>
      </c>
      <c r="F32" t="s">
        <v>35</v>
      </c>
      <c r="H32" s="3">
        <v>0</v>
      </c>
      <c r="J32" s="3">
        <v>4500</v>
      </c>
      <c r="L32" s="3">
        <v>2798</v>
      </c>
      <c r="N32" s="3">
        <v>2798</v>
      </c>
      <c r="P32" s="3">
        <v>2798</v>
      </c>
      <c r="R32" s="3">
        <v>2798</v>
      </c>
      <c r="T32" s="3">
        <v>2798</v>
      </c>
      <c r="U32">
        <f t="shared" si="0"/>
        <v>18490</v>
      </c>
    </row>
    <row r="33" spans="1:21" x14ac:dyDescent="0.3">
      <c r="A33" t="s">
        <v>868</v>
      </c>
      <c r="B33" t="s">
        <v>38</v>
      </c>
      <c r="C33" s="3" t="s">
        <v>0</v>
      </c>
      <c r="D33">
        <v>2302190</v>
      </c>
      <c r="E33" t="s">
        <v>301</v>
      </c>
      <c r="F33" t="s">
        <v>35</v>
      </c>
      <c r="H33" s="3">
        <v>0</v>
      </c>
      <c r="J33" s="3">
        <v>6000</v>
      </c>
      <c r="L33" s="3">
        <v>2798</v>
      </c>
      <c r="N33" s="3">
        <v>2798</v>
      </c>
      <c r="P33" s="3">
        <v>2798</v>
      </c>
      <c r="R33" s="3">
        <v>2798</v>
      </c>
      <c r="T33" s="3">
        <v>2798</v>
      </c>
      <c r="U33">
        <f t="shared" si="0"/>
        <v>19990</v>
      </c>
    </row>
    <row r="34" spans="1:21" x14ac:dyDescent="0.3">
      <c r="A34" t="s">
        <v>868</v>
      </c>
      <c r="B34" t="s">
        <v>38</v>
      </c>
      <c r="C34" s="3" t="s">
        <v>0</v>
      </c>
      <c r="D34">
        <v>2302209</v>
      </c>
      <c r="E34" t="s">
        <v>180</v>
      </c>
      <c r="F34" t="s">
        <v>35</v>
      </c>
      <c r="H34" s="3">
        <v>0</v>
      </c>
      <c r="J34" s="3">
        <v>75000</v>
      </c>
      <c r="L34" s="3">
        <v>38937</v>
      </c>
      <c r="N34" s="3">
        <v>38937</v>
      </c>
      <c r="P34" s="3">
        <v>38937</v>
      </c>
      <c r="R34" s="3">
        <v>38937</v>
      </c>
      <c r="T34" s="3">
        <v>38937</v>
      </c>
      <c r="U34">
        <f t="shared" si="0"/>
        <v>269685</v>
      </c>
    </row>
    <row r="35" spans="1:21" x14ac:dyDescent="0.3">
      <c r="A35" t="s">
        <v>868</v>
      </c>
      <c r="B35" t="s">
        <v>38</v>
      </c>
      <c r="C35" s="3" t="s">
        <v>0</v>
      </c>
      <c r="D35">
        <v>2302210</v>
      </c>
      <c r="E35" t="s">
        <v>181</v>
      </c>
      <c r="F35" t="s">
        <v>35</v>
      </c>
      <c r="H35" s="3">
        <v>0</v>
      </c>
      <c r="J35" s="3">
        <v>13500</v>
      </c>
      <c r="L35" s="3">
        <v>11123</v>
      </c>
      <c r="N35" s="3">
        <v>11123</v>
      </c>
      <c r="P35" s="3">
        <v>11123</v>
      </c>
      <c r="R35" s="3">
        <v>11123</v>
      </c>
      <c r="T35" s="3">
        <v>11123</v>
      </c>
      <c r="U35">
        <f t="shared" si="0"/>
        <v>69115</v>
      </c>
    </row>
    <row r="36" spans="1:21" x14ac:dyDescent="0.3">
      <c r="A36" t="s">
        <v>868</v>
      </c>
      <c r="B36" t="s">
        <v>38</v>
      </c>
      <c r="C36" s="3" t="s">
        <v>0</v>
      </c>
      <c r="D36">
        <v>2302211</v>
      </c>
      <c r="E36" t="s">
        <v>182</v>
      </c>
      <c r="F36" t="s">
        <v>35</v>
      </c>
      <c r="H36" s="3">
        <v>0</v>
      </c>
      <c r="J36" s="3">
        <v>11500</v>
      </c>
      <c r="L36" s="3">
        <v>5527</v>
      </c>
      <c r="N36" s="3">
        <v>5527</v>
      </c>
      <c r="P36" s="3">
        <v>5527</v>
      </c>
      <c r="R36" s="3">
        <v>5527</v>
      </c>
      <c r="T36" s="3">
        <v>5527</v>
      </c>
      <c r="U36">
        <f t="shared" si="0"/>
        <v>39135</v>
      </c>
    </row>
    <row r="37" spans="1:21" x14ac:dyDescent="0.3">
      <c r="A37" t="s">
        <v>868</v>
      </c>
      <c r="B37" t="s">
        <v>38</v>
      </c>
      <c r="C37" s="3" t="s">
        <v>0</v>
      </c>
      <c r="D37">
        <v>2302212</v>
      </c>
      <c r="E37" t="s">
        <v>183</v>
      </c>
      <c r="F37" t="s">
        <v>35</v>
      </c>
      <c r="H37" s="3">
        <v>0</v>
      </c>
      <c r="J37" s="3">
        <v>45000</v>
      </c>
      <c r="L37" s="3">
        <v>22287</v>
      </c>
      <c r="N37" s="3">
        <v>22287</v>
      </c>
      <c r="P37" s="3">
        <v>22287</v>
      </c>
      <c r="R37" s="3">
        <v>22287</v>
      </c>
      <c r="T37" s="3">
        <v>22287</v>
      </c>
      <c r="U37">
        <f t="shared" si="0"/>
        <v>156435</v>
      </c>
    </row>
    <row r="38" spans="1:21" x14ac:dyDescent="0.3">
      <c r="A38" t="s">
        <v>868</v>
      </c>
      <c r="B38" t="s">
        <v>38</v>
      </c>
      <c r="C38" s="3" t="s">
        <v>0</v>
      </c>
      <c r="D38">
        <v>2302213</v>
      </c>
      <c r="E38" t="s">
        <v>184</v>
      </c>
      <c r="F38" t="s">
        <v>36</v>
      </c>
      <c r="H38" s="3">
        <v>0</v>
      </c>
      <c r="J38" s="3">
        <v>500</v>
      </c>
      <c r="L38" s="3">
        <v>6</v>
      </c>
      <c r="N38" s="3">
        <v>6</v>
      </c>
      <c r="P38" s="3">
        <v>6</v>
      </c>
      <c r="R38" s="3">
        <v>6</v>
      </c>
      <c r="T38" s="3">
        <v>6</v>
      </c>
      <c r="U38">
        <f t="shared" si="0"/>
        <v>530</v>
      </c>
    </row>
    <row r="39" spans="1:21" x14ac:dyDescent="0.3">
      <c r="A39" t="s">
        <v>868</v>
      </c>
      <c r="B39" t="s">
        <v>38</v>
      </c>
      <c r="C39" s="3" t="s">
        <v>0</v>
      </c>
      <c r="D39">
        <v>2302275</v>
      </c>
      <c r="E39" t="s">
        <v>302</v>
      </c>
      <c r="F39" t="s">
        <v>35</v>
      </c>
      <c r="H39" s="3">
        <v>0</v>
      </c>
      <c r="J39" s="3">
        <v>500</v>
      </c>
      <c r="L39" s="3">
        <v>1</v>
      </c>
      <c r="N39" s="3">
        <v>1</v>
      </c>
      <c r="P39" s="3">
        <v>1</v>
      </c>
      <c r="R39" s="3">
        <v>1</v>
      </c>
      <c r="T39" s="3">
        <v>1</v>
      </c>
      <c r="U39">
        <f t="shared" si="0"/>
        <v>505</v>
      </c>
    </row>
    <row r="40" spans="1:21" x14ac:dyDescent="0.3">
      <c r="A40" t="s">
        <v>868</v>
      </c>
      <c r="B40" t="s">
        <v>38</v>
      </c>
      <c r="C40" s="3" t="s">
        <v>0</v>
      </c>
      <c r="D40">
        <v>2302276</v>
      </c>
      <c r="E40" t="s">
        <v>303</v>
      </c>
      <c r="F40" t="s">
        <v>35</v>
      </c>
      <c r="H40" s="3">
        <v>0</v>
      </c>
      <c r="J40" s="3">
        <v>500</v>
      </c>
      <c r="L40" s="3">
        <v>1</v>
      </c>
      <c r="N40" s="3">
        <v>1</v>
      </c>
      <c r="P40" s="3">
        <v>1</v>
      </c>
      <c r="R40" s="3">
        <v>1</v>
      </c>
      <c r="T40" s="3">
        <v>1</v>
      </c>
      <c r="U40">
        <f t="shared" si="0"/>
        <v>505</v>
      </c>
    </row>
    <row r="41" spans="1:21" x14ac:dyDescent="0.3">
      <c r="A41" t="s">
        <v>868</v>
      </c>
      <c r="B41" t="s">
        <v>38</v>
      </c>
      <c r="C41" s="3" t="s">
        <v>0</v>
      </c>
      <c r="D41">
        <v>2302280</v>
      </c>
      <c r="E41" t="s">
        <v>185</v>
      </c>
      <c r="F41" t="s">
        <v>36</v>
      </c>
      <c r="H41" s="3">
        <v>0</v>
      </c>
      <c r="J41" s="3">
        <v>500</v>
      </c>
      <c r="L41" s="3">
        <v>2</v>
      </c>
      <c r="N41" s="3">
        <v>2</v>
      </c>
      <c r="P41" s="3">
        <v>2</v>
      </c>
      <c r="R41" s="3">
        <v>2</v>
      </c>
      <c r="T41" s="3">
        <v>2</v>
      </c>
      <c r="U41">
        <f t="shared" si="0"/>
        <v>510</v>
      </c>
    </row>
    <row r="42" spans="1:21" x14ac:dyDescent="0.3">
      <c r="A42" t="s">
        <v>868</v>
      </c>
      <c r="B42" t="s">
        <v>38</v>
      </c>
      <c r="C42" s="3" t="s">
        <v>0</v>
      </c>
      <c r="D42">
        <v>2302429</v>
      </c>
      <c r="E42" t="s">
        <v>304</v>
      </c>
      <c r="F42" t="s">
        <v>35</v>
      </c>
      <c r="H42" s="3">
        <v>0</v>
      </c>
      <c r="J42" s="3">
        <v>500</v>
      </c>
      <c r="L42" s="3">
        <v>2</v>
      </c>
      <c r="N42" s="3">
        <v>2</v>
      </c>
      <c r="P42" s="3">
        <v>2</v>
      </c>
      <c r="R42" s="3">
        <v>2</v>
      </c>
      <c r="T42" s="3">
        <v>2</v>
      </c>
      <c r="U42">
        <f t="shared" si="0"/>
        <v>510</v>
      </c>
    </row>
    <row r="43" spans="1:21" x14ac:dyDescent="0.3">
      <c r="A43" t="s">
        <v>868</v>
      </c>
      <c r="B43" t="s">
        <v>38</v>
      </c>
      <c r="C43" s="3" t="s">
        <v>0</v>
      </c>
      <c r="D43">
        <v>2302431</v>
      </c>
      <c r="E43" t="s">
        <v>305</v>
      </c>
      <c r="F43" t="s">
        <v>35</v>
      </c>
      <c r="H43" s="3">
        <v>0</v>
      </c>
      <c r="J43" s="3">
        <v>500</v>
      </c>
      <c r="L43" s="3">
        <v>2</v>
      </c>
      <c r="N43" s="3">
        <v>2</v>
      </c>
      <c r="P43" s="3">
        <v>2</v>
      </c>
      <c r="R43" s="3">
        <v>2</v>
      </c>
      <c r="T43" s="3">
        <v>2</v>
      </c>
      <c r="U43">
        <f t="shared" si="0"/>
        <v>510</v>
      </c>
    </row>
    <row r="44" spans="1:21" x14ac:dyDescent="0.3">
      <c r="A44" t="s">
        <v>868</v>
      </c>
      <c r="B44" t="s">
        <v>38</v>
      </c>
      <c r="C44" s="3" t="s">
        <v>0</v>
      </c>
      <c r="D44">
        <v>2302633</v>
      </c>
      <c r="E44" t="s">
        <v>306</v>
      </c>
      <c r="F44" t="s">
        <v>35</v>
      </c>
      <c r="H44" s="3">
        <v>0</v>
      </c>
      <c r="J44" s="3">
        <v>500</v>
      </c>
      <c r="L44" s="3">
        <v>119</v>
      </c>
      <c r="N44" s="3">
        <v>119</v>
      </c>
      <c r="P44" s="3">
        <v>119</v>
      </c>
      <c r="R44" s="3">
        <v>119</v>
      </c>
      <c r="T44" s="3">
        <v>119</v>
      </c>
      <c r="U44">
        <f t="shared" si="0"/>
        <v>1095</v>
      </c>
    </row>
    <row r="45" spans="1:21" x14ac:dyDescent="0.3">
      <c r="A45" t="s">
        <v>868</v>
      </c>
      <c r="B45" t="s">
        <v>38</v>
      </c>
      <c r="C45" s="3" t="s">
        <v>0</v>
      </c>
      <c r="D45">
        <v>2302634</v>
      </c>
      <c r="E45" t="s">
        <v>307</v>
      </c>
      <c r="F45" t="s">
        <v>35</v>
      </c>
      <c r="H45" s="3">
        <v>0</v>
      </c>
      <c r="J45" s="3">
        <v>500</v>
      </c>
      <c r="L45" s="3">
        <v>24</v>
      </c>
      <c r="N45" s="3">
        <v>24</v>
      </c>
      <c r="P45" s="3">
        <v>24</v>
      </c>
      <c r="R45" s="3">
        <v>24</v>
      </c>
      <c r="T45" s="3">
        <v>24</v>
      </c>
      <c r="U45">
        <f t="shared" si="0"/>
        <v>620</v>
      </c>
    </row>
    <row r="46" spans="1:21" x14ac:dyDescent="0.3">
      <c r="A46" t="s">
        <v>868</v>
      </c>
      <c r="B46" t="s">
        <v>38</v>
      </c>
      <c r="C46" s="3" t="s">
        <v>0</v>
      </c>
      <c r="D46">
        <v>2303338</v>
      </c>
      <c r="E46" t="s">
        <v>188</v>
      </c>
      <c r="F46" t="s">
        <v>35</v>
      </c>
      <c r="H46" s="3">
        <v>0</v>
      </c>
      <c r="J46" s="3">
        <v>7000</v>
      </c>
      <c r="L46" s="3">
        <v>4298</v>
      </c>
      <c r="N46" s="3">
        <v>4298</v>
      </c>
      <c r="P46" s="3">
        <v>4298</v>
      </c>
      <c r="R46" s="3">
        <v>4298</v>
      </c>
      <c r="T46" s="3">
        <v>4298</v>
      </c>
      <c r="U46">
        <f t="shared" si="0"/>
        <v>28490</v>
      </c>
    </row>
    <row r="47" spans="1:21" x14ac:dyDescent="0.3">
      <c r="A47" t="s">
        <v>868</v>
      </c>
      <c r="B47" t="s">
        <v>38</v>
      </c>
      <c r="C47" s="3" t="s">
        <v>0</v>
      </c>
      <c r="D47">
        <v>2303339</v>
      </c>
      <c r="E47" t="s">
        <v>308</v>
      </c>
      <c r="F47" t="s">
        <v>35</v>
      </c>
      <c r="H47" s="3">
        <v>0</v>
      </c>
      <c r="J47" s="3">
        <v>4500</v>
      </c>
      <c r="L47" s="3">
        <v>2117</v>
      </c>
      <c r="N47" s="3">
        <v>2117</v>
      </c>
      <c r="P47" s="3">
        <v>2117</v>
      </c>
      <c r="R47" s="3">
        <v>2117</v>
      </c>
      <c r="T47" s="3">
        <v>2117</v>
      </c>
      <c r="U47">
        <f t="shared" si="0"/>
        <v>15085</v>
      </c>
    </row>
    <row r="48" spans="1:21" x14ac:dyDescent="0.3">
      <c r="A48" t="s">
        <v>868</v>
      </c>
      <c r="B48" t="s">
        <v>38</v>
      </c>
      <c r="C48" s="3" t="s">
        <v>0</v>
      </c>
      <c r="D48">
        <v>2303360</v>
      </c>
      <c r="E48" t="s">
        <v>309</v>
      </c>
      <c r="F48" t="s">
        <v>35</v>
      </c>
      <c r="H48" s="3">
        <v>0</v>
      </c>
      <c r="J48" s="3">
        <v>4500</v>
      </c>
      <c r="L48" s="3">
        <v>2181</v>
      </c>
      <c r="N48" s="3">
        <v>2181</v>
      </c>
      <c r="P48" s="3">
        <v>2181</v>
      </c>
      <c r="R48" s="3">
        <v>2181</v>
      </c>
      <c r="T48" s="3">
        <v>2181</v>
      </c>
      <c r="U48">
        <f t="shared" si="0"/>
        <v>15405</v>
      </c>
    </row>
    <row r="49" spans="1:21" x14ac:dyDescent="0.3">
      <c r="A49" t="s">
        <v>868</v>
      </c>
      <c r="B49" t="s">
        <v>38</v>
      </c>
      <c r="C49" s="3" t="s">
        <v>0</v>
      </c>
      <c r="D49">
        <v>2303539</v>
      </c>
      <c r="E49" t="s">
        <v>191</v>
      </c>
      <c r="F49" t="s">
        <v>35</v>
      </c>
      <c r="H49" s="3">
        <v>0</v>
      </c>
      <c r="J49" s="3">
        <v>500</v>
      </c>
      <c r="L49" s="3">
        <v>5127</v>
      </c>
      <c r="N49" s="3">
        <v>5203</v>
      </c>
      <c r="P49" s="3">
        <v>5279</v>
      </c>
      <c r="R49" s="3">
        <v>5203</v>
      </c>
      <c r="T49" s="3">
        <v>5228</v>
      </c>
      <c r="U49">
        <f t="shared" si="0"/>
        <v>26540</v>
      </c>
    </row>
    <row r="50" spans="1:21" x14ac:dyDescent="0.3">
      <c r="A50" t="s">
        <v>868</v>
      </c>
      <c r="B50" t="s">
        <v>38</v>
      </c>
      <c r="C50" s="3" t="s">
        <v>0</v>
      </c>
      <c r="D50">
        <v>2303711</v>
      </c>
      <c r="E50" t="s">
        <v>310</v>
      </c>
      <c r="F50" t="s">
        <v>36</v>
      </c>
      <c r="H50" s="3">
        <v>0</v>
      </c>
      <c r="J50" s="3">
        <v>500</v>
      </c>
      <c r="L50" s="3">
        <v>1</v>
      </c>
      <c r="N50" s="3">
        <v>1</v>
      </c>
      <c r="P50" s="3">
        <v>1</v>
      </c>
      <c r="R50" s="3">
        <v>1</v>
      </c>
      <c r="T50" s="3">
        <v>1</v>
      </c>
      <c r="U50">
        <f t="shared" si="0"/>
        <v>505</v>
      </c>
    </row>
    <row r="51" spans="1:21" x14ac:dyDescent="0.3">
      <c r="A51" t="s">
        <v>868</v>
      </c>
      <c r="B51" t="s">
        <v>38</v>
      </c>
      <c r="C51" s="3" t="s">
        <v>0</v>
      </c>
      <c r="D51">
        <v>2303712</v>
      </c>
      <c r="E51" t="s">
        <v>311</v>
      </c>
      <c r="F51" t="s">
        <v>3</v>
      </c>
      <c r="H51" s="3">
        <v>0</v>
      </c>
      <c r="J51" s="3">
        <v>6000</v>
      </c>
      <c r="L51" s="3">
        <v>2795</v>
      </c>
      <c r="N51" s="3">
        <v>2795</v>
      </c>
      <c r="P51" s="3">
        <v>2795</v>
      </c>
      <c r="R51" s="3">
        <v>2795</v>
      </c>
      <c r="T51" s="3">
        <v>2795</v>
      </c>
      <c r="U51">
        <f t="shared" si="0"/>
        <v>19975</v>
      </c>
    </row>
    <row r="52" spans="1:21" x14ac:dyDescent="0.3">
      <c r="A52" t="s">
        <v>868</v>
      </c>
      <c r="B52" t="s">
        <v>38</v>
      </c>
      <c r="C52" s="3" t="s">
        <v>0</v>
      </c>
      <c r="D52">
        <v>2303713</v>
      </c>
      <c r="E52" t="s">
        <v>192</v>
      </c>
      <c r="F52" t="s">
        <v>35</v>
      </c>
      <c r="H52" s="3">
        <v>0</v>
      </c>
      <c r="J52" s="3">
        <v>5000</v>
      </c>
      <c r="L52" s="3">
        <v>2795</v>
      </c>
      <c r="N52" s="3">
        <v>2795</v>
      </c>
      <c r="P52" s="3">
        <v>2795</v>
      </c>
      <c r="R52" s="3">
        <v>2795</v>
      </c>
      <c r="T52" s="3">
        <v>2795</v>
      </c>
      <c r="U52">
        <f t="shared" si="0"/>
        <v>18975</v>
      </c>
    </row>
    <row r="53" spans="1:21" x14ac:dyDescent="0.3">
      <c r="A53" t="s">
        <v>868</v>
      </c>
      <c r="B53" t="s">
        <v>38</v>
      </c>
      <c r="C53" s="3" t="s">
        <v>1033</v>
      </c>
      <c r="D53">
        <v>8000037</v>
      </c>
      <c r="E53" t="s">
        <v>312</v>
      </c>
      <c r="F53" t="s">
        <v>276</v>
      </c>
      <c r="H53" s="3">
        <v>3900961</v>
      </c>
      <c r="J53" s="3">
        <v>2600000</v>
      </c>
      <c r="L53" s="3">
        <v>2600000</v>
      </c>
      <c r="N53" s="3">
        <v>3900000</v>
      </c>
      <c r="P53" s="3">
        <v>6500000</v>
      </c>
      <c r="R53" s="3">
        <v>0</v>
      </c>
      <c r="T53" s="3">
        <v>0</v>
      </c>
      <c r="U53">
        <f t="shared" si="0"/>
        <v>19500961</v>
      </c>
    </row>
    <row r="54" spans="1:21" x14ac:dyDescent="0.3">
      <c r="A54" t="s">
        <v>868</v>
      </c>
      <c r="B54" t="s">
        <v>38</v>
      </c>
      <c r="C54" s="3" t="s">
        <v>1033</v>
      </c>
      <c r="D54">
        <v>8000052</v>
      </c>
      <c r="E54" t="s">
        <v>200</v>
      </c>
      <c r="F54" t="s">
        <v>37</v>
      </c>
      <c r="H54" s="3">
        <v>630000</v>
      </c>
      <c r="J54" s="3">
        <v>0</v>
      </c>
      <c r="L54" s="3">
        <v>650000</v>
      </c>
      <c r="N54" s="3">
        <v>650000</v>
      </c>
      <c r="P54" s="3">
        <v>0</v>
      </c>
      <c r="R54" s="3">
        <v>0</v>
      </c>
      <c r="T54" s="3">
        <v>0</v>
      </c>
      <c r="U54">
        <f t="shared" si="0"/>
        <v>1930000</v>
      </c>
    </row>
    <row r="55" spans="1:21" x14ac:dyDescent="0.3">
      <c r="A55" t="s">
        <v>868</v>
      </c>
      <c r="B55" t="s">
        <v>38</v>
      </c>
      <c r="C55" s="3" t="s">
        <v>1029</v>
      </c>
      <c r="D55">
        <v>1000004</v>
      </c>
      <c r="E55" t="s">
        <v>69</v>
      </c>
      <c r="F55" t="s">
        <v>33</v>
      </c>
      <c r="H55" s="3">
        <v>0</v>
      </c>
      <c r="J55" s="3">
        <v>866.322</v>
      </c>
      <c r="L55" s="3">
        <v>0</v>
      </c>
      <c r="N55" s="3">
        <v>1732.644</v>
      </c>
      <c r="P55" s="3">
        <v>0</v>
      </c>
      <c r="R55" s="3">
        <v>866.322</v>
      </c>
      <c r="T55" s="3">
        <v>0</v>
      </c>
      <c r="U55">
        <f t="shared" si="0"/>
        <v>3465.288</v>
      </c>
    </row>
    <row r="56" spans="1:21" x14ac:dyDescent="0.3">
      <c r="A56" t="s">
        <v>868</v>
      </c>
      <c r="B56" t="s">
        <v>38</v>
      </c>
      <c r="C56" s="3" t="s">
        <v>1029</v>
      </c>
      <c r="D56">
        <v>1000005</v>
      </c>
      <c r="E56" t="s">
        <v>56</v>
      </c>
      <c r="F56" t="s">
        <v>33</v>
      </c>
      <c r="H56" s="3">
        <v>0</v>
      </c>
      <c r="J56" s="3">
        <v>0</v>
      </c>
      <c r="L56" s="3">
        <v>0</v>
      </c>
      <c r="N56" s="3">
        <v>1564.8</v>
      </c>
      <c r="P56" s="3">
        <v>0</v>
      </c>
      <c r="R56" s="3">
        <v>0</v>
      </c>
      <c r="T56" s="3">
        <v>0</v>
      </c>
      <c r="U56">
        <f t="shared" si="0"/>
        <v>1564.8</v>
      </c>
    </row>
    <row r="57" spans="1:21" x14ac:dyDescent="0.3">
      <c r="A57" t="s">
        <v>868</v>
      </c>
      <c r="B57" t="s">
        <v>38</v>
      </c>
      <c r="C57" s="3" t="s">
        <v>1029</v>
      </c>
      <c r="D57">
        <v>1000007</v>
      </c>
      <c r="E57" t="s">
        <v>61</v>
      </c>
      <c r="F57" t="s">
        <v>33</v>
      </c>
      <c r="H57" s="3">
        <v>0</v>
      </c>
      <c r="J57" s="3">
        <v>1600</v>
      </c>
      <c r="L57" s="3">
        <v>0</v>
      </c>
      <c r="N57" s="3">
        <v>1600</v>
      </c>
      <c r="P57" s="3">
        <v>0</v>
      </c>
      <c r="R57" s="3">
        <v>1600</v>
      </c>
      <c r="T57" s="3">
        <v>0</v>
      </c>
      <c r="U57">
        <f t="shared" si="0"/>
        <v>4800</v>
      </c>
    </row>
    <row r="58" spans="1:21" x14ac:dyDescent="0.3">
      <c r="A58" t="s">
        <v>868</v>
      </c>
      <c r="B58" t="s">
        <v>38</v>
      </c>
      <c r="C58" s="3" t="s">
        <v>1029</v>
      </c>
      <c r="D58">
        <v>1000008</v>
      </c>
      <c r="E58" t="s">
        <v>60</v>
      </c>
      <c r="F58" t="s">
        <v>33</v>
      </c>
      <c r="H58" s="3">
        <v>0</v>
      </c>
      <c r="J58" s="3">
        <v>500</v>
      </c>
      <c r="L58" s="3">
        <v>0</v>
      </c>
      <c r="N58" s="3">
        <v>500</v>
      </c>
      <c r="P58" s="3">
        <v>0</v>
      </c>
      <c r="R58" s="3">
        <v>500</v>
      </c>
      <c r="T58" s="3">
        <v>0</v>
      </c>
      <c r="U58">
        <f t="shared" ref="U58:U79" si="1">SUM(G58:T58)</f>
        <v>1500</v>
      </c>
    </row>
    <row r="59" spans="1:21" x14ac:dyDescent="0.3">
      <c r="A59" t="s">
        <v>868</v>
      </c>
      <c r="B59" t="s">
        <v>38</v>
      </c>
      <c r="C59" s="3" t="s">
        <v>1029</v>
      </c>
      <c r="D59">
        <v>1000011</v>
      </c>
      <c r="E59" t="s">
        <v>70</v>
      </c>
      <c r="F59" t="s">
        <v>33</v>
      </c>
      <c r="H59" s="3">
        <v>50</v>
      </c>
      <c r="J59" s="3">
        <v>0</v>
      </c>
      <c r="L59" s="3">
        <v>0</v>
      </c>
      <c r="N59" s="3">
        <v>100</v>
      </c>
      <c r="P59" s="3">
        <v>0</v>
      </c>
      <c r="R59" s="3">
        <v>0</v>
      </c>
      <c r="T59" s="3">
        <v>0</v>
      </c>
      <c r="U59">
        <f t="shared" si="1"/>
        <v>150</v>
      </c>
    </row>
    <row r="60" spans="1:21" x14ac:dyDescent="0.3">
      <c r="A60" t="s">
        <v>868</v>
      </c>
      <c r="B60" t="s">
        <v>38</v>
      </c>
      <c r="C60" s="3" t="s">
        <v>1029</v>
      </c>
      <c r="D60">
        <v>1000013</v>
      </c>
      <c r="E60" t="s">
        <v>20</v>
      </c>
      <c r="F60" t="s">
        <v>33</v>
      </c>
      <c r="H60" s="3">
        <v>300</v>
      </c>
      <c r="J60" s="3">
        <v>0</v>
      </c>
      <c r="L60" s="3">
        <v>0</v>
      </c>
      <c r="N60" s="3">
        <v>400</v>
      </c>
      <c r="P60" s="3">
        <v>0</v>
      </c>
      <c r="R60" s="3">
        <v>200</v>
      </c>
      <c r="T60" s="3">
        <v>0</v>
      </c>
      <c r="U60">
        <f t="shared" si="1"/>
        <v>900</v>
      </c>
    </row>
    <row r="61" spans="1:21" x14ac:dyDescent="0.3">
      <c r="A61" t="s">
        <v>868</v>
      </c>
      <c r="B61" t="s">
        <v>38</v>
      </c>
      <c r="C61" s="3" t="s">
        <v>1029</v>
      </c>
      <c r="D61">
        <v>1000015</v>
      </c>
      <c r="E61" t="s">
        <v>15</v>
      </c>
      <c r="F61" t="s">
        <v>33</v>
      </c>
      <c r="H61" s="3">
        <v>0</v>
      </c>
      <c r="J61" s="3">
        <v>0</v>
      </c>
      <c r="L61" s="3">
        <v>0</v>
      </c>
      <c r="N61" s="3">
        <v>1000</v>
      </c>
      <c r="P61" s="3">
        <v>0</v>
      </c>
      <c r="R61" s="3">
        <v>1000</v>
      </c>
      <c r="T61" s="3">
        <v>0</v>
      </c>
      <c r="U61">
        <f t="shared" si="1"/>
        <v>2000</v>
      </c>
    </row>
    <row r="62" spans="1:21" x14ac:dyDescent="0.3">
      <c r="A62" t="s">
        <v>868</v>
      </c>
      <c r="B62" t="s">
        <v>38</v>
      </c>
      <c r="C62" s="3" t="s">
        <v>1029</v>
      </c>
      <c r="D62">
        <v>1000021</v>
      </c>
      <c r="E62" t="s">
        <v>49</v>
      </c>
      <c r="F62" t="s">
        <v>33</v>
      </c>
      <c r="H62" s="3">
        <v>400</v>
      </c>
      <c r="J62" s="3">
        <v>0</v>
      </c>
      <c r="L62" s="3">
        <v>0</v>
      </c>
      <c r="N62" s="3">
        <v>0</v>
      </c>
      <c r="P62" s="3">
        <v>0</v>
      </c>
      <c r="R62" s="3">
        <v>200</v>
      </c>
      <c r="T62" s="3">
        <v>0</v>
      </c>
      <c r="U62">
        <f t="shared" si="1"/>
        <v>600</v>
      </c>
    </row>
    <row r="63" spans="1:21" x14ac:dyDescent="0.3">
      <c r="A63" t="s">
        <v>868</v>
      </c>
      <c r="B63" t="s">
        <v>38</v>
      </c>
      <c r="C63" s="3" t="s">
        <v>1029</v>
      </c>
      <c r="D63">
        <v>1000022</v>
      </c>
      <c r="E63" t="s">
        <v>19</v>
      </c>
      <c r="F63" t="s">
        <v>33</v>
      </c>
      <c r="H63" s="3">
        <v>0</v>
      </c>
      <c r="J63" s="3">
        <v>200</v>
      </c>
      <c r="L63" s="3">
        <v>0</v>
      </c>
      <c r="N63" s="3">
        <v>200</v>
      </c>
      <c r="P63" s="3">
        <v>0</v>
      </c>
      <c r="R63" s="3">
        <v>200</v>
      </c>
      <c r="T63" s="3">
        <v>0</v>
      </c>
      <c r="U63">
        <f t="shared" si="1"/>
        <v>600</v>
      </c>
    </row>
    <row r="64" spans="1:21" x14ac:dyDescent="0.3">
      <c r="A64" t="s">
        <v>868</v>
      </c>
      <c r="B64" t="s">
        <v>38</v>
      </c>
      <c r="C64" s="3" t="s">
        <v>1029</v>
      </c>
      <c r="D64">
        <v>1000023</v>
      </c>
      <c r="E64" t="s">
        <v>54</v>
      </c>
      <c r="F64" t="s">
        <v>33</v>
      </c>
      <c r="H64" s="3">
        <v>250</v>
      </c>
      <c r="J64" s="3">
        <v>150</v>
      </c>
      <c r="L64" s="3">
        <v>0</v>
      </c>
      <c r="N64" s="3">
        <v>0</v>
      </c>
      <c r="P64" s="3">
        <v>150</v>
      </c>
      <c r="R64" s="3">
        <v>0</v>
      </c>
      <c r="T64" s="3">
        <v>150</v>
      </c>
      <c r="U64">
        <f t="shared" si="1"/>
        <v>700</v>
      </c>
    </row>
    <row r="65" spans="1:21" x14ac:dyDescent="0.3">
      <c r="A65" t="s">
        <v>868</v>
      </c>
      <c r="B65" t="s">
        <v>38</v>
      </c>
      <c r="C65" s="3" t="s">
        <v>1029</v>
      </c>
      <c r="D65">
        <v>1000024</v>
      </c>
      <c r="E65" t="s">
        <v>71</v>
      </c>
      <c r="F65" t="s">
        <v>33</v>
      </c>
      <c r="H65" s="3">
        <v>44.8</v>
      </c>
      <c r="J65" s="3">
        <v>0</v>
      </c>
      <c r="L65" s="3">
        <v>0</v>
      </c>
      <c r="N65" s="3">
        <v>0</v>
      </c>
      <c r="P65" s="3">
        <v>0</v>
      </c>
      <c r="R65" s="3">
        <v>0</v>
      </c>
      <c r="T65" s="3">
        <v>0</v>
      </c>
      <c r="U65">
        <f t="shared" si="1"/>
        <v>44.8</v>
      </c>
    </row>
    <row r="66" spans="1:21" x14ac:dyDescent="0.3">
      <c r="A66" t="s">
        <v>868</v>
      </c>
      <c r="B66" t="s">
        <v>38</v>
      </c>
      <c r="C66" s="3" t="s">
        <v>1029</v>
      </c>
      <c r="D66">
        <v>1000027</v>
      </c>
      <c r="E66" t="s">
        <v>25</v>
      </c>
      <c r="F66" t="s">
        <v>33</v>
      </c>
      <c r="H66" s="3">
        <v>1467</v>
      </c>
      <c r="J66" s="3">
        <v>0</v>
      </c>
      <c r="L66" s="3">
        <v>1467</v>
      </c>
      <c r="N66" s="3">
        <v>0</v>
      </c>
      <c r="P66" s="3">
        <v>0</v>
      </c>
      <c r="R66" s="3">
        <v>1467</v>
      </c>
      <c r="T66" s="3">
        <v>0</v>
      </c>
      <c r="U66">
        <f t="shared" si="1"/>
        <v>4401</v>
      </c>
    </row>
    <row r="67" spans="1:21" x14ac:dyDescent="0.3">
      <c r="A67" t="s">
        <v>868</v>
      </c>
      <c r="B67" t="s">
        <v>38</v>
      </c>
      <c r="C67" s="3" t="s">
        <v>1029</v>
      </c>
      <c r="D67">
        <v>1000030</v>
      </c>
      <c r="E67" t="s">
        <v>62</v>
      </c>
      <c r="F67" t="s">
        <v>33</v>
      </c>
      <c r="H67" s="3">
        <v>0</v>
      </c>
      <c r="J67" s="3">
        <v>0</v>
      </c>
      <c r="L67" s="3">
        <v>0</v>
      </c>
      <c r="N67" s="3">
        <v>0</v>
      </c>
      <c r="P67" s="3">
        <v>200</v>
      </c>
      <c r="R67" s="3">
        <v>0</v>
      </c>
      <c r="T67" s="3">
        <v>200</v>
      </c>
      <c r="U67">
        <f t="shared" si="1"/>
        <v>400</v>
      </c>
    </row>
    <row r="68" spans="1:21" x14ac:dyDescent="0.3">
      <c r="A68" t="s">
        <v>868</v>
      </c>
      <c r="B68" t="s">
        <v>38</v>
      </c>
      <c r="C68" s="3" t="s">
        <v>1029</v>
      </c>
      <c r="D68">
        <v>1000031</v>
      </c>
      <c r="E68" t="s">
        <v>22</v>
      </c>
      <c r="F68" t="s">
        <v>33</v>
      </c>
      <c r="H68" s="3">
        <v>400</v>
      </c>
      <c r="J68" s="3">
        <v>0</v>
      </c>
      <c r="L68" s="3">
        <v>0</v>
      </c>
      <c r="N68" s="3">
        <v>600</v>
      </c>
      <c r="P68" s="3">
        <v>0</v>
      </c>
      <c r="R68" s="3">
        <v>600</v>
      </c>
      <c r="T68" s="3"/>
      <c r="U68">
        <f t="shared" si="1"/>
        <v>1600</v>
      </c>
    </row>
    <row r="69" spans="1:21" x14ac:dyDescent="0.3">
      <c r="A69" t="s">
        <v>868</v>
      </c>
      <c r="B69" t="s">
        <v>38</v>
      </c>
      <c r="C69" s="3" t="s">
        <v>1029</v>
      </c>
      <c r="D69">
        <v>1000033</v>
      </c>
      <c r="E69" t="s">
        <v>23</v>
      </c>
      <c r="F69" t="s">
        <v>33</v>
      </c>
      <c r="H69" s="3">
        <v>0</v>
      </c>
      <c r="J69" s="3">
        <v>0</v>
      </c>
      <c r="L69" s="3">
        <v>0</v>
      </c>
      <c r="N69" s="3">
        <v>100</v>
      </c>
      <c r="P69" s="3">
        <v>0</v>
      </c>
      <c r="R69" s="3">
        <v>0</v>
      </c>
      <c r="T69" s="3">
        <v>0</v>
      </c>
      <c r="U69">
        <f t="shared" si="1"/>
        <v>100</v>
      </c>
    </row>
    <row r="70" spans="1:21" x14ac:dyDescent="0.3">
      <c r="A70" t="s">
        <v>868</v>
      </c>
      <c r="B70" t="s">
        <v>38</v>
      </c>
      <c r="C70" s="3" t="s">
        <v>1029</v>
      </c>
      <c r="D70">
        <v>1000037</v>
      </c>
      <c r="E70" t="s">
        <v>58</v>
      </c>
      <c r="F70" t="s">
        <v>34</v>
      </c>
      <c r="H70" s="3">
        <v>1000000</v>
      </c>
      <c r="J70" s="3">
        <v>0</v>
      </c>
      <c r="L70" s="3">
        <v>0</v>
      </c>
      <c r="N70" s="3">
        <v>0</v>
      </c>
      <c r="P70" s="3">
        <v>0</v>
      </c>
      <c r="R70" s="3">
        <v>0</v>
      </c>
      <c r="T70" s="3">
        <v>0</v>
      </c>
      <c r="U70">
        <f t="shared" si="1"/>
        <v>1000000</v>
      </c>
    </row>
    <row r="71" spans="1:21" x14ac:dyDescent="0.3">
      <c r="A71" t="s">
        <v>868</v>
      </c>
      <c r="B71" t="s">
        <v>38</v>
      </c>
      <c r="C71" s="3" t="s">
        <v>1029</v>
      </c>
      <c r="D71">
        <v>1000043</v>
      </c>
      <c r="E71" t="s">
        <v>16</v>
      </c>
      <c r="F71" t="s">
        <v>33</v>
      </c>
      <c r="H71" s="3">
        <v>0</v>
      </c>
      <c r="J71" s="3">
        <v>0</v>
      </c>
      <c r="L71" s="3">
        <v>500</v>
      </c>
      <c r="N71" s="3">
        <v>0</v>
      </c>
      <c r="P71" s="3">
        <v>500</v>
      </c>
      <c r="R71" s="3">
        <v>0</v>
      </c>
      <c r="T71" s="3">
        <v>0</v>
      </c>
      <c r="U71">
        <f t="shared" si="1"/>
        <v>1000</v>
      </c>
    </row>
    <row r="72" spans="1:21" x14ac:dyDescent="0.3">
      <c r="A72" t="s">
        <v>868</v>
      </c>
      <c r="B72" t="s">
        <v>38</v>
      </c>
      <c r="C72" s="3" t="s">
        <v>1029</v>
      </c>
      <c r="D72">
        <v>1000045</v>
      </c>
      <c r="E72" t="s">
        <v>27</v>
      </c>
      <c r="F72" t="s">
        <v>33</v>
      </c>
      <c r="H72" s="3">
        <v>0</v>
      </c>
      <c r="J72" s="3">
        <v>495</v>
      </c>
      <c r="L72" s="3">
        <v>0</v>
      </c>
      <c r="N72" s="3">
        <v>0</v>
      </c>
      <c r="P72" s="3">
        <v>0</v>
      </c>
      <c r="R72" s="3">
        <v>0</v>
      </c>
      <c r="T72" s="3">
        <v>0</v>
      </c>
      <c r="U72">
        <f t="shared" si="1"/>
        <v>495</v>
      </c>
    </row>
    <row r="73" spans="1:21" x14ac:dyDescent="0.3">
      <c r="A73" t="s">
        <v>868</v>
      </c>
      <c r="B73" t="s">
        <v>38</v>
      </c>
      <c r="C73" s="3" t="s">
        <v>1029</v>
      </c>
      <c r="D73">
        <v>1000050</v>
      </c>
      <c r="E73" t="s">
        <v>44</v>
      </c>
      <c r="F73" t="s">
        <v>33</v>
      </c>
      <c r="H73" s="3">
        <v>16150</v>
      </c>
      <c r="J73" s="3">
        <v>16150</v>
      </c>
      <c r="L73" s="3">
        <v>16150</v>
      </c>
      <c r="N73" s="3">
        <v>16150</v>
      </c>
      <c r="P73" s="3">
        <v>16150</v>
      </c>
      <c r="R73" s="3">
        <v>16150</v>
      </c>
      <c r="T73" s="3">
        <v>0</v>
      </c>
      <c r="U73">
        <f t="shared" si="1"/>
        <v>96900</v>
      </c>
    </row>
    <row r="74" spans="1:21" x14ac:dyDescent="0.3">
      <c r="A74" t="s">
        <v>868</v>
      </c>
      <c r="B74" t="s">
        <v>38</v>
      </c>
      <c r="C74" s="3" t="s">
        <v>1029</v>
      </c>
      <c r="D74">
        <v>1000061</v>
      </c>
      <c r="E74" t="s">
        <v>72</v>
      </c>
      <c r="F74" t="s">
        <v>33</v>
      </c>
      <c r="H74" s="3">
        <v>0</v>
      </c>
      <c r="J74" s="3">
        <v>0</v>
      </c>
      <c r="L74" s="3">
        <v>0</v>
      </c>
      <c r="N74" s="3">
        <v>0</v>
      </c>
      <c r="P74" s="3">
        <v>25</v>
      </c>
      <c r="R74" s="3">
        <v>0</v>
      </c>
      <c r="T74" s="3">
        <v>0</v>
      </c>
      <c r="U74">
        <f t="shared" si="1"/>
        <v>25</v>
      </c>
    </row>
    <row r="75" spans="1:21" x14ac:dyDescent="0.3">
      <c r="A75" t="s">
        <v>868</v>
      </c>
      <c r="B75" t="s">
        <v>38</v>
      </c>
      <c r="C75" s="3" t="s">
        <v>1029</v>
      </c>
      <c r="D75">
        <v>1000062</v>
      </c>
      <c r="E75" t="s">
        <v>48</v>
      </c>
      <c r="F75" t="s">
        <v>34</v>
      </c>
      <c r="H75" s="3">
        <v>0</v>
      </c>
      <c r="J75" s="3">
        <v>20000</v>
      </c>
      <c r="L75" s="3">
        <v>0</v>
      </c>
      <c r="N75" s="3">
        <v>0</v>
      </c>
      <c r="P75" s="3">
        <v>0</v>
      </c>
      <c r="R75" s="3">
        <v>0</v>
      </c>
      <c r="T75" s="3">
        <v>0</v>
      </c>
      <c r="U75">
        <f t="shared" si="1"/>
        <v>20000</v>
      </c>
    </row>
    <row r="76" spans="1:21" x14ac:dyDescent="0.3">
      <c r="A76" t="s">
        <v>868</v>
      </c>
      <c r="B76" t="s">
        <v>38</v>
      </c>
      <c r="C76" s="3" t="s">
        <v>1029</v>
      </c>
      <c r="D76">
        <v>1000064</v>
      </c>
      <c r="E76" t="s">
        <v>46</v>
      </c>
      <c r="F76" t="s">
        <v>34</v>
      </c>
      <c r="H76" s="3">
        <v>0</v>
      </c>
      <c r="J76" s="3">
        <v>60000</v>
      </c>
      <c r="L76" s="3">
        <v>0</v>
      </c>
      <c r="N76" s="3">
        <v>0</v>
      </c>
      <c r="P76" s="3">
        <v>0</v>
      </c>
      <c r="R76" s="3">
        <v>0</v>
      </c>
      <c r="T76" s="3">
        <v>0</v>
      </c>
      <c r="U76">
        <f t="shared" si="1"/>
        <v>60000</v>
      </c>
    </row>
    <row r="77" spans="1:21" x14ac:dyDescent="0.3">
      <c r="A77" t="s">
        <v>868</v>
      </c>
      <c r="B77" t="s">
        <v>38</v>
      </c>
      <c r="C77" s="3" t="s">
        <v>1029</v>
      </c>
      <c r="D77">
        <v>1000069</v>
      </c>
      <c r="E77" t="s">
        <v>47</v>
      </c>
      <c r="F77" t="s">
        <v>33</v>
      </c>
      <c r="H77" s="3">
        <v>500</v>
      </c>
      <c r="J77" s="3">
        <v>0</v>
      </c>
      <c r="L77" s="3">
        <v>0</v>
      </c>
      <c r="N77" s="3">
        <v>400</v>
      </c>
      <c r="P77" s="3">
        <v>0</v>
      </c>
      <c r="R77" s="3">
        <v>400</v>
      </c>
      <c r="T77" s="3">
        <v>0</v>
      </c>
      <c r="U77">
        <f t="shared" si="1"/>
        <v>1300</v>
      </c>
    </row>
    <row r="78" spans="1:21" x14ac:dyDescent="0.3">
      <c r="A78" t="s">
        <v>868</v>
      </c>
      <c r="B78" t="s">
        <v>38</v>
      </c>
      <c r="C78" s="3" t="s">
        <v>1029</v>
      </c>
      <c r="D78">
        <v>1000080</v>
      </c>
      <c r="E78" t="s">
        <v>21</v>
      </c>
      <c r="F78" t="s">
        <v>34</v>
      </c>
      <c r="H78" s="3">
        <v>100000</v>
      </c>
      <c r="J78" s="3">
        <v>0</v>
      </c>
      <c r="L78" s="3">
        <v>0</v>
      </c>
      <c r="N78" s="3">
        <v>0</v>
      </c>
      <c r="P78" s="3">
        <v>0</v>
      </c>
      <c r="R78" s="3">
        <v>0</v>
      </c>
      <c r="T78" s="3">
        <v>0</v>
      </c>
      <c r="U78">
        <f t="shared" si="1"/>
        <v>100000</v>
      </c>
    </row>
    <row r="79" spans="1:21" x14ac:dyDescent="0.3">
      <c r="A79" t="s">
        <v>868</v>
      </c>
      <c r="B79" t="s">
        <v>38</v>
      </c>
      <c r="C79" s="3" t="s">
        <v>1029</v>
      </c>
      <c r="D79">
        <v>1000090</v>
      </c>
      <c r="E79" t="s">
        <v>29</v>
      </c>
      <c r="F79" t="s">
        <v>34</v>
      </c>
      <c r="H79" s="3">
        <v>2000000</v>
      </c>
      <c r="J79" s="3">
        <v>0</v>
      </c>
      <c r="L79" s="3">
        <v>0</v>
      </c>
      <c r="N79" s="3">
        <v>0</v>
      </c>
      <c r="P79" s="3">
        <v>0</v>
      </c>
      <c r="R79" s="3">
        <v>0</v>
      </c>
      <c r="T79" s="3">
        <v>0</v>
      </c>
      <c r="U79">
        <f t="shared" si="1"/>
        <v>2000000</v>
      </c>
    </row>
    <row r="80" spans="1:21" x14ac:dyDescent="0.3">
      <c r="A80" t="s">
        <v>868</v>
      </c>
      <c r="B80" t="s">
        <v>38</v>
      </c>
      <c r="C80" s="3" t="s">
        <v>1029</v>
      </c>
      <c r="D80">
        <v>1000109</v>
      </c>
      <c r="E80" t="s">
        <v>14</v>
      </c>
      <c r="F80" t="s">
        <v>34</v>
      </c>
      <c r="H80" s="3">
        <v>1500000</v>
      </c>
      <c r="J80" s="3">
        <v>0</v>
      </c>
      <c r="L80" s="3">
        <v>0</v>
      </c>
      <c r="N80" s="3">
        <v>0</v>
      </c>
      <c r="P80" s="3">
        <v>0</v>
      </c>
      <c r="R80" s="3">
        <v>0</v>
      </c>
      <c r="T80" s="3">
        <v>0</v>
      </c>
      <c r="U80">
        <f t="shared" ref="U80:U89" si="2">SUM(G80:T80)</f>
        <v>1500000</v>
      </c>
    </row>
    <row r="81" spans="1:21" x14ac:dyDescent="0.3">
      <c r="A81" t="s">
        <v>868</v>
      </c>
      <c r="B81" t="s">
        <v>38</v>
      </c>
      <c r="C81" s="3" t="s">
        <v>1029</v>
      </c>
      <c r="D81">
        <v>1000116</v>
      </c>
      <c r="E81" t="s">
        <v>51</v>
      </c>
      <c r="F81" t="s">
        <v>33</v>
      </c>
      <c r="H81" s="3">
        <v>520</v>
      </c>
      <c r="J81" s="3">
        <v>0</v>
      </c>
      <c r="L81" s="3">
        <v>0</v>
      </c>
      <c r="N81" s="3">
        <v>520</v>
      </c>
      <c r="P81" s="3">
        <v>0</v>
      </c>
      <c r="R81" s="3">
        <v>0</v>
      </c>
      <c r="T81" s="3">
        <v>0</v>
      </c>
      <c r="U81">
        <f t="shared" si="2"/>
        <v>1040</v>
      </c>
    </row>
    <row r="82" spans="1:21" x14ac:dyDescent="0.3">
      <c r="A82" t="s">
        <v>868</v>
      </c>
      <c r="B82" t="s">
        <v>38</v>
      </c>
      <c r="C82" s="3" t="s">
        <v>1029</v>
      </c>
      <c r="D82">
        <v>1000121</v>
      </c>
      <c r="E82" t="s">
        <v>73</v>
      </c>
      <c r="F82" t="s">
        <v>33</v>
      </c>
      <c r="H82" s="3">
        <v>400</v>
      </c>
      <c r="J82" s="3">
        <v>0</v>
      </c>
      <c r="L82" s="3">
        <v>200</v>
      </c>
      <c r="N82" s="3">
        <v>200</v>
      </c>
      <c r="P82" s="3">
        <v>0</v>
      </c>
      <c r="R82" s="3">
        <v>200</v>
      </c>
      <c r="T82" s="3">
        <v>0</v>
      </c>
      <c r="U82">
        <f t="shared" si="2"/>
        <v>1000</v>
      </c>
    </row>
    <row r="83" spans="1:21" x14ac:dyDescent="0.3">
      <c r="A83" t="s">
        <v>868</v>
      </c>
      <c r="B83" t="s">
        <v>38</v>
      </c>
      <c r="C83" s="3" t="s">
        <v>1029</v>
      </c>
      <c r="D83">
        <v>1000249</v>
      </c>
      <c r="E83" t="s">
        <v>74</v>
      </c>
      <c r="F83" t="s">
        <v>33</v>
      </c>
      <c r="H83" s="3">
        <v>0</v>
      </c>
      <c r="J83" s="3">
        <v>0</v>
      </c>
      <c r="L83" s="3">
        <v>0</v>
      </c>
      <c r="N83" s="3">
        <v>0</v>
      </c>
      <c r="P83" s="3">
        <v>1000</v>
      </c>
      <c r="R83" s="3">
        <v>0</v>
      </c>
      <c r="T83" s="3">
        <v>1000</v>
      </c>
      <c r="U83">
        <f t="shared" si="2"/>
        <v>2000</v>
      </c>
    </row>
    <row r="84" spans="1:21" x14ac:dyDescent="0.3">
      <c r="A84" t="s">
        <v>868</v>
      </c>
      <c r="B84" t="s">
        <v>38</v>
      </c>
      <c r="C84" s="3" t="s">
        <v>1029</v>
      </c>
      <c r="D84">
        <v>1000280</v>
      </c>
      <c r="E84" t="s">
        <v>75</v>
      </c>
      <c r="F84" t="s">
        <v>33</v>
      </c>
      <c r="H84" s="3">
        <v>0</v>
      </c>
      <c r="J84" s="3">
        <v>0</v>
      </c>
      <c r="L84" s="3">
        <v>0</v>
      </c>
      <c r="N84" s="3">
        <v>0</v>
      </c>
      <c r="P84" s="3">
        <v>0</v>
      </c>
      <c r="R84" s="3">
        <v>200</v>
      </c>
      <c r="T84" s="3">
        <v>0</v>
      </c>
      <c r="U84">
        <f t="shared" si="2"/>
        <v>200</v>
      </c>
    </row>
    <row r="85" spans="1:21" x14ac:dyDescent="0.3">
      <c r="A85" t="s">
        <v>868</v>
      </c>
      <c r="B85" t="s">
        <v>38</v>
      </c>
      <c r="C85" s="3" t="s">
        <v>1029</v>
      </c>
      <c r="D85">
        <v>1000446</v>
      </c>
      <c r="E85" t="s">
        <v>76</v>
      </c>
      <c r="F85" t="s">
        <v>34</v>
      </c>
      <c r="H85" s="3">
        <v>0</v>
      </c>
      <c r="J85" s="3">
        <v>0</v>
      </c>
      <c r="L85" s="3">
        <v>3000</v>
      </c>
      <c r="N85" s="3">
        <v>0</v>
      </c>
      <c r="P85" s="3">
        <v>0</v>
      </c>
      <c r="R85" s="3">
        <v>0</v>
      </c>
      <c r="T85" s="3">
        <v>0</v>
      </c>
      <c r="U85">
        <f t="shared" si="2"/>
        <v>3000</v>
      </c>
    </row>
    <row r="86" spans="1:21" x14ac:dyDescent="0.3">
      <c r="A86" t="s">
        <v>868</v>
      </c>
      <c r="B86" t="s">
        <v>38</v>
      </c>
      <c r="C86" s="3" t="s">
        <v>1029</v>
      </c>
      <c r="D86">
        <v>1000447</v>
      </c>
      <c r="E86" t="s">
        <v>77</v>
      </c>
      <c r="F86" t="s">
        <v>34</v>
      </c>
      <c r="H86" s="3">
        <v>0</v>
      </c>
      <c r="J86" s="3">
        <v>0</v>
      </c>
      <c r="L86" s="3">
        <v>3000</v>
      </c>
      <c r="N86" s="3">
        <v>0</v>
      </c>
      <c r="P86" s="3">
        <v>0</v>
      </c>
      <c r="R86" s="3">
        <v>0</v>
      </c>
      <c r="T86" s="3">
        <v>0</v>
      </c>
      <c r="U86">
        <f t="shared" si="2"/>
        <v>3000</v>
      </c>
    </row>
    <row r="87" spans="1:21" x14ac:dyDescent="0.3">
      <c r="A87" t="s">
        <v>868</v>
      </c>
      <c r="B87" t="s">
        <v>38</v>
      </c>
      <c r="C87" s="3" t="s">
        <v>1029</v>
      </c>
      <c r="D87">
        <v>1000501</v>
      </c>
      <c r="E87" t="s">
        <v>78</v>
      </c>
      <c r="F87" t="s">
        <v>33</v>
      </c>
      <c r="H87" s="3">
        <v>240</v>
      </c>
      <c r="J87" s="3">
        <v>0</v>
      </c>
      <c r="L87" s="3">
        <v>0</v>
      </c>
      <c r="N87" s="3">
        <v>0</v>
      </c>
      <c r="P87" s="3">
        <v>240</v>
      </c>
      <c r="R87" s="3">
        <v>0</v>
      </c>
      <c r="T87" s="3">
        <v>0</v>
      </c>
      <c r="U87">
        <f t="shared" si="2"/>
        <v>480</v>
      </c>
    </row>
    <row r="88" spans="1:21" x14ac:dyDescent="0.3">
      <c r="A88" t="s">
        <v>868</v>
      </c>
      <c r="B88" t="s">
        <v>38</v>
      </c>
      <c r="C88" s="3" t="s">
        <v>1029</v>
      </c>
      <c r="D88">
        <v>1000513</v>
      </c>
      <c r="E88" t="s">
        <v>79</v>
      </c>
      <c r="F88" t="s">
        <v>34</v>
      </c>
      <c r="H88" s="3">
        <v>0</v>
      </c>
      <c r="J88" s="3">
        <v>0</v>
      </c>
      <c r="L88" s="3">
        <v>0</v>
      </c>
      <c r="N88" s="3">
        <v>25000</v>
      </c>
      <c r="P88" s="3">
        <v>0</v>
      </c>
      <c r="R88" s="3">
        <v>0</v>
      </c>
      <c r="T88" s="3">
        <v>0</v>
      </c>
      <c r="U88">
        <f t="shared" si="2"/>
        <v>25000</v>
      </c>
    </row>
    <row r="89" spans="1:21" x14ac:dyDescent="0.3">
      <c r="A89" t="s">
        <v>868</v>
      </c>
      <c r="B89" t="s">
        <v>38</v>
      </c>
      <c r="C89" s="3" t="s">
        <v>1029</v>
      </c>
      <c r="D89">
        <v>1001173</v>
      </c>
      <c r="E89" t="s">
        <v>80</v>
      </c>
      <c r="F89" t="s">
        <v>33</v>
      </c>
      <c r="H89" s="3">
        <v>0</v>
      </c>
      <c r="J89" s="3">
        <v>0</v>
      </c>
      <c r="L89" s="3">
        <v>0</v>
      </c>
      <c r="N89" s="3">
        <v>75</v>
      </c>
      <c r="P89" s="3">
        <v>0</v>
      </c>
      <c r="R89" s="3">
        <v>0</v>
      </c>
      <c r="T89" s="3">
        <v>0</v>
      </c>
      <c r="U89">
        <f t="shared" si="2"/>
        <v>75</v>
      </c>
    </row>
    <row r="90" spans="1:21" x14ac:dyDescent="0.3">
      <c r="A90" t="s">
        <v>868</v>
      </c>
      <c r="B90" t="s">
        <v>38</v>
      </c>
      <c r="C90" s="3" t="s">
        <v>1029</v>
      </c>
      <c r="D90">
        <v>1300250</v>
      </c>
      <c r="E90" t="s">
        <v>81</v>
      </c>
      <c r="F90" t="s">
        <v>34</v>
      </c>
      <c r="H90" s="3">
        <v>600000</v>
      </c>
      <c r="J90" s="3">
        <v>0</v>
      </c>
      <c r="L90" s="3">
        <v>0</v>
      </c>
      <c r="N90" s="3">
        <v>0</v>
      </c>
      <c r="P90" s="3">
        <v>0</v>
      </c>
      <c r="R90" s="3">
        <v>0</v>
      </c>
      <c r="T90" s="3">
        <v>0</v>
      </c>
      <c r="U90">
        <f t="shared" ref="U90:U101" si="3">SUM(G90:T90)</f>
        <v>600000</v>
      </c>
    </row>
    <row r="91" spans="1:21" x14ac:dyDescent="0.3">
      <c r="A91" t="s">
        <v>868</v>
      </c>
      <c r="B91" t="s">
        <v>38</v>
      </c>
      <c r="C91" s="3" t="s">
        <v>1029</v>
      </c>
      <c r="D91">
        <v>1300301</v>
      </c>
      <c r="E91" t="s">
        <v>82</v>
      </c>
      <c r="F91" t="s">
        <v>33</v>
      </c>
      <c r="H91" s="3">
        <v>0</v>
      </c>
      <c r="J91" s="3">
        <v>0</v>
      </c>
      <c r="L91" s="3">
        <v>240</v>
      </c>
      <c r="N91" s="3">
        <v>0</v>
      </c>
      <c r="P91" s="3">
        <v>240</v>
      </c>
      <c r="R91" s="3">
        <v>0</v>
      </c>
      <c r="T91" s="3">
        <v>0</v>
      </c>
      <c r="U91">
        <f t="shared" si="3"/>
        <v>480</v>
      </c>
    </row>
    <row r="92" spans="1:21" x14ac:dyDescent="0.3">
      <c r="A92" t="s">
        <v>868</v>
      </c>
      <c r="B92" t="s">
        <v>38</v>
      </c>
      <c r="C92" s="3" t="s">
        <v>1029</v>
      </c>
      <c r="D92">
        <v>1300303</v>
      </c>
      <c r="E92" t="s">
        <v>83</v>
      </c>
      <c r="F92" t="s">
        <v>33</v>
      </c>
      <c r="H92" s="3">
        <v>0</v>
      </c>
      <c r="J92" s="3">
        <v>0</v>
      </c>
      <c r="L92" s="3">
        <v>0</v>
      </c>
      <c r="N92" s="3">
        <v>50</v>
      </c>
      <c r="P92" s="3">
        <v>0</v>
      </c>
      <c r="R92" s="3">
        <v>0</v>
      </c>
      <c r="T92" s="3">
        <v>0</v>
      </c>
      <c r="U92">
        <f t="shared" si="3"/>
        <v>50</v>
      </c>
    </row>
    <row r="93" spans="1:21" x14ac:dyDescent="0.3">
      <c r="A93" t="s">
        <v>868</v>
      </c>
      <c r="B93" t="s">
        <v>38</v>
      </c>
      <c r="C93" s="3" t="s">
        <v>1029</v>
      </c>
      <c r="D93">
        <v>1300397</v>
      </c>
      <c r="E93" t="s">
        <v>84</v>
      </c>
      <c r="F93" t="s">
        <v>33</v>
      </c>
      <c r="H93" s="3">
        <v>0</v>
      </c>
      <c r="J93" s="3">
        <v>0</v>
      </c>
      <c r="L93" s="3">
        <v>0</v>
      </c>
      <c r="N93" s="3">
        <v>34</v>
      </c>
      <c r="P93" s="3">
        <v>0</v>
      </c>
      <c r="R93" s="3">
        <v>0</v>
      </c>
      <c r="T93" s="3">
        <v>0</v>
      </c>
      <c r="U93">
        <f t="shared" si="3"/>
        <v>34</v>
      </c>
    </row>
    <row r="94" spans="1:21" x14ac:dyDescent="0.3">
      <c r="A94" t="s">
        <v>868</v>
      </c>
      <c r="B94" t="s">
        <v>38</v>
      </c>
      <c r="C94" s="3" t="s">
        <v>1029</v>
      </c>
      <c r="D94">
        <v>1300410</v>
      </c>
      <c r="E94" t="s">
        <v>85</v>
      </c>
      <c r="F94" t="s">
        <v>33</v>
      </c>
      <c r="H94" s="3">
        <v>0</v>
      </c>
      <c r="J94" s="3">
        <v>3000</v>
      </c>
      <c r="L94" s="3">
        <v>0</v>
      </c>
      <c r="N94" s="3">
        <v>2500</v>
      </c>
      <c r="P94" s="3">
        <v>0</v>
      </c>
      <c r="R94" s="3">
        <v>2500</v>
      </c>
      <c r="T94" s="3">
        <v>0</v>
      </c>
      <c r="U94">
        <f t="shared" si="3"/>
        <v>8000</v>
      </c>
    </row>
    <row r="95" spans="1:21" x14ac:dyDescent="0.3">
      <c r="A95" t="s">
        <v>868</v>
      </c>
      <c r="B95" t="s">
        <v>38</v>
      </c>
      <c r="C95" s="3" t="s">
        <v>1029</v>
      </c>
      <c r="D95">
        <v>1300411</v>
      </c>
      <c r="E95" t="s">
        <v>86</v>
      </c>
      <c r="F95" t="s">
        <v>33</v>
      </c>
      <c r="H95" s="3">
        <v>0</v>
      </c>
      <c r="J95" s="3">
        <v>0</v>
      </c>
      <c r="L95" s="3">
        <v>0</v>
      </c>
      <c r="N95" s="3">
        <v>200</v>
      </c>
      <c r="P95" s="3">
        <v>0</v>
      </c>
      <c r="R95" s="3">
        <v>200</v>
      </c>
      <c r="T95" s="3">
        <v>0</v>
      </c>
      <c r="U95">
        <f t="shared" si="3"/>
        <v>400</v>
      </c>
    </row>
    <row r="96" spans="1:21" x14ac:dyDescent="0.3">
      <c r="A96" t="s">
        <v>868</v>
      </c>
      <c r="B96" t="s">
        <v>38</v>
      </c>
      <c r="C96" s="3" t="s">
        <v>1029</v>
      </c>
      <c r="D96">
        <v>1300413</v>
      </c>
      <c r="E96" t="s">
        <v>87</v>
      </c>
      <c r="F96" t="s">
        <v>33</v>
      </c>
      <c r="H96" s="3">
        <v>150</v>
      </c>
      <c r="J96" s="3">
        <v>0</v>
      </c>
      <c r="L96" s="3">
        <v>0</v>
      </c>
      <c r="N96" s="3">
        <v>100</v>
      </c>
      <c r="P96" s="3">
        <v>0</v>
      </c>
      <c r="R96" s="3">
        <v>100</v>
      </c>
      <c r="T96" s="3">
        <v>0</v>
      </c>
      <c r="U96">
        <f t="shared" si="3"/>
        <v>350</v>
      </c>
    </row>
    <row r="97" spans="1:21" x14ac:dyDescent="0.3">
      <c r="A97" t="s">
        <v>868</v>
      </c>
      <c r="B97" t="s">
        <v>38</v>
      </c>
      <c r="C97" s="3" t="s">
        <v>1029</v>
      </c>
      <c r="D97">
        <v>1300511</v>
      </c>
      <c r="E97" t="s">
        <v>88</v>
      </c>
      <c r="F97" t="s">
        <v>33</v>
      </c>
      <c r="H97" s="3">
        <v>1000</v>
      </c>
      <c r="J97" s="3">
        <v>0</v>
      </c>
      <c r="L97" s="3">
        <v>2000</v>
      </c>
      <c r="N97" s="3"/>
      <c r="P97" s="3">
        <v>2000</v>
      </c>
      <c r="R97" s="3">
        <v>0</v>
      </c>
      <c r="T97" s="3">
        <v>0</v>
      </c>
      <c r="U97">
        <f t="shared" si="3"/>
        <v>5000</v>
      </c>
    </row>
    <row r="98" spans="1:21" x14ac:dyDescent="0.3">
      <c r="A98" t="s">
        <v>868</v>
      </c>
      <c r="B98" t="s">
        <v>38</v>
      </c>
      <c r="C98" s="3" t="s">
        <v>1030</v>
      </c>
      <c r="D98">
        <v>1300556</v>
      </c>
      <c r="E98" t="s">
        <v>315</v>
      </c>
      <c r="F98" t="s">
        <v>33</v>
      </c>
      <c r="H98" s="3">
        <v>0</v>
      </c>
      <c r="J98" s="3">
        <v>0</v>
      </c>
      <c r="L98" s="3">
        <v>25</v>
      </c>
      <c r="N98" s="3">
        <v>0</v>
      </c>
      <c r="P98" s="3">
        <v>0</v>
      </c>
      <c r="R98" s="3">
        <v>0</v>
      </c>
      <c r="T98" s="3">
        <v>0</v>
      </c>
      <c r="U98">
        <f t="shared" si="3"/>
        <v>25</v>
      </c>
    </row>
    <row r="99" spans="1:21" x14ac:dyDescent="0.3">
      <c r="A99" t="s">
        <v>868</v>
      </c>
      <c r="B99" t="s">
        <v>38</v>
      </c>
      <c r="C99" s="3" t="s">
        <v>1029</v>
      </c>
      <c r="D99">
        <v>1300599</v>
      </c>
      <c r="E99" t="s">
        <v>89</v>
      </c>
      <c r="F99" t="s">
        <v>33</v>
      </c>
      <c r="H99" s="3">
        <v>0</v>
      </c>
      <c r="J99" s="3">
        <v>300</v>
      </c>
      <c r="L99" s="3">
        <v>0</v>
      </c>
      <c r="N99" s="3">
        <v>200</v>
      </c>
      <c r="P99" s="3">
        <v>0</v>
      </c>
      <c r="R99" s="3">
        <v>200</v>
      </c>
      <c r="T99" s="3">
        <v>0</v>
      </c>
      <c r="U99">
        <f t="shared" si="3"/>
        <v>700</v>
      </c>
    </row>
    <row r="100" spans="1:21" x14ac:dyDescent="0.3">
      <c r="A100" t="s">
        <v>868</v>
      </c>
      <c r="B100" t="s">
        <v>38</v>
      </c>
      <c r="C100" s="3" t="s">
        <v>1029</v>
      </c>
      <c r="D100">
        <v>1300610</v>
      </c>
      <c r="E100" t="s">
        <v>90</v>
      </c>
      <c r="F100" t="s">
        <v>33</v>
      </c>
      <c r="H100" s="3">
        <v>0</v>
      </c>
      <c r="J100" s="3">
        <v>0</v>
      </c>
      <c r="L100" s="3">
        <v>0</v>
      </c>
      <c r="N100" s="3">
        <v>100</v>
      </c>
      <c r="P100" s="3">
        <v>0</v>
      </c>
      <c r="R100" s="3">
        <v>100</v>
      </c>
      <c r="T100" s="3">
        <v>0</v>
      </c>
      <c r="U100">
        <f t="shared" si="3"/>
        <v>200</v>
      </c>
    </row>
    <row r="101" spans="1:21" x14ac:dyDescent="0.3">
      <c r="A101" t="s">
        <v>868</v>
      </c>
      <c r="B101" t="s">
        <v>38</v>
      </c>
      <c r="C101" s="3" t="s">
        <v>1029</v>
      </c>
      <c r="D101">
        <v>1300681</v>
      </c>
      <c r="E101" t="s">
        <v>91</v>
      </c>
      <c r="F101" t="s">
        <v>33</v>
      </c>
      <c r="H101" s="3">
        <v>50</v>
      </c>
      <c r="J101" s="3">
        <v>75</v>
      </c>
      <c r="L101" s="3">
        <v>75</v>
      </c>
      <c r="N101" s="3">
        <v>75</v>
      </c>
      <c r="P101" s="3">
        <v>75</v>
      </c>
      <c r="R101" s="3">
        <v>75</v>
      </c>
      <c r="T101" s="3">
        <v>0</v>
      </c>
      <c r="U101">
        <f t="shared" si="3"/>
        <v>425</v>
      </c>
    </row>
    <row r="102" spans="1:21" x14ac:dyDescent="0.3">
      <c r="A102" t="s">
        <v>868</v>
      </c>
      <c r="B102" t="s">
        <v>38</v>
      </c>
      <c r="C102" s="3" t="s">
        <v>1029</v>
      </c>
      <c r="D102">
        <v>1300894</v>
      </c>
      <c r="E102" t="s">
        <v>92</v>
      </c>
      <c r="F102" t="s">
        <v>33</v>
      </c>
      <c r="H102" s="3">
        <v>0</v>
      </c>
      <c r="J102" s="3">
        <v>33.9</v>
      </c>
      <c r="L102" s="3">
        <v>67.900000000000006</v>
      </c>
      <c r="N102" s="3">
        <v>0</v>
      </c>
      <c r="P102" s="3">
        <v>0</v>
      </c>
      <c r="R102" s="3">
        <v>0</v>
      </c>
      <c r="T102" s="3">
        <v>0</v>
      </c>
      <c r="U102">
        <f t="shared" ref="U102:U114" si="4">SUM(G102:T102)</f>
        <v>101.80000000000001</v>
      </c>
    </row>
    <row r="103" spans="1:21" x14ac:dyDescent="0.3">
      <c r="A103" t="s">
        <v>868</v>
      </c>
      <c r="B103" t="s">
        <v>38</v>
      </c>
      <c r="C103" s="3" t="s">
        <v>1029</v>
      </c>
      <c r="D103">
        <v>1300967</v>
      </c>
      <c r="E103" t="s">
        <v>93</v>
      </c>
      <c r="F103" t="s">
        <v>33</v>
      </c>
      <c r="H103" s="3">
        <v>0</v>
      </c>
      <c r="J103" s="3">
        <v>240</v>
      </c>
      <c r="L103" s="3">
        <v>240</v>
      </c>
      <c r="N103" s="3">
        <v>500</v>
      </c>
      <c r="P103" s="3">
        <v>220</v>
      </c>
      <c r="R103" s="3">
        <v>258</v>
      </c>
      <c r="T103" s="3">
        <v>0</v>
      </c>
      <c r="U103">
        <f t="shared" si="4"/>
        <v>1458</v>
      </c>
    </row>
    <row r="104" spans="1:21" x14ac:dyDescent="0.3">
      <c r="A104" t="s">
        <v>868</v>
      </c>
      <c r="B104" t="s">
        <v>38</v>
      </c>
      <c r="C104" s="3" t="s">
        <v>1029</v>
      </c>
      <c r="D104">
        <v>1300998</v>
      </c>
      <c r="E104" t="s">
        <v>94</v>
      </c>
      <c r="F104" t="s">
        <v>33</v>
      </c>
      <c r="H104" s="3">
        <v>1500</v>
      </c>
      <c r="J104" s="3">
        <v>0</v>
      </c>
      <c r="L104" s="3">
        <v>0</v>
      </c>
      <c r="N104" s="3">
        <v>0</v>
      </c>
      <c r="P104" s="3">
        <v>0</v>
      </c>
      <c r="R104" s="3">
        <v>0</v>
      </c>
      <c r="T104" s="3">
        <v>0</v>
      </c>
      <c r="U104">
        <f t="shared" si="4"/>
        <v>1500</v>
      </c>
    </row>
    <row r="105" spans="1:21" x14ac:dyDescent="0.3">
      <c r="A105" t="s">
        <v>868</v>
      </c>
      <c r="B105" t="s">
        <v>38</v>
      </c>
      <c r="C105" s="3" t="s">
        <v>1029</v>
      </c>
      <c r="D105">
        <v>1301277</v>
      </c>
      <c r="E105" t="s">
        <v>39</v>
      </c>
      <c r="F105" t="s">
        <v>33</v>
      </c>
      <c r="H105" s="3">
        <v>90</v>
      </c>
      <c r="J105" s="3">
        <v>90</v>
      </c>
      <c r="L105" s="3">
        <v>60</v>
      </c>
      <c r="N105" s="3">
        <v>60</v>
      </c>
      <c r="P105" s="3">
        <v>0</v>
      </c>
      <c r="R105" s="3">
        <v>0</v>
      </c>
      <c r="T105" s="3">
        <v>0</v>
      </c>
      <c r="U105">
        <f t="shared" si="4"/>
        <v>300</v>
      </c>
    </row>
    <row r="106" spans="1:21" x14ac:dyDescent="0.3">
      <c r="A106" t="s">
        <v>868</v>
      </c>
      <c r="B106" t="s">
        <v>38</v>
      </c>
      <c r="C106" s="3" t="s">
        <v>1029</v>
      </c>
      <c r="D106">
        <v>1301416</v>
      </c>
      <c r="E106" t="s">
        <v>95</v>
      </c>
      <c r="F106" t="s">
        <v>33</v>
      </c>
      <c r="H106" s="3">
        <v>150</v>
      </c>
      <c r="J106" s="3">
        <v>90</v>
      </c>
      <c r="L106" s="3">
        <v>80</v>
      </c>
      <c r="N106" s="3">
        <v>100</v>
      </c>
      <c r="P106" s="3">
        <v>100</v>
      </c>
      <c r="R106" s="3">
        <v>100</v>
      </c>
      <c r="T106" s="3">
        <v>100</v>
      </c>
      <c r="U106">
        <f t="shared" si="4"/>
        <v>720</v>
      </c>
    </row>
    <row r="107" spans="1:21" x14ac:dyDescent="0.3">
      <c r="A107" t="s">
        <v>868</v>
      </c>
      <c r="B107" t="s">
        <v>38</v>
      </c>
      <c r="C107" s="3" t="s">
        <v>1029</v>
      </c>
      <c r="D107">
        <v>1301836</v>
      </c>
      <c r="E107" t="s">
        <v>96</v>
      </c>
      <c r="F107" t="s">
        <v>33</v>
      </c>
      <c r="H107" s="3">
        <v>52</v>
      </c>
      <c r="J107" s="3">
        <v>0</v>
      </c>
      <c r="L107" s="3">
        <v>0</v>
      </c>
      <c r="N107" s="3">
        <v>50</v>
      </c>
      <c r="P107" s="3">
        <v>25</v>
      </c>
      <c r="R107" s="3">
        <v>50</v>
      </c>
      <c r="T107" s="3">
        <v>50</v>
      </c>
      <c r="U107">
        <f t="shared" si="4"/>
        <v>227</v>
      </c>
    </row>
    <row r="108" spans="1:21" x14ac:dyDescent="0.3">
      <c r="A108" t="s">
        <v>868</v>
      </c>
      <c r="B108" t="s">
        <v>38</v>
      </c>
      <c r="C108" s="3" t="s">
        <v>1029</v>
      </c>
      <c r="D108">
        <v>1301838</v>
      </c>
      <c r="E108" t="s">
        <v>97</v>
      </c>
      <c r="F108" t="s">
        <v>33</v>
      </c>
      <c r="H108" s="3">
        <v>4410</v>
      </c>
      <c r="J108" s="3">
        <v>4000</v>
      </c>
      <c r="L108" s="3">
        <v>4800</v>
      </c>
      <c r="N108" s="3">
        <v>3500</v>
      </c>
      <c r="P108" s="3">
        <v>3500</v>
      </c>
      <c r="R108" s="3">
        <v>3500</v>
      </c>
      <c r="T108" s="3">
        <v>3500</v>
      </c>
      <c r="U108">
        <f t="shared" si="4"/>
        <v>27210</v>
      </c>
    </row>
    <row r="109" spans="1:21" x14ac:dyDescent="0.3">
      <c r="A109" t="s">
        <v>868</v>
      </c>
      <c r="B109" t="s">
        <v>38</v>
      </c>
      <c r="C109" s="3" t="s">
        <v>1029</v>
      </c>
      <c r="D109">
        <v>1301869</v>
      </c>
      <c r="E109" t="s">
        <v>98</v>
      </c>
      <c r="F109" t="s">
        <v>33</v>
      </c>
      <c r="H109" s="3">
        <v>100</v>
      </c>
      <c r="J109" s="3">
        <v>0</v>
      </c>
      <c r="L109" s="3">
        <v>0</v>
      </c>
      <c r="N109" s="3">
        <v>0</v>
      </c>
      <c r="P109" s="3">
        <v>0</v>
      </c>
      <c r="R109" s="3">
        <v>0</v>
      </c>
      <c r="T109" s="3">
        <v>0</v>
      </c>
      <c r="U109">
        <f t="shared" si="4"/>
        <v>100</v>
      </c>
    </row>
    <row r="110" spans="1:21" x14ac:dyDescent="0.3">
      <c r="A110" t="s">
        <v>868</v>
      </c>
      <c r="B110" t="s">
        <v>38</v>
      </c>
      <c r="C110" s="3" t="s">
        <v>1029</v>
      </c>
      <c r="D110">
        <v>1301886</v>
      </c>
      <c r="E110" t="s">
        <v>28</v>
      </c>
      <c r="F110" t="s">
        <v>33</v>
      </c>
      <c r="H110" s="3">
        <v>286</v>
      </c>
      <c r="J110" s="3">
        <v>270</v>
      </c>
      <c r="L110" s="3">
        <v>0</v>
      </c>
      <c r="N110" s="3">
        <v>0</v>
      </c>
      <c r="P110" s="3">
        <v>0</v>
      </c>
      <c r="R110" s="3">
        <v>0</v>
      </c>
      <c r="T110" s="3">
        <v>0</v>
      </c>
      <c r="U110">
        <f t="shared" si="4"/>
        <v>556</v>
      </c>
    </row>
    <row r="111" spans="1:21" x14ac:dyDescent="0.3">
      <c r="A111" t="s">
        <v>868</v>
      </c>
      <c r="B111" t="s">
        <v>38</v>
      </c>
      <c r="C111" s="3" t="s">
        <v>1029</v>
      </c>
      <c r="D111">
        <v>1301887</v>
      </c>
      <c r="E111" t="s">
        <v>24</v>
      </c>
      <c r="F111" t="s">
        <v>34</v>
      </c>
      <c r="H111" s="3">
        <v>25000</v>
      </c>
      <c r="J111" s="3">
        <v>0</v>
      </c>
      <c r="L111" s="3">
        <v>0</v>
      </c>
      <c r="N111" s="3">
        <v>0</v>
      </c>
      <c r="P111" s="3">
        <v>0</v>
      </c>
      <c r="R111" s="3">
        <v>0</v>
      </c>
      <c r="T111" s="3">
        <v>0</v>
      </c>
      <c r="U111">
        <f t="shared" si="4"/>
        <v>25000</v>
      </c>
    </row>
    <row r="112" spans="1:21" x14ac:dyDescent="0.3">
      <c r="A112" t="s">
        <v>868</v>
      </c>
      <c r="B112" t="s">
        <v>38</v>
      </c>
      <c r="C112" s="3" t="s">
        <v>0</v>
      </c>
      <c r="D112">
        <v>2000000</v>
      </c>
      <c r="E112" t="s">
        <v>99</v>
      </c>
      <c r="F112" t="s">
        <v>35</v>
      </c>
      <c r="H112" s="3">
        <v>15000</v>
      </c>
      <c r="J112" s="3">
        <v>0</v>
      </c>
      <c r="L112" s="3">
        <v>0</v>
      </c>
      <c r="N112" s="3">
        <v>0</v>
      </c>
      <c r="P112" s="3">
        <v>0</v>
      </c>
      <c r="R112" s="3">
        <v>0</v>
      </c>
      <c r="T112" s="3">
        <v>0</v>
      </c>
      <c r="U112">
        <f t="shared" si="4"/>
        <v>15000</v>
      </c>
    </row>
    <row r="113" spans="1:21" x14ac:dyDescent="0.3">
      <c r="A113" t="s">
        <v>868</v>
      </c>
      <c r="B113" t="s">
        <v>38</v>
      </c>
      <c r="C113" s="3" t="s">
        <v>0</v>
      </c>
      <c r="D113">
        <v>2000011</v>
      </c>
      <c r="E113" t="s">
        <v>100</v>
      </c>
      <c r="F113" t="s">
        <v>3</v>
      </c>
      <c r="H113" s="3">
        <v>300000</v>
      </c>
      <c r="J113" s="3">
        <v>137000</v>
      </c>
      <c r="L113" s="3">
        <v>0</v>
      </c>
      <c r="N113" s="3">
        <v>0</v>
      </c>
      <c r="P113" s="3">
        <v>0</v>
      </c>
      <c r="R113" s="3">
        <v>0</v>
      </c>
      <c r="T113" s="3">
        <v>0</v>
      </c>
      <c r="U113">
        <f t="shared" si="4"/>
        <v>437000</v>
      </c>
    </row>
    <row r="114" spans="1:21" x14ac:dyDescent="0.3">
      <c r="A114" t="s">
        <v>868</v>
      </c>
      <c r="B114" t="s">
        <v>38</v>
      </c>
      <c r="C114" s="3" t="s">
        <v>0</v>
      </c>
      <c r="D114">
        <v>2000012</v>
      </c>
      <c r="E114" t="s">
        <v>101</v>
      </c>
      <c r="F114" t="s">
        <v>35</v>
      </c>
      <c r="H114" s="3">
        <v>5000</v>
      </c>
      <c r="J114" s="3">
        <v>2000</v>
      </c>
      <c r="L114" s="3">
        <v>0</v>
      </c>
      <c r="N114" s="3">
        <v>0</v>
      </c>
      <c r="P114" s="3">
        <v>0</v>
      </c>
      <c r="R114" s="3">
        <v>0</v>
      </c>
      <c r="T114" s="3">
        <v>0</v>
      </c>
      <c r="U114">
        <f t="shared" si="4"/>
        <v>7000</v>
      </c>
    </row>
    <row r="115" spans="1:21" x14ac:dyDescent="0.3">
      <c r="A115" t="s">
        <v>868</v>
      </c>
      <c r="B115" t="s">
        <v>38</v>
      </c>
      <c r="C115" s="3" t="s">
        <v>0</v>
      </c>
      <c r="D115">
        <v>2000027</v>
      </c>
      <c r="E115" t="s">
        <v>102</v>
      </c>
      <c r="F115" t="s">
        <v>35</v>
      </c>
      <c r="H115" s="3">
        <v>125000</v>
      </c>
      <c r="J115" s="3">
        <v>17500</v>
      </c>
      <c r="L115" s="3">
        <v>0</v>
      </c>
      <c r="N115" s="3">
        <v>0</v>
      </c>
      <c r="P115" s="3">
        <v>0</v>
      </c>
      <c r="R115" s="3">
        <v>0</v>
      </c>
      <c r="T115" s="3">
        <v>0</v>
      </c>
      <c r="U115">
        <f t="shared" ref="U115:U135" si="5">SUM(G115:T115)</f>
        <v>142500</v>
      </c>
    </row>
    <row r="116" spans="1:21" x14ac:dyDescent="0.3">
      <c r="A116" t="s">
        <v>868</v>
      </c>
      <c r="B116" t="s">
        <v>38</v>
      </c>
      <c r="C116" s="3" t="s">
        <v>0</v>
      </c>
      <c r="D116">
        <v>2000028</v>
      </c>
      <c r="E116" t="s">
        <v>103</v>
      </c>
      <c r="F116" t="s">
        <v>35</v>
      </c>
      <c r="H116" s="3">
        <v>5600</v>
      </c>
      <c r="J116" s="3">
        <v>0</v>
      </c>
      <c r="L116" s="3">
        <v>0</v>
      </c>
      <c r="N116" s="3">
        <v>0</v>
      </c>
      <c r="P116" s="3">
        <v>0</v>
      </c>
      <c r="R116" s="3">
        <v>0</v>
      </c>
      <c r="T116" s="3">
        <v>0</v>
      </c>
      <c r="U116">
        <f t="shared" si="5"/>
        <v>5600</v>
      </c>
    </row>
    <row r="117" spans="1:21" x14ac:dyDescent="0.3">
      <c r="A117" t="s">
        <v>868</v>
      </c>
      <c r="B117" t="s">
        <v>38</v>
      </c>
      <c r="C117" s="3" t="s">
        <v>0</v>
      </c>
      <c r="D117">
        <v>2000030</v>
      </c>
      <c r="E117" t="s">
        <v>104</v>
      </c>
      <c r="F117" t="s">
        <v>35</v>
      </c>
      <c r="H117" s="3">
        <v>5600</v>
      </c>
      <c r="J117" s="3">
        <v>0</v>
      </c>
      <c r="L117" s="3">
        <v>0</v>
      </c>
      <c r="N117" s="3">
        <v>0</v>
      </c>
      <c r="P117" s="3">
        <v>0</v>
      </c>
      <c r="R117" s="3">
        <v>0</v>
      </c>
      <c r="T117" s="3">
        <v>0</v>
      </c>
      <c r="U117">
        <f t="shared" si="5"/>
        <v>5600</v>
      </c>
    </row>
    <row r="118" spans="1:21" x14ac:dyDescent="0.3">
      <c r="A118" t="s">
        <v>868</v>
      </c>
      <c r="B118" t="s">
        <v>38</v>
      </c>
      <c r="C118" s="3" t="s">
        <v>0</v>
      </c>
      <c r="D118">
        <v>2000032</v>
      </c>
      <c r="E118" t="s">
        <v>105</v>
      </c>
      <c r="F118" t="s">
        <v>35</v>
      </c>
      <c r="H118" s="3">
        <v>5350</v>
      </c>
      <c r="J118" s="3">
        <v>0</v>
      </c>
      <c r="L118" s="3">
        <v>0</v>
      </c>
      <c r="N118" s="3">
        <v>0</v>
      </c>
      <c r="P118" s="3">
        <v>0</v>
      </c>
      <c r="R118" s="3">
        <v>0</v>
      </c>
      <c r="T118" s="3">
        <v>0</v>
      </c>
      <c r="U118">
        <f t="shared" si="5"/>
        <v>5350</v>
      </c>
    </row>
    <row r="119" spans="1:21" x14ac:dyDescent="0.3">
      <c r="A119" t="s">
        <v>868</v>
      </c>
      <c r="B119" t="s">
        <v>38</v>
      </c>
      <c r="C119" s="3" t="s">
        <v>0</v>
      </c>
      <c r="D119">
        <v>2000033</v>
      </c>
      <c r="E119" t="s">
        <v>106</v>
      </c>
      <c r="F119" t="s">
        <v>35</v>
      </c>
      <c r="H119" s="3">
        <v>2000</v>
      </c>
      <c r="J119" s="3">
        <v>1000</v>
      </c>
      <c r="L119" s="3">
        <v>0</v>
      </c>
      <c r="N119" s="3">
        <v>0</v>
      </c>
      <c r="P119" s="3">
        <v>0</v>
      </c>
      <c r="R119" s="3">
        <v>0</v>
      </c>
      <c r="T119" s="3">
        <v>0</v>
      </c>
      <c r="U119">
        <f t="shared" si="5"/>
        <v>3000</v>
      </c>
    </row>
    <row r="120" spans="1:21" x14ac:dyDescent="0.3">
      <c r="A120" t="s">
        <v>868</v>
      </c>
      <c r="B120" t="s">
        <v>38</v>
      </c>
      <c r="C120" s="3" t="s">
        <v>0</v>
      </c>
      <c r="D120">
        <v>2000037</v>
      </c>
      <c r="E120" t="s">
        <v>316</v>
      </c>
      <c r="F120" t="s">
        <v>35</v>
      </c>
      <c r="H120" s="3">
        <v>0</v>
      </c>
      <c r="J120" s="3">
        <v>34000</v>
      </c>
      <c r="L120" s="3">
        <v>0</v>
      </c>
      <c r="N120" s="3">
        <v>0</v>
      </c>
      <c r="P120" s="3">
        <v>0</v>
      </c>
      <c r="R120" s="3">
        <v>0</v>
      </c>
      <c r="T120" s="3">
        <v>0</v>
      </c>
      <c r="U120">
        <f t="shared" si="5"/>
        <v>34000</v>
      </c>
    </row>
    <row r="121" spans="1:21" x14ac:dyDescent="0.3">
      <c r="A121" t="s">
        <v>868</v>
      </c>
      <c r="B121" t="s">
        <v>38</v>
      </c>
      <c r="C121" s="3" t="s">
        <v>0</v>
      </c>
      <c r="D121">
        <v>2000038</v>
      </c>
      <c r="E121" t="s">
        <v>317</v>
      </c>
      <c r="F121" t="s">
        <v>35</v>
      </c>
      <c r="H121" s="3">
        <v>0</v>
      </c>
      <c r="J121" s="3">
        <v>34000</v>
      </c>
      <c r="L121" s="3">
        <v>0</v>
      </c>
      <c r="N121" s="3">
        <v>0</v>
      </c>
      <c r="P121" s="3">
        <v>0</v>
      </c>
      <c r="R121" s="3">
        <v>0</v>
      </c>
      <c r="T121" s="3">
        <v>0</v>
      </c>
      <c r="U121">
        <f t="shared" si="5"/>
        <v>34000</v>
      </c>
    </row>
    <row r="122" spans="1:21" x14ac:dyDescent="0.3">
      <c r="A122" t="s">
        <v>868</v>
      </c>
      <c r="B122" t="s">
        <v>38</v>
      </c>
      <c r="C122" s="3" t="s">
        <v>0</v>
      </c>
      <c r="D122">
        <v>2000050</v>
      </c>
      <c r="E122" t="s">
        <v>107</v>
      </c>
      <c r="F122" t="s">
        <v>35</v>
      </c>
      <c r="H122" s="3">
        <v>50000</v>
      </c>
      <c r="J122" s="3">
        <v>0</v>
      </c>
      <c r="L122" s="3">
        <v>0</v>
      </c>
      <c r="N122" s="3">
        <v>0</v>
      </c>
      <c r="P122" s="3">
        <v>0</v>
      </c>
      <c r="R122" s="3">
        <v>0</v>
      </c>
      <c r="T122" s="3">
        <v>0</v>
      </c>
      <c r="U122">
        <f t="shared" si="5"/>
        <v>50000</v>
      </c>
    </row>
    <row r="123" spans="1:21" x14ac:dyDescent="0.3">
      <c r="A123" t="s">
        <v>868</v>
      </c>
      <c r="B123" t="s">
        <v>38</v>
      </c>
      <c r="C123" s="3" t="s">
        <v>0</v>
      </c>
      <c r="D123">
        <v>2000075</v>
      </c>
      <c r="E123" t="s">
        <v>109</v>
      </c>
      <c r="F123" t="s">
        <v>35</v>
      </c>
      <c r="H123" s="3">
        <v>54000</v>
      </c>
      <c r="J123" s="3">
        <v>0</v>
      </c>
      <c r="L123" s="3">
        <v>0</v>
      </c>
      <c r="N123" s="3">
        <v>0</v>
      </c>
      <c r="P123" s="3">
        <v>0</v>
      </c>
      <c r="R123" s="3">
        <v>0</v>
      </c>
      <c r="T123" s="3">
        <v>0</v>
      </c>
      <c r="U123">
        <f t="shared" si="5"/>
        <v>54000</v>
      </c>
    </row>
    <row r="124" spans="1:21" x14ac:dyDescent="0.3">
      <c r="A124" t="s">
        <v>868</v>
      </c>
      <c r="B124" t="s">
        <v>38</v>
      </c>
      <c r="C124" s="3" t="s">
        <v>0</v>
      </c>
      <c r="D124">
        <v>2000523</v>
      </c>
      <c r="E124" t="s">
        <v>110</v>
      </c>
      <c r="F124" t="s">
        <v>36</v>
      </c>
      <c r="H124" s="3">
        <v>200</v>
      </c>
      <c r="J124" s="3">
        <v>0</v>
      </c>
      <c r="L124" s="3">
        <v>0</v>
      </c>
      <c r="N124" s="3">
        <v>0</v>
      </c>
      <c r="P124" s="3">
        <v>0</v>
      </c>
      <c r="R124" s="3">
        <v>0</v>
      </c>
      <c r="T124" s="3">
        <v>0</v>
      </c>
      <c r="U124">
        <f t="shared" si="5"/>
        <v>200</v>
      </c>
    </row>
    <row r="125" spans="1:21" x14ac:dyDescent="0.3">
      <c r="A125" t="s">
        <v>868</v>
      </c>
      <c r="B125" t="s">
        <v>38</v>
      </c>
      <c r="C125" s="3" t="s">
        <v>0</v>
      </c>
      <c r="D125">
        <v>2000625</v>
      </c>
      <c r="E125" t="s">
        <v>111</v>
      </c>
      <c r="F125" t="s">
        <v>36</v>
      </c>
      <c r="H125" s="3">
        <v>0</v>
      </c>
      <c r="J125" s="3">
        <v>50</v>
      </c>
      <c r="L125" s="3">
        <v>0</v>
      </c>
      <c r="N125" s="3">
        <v>0</v>
      </c>
      <c r="P125" s="3">
        <v>0</v>
      </c>
      <c r="R125" s="3">
        <v>0</v>
      </c>
      <c r="T125" s="3">
        <v>0</v>
      </c>
      <c r="U125">
        <f t="shared" si="5"/>
        <v>50</v>
      </c>
    </row>
    <row r="126" spans="1:21" x14ac:dyDescent="0.3">
      <c r="A126" t="s">
        <v>868</v>
      </c>
      <c r="B126" t="s">
        <v>38</v>
      </c>
      <c r="C126" s="3" t="s">
        <v>0</v>
      </c>
      <c r="D126">
        <v>2000677</v>
      </c>
      <c r="E126" t="s">
        <v>112</v>
      </c>
      <c r="F126" t="s">
        <v>36</v>
      </c>
      <c r="H126" s="3">
        <v>100</v>
      </c>
      <c r="J126" s="3">
        <v>100</v>
      </c>
      <c r="L126" s="3">
        <v>0</v>
      </c>
      <c r="N126" s="3">
        <v>0</v>
      </c>
      <c r="P126" s="3">
        <v>0</v>
      </c>
      <c r="R126" s="3">
        <v>0</v>
      </c>
      <c r="T126" s="3">
        <v>0</v>
      </c>
      <c r="U126">
        <f t="shared" si="5"/>
        <v>200</v>
      </c>
    </row>
    <row r="127" spans="1:21" x14ac:dyDescent="0.3">
      <c r="A127" t="s">
        <v>868</v>
      </c>
      <c r="B127" t="s">
        <v>38</v>
      </c>
      <c r="C127" s="3" t="s">
        <v>0</v>
      </c>
      <c r="D127">
        <v>2000764</v>
      </c>
      <c r="E127" t="s">
        <v>113</v>
      </c>
      <c r="F127" t="s">
        <v>35</v>
      </c>
      <c r="H127" s="3">
        <v>250000</v>
      </c>
      <c r="J127" s="3">
        <v>0</v>
      </c>
      <c r="L127" s="3">
        <v>0</v>
      </c>
      <c r="N127" s="3">
        <v>0</v>
      </c>
      <c r="P127" s="3">
        <v>0</v>
      </c>
      <c r="R127" s="3">
        <v>0</v>
      </c>
      <c r="T127" s="3">
        <v>0</v>
      </c>
      <c r="U127">
        <f t="shared" si="5"/>
        <v>250000</v>
      </c>
    </row>
    <row r="128" spans="1:21" x14ac:dyDescent="0.3">
      <c r="A128" t="s">
        <v>868</v>
      </c>
      <c r="B128" t="s">
        <v>38</v>
      </c>
      <c r="C128" s="3" t="s">
        <v>0</v>
      </c>
      <c r="D128">
        <v>2000767</v>
      </c>
      <c r="E128" t="s">
        <v>115</v>
      </c>
      <c r="F128" t="s">
        <v>35</v>
      </c>
      <c r="H128" s="3">
        <v>55000</v>
      </c>
      <c r="J128" s="3">
        <v>0</v>
      </c>
      <c r="L128" s="3">
        <v>0</v>
      </c>
      <c r="N128" s="3">
        <v>0</v>
      </c>
      <c r="P128" s="3">
        <v>0</v>
      </c>
      <c r="R128" s="3">
        <v>0</v>
      </c>
      <c r="T128" s="3">
        <v>0</v>
      </c>
      <c r="U128">
        <f t="shared" si="5"/>
        <v>55000</v>
      </c>
    </row>
    <row r="129" spans="1:21" x14ac:dyDescent="0.3">
      <c r="A129" t="s">
        <v>868</v>
      </c>
      <c r="B129" t="s">
        <v>38</v>
      </c>
      <c r="C129" s="3" t="s">
        <v>0</v>
      </c>
      <c r="D129">
        <v>2000769</v>
      </c>
      <c r="E129" t="s">
        <v>117</v>
      </c>
      <c r="F129" t="s">
        <v>35</v>
      </c>
      <c r="H129" s="3">
        <v>120000</v>
      </c>
      <c r="J129" s="3">
        <v>0</v>
      </c>
      <c r="L129" s="3">
        <v>0</v>
      </c>
      <c r="N129" s="3">
        <v>0</v>
      </c>
      <c r="P129" s="3">
        <v>0</v>
      </c>
      <c r="R129" s="3">
        <v>0</v>
      </c>
      <c r="T129" s="3">
        <v>0</v>
      </c>
      <c r="U129">
        <f t="shared" si="5"/>
        <v>120000</v>
      </c>
    </row>
    <row r="130" spans="1:21" x14ac:dyDescent="0.3">
      <c r="A130" t="s">
        <v>868</v>
      </c>
      <c r="B130" t="s">
        <v>38</v>
      </c>
      <c r="C130" s="3" t="s">
        <v>0</v>
      </c>
      <c r="D130">
        <v>2000770</v>
      </c>
      <c r="E130" t="s">
        <v>118</v>
      </c>
      <c r="F130" t="s">
        <v>35</v>
      </c>
      <c r="H130" s="3">
        <v>6000</v>
      </c>
      <c r="J130" s="3">
        <v>0</v>
      </c>
      <c r="L130" s="3">
        <v>0</v>
      </c>
      <c r="N130" s="3">
        <v>0</v>
      </c>
      <c r="P130" s="3">
        <v>0</v>
      </c>
      <c r="R130" s="3">
        <v>0</v>
      </c>
      <c r="T130" s="3">
        <v>0</v>
      </c>
      <c r="U130">
        <f t="shared" si="5"/>
        <v>6000</v>
      </c>
    </row>
    <row r="131" spans="1:21" x14ac:dyDescent="0.3">
      <c r="A131" t="s">
        <v>868</v>
      </c>
      <c r="B131" t="s">
        <v>38</v>
      </c>
      <c r="C131" s="3" t="s">
        <v>0</v>
      </c>
      <c r="D131">
        <v>2000774</v>
      </c>
      <c r="E131" t="s">
        <v>119</v>
      </c>
      <c r="F131" t="s">
        <v>35</v>
      </c>
      <c r="H131" s="3">
        <v>28400</v>
      </c>
      <c r="J131" s="3">
        <v>0</v>
      </c>
      <c r="L131" s="3">
        <v>0</v>
      </c>
      <c r="N131" s="3">
        <v>0</v>
      </c>
      <c r="P131" s="3">
        <v>0</v>
      </c>
      <c r="R131" s="3">
        <v>0</v>
      </c>
      <c r="T131" s="3">
        <v>0</v>
      </c>
      <c r="U131">
        <f t="shared" si="5"/>
        <v>28400</v>
      </c>
    </row>
    <row r="132" spans="1:21" x14ac:dyDescent="0.3">
      <c r="A132" t="s">
        <v>868</v>
      </c>
      <c r="B132" t="s">
        <v>38</v>
      </c>
      <c r="C132" s="3" t="s">
        <v>0</v>
      </c>
      <c r="D132">
        <v>2000775</v>
      </c>
      <c r="E132" t="s">
        <v>120</v>
      </c>
      <c r="F132" t="s">
        <v>35</v>
      </c>
      <c r="H132" s="3">
        <v>28400</v>
      </c>
      <c r="J132" s="3">
        <v>0</v>
      </c>
      <c r="L132" s="3">
        <v>0</v>
      </c>
      <c r="N132" s="3">
        <v>0</v>
      </c>
      <c r="P132" s="3">
        <v>0</v>
      </c>
      <c r="R132" s="3">
        <v>0</v>
      </c>
      <c r="T132" s="3">
        <v>0</v>
      </c>
      <c r="U132">
        <f t="shared" si="5"/>
        <v>28400</v>
      </c>
    </row>
    <row r="133" spans="1:21" x14ac:dyDescent="0.3">
      <c r="A133" t="s">
        <v>868</v>
      </c>
      <c r="B133" t="s">
        <v>38</v>
      </c>
      <c r="C133" s="3" t="s">
        <v>0</v>
      </c>
      <c r="D133">
        <v>2000776</v>
      </c>
      <c r="E133" t="s">
        <v>121</v>
      </c>
      <c r="F133" t="s">
        <v>35</v>
      </c>
      <c r="H133" s="3">
        <v>56800</v>
      </c>
      <c r="J133" s="3">
        <v>0</v>
      </c>
      <c r="L133" s="3">
        <v>0</v>
      </c>
      <c r="N133" s="3">
        <v>0</v>
      </c>
      <c r="P133" s="3">
        <v>0</v>
      </c>
      <c r="R133" s="3">
        <v>0</v>
      </c>
      <c r="T133" s="3">
        <v>0</v>
      </c>
      <c r="U133">
        <f t="shared" si="5"/>
        <v>56800</v>
      </c>
    </row>
    <row r="134" spans="1:21" x14ac:dyDescent="0.3">
      <c r="A134" t="s">
        <v>868</v>
      </c>
      <c r="B134" t="s">
        <v>38</v>
      </c>
      <c r="C134" s="3" t="s">
        <v>0</v>
      </c>
      <c r="D134">
        <v>2000777</v>
      </c>
      <c r="E134" t="s">
        <v>122</v>
      </c>
      <c r="F134" t="s">
        <v>35</v>
      </c>
      <c r="H134" s="3">
        <v>5800</v>
      </c>
      <c r="J134" s="3">
        <v>0</v>
      </c>
      <c r="L134" s="3">
        <v>0</v>
      </c>
      <c r="N134" s="3">
        <v>0</v>
      </c>
      <c r="P134" s="3">
        <v>0</v>
      </c>
      <c r="R134" s="3">
        <v>0</v>
      </c>
      <c r="T134" s="3">
        <v>0</v>
      </c>
      <c r="U134">
        <f t="shared" si="5"/>
        <v>5800</v>
      </c>
    </row>
    <row r="135" spans="1:21" x14ac:dyDescent="0.3">
      <c r="A135" t="s">
        <v>868</v>
      </c>
      <c r="B135" t="s">
        <v>38</v>
      </c>
      <c r="C135" s="3" t="s">
        <v>0</v>
      </c>
      <c r="D135">
        <v>2000779</v>
      </c>
      <c r="E135" t="s">
        <v>123</v>
      </c>
      <c r="F135" t="s">
        <v>35</v>
      </c>
      <c r="H135" s="3">
        <v>16200</v>
      </c>
      <c r="J135" s="3">
        <v>0</v>
      </c>
      <c r="L135" s="3">
        <v>0</v>
      </c>
      <c r="N135" s="3">
        <v>0</v>
      </c>
      <c r="P135" s="3">
        <v>0</v>
      </c>
      <c r="R135" s="3">
        <v>0</v>
      </c>
      <c r="T135" s="3">
        <v>0</v>
      </c>
      <c r="U135">
        <f t="shared" si="5"/>
        <v>16200</v>
      </c>
    </row>
    <row r="136" spans="1:21" x14ac:dyDescent="0.3">
      <c r="A136" t="s">
        <v>868</v>
      </c>
      <c r="B136" t="s">
        <v>38</v>
      </c>
      <c r="C136" s="3" t="s">
        <v>0</v>
      </c>
      <c r="D136">
        <v>2000780</v>
      </c>
      <c r="E136" t="s">
        <v>124</v>
      </c>
      <c r="F136" t="s">
        <v>35</v>
      </c>
      <c r="H136" s="3">
        <v>48600</v>
      </c>
      <c r="J136" s="3">
        <v>0</v>
      </c>
      <c r="L136" s="3">
        <v>0</v>
      </c>
      <c r="N136" s="3">
        <v>0</v>
      </c>
      <c r="P136" s="3">
        <v>0</v>
      </c>
      <c r="R136" s="3">
        <v>0</v>
      </c>
      <c r="T136" s="3">
        <v>0</v>
      </c>
      <c r="U136">
        <f t="shared" ref="U136:U148" si="6">SUM(G136:T136)</f>
        <v>48600</v>
      </c>
    </row>
    <row r="137" spans="1:21" x14ac:dyDescent="0.3">
      <c r="A137" t="s">
        <v>868</v>
      </c>
      <c r="B137" t="s">
        <v>38</v>
      </c>
      <c r="C137" s="3" t="s">
        <v>0</v>
      </c>
      <c r="D137">
        <v>2000781</v>
      </c>
      <c r="E137" t="s">
        <v>125</v>
      </c>
      <c r="F137" t="s">
        <v>35</v>
      </c>
      <c r="H137" s="3">
        <v>5100</v>
      </c>
      <c r="J137" s="3">
        <v>0</v>
      </c>
      <c r="L137" s="3">
        <v>0</v>
      </c>
      <c r="N137" s="3">
        <v>0</v>
      </c>
      <c r="P137" s="3">
        <v>0</v>
      </c>
      <c r="R137" s="3">
        <v>0</v>
      </c>
      <c r="T137" s="3">
        <v>0</v>
      </c>
      <c r="U137">
        <f t="shared" si="6"/>
        <v>5100</v>
      </c>
    </row>
    <row r="138" spans="1:21" x14ac:dyDescent="0.3">
      <c r="A138" t="s">
        <v>868</v>
      </c>
      <c r="B138" t="s">
        <v>38</v>
      </c>
      <c r="C138" s="3" t="s">
        <v>0</v>
      </c>
      <c r="D138">
        <v>2000782</v>
      </c>
      <c r="E138" t="s">
        <v>126</v>
      </c>
      <c r="F138" t="s">
        <v>35</v>
      </c>
      <c r="H138" s="3">
        <v>16200</v>
      </c>
      <c r="J138" s="3">
        <v>0</v>
      </c>
      <c r="L138" s="3">
        <v>0</v>
      </c>
      <c r="N138" s="3">
        <v>0</v>
      </c>
      <c r="P138" s="3">
        <v>0</v>
      </c>
      <c r="R138" s="3">
        <v>0</v>
      </c>
      <c r="T138" s="3">
        <v>0</v>
      </c>
      <c r="U138">
        <f t="shared" si="6"/>
        <v>16200</v>
      </c>
    </row>
    <row r="139" spans="1:21" x14ac:dyDescent="0.3">
      <c r="A139" t="s">
        <v>868</v>
      </c>
      <c r="B139" t="s">
        <v>38</v>
      </c>
      <c r="C139" s="3" t="s">
        <v>0</v>
      </c>
      <c r="D139">
        <v>2000996</v>
      </c>
      <c r="E139" t="s">
        <v>130</v>
      </c>
      <c r="F139" t="s">
        <v>35</v>
      </c>
      <c r="H139" s="3">
        <v>175000</v>
      </c>
      <c r="J139" s="3">
        <v>0</v>
      </c>
      <c r="L139" s="3">
        <v>0</v>
      </c>
      <c r="N139" s="3">
        <v>0</v>
      </c>
      <c r="P139" s="3">
        <v>0</v>
      </c>
      <c r="R139" s="3">
        <v>0</v>
      </c>
      <c r="T139" s="3">
        <v>0</v>
      </c>
      <c r="U139">
        <f t="shared" si="6"/>
        <v>175000</v>
      </c>
    </row>
    <row r="140" spans="1:21" x14ac:dyDescent="0.3">
      <c r="A140" t="s">
        <v>868</v>
      </c>
      <c r="B140" t="s">
        <v>38</v>
      </c>
      <c r="C140" s="3" t="s">
        <v>0</v>
      </c>
      <c r="D140">
        <v>2001322</v>
      </c>
      <c r="E140" t="s">
        <v>131</v>
      </c>
      <c r="F140" t="s">
        <v>35</v>
      </c>
      <c r="H140" s="3">
        <v>150000</v>
      </c>
      <c r="J140" s="3">
        <v>0</v>
      </c>
      <c r="L140" s="3">
        <v>0</v>
      </c>
      <c r="N140" s="3">
        <v>0</v>
      </c>
      <c r="P140" s="3">
        <v>0</v>
      </c>
      <c r="R140" s="3">
        <v>0</v>
      </c>
      <c r="T140" s="3">
        <v>0</v>
      </c>
      <c r="U140">
        <f t="shared" si="6"/>
        <v>150000</v>
      </c>
    </row>
    <row r="141" spans="1:21" x14ac:dyDescent="0.3">
      <c r="A141" t="s">
        <v>868</v>
      </c>
      <c r="B141" t="s">
        <v>38</v>
      </c>
      <c r="C141" s="3" t="s">
        <v>0</v>
      </c>
      <c r="D141">
        <v>2001324</v>
      </c>
      <c r="E141" t="s">
        <v>132</v>
      </c>
      <c r="F141" t="s">
        <v>35</v>
      </c>
      <c r="H141" s="3">
        <v>65000</v>
      </c>
      <c r="J141" s="3">
        <v>0</v>
      </c>
      <c r="L141" s="3">
        <v>0</v>
      </c>
      <c r="N141" s="3">
        <v>0</v>
      </c>
      <c r="P141" s="3">
        <v>0</v>
      </c>
      <c r="R141" s="3">
        <v>0</v>
      </c>
      <c r="T141" s="3">
        <v>0</v>
      </c>
      <c r="U141">
        <f t="shared" si="6"/>
        <v>65000</v>
      </c>
    </row>
    <row r="142" spans="1:21" x14ac:dyDescent="0.3">
      <c r="A142" t="s">
        <v>868</v>
      </c>
      <c r="B142" t="s">
        <v>38</v>
      </c>
      <c r="C142" s="3" t="s">
        <v>0</v>
      </c>
      <c r="D142">
        <v>2001398</v>
      </c>
      <c r="E142" t="s">
        <v>133</v>
      </c>
      <c r="F142" t="s">
        <v>35</v>
      </c>
      <c r="H142" s="3">
        <v>4500</v>
      </c>
      <c r="J142" s="3">
        <v>0</v>
      </c>
      <c r="L142" s="3">
        <v>0</v>
      </c>
      <c r="N142" s="3">
        <v>0</v>
      </c>
      <c r="P142" s="3">
        <v>0</v>
      </c>
      <c r="R142" s="3">
        <v>0</v>
      </c>
      <c r="T142" s="3">
        <v>0</v>
      </c>
      <c r="U142">
        <f t="shared" si="6"/>
        <v>4500</v>
      </c>
    </row>
    <row r="143" spans="1:21" x14ac:dyDescent="0.3">
      <c r="A143" t="s">
        <v>868</v>
      </c>
      <c r="B143" t="s">
        <v>38</v>
      </c>
      <c r="C143" s="3" t="s">
        <v>0</v>
      </c>
      <c r="D143">
        <v>2001399</v>
      </c>
      <c r="E143" t="s">
        <v>134</v>
      </c>
      <c r="F143" t="s">
        <v>35</v>
      </c>
      <c r="H143" s="3">
        <v>58500</v>
      </c>
      <c r="J143" s="3">
        <v>0</v>
      </c>
      <c r="L143" s="3">
        <v>0</v>
      </c>
      <c r="N143" s="3">
        <v>0</v>
      </c>
      <c r="P143" s="3">
        <v>0</v>
      </c>
      <c r="R143" s="3">
        <v>0</v>
      </c>
      <c r="T143" s="3">
        <v>0</v>
      </c>
      <c r="U143">
        <f t="shared" si="6"/>
        <v>58500</v>
      </c>
    </row>
    <row r="144" spans="1:21" x14ac:dyDescent="0.3">
      <c r="A144" t="s">
        <v>868</v>
      </c>
      <c r="B144" t="s">
        <v>38</v>
      </c>
      <c r="C144" s="3" t="s">
        <v>0</v>
      </c>
      <c r="D144">
        <v>2001402</v>
      </c>
      <c r="E144" t="s">
        <v>136</v>
      </c>
      <c r="F144" t="s">
        <v>35</v>
      </c>
      <c r="H144" s="3">
        <v>25000</v>
      </c>
      <c r="J144" s="3">
        <v>0</v>
      </c>
      <c r="L144" s="3">
        <v>0</v>
      </c>
      <c r="N144" s="3">
        <v>0</v>
      </c>
      <c r="P144" s="3">
        <v>0</v>
      </c>
      <c r="R144" s="3">
        <v>0</v>
      </c>
      <c r="T144" s="3">
        <v>0</v>
      </c>
      <c r="U144">
        <f t="shared" si="6"/>
        <v>25000</v>
      </c>
    </row>
    <row r="145" spans="1:21" x14ac:dyDescent="0.3">
      <c r="A145" t="s">
        <v>868</v>
      </c>
      <c r="B145" t="s">
        <v>38</v>
      </c>
      <c r="C145" s="3" t="s">
        <v>0</v>
      </c>
      <c r="D145">
        <v>2001404</v>
      </c>
      <c r="E145" t="s">
        <v>137</v>
      </c>
      <c r="F145" t="s">
        <v>35</v>
      </c>
      <c r="H145" s="3">
        <v>100000</v>
      </c>
      <c r="J145" s="3">
        <v>0</v>
      </c>
      <c r="L145" s="3">
        <v>0</v>
      </c>
      <c r="N145" s="3">
        <v>0</v>
      </c>
      <c r="P145" s="3">
        <v>0</v>
      </c>
      <c r="R145" s="3">
        <v>0</v>
      </c>
      <c r="T145" s="3">
        <v>0</v>
      </c>
      <c r="U145">
        <f t="shared" si="6"/>
        <v>100000</v>
      </c>
    </row>
    <row r="146" spans="1:21" x14ac:dyDescent="0.3">
      <c r="A146" t="s">
        <v>868</v>
      </c>
      <c r="B146" t="s">
        <v>38</v>
      </c>
      <c r="C146" s="3" t="s">
        <v>0</v>
      </c>
      <c r="D146">
        <v>2001405</v>
      </c>
      <c r="E146" t="s">
        <v>138</v>
      </c>
      <c r="F146" t="s">
        <v>35</v>
      </c>
      <c r="H146" s="3">
        <v>160000</v>
      </c>
      <c r="J146" s="3">
        <v>0</v>
      </c>
      <c r="L146" s="3">
        <v>0</v>
      </c>
      <c r="N146" s="3">
        <v>0</v>
      </c>
      <c r="P146" s="3">
        <v>0</v>
      </c>
      <c r="R146" s="3">
        <v>0</v>
      </c>
      <c r="T146" s="3">
        <v>0</v>
      </c>
      <c r="U146">
        <f t="shared" si="6"/>
        <v>160000</v>
      </c>
    </row>
    <row r="147" spans="1:21" x14ac:dyDescent="0.3">
      <c r="A147" t="s">
        <v>868</v>
      </c>
      <c r="B147" t="s">
        <v>38</v>
      </c>
      <c r="C147" s="3" t="s">
        <v>0</v>
      </c>
      <c r="D147">
        <v>2001448</v>
      </c>
      <c r="E147" t="s">
        <v>140</v>
      </c>
      <c r="F147" t="s">
        <v>3</v>
      </c>
      <c r="H147" s="3">
        <v>35000</v>
      </c>
      <c r="J147" s="3">
        <v>0</v>
      </c>
      <c r="L147" s="3">
        <v>0</v>
      </c>
      <c r="N147" s="3">
        <v>0</v>
      </c>
      <c r="P147" s="3">
        <v>0</v>
      </c>
      <c r="R147" s="3">
        <v>0</v>
      </c>
      <c r="T147" s="3">
        <v>0</v>
      </c>
      <c r="U147">
        <f t="shared" si="6"/>
        <v>35000</v>
      </c>
    </row>
    <row r="148" spans="1:21" x14ac:dyDescent="0.3">
      <c r="A148" t="s">
        <v>868</v>
      </c>
      <c r="B148" t="s">
        <v>38</v>
      </c>
      <c r="C148" s="3" t="s">
        <v>0</v>
      </c>
      <c r="D148">
        <v>2002878</v>
      </c>
      <c r="E148" t="s">
        <v>141</v>
      </c>
      <c r="F148" t="s">
        <v>35</v>
      </c>
      <c r="H148" s="3">
        <v>13162</v>
      </c>
      <c r="J148" s="3">
        <v>0</v>
      </c>
      <c r="L148" s="3">
        <v>0</v>
      </c>
      <c r="N148" s="3">
        <v>0</v>
      </c>
      <c r="P148" s="3">
        <v>0</v>
      </c>
      <c r="R148" s="3">
        <v>0</v>
      </c>
      <c r="T148" s="3">
        <v>0</v>
      </c>
      <c r="U148">
        <f t="shared" si="6"/>
        <v>13162</v>
      </c>
    </row>
    <row r="149" spans="1:21" x14ac:dyDescent="0.3">
      <c r="A149" t="s">
        <v>868</v>
      </c>
      <c r="B149" t="s">
        <v>38</v>
      </c>
      <c r="C149" s="3" t="s">
        <v>0</v>
      </c>
      <c r="D149">
        <v>2300034</v>
      </c>
      <c r="E149" t="s">
        <v>142</v>
      </c>
      <c r="F149" t="s">
        <v>35</v>
      </c>
      <c r="H149" s="3">
        <v>45000</v>
      </c>
      <c r="J149" s="3">
        <v>105000</v>
      </c>
      <c r="L149" s="3">
        <v>0</v>
      </c>
      <c r="N149" s="3">
        <v>0</v>
      </c>
      <c r="P149" s="3">
        <v>0</v>
      </c>
      <c r="R149" s="3">
        <v>0</v>
      </c>
      <c r="T149" s="3">
        <v>0</v>
      </c>
      <c r="U149">
        <f t="shared" ref="U149:U163" si="7">SUM(G149:T149)</f>
        <v>150000</v>
      </c>
    </row>
    <row r="150" spans="1:21" x14ac:dyDescent="0.3">
      <c r="A150" t="s">
        <v>868</v>
      </c>
      <c r="B150" t="s">
        <v>38</v>
      </c>
      <c r="C150" s="3" t="s">
        <v>0</v>
      </c>
      <c r="D150">
        <v>2300035</v>
      </c>
      <c r="E150" t="s">
        <v>143</v>
      </c>
      <c r="F150" t="s">
        <v>35</v>
      </c>
      <c r="H150" s="3">
        <v>25000</v>
      </c>
      <c r="J150" s="3">
        <v>0</v>
      </c>
      <c r="L150" s="3">
        <v>0</v>
      </c>
      <c r="N150" s="3">
        <v>0</v>
      </c>
      <c r="P150" s="3">
        <v>0</v>
      </c>
      <c r="R150" s="3">
        <v>0</v>
      </c>
      <c r="T150" s="3">
        <v>0</v>
      </c>
      <c r="U150">
        <f t="shared" si="7"/>
        <v>25000</v>
      </c>
    </row>
    <row r="151" spans="1:21" x14ac:dyDescent="0.3">
      <c r="A151" t="s">
        <v>868</v>
      </c>
      <c r="B151" t="s">
        <v>38</v>
      </c>
      <c r="C151" s="3" t="s">
        <v>0</v>
      </c>
      <c r="D151">
        <v>2300036</v>
      </c>
      <c r="E151" t="s">
        <v>144</v>
      </c>
      <c r="F151" t="s">
        <v>35</v>
      </c>
      <c r="H151" s="3">
        <v>120000</v>
      </c>
      <c r="J151" s="3">
        <v>0</v>
      </c>
      <c r="L151" s="3">
        <v>0</v>
      </c>
      <c r="N151" s="3">
        <v>0</v>
      </c>
      <c r="P151" s="3">
        <v>0</v>
      </c>
      <c r="R151" s="3">
        <v>0</v>
      </c>
      <c r="T151" s="3">
        <v>0</v>
      </c>
      <c r="U151">
        <f t="shared" si="7"/>
        <v>120000</v>
      </c>
    </row>
    <row r="152" spans="1:21" x14ac:dyDescent="0.3">
      <c r="A152" t="s">
        <v>868</v>
      </c>
      <c r="B152" t="s">
        <v>38</v>
      </c>
      <c r="C152" s="3" t="s">
        <v>0</v>
      </c>
      <c r="D152">
        <v>2300103</v>
      </c>
      <c r="E152" t="s">
        <v>145</v>
      </c>
      <c r="F152" t="s">
        <v>35</v>
      </c>
      <c r="H152" s="3">
        <v>50000</v>
      </c>
      <c r="J152" s="3">
        <v>0</v>
      </c>
      <c r="L152" s="3">
        <v>0</v>
      </c>
      <c r="N152" s="3">
        <v>0</v>
      </c>
      <c r="P152" s="3">
        <v>0</v>
      </c>
      <c r="R152" s="3">
        <v>0</v>
      </c>
      <c r="T152" s="3">
        <v>0</v>
      </c>
      <c r="U152">
        <f t="shared" si="7"/>
        <v>50000</v>
      </c>
    </row>
    <row r="153" spans="1:21" x14ac:dyDescent="0.3">
      <c r="A153" t="s">
        <v>868</v>
      </c>
      <c r="B153" t="s">
        <v>38</v>
      </c>
      <c r="C153" s="3" t="s">
        <v>0</v>
      </c>
      <c r="D153">
        <v>2300104</v>
      </c>
      <c r="E153" t="s">
        <v>146</v>
      </c>
      <c r="F153" t="s">
        <v>35</v>
      </c>
      <c r="H153" s="3">
        <v>89000</v>
      </c>
      <c r="J153" s="3">
        <v>0</v>
      </c>
      <c r="L153" s="3">
        <v>0</v>
      </c>
      <c r="N153" s="3">
        <v>0</v>
      </c>
      <c r="P153" s="3">
        <v>0</v>
      </c>
      <c r="R153" s="3">
        <v>0</v>
      </c>
      <c r="T153" s="3">
        <v>0</v>
      </c>
      <c r="U153">
        <f t="shared" si="7"/>
        <v>89000</v>
      </c>
    </row>
    <row r="154" spans="1:21" x14ac:dyDescent="0.3">
      <c r="A154" t="s">
        <v>868</v>
      </c>
      <c r="B154" t="s">
        <v>38</v>
      </c>
      <c r="C154" s="3" t="s">
        <v>0</v>
      </c>
      <c r="D154">
        <v>2300360</v>
      </c>
      <c r="E154" t="s">
        <v>151</v>
      </c>
      <c r="F154" t="s">
        <v>35</v>
      </c>
      <c r="H154" s="3">
        <v>85000</v>
      </c>
      <c r="J154" s="3">
        <v>0</v>
      </c>
      <c r="L154" s="3">
        <v>0</v>
      </c>
      <c r="N154" s="3">
        <v>0</v>
      </c>
      <c r="P154" s="3">
        <v>0</v>
      </c>
      <c r="R154" s="3">
        <v>0</v>
      </c>
      <c r="T154" s="3">
        <v>0</v>
      </c>
      <c r="U154">
        <f t="shared" si="7"/>
        <v>85000</v>
      </c>
    </row>
    <row r="155" spans="1:21" x14ac:dyDescent="0.3">
      <c r="A155" t="s">
        <v>868</v>
      </c>
      <c r="B155" t="s">
        <v>38</v>
      </c>
      <c r="C155" s="3" t="s">
        <v>0</v>
      </c>
      <c r="D155">
        <v>2300361</v>
      </c>
      <c r="E155" t="s">
        <v>152</v>
      </c>
      <c r="F155" t="s">
        <v>35</v>
      </c>
      <c r="H155" s="3">
        <v>115000</v>
      </c>
      <c r="J155" s="3">
        <v>0</v>
      </c>
      <c r="L155" s="3">
        <v>0</v>
      </c>
      <c r="N155" s="3">
        <v>0</v>
      </c>
      <c r="P155" s="3">
        <v>0</v>
      </c>
      <c r="R155" s="3">
        <v>0</v>
      </c>
      <c r="T155" s="3">
        <v>0</v>
      </c>
      <c r="U155">
        <f t="shared" si="7"/>
        <v>115000</v>
      </c>
    </row>
    <row r="156" spans="1:21" x14ac:dyDescent="0.3">
      <c r="A156" t="s">
        <v>868</v>
      </c>
      <c r="B156" t="s">
        <v>38</v>
      </c>
      <c r="C156" s="3" t="s">
        <v>0</v>
      </c>
      <c r="D156">
        <v>2300414</v>
      </c>
      <c r="E156" t="s">
        <v>153</v>
      </c>
      <c r="F156" t="s">
        <v>35</v>
      </c>
      <c r="H156" s="3">
        <v>35000</v>
      </c>
      <c r="J156" s="3">
        <v>0</v>
      </c>
      <c r="L156" s="3">
        <v>0</v>
      </c>
      <c r="N156" s="3">
        <v>0</v>
      </c>
      <c r="P156" s="3">
        <v>0</v>
      </c>
      <c r="R156" s="3">
        <v>0</v>
      </c>
      <c r="T156" s="3">
        <v>0</v>
      </c>
      <c r="U156">
        <f t="shared" si="7"/>
        <v>35000</v>
      </c>
    </row>
    <row r="157" spans="1:21" x14ac:dyDescent="0.3">
      <c r="A157" t="s">
        <v>868</v>
      </c>
      <c r="B157" t="s">
        <v>38</v>
      </c>
      <c r="C157" s="3" t="s">
        <v>0</v>
      </c>
      <c r="D157">
        <v>2300415</v>
      </c>
      <c r="E157" t="s">
        <v>154</v>
      </c>
      <c r="F157" t="s">
        <v>35</v>
      </c>
      <c r="H157" s="3">
        <v>58800</v>
      </c>
      <c r="J157" s="3">
        <v>0</v>
      </c>
      <c r="L157" s="3">
        <v>0</v>
      </c>
      <c r="N157" s="3">
        <v>0</v>
      </c>
      <c r="P157" s="3">
        <v>0</v>
      </c>
      <c r="R157" s="3">
        <v>0</v>
      </c>
      <c r="T157" s="3">
        <v>0</v>
      </c>
      <c r="U157">
        <f t="shared" si="7"/>
        <v>58800</v>
      </c>
    </row>
    <row r="158" spans="1:21" x14ac:dyDescent="0.3">
      <c r="A158" t="s">
        <v>868</v>
      </c>
      <c r="B158" t="s">
        <v>38</v>
      </c>
      <c r="C158" s="3" t="s">
        <v>0</v>
      </c>
      <c r="D158">
        <v>2300417</v>
      </c>
      <c r="E158" t="s">
        <v>155</v>
      </c>
      <c r="F158" t="s">
        <v>35</v>
      </c>
      <c r="H158" s="3">
        <v>35000</v>
      </c>
      <c r="J158" s="3">
        <v>0</v>
      </c>
      <c r="L158" s="3">
        <v>0</v>
      </c>
      <c r="N158" s="3">
        <v>0</v>
      </c>
      <c r="P158" s="3">
        <v>0</v>
      </c>
      <c r="R158" s="3">
        <v>0</v>
      </c>
      <c r="T158" s="3">
        <v>0</v>
      </c>
      <c r="U158">
        <f t="shared" si="7"/>
        <v>35000</v>
      </c>
    </row>
    <row r="159" spans="1:21" x14ac:dyDescent="0.3">
      <c r="A159" t="s">
        <v>868</v>
      </c>
      <c r="B159" t="s">
        <v>38</v>
      </c>
      <c r="C159" s="3" t="s">
        <v>0</v>
      </c>
      <c r="D159">
        <v>2300423</v>
      </c>
      <c r="E159" t="s">
        <v>156</v>
      </c>
      <c r="F159" t="s">
        <v>3</v>
      </c>
      <c r="H159" s="3">
        <v>0</v>
      </c>
      <c r="J159" s="3">
        <v>85600</v>
      </c>
      <c r="L159" s="3">
        <v>0</v>
      </c>
      <c r="N159" s="3">
        <v>0</v>
      </c>
      <c r="P159" s="3">
        <v>0</v>
      </c>
      <c r="R159" s="3">
        <v>0</v>
      </c>
      <c r="T159" s="3">
        <v>0</v>
      </c>
      <c r="U159">
        <f t="shared" si="7"/>
        <v>85600</v>
      </c>
    </row>
    <row r="160" spans="1:21" x14ac:dyDescent="0.3">
      <c r="A160" t="s">
        <v>868</v>
      </c>
      <c r="B160" t="s">
        <v>38</v>
      </c>
      <c r="C160" s="3" t="s">
        <v>0</v>
      </c>
      <c r="D160">
        <v>2300428</v>
      </c>
      <c r="E160" t="s">
        <v>157</v>
      </c>
      <c r="F160" t="s">
        <v>3</v>
      </c>
      <c r="H160" s="3">
        <v>119000</v>
      </c>
      <c r="J160" s="3">
        <v>0</v>
      </c>
      <c r="L160" s="3">
        <v>0</v>
      </c>
      <c r="N160" s="3">
        <v>0</v>
      </c>
      <c r="P160" s="3">
        <v>0</v>
      </c>
      <c r="R160" s="3">
        <v>0</v>
      </c>
      <c r="T160" s="3">
        <v>0</v>
      </c>
      <c r="U160">
        <f t="shared" si="7"/>
        <v>119000</v>
      </c>
    </row>
    <row r="161" spans="1:21" x14ac:dyDescent="0.3">
      <c r="A161" t="s">
        <v>868</v>
      </c>
      <c r="B161" t="s">
        <v>38</v>
      </c>
      <c r="C161" s="3" t="s">
        <v>0</v>
      </c>
      <c r="D161">
        <v>2300429</v>
      </c>
      <c r="E161" t="s">
        <v>158</v>
      </c>
      <c r="F161" t="s">
        <v>3</v>
      </c>
      <c r="H161" s="3">
        <v>0</v>
      </c>
      <c r="J161" s="3">
        <v>102000</v>
      </c>
      <c r="L161" s="3">
        <v>0</v>
      </c>
      <c r="N161" s="3">
        <v>0</v>
      </c>
      <c r="P161" s="3">
        <v>0</v>
      </c>
      <c r="R161" s="3">
        <v>0</v>
      </c>
      <c r="T161" s="3">
        <v>0</v>
      </c>
      <c r="U161">
        <f t="shared" si="7"/>
        <v>102000</v>
      </c>
    </row>
    <row r="162" spans="1:21" x14ac:dyDescent="0.3">
      <c r="A162" t="s">
        <v>868</v>
      </c>
      <c r="B162" t="s">
        <v>38</v>
      </c>
      <c r="C162" s="3" t="s">
        <v>0</v>
      </c>
      <c r="D162">
        <v>2300430</v>
      </c>
      <c r="E162" t="s">
        <v>159</v>
      </c>
      <c r="F162" t="s">
        <v>3</v>
      </c>
      <c r="H162" s="3">
        <v>0</v>
      </c>
      <c r="J162" s="3">
        <v>48000</v>
      </c>
      <c r="L162" s="3">
        <v>0</v>
      </c>
      <c r="N162" s="3">
        <v>0</v>
      </c>
      <c r="P162" s="3">
        <v>0</v>
      </c>
      <c r="R162" s="3">
        <v>0</v>
      </c>
      <c r="T162" s="3">
        <v>0</v>
      </c>
      <c r="U162">
        <f t="shared" si="7"/>
        <v>48000</v>
      </c>
    </row>
    <row r="163" spans="1:21" x14ac:dyDescent="0.3">
      <c r="A163" t="s">
        <v>868</v>
      </c>
      <c r="B163" t="s">
        <v>38</v>
      </c>
      <c r="C163" s="3" t="s">
        <v>0</v>
      </c>
      <c r="D163">
        <v>2300490</v>
      </c>
      <c r="E163" t="s">
        <v>161</v>
      </c>
      <c r="F163" t="s">
        <v>35</v>
      </c>
      <c r="H163" s="3">
        <v>4300</v>
      </c>
      <c r="J163" s="3">
        <v>0</v>
      </c>
      <c r="L163" s="3">
        <v>0</v>
      </c>
      <c r="N163" s="3">
        <v>0</v>
      </c>
      <c r="P163" s="3">
        <v>0</v>
      </c>
      <c r="R163" s="3">
        <v>0</v>
      </c>
      <c r="T163" s="3">
        <v>0</v>
      </c>
      <c r="U163">
        <f t="shared" si="7"/>
        <v>4300</v>
      </c>
    </row>
    <row r="164" spans="1:21" x14ac:dyDescent="0.3">
      <c r="A164" t="s">
        <v>868</v>
      </c>
      <c r="B164" t="s">
        <v>38</v>
      </c>
      <c r="C164" s="3" t="s">
        <v>0</v>
      </c>
      <c r="D164">
        <v>2300752</v>
      </c>
      <c r="E164" t="s">
        <v>163</v>
      </c>
      <c r="F164" t="s">
        <v>35</v>
      </c>
      <c r="H164" s="3">
        <v>0</v>
      </c>
      <c r="J164" s="3">
        <v>100000</v>
      </c>
      <c r="L164" s="3">
        <v>0</v>
      </c>
      <c r="N164" s="3">
        <v>0</v>
      </c>
      <c r="P164" s="3">
        <v>0</v>
      </c>
      <c r="R164" s="3">
        <v>0</v>
      </c>
      <c r="T164" s="3">
        <v>0</v>
      </c>
      <c r="U164">
        <f t="shared" ref="U164:U176" si="8">SUM(G164:T164)</f>
        <v>100000</v>
      </c>
    </row>
    <row r="165" spans="1:21" x14ac:dyDescent="0.3">
      <c r="A165" t="s">
        <v>868</v>
      </c>
      <c r="B165" t="s">
        <v>38</v>
      </c>
      <c r="C165" s="3" t="s">
        <v>0</v>
      </c>
      <c r="D165">
        <v>2300774</v>
      </c>
      <c r="E165" t="s">
        <v>164</v>
      </c>
      <c r="F165" t="s">
        <v>36</v>
      </c>
      <c r="H165" s="3">
        <v>15</v>
      </c>
      <c r="J165" s="3">
        <v>0</v>
      </c>
      <c r="L165" s="3">
        <v>0</v>
      </c>
      <c r="N165" s="3">
        <v>0</v>
      </c>
      <c r="P165" s="3">
        <v>0</v>
      </c>
      <c r="R165" s="3">
        <v>0</v>
      </c>
      <c r="T165" s="3">
        <v>0</v>
      </c>
      <c r="U165">
        <f t="shared" si="8"/>
        <v>15</v>
      </c>
    </row>
    <row r="166" spans="1:21" x14ac:dyDescent="0.3">
      <c r="A166" t="s">
        <v>868</v>
      </c>
      <c r="B166" t="s">
        <v>38</v>
      </c>
      <c r="C166" s="3" t="s">
        <v>0</v>
      </c>
      <c r="D166">
        <v>2300927</v>
      </c>
      <c r="E166" t="s">
        <v>165</v>
      </c>
      <c r="F166" t="s">
        <v>3</v>
      </c>
      <c r="H166" s="3">
        <v>150000</v>
      </c>
      <c r="J166" s="3">
        <v>0</v>
      </c>
      <c r="L166" s="3">
        <v>0</v>
      </c>
      <c r="N166" s="3">
        <v>0</v>
      </c>
      <c r="P166" s="3">
        <v>0</v>
      </c>
      <c r="R166" s="3">
        <v>0</v>
      </c>
      <c r="T166" s="3">
        <v>0</v>
      </c>
      <c r="U166">
        <f t="shared" si="8"/>
        <v>150000</v>
      </c>
    </row>
    <row r="167" spans="1:21" x14ac:dyDescent="0.3">
      <c r="A167" t="s">
        <v>868</v>
      </c>
      <c r="B167" t="s">
        <v>38</v>
      </c>
      <c r="C167" s="3" t="s">
        <v>0</v>
      </c>
      <c r="D167">
        <v>2301006</v>
      </c>
      <c r="E167" t="s">
        <v>166</v>
      </c>
      <c r="F167" t="s">
        <v>3</v>
      </c>
      <c r="H167" s="3">
        <v>47250</v>
      </c>
      <c r="J167" s="3">
        <v>0</v>
      </c>
      <c r="L167" s="3">
        <v>0</v>
      </c>
      <c r="N167" s="3">
        <v>0</v>
      </c>
      <c r="P167" s="3">
        <v>0</v>
      </c>
      <c r="R167" s="3">
        <v>0</v>
      </c>
      <c r="T167" s="3">
        <v>0</v>
      </c>
      <c r="U167">
        <f t="shared" si="8"/>
        <v>47250</v>
      </c>
    </row>
    <row r="168" spans="1:21" x14ac:dyDescent="0.3">
      <c r="A168" t="s">
        <v>868</v>
      </c>
      <c r="B168" t="s">
        <v>38</v>
      </c>
      <c r="C168" s="3" t="s">
        <v>0</v>
      </c>
      <c r="D168">
        <v>2301048</v>
      </c>
      <c r="E168" t="s">
        <v>167</v>
      </c>
      <c r="F168" t="s">
        <v>35</v>
      </c>
      <c r="H168" s="3">
        <v>150000</v>
      </c>
      <c r="J168" s="3">
        <v>0</v>
      </c>
      <c r="L168" s="3">
        <v>0</v>
      </c>
      <c r="N168" s="3">
        <v>0</v>
      </c>
      <c r="P168" s="3">
        <v>0</v>
      </c>
      <c r="R168" s="3">
        <v>0</v>
      </c>
      <c r="T168" s="3">
        <v>0</v>
      </c>
      <c r="U168">
        <f t="shared" si="8"/>
        <v>150000</v>
      </c>
    </row>
    <row r="169" spans="1:21" x14ac:dyDescent="0.3">
      <c r="A169" t="s">
        <v>868</v>
      </c>
      <c r="B169" t="s">
        <v>38</v>
      </c>
      <c r="C169" s="3" t="s">
        <v>0</v>
      </c>
      <c r="D169">
        <v>2301049</v>
      </c>
      <c r="E169" t="s">
        <v>168</v>
      </c>
      <c r="F169" t="s">
        <v>35</v>
      </c>
      <c r="H169" s="3">
        <v>50000</v>
      </c>
      <c r="J169" s="3">
        <v>0</v>
      </c>
      <c r="L169" s="3">
        <v>0</v>
      </c>
      <c r="N169" s="3">
        <v>0</v>
      </c>
      <c r="P169" s="3">
        <v>0</v>
      </c>
      <c r="R169" s="3">
        <v>0</v>
      </c>
      <c r="T169" s="3">
        <v>0</v>
      </c>
      <c r="U169">
        <f t="shared" si="8"/>
        <v>50000</v>
      </c>
    </row>
    <row r="170" spans="1:21" x14ac:dyDescent="0.3">
      <c r="A170" t="s">
        <v>868</v>
      </c>
      <c r="B170" t="s">
        <v>38</v>
      </c>
      <c r="C170" s="3" t="s">
        <v>0</v>
      </c>
      <c r="D170">
        <v>2301346</v>
      </c>
      <c r="E170" t="s">
        <v>170</v>
      </c>
      <c r="F170" t="s">
        <v>3</v>
      </c>
      <c r="H170" s="3">
        <v>115000</v>
      </c>
      <c r="J170" s="3">
        <v>0</v>
      </c>
      <c r="L170" s="3">
        <v>0</v>
      </c>
      <c r="N170" s="3">
        <v>0</v>
      </c>
      <c r="P170" s="3">
        <v>0</v>
      </c>
      <c r="R170" s="3">
        <v>0</v>
      </c>
      <c r="T170" s="3">
        <v>0</v>
      </c>
      <c r="U170">
        <f t="shared" si="8"/>
        <v>115000</v>
      </c>
    </row>
    <row r="171" spans="1:21" x14ac:dyDescent="0.3">
      <c r="A171" t="s">
        <v>868</v>
      </c>
      <c r="B171" t="s">
        <v>38</v>
      </c>
      <c r="C171" s="3" t="s">
        <v>0</v>
      </c>
      <c r="D171">
        <v>2301397</v>
      </c>
      <c r="E171" t="s">
        <v>171</v>
      </c>
      <c r="F171" t="s">
        <v>35</v>
      </c>
      <c r="H171" s="3">
        <v>55000</v>
      </c>
      <c r="J171" s="3">
        <v>0</v>
      </c>
      <c r="L171" s="3">
        <v>0</v>
      </c>
      <c r="N171" s="3">
        <v>0</v>
      </c>
      <c r="P171" s="3">
        <v>0</v>
      </c>
      <c r="R171" s="3">
        <v>0</v>
      </c>
      <c r="T171" s="3">
        <v>0</v>
      </c>
      <c r="U171">
        <f t="shared" si="8"/>
        <v>55000</v>
      </c>
    </row>
    <row r="172" spans="1:21" x14ac:dyDescent="0.3">
      <c r="A172" t="s">
        <v>868</v>
      </c>
      <c r="B172" t="s">
        <v>38</v>
      </c>
      <c r="C172" s="3" t="s">
        <v>0</v>
      </c>
      <c r="D172">
        <v>2301422</v>
      </c>
      <c r="E172" t="s">
        <v>174</v>
      </c>
      <c r="F172" t="s">
        <v>35</v>
      </c>
      <c r="H172" s="3">
        <v>25000</v>
      </c>
      <c r="J172" s="3">
        <v>0</v>
      </c>
      <c r="L172" s="3">
        <v>0</v>
      </c>
      <c r="N172" s="3">
        <v>0</v>
      </c>
      <c r="P172" s="3">
        <v>0</v>
      </c>
      <c r="R172" s="3">
        <v>0</v>
      </c>
      <c r="T172" s="3">
        <v>0</v>
      </c>
      <c r="U172">
        <f t="shared" si="8"/>
        <v>25000</v>
      </c>
    </row>
    <row r="173" spans="1:21" x14ac:dyDescent="0.3">
      <c r="A173" t="s">
        <v>868</v>
      </c>
      <c r="B173" t="s">
        <v>38</v>
      </c>
      <c r="C173" s="3" t="s">
        <v>0</v>
      </c>
      <c r="D173">
        <v>2301423</v>
      </c>
      <c r="E173" t="s">
        <v>175</v>
      </c>
      <c r="F173" t="s">
        <v>35</v>
      </c>
      <c r="H173" s="3">
        <v>34000</v>
      </c>
      <c r="J173" s="3">
        <v>0</v>
      </c>
      <c r="L173" s="3">
        <v>0</v>
      </c>
      <c r="N173" s="3">
        <v>0</v>
      </c>
      <c r="P173" s="3">
        <v>0</v>
      </c>
      <c r="R173" s="3">
        <v>0</v>
      </c>
      <c r="T173" s="3">
        <v>0</v>
      </c>
      <c r="U173">
        <f t="shared" si="8"/>
        <v>34000</v>
      </c>
    </row>
    <row r="174" spans="1:21" x14ac:dyDescent="0.3">
      <c r="A174" t="s">
        <v>868</v>
      </c>
      <c r="B174" t="s">
        <v>38</v>
      </c>
      <c r="C174" s="3" t="s">
        <v>0</v>
      </c>
      <c r="D174">
        <v>2301685</v>
      </c>
      <c r="E174" t="s">
        <v>176</v>
      </c>
      <c r="F174" t="s">
        <v>35</v>
      </c>
      <c r="H174" s="3">
        <v>20000</v>
      </c>
      <c r="J174" s="3">
        <v>0</v>
      </c>
      <c r="L174" s="3">
        <v>0</v>
      </c>
      <c r="N174" s="3">
        <v>0</v>
      </c>
      <c r="P174" s="3">
        <v>0</v>
      </c>
      <c r="R174" s="3">
        <v>0</v>
      </c>
      <c r="T174" s="3">
        <v>0</v>
      </c>
      <c r="U174">
        <f t="shared" si="8"/>
        <v>20000</v>
      </c>
    </row>
    <row r="175" spans="1:21" x14ac:dyDescent="0.3">
      <c r="A175" t="s">
        <v>868</v>
      </c>
      <c r="B175" t="s">
        <v>38</v>
      </c>
      <c r="C175" s="3" t="s">
        <v>0</v>
      </c>
      <c r="D175">
        <v>2301763</v>
      </c>
      <c r="E175" t="s">
        <v>31</v>
      </c>
      <c r="F175" t="s">
        <v>3</v>
      </c>
      <c r="H175" s="3">
        <v>1021000</v>
      </c>
      <c r="J175" s="3">
        <v>0</v>
      </c>
      <c r="L175" s="3">
        <v>0</v>
      </c>
      <c r="N175" s="3">
        <v>0</v>
      </c>
      <c r="P175" s="3">
        <v>0</v>
      </c>
      <c r="R175" s="3">
        <v>0</v>
      </c>
      <c r="T175" s="3">
        <v>0</v>
      </c>
      <c r="U175">
        <f t="shared" si="8"/>
        <v>1021000</v>
      </c>
    </row>
    <row r="176" spans="1:21" x14ac:dyDescent="0.3">
      <c r="A176" t="s">
        <v>868</v>
      </c>
      <c r="B176" t="s">
        <v>38</v>
      </c>
      <c r="C176" s="3" t="s">
        <v>0</v>
      </c>
      <c r="D176">
        <v>2301765</v>
      </c>
      <c r="E176" t="s">
        <v>32</v>
      </c>
      <c r="F176" t="s">
        <v>3</v>
      </c>
      <c r="H176" s="3">
        <v>900900</v>
      </c>
      <c r="J176" s="3">
        <v>0</v>
      </c>
      <c r="L176" s="3">
        <v>0</v>
      </c>
      <c r="N176" s="3">
        <v>0</v>
      </c>
      <c r="P176" s="3">
        <v>0</v>
      </c>
      <c r="R176" s="3">
        <v>0</v>
      </c>
      <c r="T176" s="3">
        <v>0</v>
      </c>
      <c r="U176">
        <f t="shared" si="8"/>
        <v>900900</v>
      </c>
    </row>
    <row r="177" spans="1:21" x14ac:dyDescent="0.3">
      <c r="A177" t="s">
        <v>868</v>
      </c>
      <c r="B177" t="s">
        <v>38</v>
      </c>
      <c r="C177" s="3" t="s">
        <v>0</v>
      </c>
      <c r="D177">
        <v>2302186</v>
      </c>
      <c r="E177" t="s">
        <v>178</v>
      </c>
      <c r="F177" t="s">
        <v>35</v>
      </c>
      <c r="H177" s="3">
        <v>9100</v>
      </c>
      <c r="J177" s="3">
        <v>0</v>
      </c>
      <c r="L177" s="3">
        <v>0</v>
      </c>
      <c r="N177" s="3">
        <v>0</v>
      </c>
      <c r="P177" s="3">
        <v>0</v>
      </c>
      <c r="R177" s="3">
        <v>0</v>
      </c>
      <c r="T177" s="3">
        <v>0</v>
      </c>
      <c r="U177">
        <f t="shared" ref="U177:U185" si="9">SUM(G177:T177)</f>
        <v>9100</v>
      </c>
    </row>
    <row r="178" spans="1:21" x14ac:dyDescent="0.3">
      <c r="A178" t="s">
        <v>868</v>
      </c>
      <c r="B178" t="s">
        <v>38</v>
      </c>
      <c r="C178" s="3" t="s">
        <v>0</v>
      </c>
      <c r="D178">
        <v>2302187</v>
      </c>
      <c r="E178" t="s">
        <v>318</v>
      </c>
      <c r="F178" t="s">
        <v>35</v>
      </c>
      <c r="H178" s="3">
        <v>9300</v>
      </c>
      <c r="J178" s="3">
        <v>0</v>
      </c>
      <c r="L178" s="3">
        <v>0</v>
      </c>
      <c r="N178" s="3">
        <v>0</v>
      </c>
      <c r="P178" s="3">
        <v>0</v>
      </c>
      <c r="R178" s="3">
        <v>0</v>
      </c>
      <c r="T178" s="3">
        <v>0</v>
      </c>
      <c r="U178">
        <f t="shared" si="9"/>
        <v>9300</v>
      </c>
    </row>
    <row r="179" spans="1:21" x14ac:dyDescent="0.3">
      <c r="A179" t="s">
        <v>868</v>
      </c>
      <c r="B179" t="s">
        <v>38</v>
      </c>
      <c r="C179" s="3" t="s">
        <v>0</v>
      </c>
      <c r="D179">
        <v>2302188</v>
      </c>
      <c r="E179" t="s">
        <v>319</v>
      </c>
      <c r="F179" t="s">
        <v>36</v>
      </c>
      <c r="H179" s="3">
        <v>5</v>
      </c>
      <c r="J179" s="3">
        <v>0</v>
      </c>
      <c r="L179" s="3">
        <v>0</v>
      </c>
      <c r="N179" s="3">
        <v>0</v>
      </c>
      <c r="P179" s="3">
        <v>0</v>
      </c>
      <c r="R179" s="3">
        <v>0</v>
      </c>
      <c r="T179" s="3">
        <v>0</v>
      </c>
      <c r="U179">
        <f t="shared" si="9"/>
        <v>5</v>
      </c>
    </row>
    <row r="180" spans="1:21" x14ac:dyDescent="0.3">
      <c r="A180" t="s">
        <v>868</v>
      </c>
      <c r="B180" t="s">
        <v>38</v>
      </c>
      <c r="C180" s="3" t="s">
        <v>0</v>
      </c>
      <c r="D180">
        <v>2303070</v>
      </c>
      <c r="E180" t="s">
        <v>320</v>
      </c>
      <c r="F180" t="s">
        <v>35</v>
      </c>
      <c r="H180" s="3">
        <v>12000</v>
      </c>
      <c r="J180" s="3">
        <v>0</v>
      </c>
      <c r="L180" s="3">
        <v>0</v>
      </c>
      <c r="N180" s="3">
        <v>0</v>
      </c>
      <c r="P180" s="3">
        <v>0</v>
      </c>
      <c r="R180" s="3">
        <v>0</v>
      </c>
      <c r="T180" s="3">
        <v>0</v>
      </c>
      <c r="U180">
        <f t="shared" si="9"/>
        <v>12000</v>
      </c>
    </row>
    <row r="181" spans="1:21" x14ac:dyDescent="0.3">
      <c r="A181" t="s">
        <v>868</v>
      </c>
      <c r="B181" t="s">
        <v>38</v>
      </c>
      <c r="C181" s="3" t="s">
        <v>0</v>
      </c>
      <c r="D181">
        <v>2303071</v>
      </c>
      <c r="E181" t="s">
        <v>186</v>
      </c>
      <c r="F181" t="s">
        <v>35</v>
      </c>
      <c r="H181" s="3">
        <v>11300</v>
      </c>
      <c r="J181" s="3">
        <v>0</v>
      </c>
      <c r="L181" s="3">
        <v>0</v>
      </c>
      <c r="N181" s="3">
        <v>0</v>
      </c>
      <c r="P181" s="3">
        <v>0</v>
      </c>
      <c r="R181" s="3">
        <v>0</v>
      </c>
      <c r="T181" s="3">
        <v>0</v>
      </c>
      <c r="U181">
        <f t="shared" si="9"/>
        <v>11300</v>
      </c>
    </row>
    <row r="182" spans="1:21" x14ac:dyDescent="0.3">
      <c r="A182" t="s">
        <v>868</v>
      </c>
      <c r="B182" t="s">
        <v>38</v>
      </c>
      <c r="C182" s="3" t="s">
        <v>0</v>
      </c>
      <c r="D182">
        <v>2303072</v>
      </c>
      <c r="E182" t="s">
        <v>321</v>
      </c>
      <c r="F182" t="s">
        <v>36</v>
      </c>
      <c r="H182" s="3">
        <v>3</v>
      </c>
      <c r="J182" s="3">
        <v>0</v>
      </c>
      <c r="L182" s="3">
        <v>0</v>
      </c>
      <c r="N182" s="3">
        <v>0</v>
      </c>
      <c r="P182" s="3">
        <v>0</v>
      </c>
      <c r="R182" s="3">
        <v>0</v>
      </c>
      <c r="T182" s="3">
        <v>0</v>
      </c>
      <c r="U182">
        <f t="shared" si="9"/>
        <v>3</v>
      </c>
    </row>
    <row r="183" spans="1:21" x14ac:dyDescent="0.3">
      <c r="A183" t="s">
        <v>868</v>
      </c>
      <c r="B183" t="s">
        <v>38</v>
      </c>
      <c r="C183" s="3" t="s">
        <v>0</v>
      </c>
      <c r="D183">
        <v>2303261</v>
      </c>
      <c r="E183" t="s">
        <v>187</v>
      </c>
      <c r="F183" t="s">
        <v>36</v>
      </c>
      <c r="H183" s="3">
        <v>253</v>
      </c>
      <c r="J183" s="3">
        <v>0</v>
      </c>
      <c r="L183" s="3">
        <v>0</v>
      </c>
      <c r="N183" s="3">
        <v>0</v>
      </c>
      <c r="P183" s="3">
        <v>0</v>
      </c>
      <c r="R183" s="3">
        <v>0</v>
      </c>
      <c r="T183" s="3">
        <v>0</v>
      </c>
      <c r="U183">
        <f t="shared" si="9"/>
        <v>253</v>
      </c>
    </row>
    <row r="184" spans="1:21" x14ac:dyDescent="0.3">
      <c r="A184" t="s">
        <v>868</v>
      </c>
      <c r="B184" t="s">
        <v>38</v>
      </c>
      <c r="C184" s="3" t="s">
        <v>0</v>
      </c>
      <c r="D184">
        <v>2303535</v>
      </c>
      <c r="E184" t="s">
        <v>189</v>
      </c>
      <c r="F184" t="s">
        <v>35</v>
      </c>
      <c r="H184" s="3">
        <v>13000</v>
      </c>
      <c r="J184" s="3">
        <v>0</v>
      </c>
      <c r="L184" s="3">
        <v>0</v>
      </c>
      <c r="N184" s="3">
        <v>0</v>
      </c>
      <c r="P184" s="3">
        <v>0</v>
      </c>
      <c r="R184" s="3">
        <v>0</v>
      </c>
      <c r="T184" s="3">
        <v>0</v>
      </c>
      <c r="U184">
        <f t="shared" si="9"/>
        <v>13000</v>
      </c>
    </row>
    <row r="185" spans="1:21" x14ac:dyDescent="0.3">
      <c r="A185" t="s">
        <v>868</v>
      </c>
      <c r="B185" t="s">
        <v>38</v>
      </c>
      <c r="C185" s="3" t="s">
        <v>0</v>
      </c>
      <c r="D185">
        <v>2303538</v>
      </c>
      <c r="E185" t="s">
        <v>190</v>
      </c>
      <c r="F185" t="s">
        <v>35</v>
      </c>
      <c r="H185" s="3">
        <v>20000</v>
      </c>
      <c r="J185" s="3">
        <v>0</v>
      </c>
      <c r="L185" s="3">
        <v>0</v>
      </c>
      <c r="N185" s="3">
        <v>0</v>
      </c>
      <c r="P185" s="3">
        <v>0</v>
      </c>
      <c r="R185" s="3">
        <v>0</v>
      </c>
      <c r="T185" s="3">
        <v>0</v>
      </c>
      <c r="U185">
        <f t="shared" si="9"/>
        <v>20000</v>
      </c>
    </row>
    <row r="186" spans="1:21" x14ac:dyDescent="0.3">
      <c r="A186" t="s">
        <v>868</v>
      </c>
      <c r="B186" t="s">
        <v>38</v>
      </c>
      <c r="C186" s="3" t="s">
        <v>0</v>
      </c>
      <c r="D186">
        <v>2303750</v>
      </c>
      <c r="E186" t="s">
        <v>193</v>
      </c>
      <c r="F186" t="s">
        <v>35</v>
      </c>
      <c r="H186" s="3">
        <v>18000</v>
      </c>
      <c r="J186" s="3">
        <v>0</v>
      </c>
      <c r="L186" s="3">
        <v>0</v>
      </c>
      <c r="N186" s="3">
        <v>0</v>
      </c>
      <c r="P186" s="3">
        <v>0</v>
      </c>
      <c r="R186" s="3">
        <v>0</v>
      </c>
      <c r="T186" s="3">
        <v>0</v>
      </c>
      <c r="U186">
        <f t="shared" ref="U186:U192" si="10">SUM(G186:T186)</f>
        <v>18000</v>
      </c>
    </row>
    <row r="187" spans="1:21" x14ac:dyDescent="0.3">
      <c r="A187" t="s">
        <v>868</v>
      </c>
      <c r="B187" t="s">
        <v>38</v>
      </c>
      <c r="C187" s="3" t="s">
        <v>0</v>
      </c>
      <c r="D187">
        <v>2303751</v>
      </c>
      <c r="E187" t="s">
        <v>322</v>
      </c>
      <c r="F187" t="s">
        <v>35</v>
      </c>
      <c r="H187" s="3">
        <v>18400</v>
      </c>
      <c r="J187" s="3">
        <v>0</v>
      </c>
      <c r="L187" s="3">
        <v>0</v>
      </c>
      <c r="N187" s="3">
        <v>0</v>
      </c>
      <c r="P187" s="3">
        <v>0</v>
      </c>
      <c r="R187" s="3">
        <v>0</v>
      </c>
      <c r="T187" s="3">
        <v>0</v>
      </c>
      <c r="U187">
        <f t="shared" si="10"/>
        <v>18400</v>
      </c>
    </row>
    <row r="188" spans="1:21" x14ac:dyDescent="0.3">
      <c r="A188" t="s">
        <v>868</v>
      </c>
      <c r="B188" t="s">
        <v>38</v>
      </c>
      <c r="C188" s="3" t="s">
        <v>0</v>
      </c>
      <c r="D188">
        <v>2303753</v>
      </c>
      <c r="E188" t="s">
        <v>194</v>
      </c>
      <c r="F188" t="s">
        <v>36</v>
      </c>
      <c r="H188" s="3">
        <v>11</v>
      </c>
      <c r="J188" s="3">
        <v>0</v>
      </c>
      <c r="L188" s="3">
        <v>0</v>
      </c>
      <c r="N188" s="3">
        <v>0</v>
      </c>
      <c r="P188" s="3">
        <v>0</v>
      </c>
      <c r="R188" s="3">
        <v>0</v>
      </c>
      <c r="T188" s="3">
        <v>0</v>
      </c>
      <c r="U188">
        <f t="shared" si="10"/>
        <v>11</v>
      </c>
    </row>
    <row r="189" spans="1:21" x14ac:dyDescent="0.3">
      <c r="A189" t="s">
        <v>868</v>
      </c>
      <c r="B189" t="s">
        <v>38</v>
      </c>
      <c r="C189" s="3" t="s">
        <v>0</v>
      </c>
      <c r="D189">
        <v>2303756</v>
      </c>
      <c r="E189" t="s">
        <v>195</v>
      </c>
      <c r="F189" t="s">
        <v>36</v>
      </c>
      <c r="H189" s="3">
        <v>3</v>
      </c>
      <c r="J189" s="3">
        <v>0</v>
      </c>
      <c r="L189" s="3">
        <v>0</v>
      </c>
      <c r="N189" s="3">
        <v>0</v>
      </c>
      <c r="P189" s="3">
        <v>0</v>
      </c>
      <c r="R189" s="3">
        <v>0</v>
      </c>
      <c r="T189" s="3">
        <v>0</v>
      </c>
      <c r="U189">
        <f t="shared" si="10"/>
        <v>3</v>
      </c>
    </row>
    <row r="190" spans="1:21" x14ac:dyDescent="0.3">
      <c r="A190" t="s">
        <v>868</v>
      </c>
      <c r="B190" t="s">
        <v>38</v>
      </c>
      <c r="C190" s="3" t="s">
        <v>0</v>
      </c>
      <c r="D190">
        <v>2303774</v>
      </c>
      <c r="E190" t="s">
        <v>196</v>
      </c>
      <c r="F190" t="s">
        <v>36</v>
      </c>
      <c r="H190" s="3">
        <v>5</v>
      </c>
      <c r="J190" s="3">
        <v>0</v>
      </c>
      <c r="L190" s="3">
        <v>0</v>
      </c>
      <c r="N190" s="3">
        <v>0</v>
      </c>
      <c r="P190" s="3">
        <v>0</v>
      </c>
      <c r="R190" s="3">
        <v>0</v>
      </c>
      <c r="T190" s="3">
        <v>0</v>
      </c>
      <c r="U190">
        <f t="shared" si="10"/>
        <v>5</v>
      </c>
    </row>
    <row r="191" spans="1:21" x14ac:dyDescent="0.3">
      <c r="A191" t="s">
        <v>868</v>
      </c>
      <c r="B191" t="s">
        <v>38</v>
      </c>
      <c r="C191" s="3" t="s">
        <v>0</v>
      </c>
      <c r="D191">
        <v>2400062</v>
      </c>
      <c r="E191" t="s">
        <v>197</v>
      </c>
      <c r="F191" t="s">
        <v>35</v>
      </c>
      <c r="H191" s="3">
        <v>52700</v>
      </c>
      <c r="J191" s="3">
        <v>0</v>
      </c>
      <c r="L191" s="3">
        <v>0</v>
      </c>
      <c r="N191" s="3">
        <v>0</v>
      </c>
      <c r="P191" s="3">
        <v>0</v>
      </c>
      <c r="R191" s="3">
        <v>0</v>
      </c>
      <c r="T191" s="3">
        <v>0</v>
      </c>
      <c r="U191">
        <f t="shared" si="10"/>
        <v>52700</v>
      </c>
    </row>
    <row r="192" spans="1:21" x14ac:dyDescent="0.3">
      <c r="A192" t="s">
        <v>868</v>
      </c>
      <c r="B192" t="s">
        <v>38</v>
      </c>
      <c r="C192" s="3" t="s">
        <v>0</v>
      </c>
      <c r="D192">
        <v>2400063</v>
      </c>
      <c r="E192" t="s">
        <v>198</v>
      </c>
      <c r="F192" t="s">
        <v>35</v>
      </c>
      <c r="H192" s="3">
        <v>52700</v>
      </c>
      <c r="J192" s="3">
        <v>0</v>
      </c>
      <c r="L192" s="3">
        <v>0</v>
      </c>
      <c r="N192" s="3">
        <v>0</v>
      </c>
      <c r="P192" s="3">
        <v>0</v>
      </c>
      <c r="R192" s="3">
        <v>0</v>
      </c>
      <c r="T192" s="3">
        <v>0</v>
      </c>
      <c r="U192">
        <f t="shared" si="10"/>
        <v>52700</v>
      </c>
    </row>
    <row r="193" spans="1:21" x14ac:dyDescent="0.3">
      <c r="A193" t="s">
        <v>868</v>
      </c>
      <c r="B193" t="s">
        <v>38</v>
      </c>
      <c r="C193" s="3" t="s">
        <v>1032</v>
      </c>
      <c r="D193">
        <v>4000798</v>
      </c>
      <c r="E193" t="s">
        <v>323</v>
      </c>
      <c r="F193" t="s">
        <v>35</v>
      </c>
      <c r="H193" s="3">
        <v>1700</v>
      </c>
      <c r="J193" s="3">
        <v>0</v>
      </c>
      <c r="L193" s="3">
        <v>0</v>
      </c>
      <c r="N193" s="3">
        <v>0</v>
      </c>
      <c r="P193" s="3">
        <v>0</v>
      </c>
      <c r="R193" s="3">
        <v>0</v>
      </c>
      <c r="T193" s="3">
        <v>0</v>
      </c>
      <c r="U193">
        <f t="shared" ref="U193:U194" si="11">SUM(G193:T193)</f>
        <v>1700</v>
      </c>
    </row>
    <row r="194" spans="1:21" x14ac:dyDescent="0.3">
      <c r="A194" t="s">
        <v>868</v>
      </c>
      <c r="B194" t="s">
        <v>38</v>
      </c>
      <c r="C194" s="3" t="s">
        <v>1031</v>
      </c>
      <c r="D194">
        <v>4000799</v>
      </c>
      <c r="E194" t="s">
        <v>324</v>
      </c>
      <c r="F194" t="s">
        <v>35</v>
      </c>
      <c r="H194" s="3">
        <v>2280</v>
      </c>
      <c r="J194" s="3">
        <v>0</v>
      </c>
      <c r="L194" s="3">
        <v>0</v>
      </c>
      <c r="N194" s="3">
        <v>0</v>
      </c>
      <c r="P194" s="3">
        <v>0</v>
      </c>
      <c r="R194" s="3">
        <v>0</v>
      </c>
      <c r="T194" s="3">
        <v>0</v>
      </c>
      <c r="U194">
        <f t="shared" si="11"/>
        <v>2280</v>
      </c>
    </row>
    <row r="195" spans="1:21" x14ac:dyDescent="0.3">
      <c r="A195" t="s">
        <v>868</v>
      </c>
      <c r="B195" t="s">
        <v>38</v>
      </c>
      <c r="C195" s="3" t="s">
        <v>1031</v>
      </c>
      <c r="D195">
        <v>4302246</v>
      </c>
      <c r="E195" t="s">
        <v>325</v>
      </c>
      <c r="F195" t="s">
        <v>35</v>
      </c>
      <c r="H195" s="3">
        <v>5880</v>
      </c>
      <c r="J195" s="3">
        <v>0</v>
      </c>
      <c r="L195" s="3">
        <v>0</v>
      </c>
      <c r="N195" s="3">
        <v>0</v>
      </c>
      <c r="P195" s="3">
        <v>0</v>
      </c>
      <c r="R195" s="3">
        <v>0</v>
      </c>
      <c r="T195" s="3">
        <v>0</v>
      </c>
      <c r="U195">
        <f t="shared" ref="U195:U197" si="12">SUM(G195:T195)</f>
        <v>5880</v>
      </c>
    </row>
    <row r="196" spans="1:21" x14ac:dyDescent="0.3">
      <c r="A196" t="s">
        <v>868</v>
      </c>
      <c r="B196" t="s">
        <v>38</v>
      </c>
      <c r="C196" s="3" t="s">
        <v>1031</v>
      </c>
      <c r="D196">
        <v>4302247</v>
      </c>
      <c r="E196" t="s">
        <v>326</v>
      </c>
      <c r="F196" t="s">
        <v>35</v>
      </c>
      <c r="H196" s="3">
        <v>14380</v>
      </c>
      <c r="J196" s="3">
        <v>0</v>
      </c>
      <c r="L196" s="3">
        <v>0</v>
      </c>
      <c r="N196" s="3">
        <v>0</v>
      </c>
      <c r="P196" s="3">
        <v>0</v>
      </c>
      <c r="R196" s="3">
        <v>0</v>
      </c>
      <c r="T196" s="3">
        <v>0</v>
      </c>
      <c r="U196">
        <f t="shared" si="12"/>
        <v>14380</v>
      </c>
    </row>
    <row r="197" spans="1:21" x14ac:dyDescent="0.3">
      <c r="A197" t="s">
        <v>868</v>
      </c>
      <c r="B197" t="s">
        <v>38</v>
      </c>
      <c r="C197" s="3" t="s">
        <v>1031</v>
      </c>
      <c r="D197">
        <v>4302248</v>
      </c>
      <c r="E197" t="s">
        <v>327</v>
      </c>
      <c r="F197" t="s">
        <v>35</v>
      </c>
      <c r="H197" s="3">
        <v>8480</v>
      </c>
      <c r="J197" s="3">
        <v>0</v>
      </c>
      <c r="L197" s="3">
        <v>0</v>
      </c>
      <c r="N197" s="3">
        <v>0</v>
      </c>
      <c r="P197" s="3">
        <v>0</v>
      </c>
      <c r="R197" s="3">
        <v>0</v>
      </c>
      <c r="T197" s="3">
        <v>0</v>
      </c>
      <c r="U197">
        <f t="shared" si="12"/>
        <v>8480</v>
      </c>
    </row>
    <row r="198" spans="1:21" x14ac:dyDescent="0.3">
      <c r="A198" t="s">
        <v>868</v>
      </c>
      <c r="B198" t="s">
        <v>38</v>
      </c>
      <c r="C198" s="3" t="s">
        <v>1033</v>
      </c>
      <c r="D198">
        <v>8000047</v>
      </c>
      <c r="E198" t="s">
        <v>199</v>
      </c>
      <c r="F198" t="s">
        <v>37</v>
      </c>
      <c r="H198" s="3">
        <v>1400000</v>
      </c>
      <c r="J198" s="3">
        <v>1400000</v>
      </c>
      <c r="L198" s="3">
        <v>1400000</v>
      </c>
      <c r="N198" s="3">
        <v>2800000</v>
      </c>
      <c r="P198" s="3">
        <v>1401105</v>
      </c>
      <c r="R198" s="3">
        <v>0</v>
      </c>
      <c r="T198" s="3">
        <v>0</v>
      </c>
      <c r="U198">
        <f t="shared" ref="U198:U199" si="13">SUM(G198:T198)</f>
        <v>8401105</v>
      </c>
    </row>
    <row r="199" spans="1:21" x14ac:dyDescent="0.3">
      <c r="A199" t="s">
        <v>868</v>
      </c>
      <c r="B199" t="s">
        <v>38</v>
      </c>
      <c r="C199" s="3" t="s">
        <v>1033</v>
      </c>
      <c r="D199">
        <v>8300465</v>
      </c>
      <c r="E199" t="s">
        <v>201</v>
      </c>
      <c r="F199" t="s">
        <v>37</v>
      </c>
      <c r="H199" s="3">
        <v>1800000</v>
      </c>
      <c r="J199" s="3">
        <v>0</v>
      </c>
      <c r="L199" s="3">
        <v>3600000</v>
      </c>
      <c r="N199" s="3">
        <v>0</v>
      </c>
      <c r="P199" s="3">
        <v>0</v>
      </c>
      <c r="R199" s="3">
        <v>0</v>
      </c>
      <c r="T199" s="3">
        <v>0</v>
      </c>
      <c r="U199">
        <f t="shared" si="13"/>
        <v>5400000</v>
      </c>
    </row>
    <row r="200" spans="1:21" x14ac:dyDescent="0.3">
      <c r="A200" t="s">
        <v>1006</v>
      </c>
      <c r="B200" t="s">
        <v>864</v>
      </c>
      <c r="C200" s="3" t="s">
        <v>1029</v>
      </c>
      <c r="D200">
        <v>1000005</v>
      </c>
      <c r="E200" t="s">
        <v>56</v>
      </c>
      <c r="F200" t="s">
        <v>33</v>
      </c>
      <c r="H200" s="3">
        <v>156.47999999999999</v>
      </c>
      <c r="J200" s="3">
        <v>0</v>
      </c>
      <c r="L200">
        <v>0</v>
      </c>
      <c r="N200">
        <v>0</v>
      </c>
      <c r="P200">
        <v>0</v>
      </c>
      <c r="R200">
        <v>0</v>
      </c>
    </row>
    <row r="201" spans="1:21" x14ac:dyDescent="0.3">
      <c r="A201" t="s">
        <v>1006</v>
      </c>
      <c r="B201" t="s">
        <v>864</v>
      </c>
      <c r="C201" s="3" t="s">
        <v>1029</v>
      </c>
      <c r="D201">
        <v>1000007</v>
      </c>
      <c r="E201" t="s">
        <v>61</v>
      </c>
      <c r="F201" t="s">
        <v>33</v>
      </c>
      <c r="H201" s="3">
        <v>0</v>
      </c>
      <c r="J201" s="3">
        <v>0</v>
      </c>
      <c r="L201">
        <v>1000</v>
      </c>
      <c r="N201">
        <v>0</v>
      </c>
      <c r="P201">
        <v>1000</v>
      </c>
      <c r="R201">
        <v>0</v>
      </c>
    </row>
    <row r="202" spans="1:21" x14ac:dyDescent="0.3">
      <c r="A202" t="s">
        <v>1006</v>
      </c>
      <c r="B202" t="s">
        <v>864</v>
      </c>
      <c r="C202" s="3" t="s">
        <v>1029</v>
      </c>
      <c r="D202">
        <v>1000008</v>
      </c>
      <c r="E202" t="s">
        <v>60</v>
      </c>
      <c r="F202" t="s">
        <v>33</v>
      </c>
      <c r="H202" s="3">
        <v>0</v>
      </c>
      <c r="J202" s="3">
        <v>2000</v>
      </c>
      <c r="L202">
        <v>0</v>
      </c>
      <c r="N202">
        <v>1000</v>
      </c>
      <c r="P202">
        <v>0</v>
      </c>
      <c r="R202">
        <v>0</v>
      </c>
    </row>
    <row r="203" spans="1:21" x14ac:dyDescent="0.3">
      <c r="A203" t="s">
        <v>1006</v>
      </c>
      <c r="B203" t="s">
        <v>864</v>
      </c>
      <c r="C203" s="3" t="s">
        <v>1029</v>
      </c>
      <c r="D203">
        <v>1000009</v>
      </c>
      <c r="E203" t="s">
        <v>42</v>
      </c>
      <c r="F203" t="s">
        <v>33</v>
      </c>
      <c r="H203" s="3">
        <v>0</v>
      </c>
      <c r="J203" s="3">
        <v>0</v>
      </c>
      <c r="L203">
        <v>600</v>
      </c>
      <c r="N203">
        <v>0</v>
      </c>
      <c r="P203">
        <v>0</v>
      </c>
      <c r="R203">
        <v>0</v>
      </c>
    </row>
    <row r="204" spans="1:21" x14ac:dyDescent="0.3">
      <c r="A204" t="s">
        <v>1006</v>
      </c>
      <c r="B204" t="s">
        <v>864</v>
      </c>
      <c r="C204" s="3" t="s">
        <v>1029</v>
      </c>
      <c r="D204">
        <v>1000013</v>
      </c>
      <c r="E204" t="s">
        <v>20</v>
      </c>
      <c r="F204" t="s">
        <v>33</v>
      </c>
      <c r="H204" s="3">
        <v>0</v>
      </c>
      <c r="J204" s="3">
        <v>0</v>
      </c>
      <c r="L204">
        <v>0</v>
      </c>
      <c r="N204">
        <v>1000</v>
      </c>
      <c r="P204">
        <v>0</v>
      </c>
      <c r="R204">
        <v>0</v>
      </c>
    </row>
    <row r="205" spans="1:21" x14ac:dyDescent="0.3">
      <c r="A205" t="s">
        <v>1006</v>
      </c>
      <c r="B205" t="s">
        <v>864</v>
      </c>
      <c r="C205" s="3" t="s">
        <v>1029</v>
      </c>
      <c r="D205">
        <v>1000015</v>
      </c>
      <c r="E205" t="s">
        <v>15</v>
      </c>
      <c r="F205" t="s">
        <v>33</v>
      </c>
      <c r="H205" s="3">
        <v>0</v>
      </c>
      <c r="J205" s="3">
        <v>0</v>
      </c>
      <c r="L205">
        <v>5000</v>
      </c>
      <c r="N205">
        <v>0</v>
      </c>
      <c r="P205">
        <v>0</v>
      </c>
      <c r="R205">
        <v>0</v>
      </c>
    </row>
    <row r="206" spans="1:21" x14ac:dyDescent="0.3">
      <c r="A206" t="s">
        <v>1006</v>
      </c>
      <c r="B206" t="s">
        <v>864</v>
      </c>
      <c r="C206" s="3" t="s">
        <v>1029</v>
      </c>
      <c r="D206">
        <v>1000017</v>
      </c>
      <c r="E206" t="s">
        <v>67</v>
      </c>
      <c r="F206" t="s">
        <v>34</v>
      </c>
      <c r="H206" s="3">
        <v>0</v>
      </c>
      <c r="J206" s="3">
        <v>0</v>
      </c>
      <c r="L206">
        <v>3000000</v>
      </c>
      <c r="N206">
        <v>3000000</v>
      </c>
      <c r="P206">
        <v>0</v>
      </c>
      <c r="R206">
        <v>0</v>
      </c>
    </row>
    <row r="207" spans="1:21" x14ac:dyDescent="0.3">
      <c r="A207" t="s">
        <v>1006</v>
      </c>
      <c r="B207" t="s">
        <v>864</v>
      </c>
      <c r="C207" s="3" t="s">
        <v>1029</v>
      </c>
      <c r="D207">
        <v>1000027</v>
      </c>
      <c r="E207" t="s">
        <v>25</v>
      </c>
      <c r="F207" t="s">
        <v>33</v>
      </c>
      <c r="H207" s="3">
        <v>2493.9</v>
      </c>
      <c r="J207" s="3">
        <v>2493.9</v>
      </c>
      <c r="L207">
        <v>2934</v>
      </c>
      <c r="N207">
        <v>2493.9</v>
      </c>
      <c r="P207">
        <v>2493.9</v>
      </c>
      <c r="R207">
        <v>2493.9</v>
      </c>
    </row>
    <row r="208" spans="1:21" x14ac:dyDescent="0.3">
      <c r="A208" t="s">
        <v>1006</v>
      </c>
      <c r="B208" t="s">
        <v>864</v>
      </c>
      <c r="C208" s="3" t="s">
        <v>1029</v>
      </c>
      <c r="D208">
        <v>1000029</v>
      </c>
      <c r="E208" t="s">
        <v>869</v>
      </c>
      <c r="F208" t="s">
        <v>33</v>
      </c>
      <c r="H208" s="3">
        <v>2664.5</v>
      </c>
      <c r="J208" s="3">
        <v>2000</v>
      </c>
      <c r="L208">
        <v>3000</v>
      </c>
      <c r="N208">
        <v>2000</v>
      </c>
      <c r="P208">
        <v>3000</v>
      </c>
      <c r="R208">
        <v>2000</v>
      </c>
    </row>
    <row r="209" spans="1:18" x14ac:dyDescent="0.3">
      <c r="A209" t="s">
        <v>1006</v>
      </c>
      <c r="B209" t="s">
        <v>864</v>
      </c>
      <c r="C209" s="3" t="s">
        <v>1029</v>
      </c>
      <c r="D209">
        <v>1000030</v>
      </c>
      <c r="E209" t="s">
        <v>62</v>
      </c>
      <c r="F209" t="s">
        <v>33</v>
      </c>
      <c r="H209" s="3">
        <v>0</v>
      </c>
      <c r="J209" s="3">
        <v>0</v>
      </c>
      <c r="L209">
        <v>0</v>
      </c>
      <c r="N209">
        <v>80</v>
      </c>
      <c r="P209">
        <v>0</v>
      </c>
      <c r="R209">
        <v>0</v>
      </c>
    </row>
    <row r="210" spans="1:18" x14ac:dyDescent="0.3">
      <c r="A210" t="s">
        <v>1006</v>
      </c>
      <c r="B210" t="s">
        <v>864</v>
      </c>
      <c r="C210" s="3" t="s">
        <v>1029</v>
      </c>
      <c r="D210">
        <v>1000031</v>
      </c>
      <c r="E210" t="s">
        <v>22</v>
      </c>
      <c r="F210" t="s">
        <v>33</v>
      </c>
      <c r="H210" s="3">
        <v>0</v>
      </c>
      <c r="J210" s="3">
        <v>0</v>
      </c>
      <c r="L210">
        <v>0</v>
      </c>
      <c r="N210">
        <v>1200</v>
      </c>
      <c r="P210">
        <v>0</v>
      </c>
      <c r="R210">
        <v>0</v>
      </c>
    </row>
    <row r="211" spans="1:18" x14ac:dyDescent="0.3">
      <c r="A211" t="s">
        <v>1006</v>
      </c>
      <c r="B211" t="s">
        <v>864</v>
      </c>
      <c r="C211" s="3" t="s">
        <v>1029</v>
      </c>
      <c r="D211">
        <v>1000036</v>
      </c>
      <c r="E211" t="s">
        <v>57</v>
      </c>
      <c r="F211" t="s">
        <v>34</v>
      </c>
      <c r="H211" s="3">
        <v>0</v>
      </c>
      <c r="J211" s="3">
        <v>0</v>
      </c>
      <c r="L211">
        <v>700000</v>
      </c>
      <c r="N211">
        <v>0</v>
      </c>
      <c r="P211">
        <v>0</v>
      </c>
      <c r="R211">
        <v>0</v>
      </c>
    </row>
    <row r="212" spans="1:18" x14ac:dyDescent="0.3">
      <c r="A212" t="s">
        <v>1006</v>
      </c>
      <c r="B212" t="s">
        <v>864</v>
      </c>
      <c r="C212" s="3" t="s">
        <v>1029</v>
      </c>
      <c r="D212">
        <v>1000038</v>
      </c>
      <c r="E212" t="s">
        <v>17</v>
      </c>
      <c r="F212" t="s">
        <v>33</v>
      </c>
      <c r="H212" s="3">
        <v>0</v>
      </c>
      <c r="J212" s="3">
        <v>0</v>
      </c>
      <c r="L212">
        <v>0</v>
      </c>
      <c r="N212">
        <v>2000</v>
      </c>
      <c r="P212">
        <v>0</v>
      </c>
      <c r="R212">
        <v>0</v>
      </c>
    </row>
    <row r="213" spans="1:18" x14ac:dyDescent="0.3">
      <c r="A213" t="s">
        <v>1006</v>
      </c>
      <c r="B213" t="s">
        <v>864</v>
      </c>
      <c r="C213" s="3" t="s">
        <v>1029</v>
      </c>
      <c r="D213">
        <v>1000042</v>
      </c>
      <c r="E213" t="s">
        <v>27</v>
      </c>
      <c r="F213" t="s">
        <v>33</v>
      </c>
      <c r="H213" s="3">
        <v>0</v>
      </c>
      <c r="J213" s="3">
        <v>0</v>
      </c>
      <c r="L213">
        <v>90</v>
      </c>
      <c r="N213">
        <v>0</v>
      </c>
      <c r="P213">
        <v>0</v>
      </c>
      <c r="R213">
        <v>0</v>
      </c>
    </row>
    <row r="214" spans="1:18" x14ac:dyDescent="0.3">
      <c r="A214" t="s">
        <v>1006</v>
      </c>
      <c r="B214" t="s">
        <v>864</v>
      </c>
      <c r="C214" s="3" t="s">
        <v>1029</v>
      </c>
      <c r="D214">
        <v>1000043</v>
      </c>
      <c r="E214" t="s">
        <v>16</v>
      </c>
      <c r="F214" t="s">
        <v>33</v>
      </c>
      <c r="H214" s="3">
        <v>0</v>
      </c>
      <c r="J214" s="3">
        <v>990</v>
      </c>
      <c r="L214">
        <v>0</v>
      </c>
      <c r="N214">
        <v>0</v>
      </c>
      <c r="P214">
        <v>990</v>
      </c>
      <c r="R214">
        <v>0</v>
      </c>
    </row>
    <row r="215" spans="1:18" x14ac:dyDescent="0.3">
      <c r="A215" t="s">
        <v>1006</v>
      </c>
      <c r="B215" t="s">
        <v>864</v>
      </c>
      <c r="C215" s="3" t="s">
        <v>1029</v>
      </c>
      <c r="D215">
        <v>1000047</v>
      </c>
      <c r="E215" t="s">
        <v>26</v>
      </c>
      <c r="F215" t="s">
        <v>33</v>
      </c>
      <c r="H215" s="3">
        <v>0</v>
      </c>
      <c r="J215" s="3">
        <v>0</v>
      </c>
      <c r="L215">
        <v>0</v>
      </c>
      <c r="N215">
        <v>300</v>
      </c>
      <c r="P215">
        <v>0</v>
      </c>
      <c r="R215">
        <v>0</v>
      </c>
    </row>
    <row r="216" spans="1:18" x14ac:dyDescent="0.3">
      <c r="A216" t="s">
        <v>1006</v>
      </c>
      <c r="B216" t="s">
        <v>864</v>
      </c>
      <c r="C216" s="3" t="s">
        <v>1029</v>
      </c>
      <c r="D216">
        <v>1000049</v>
      </c>
      <c r="E216" t="s">
        <v>870</v>
      </c>
      <c r="F216" t="s">
        <v>34</v>
      </c>
      <c r="H216" s="3">
        <v>50000</v>
      </c>
      <c r="J216" s="3">
        <v>0</v>
      </c>
      <c r="L216">
        <v>0</v>
      </c>
      <c r="N216">
        <v>0</v>
      </c>
      <c r="P216">
        <v>0</v>
      </c>
      <c r="R216">
        <v>0</v>
      </c>
    </row>
    <row r="217" spans="1:18" x14ac:dyDescent="0.3">
      <c r="A217" t="s">
        <v>1006</v>
      </c>
      <c r="B217" t="s">
        <v>864</v>
      </c>
      <c r="C217" s="3" t="s">
        <v>1029</v>
      </c>
      <c r="D217">
        <v>1000053</v>
      </c>
      <c r="E217" t="s">
        <v>40</v>
      </c>
      <c r="F217" t="s">
        <v>33</v>
      </c>
      <c r="H217" s="3">
        <v>0</v>
      </c>
      <c r="J217" s="3">
        <v>0</v>
      </c>
      <c r="L217">
        <v>500</v>
      </c>
      <c r="N217">
        <v>0</v>
      </c>
      <c r="P217">
        <v>0</v>
      </c>
      <c r="R217">
        <v>0</v>
      </c>
    </row>
    <row r="218" spans="1:18" x14ac:dyDescent="0.3">
      <c r="A218" t="s">
        <v>1006</v>
      </c>
      <c r="B218" t="s">
        <v>864</v>
      </c>
      <c r="C218" s="3" t="s">
        <v>1029</v>
      </c>
      <c r="D218">
        <v>1000054</v>
      </c>
      <c r="E218" t="s">
        <v>871</v>
      </c>
      <c r="F218" t="s">
        <v>33</v>
      </c>
      <c r="H218" s="3">
        <v>0</v>
      </c>
      <c r="J218" s="3">
        <v>0</v>
      </c>
      <c r="L218">
        <v>0</v>
      </c>
      <c r="N218">
        <v>69</v>
      </c>
      <c r="P218">
        <v>0</v>
      </c>
      <c r="R218">
        <v>0</v>
      </c>
    </row>
    <row r="219" spans="1:18" x14ac:dyDescent="0.3">
      <c r="A219" t="s">
        <v>1006</v>
      </c>
      <c r="B219" t="s">
        <v>864</v>
      </c>
      <c r="C219" s="3" t="s">
        <v>1029</v>
      </c>
      <c r="D219">
        <v>1000055</v>
      </c>
      <c r="E219" t="s">
        <v>63</v>
      </c>
      <c r="F219" t="s">
        <v>33</v>
      </c>
      <c r="H219" s="3">
        <v>0</v>
      </c>
      <c r="J219" s="3">
        <v>200</v>
      </c>
      <c r="L219">
        <v>350</v>
      </c>
      <c r="N219">
        <v>0</v>
      </c>
      <c r="P219">
        <v>0</v>
      </c>
      <c r="R219">
        <v>0</v>
      </c>
    </row>
    <row r="220" spans="1:18" x14ac:dyDescent="0.3">
      <c r="A220" t="s">
        <v>1006</v>
      </c>
      <c r="B220" t="s">
        <v>864</v>
      </c>
      <c r="C220" s="3" t="s">
        <v>1029</v>
      </c>
      <c r="D220">
        <v>1000058</v>
      </c>
      <c r="E220" t="s">
        <v>313</v>
      </c>
      <c r="F220" t="s">
        <v>33</v>
      </c>
      <c r="H220" s="3">
        <v>0</v>
      </c>
      <c r="J220" s="3">
        <v>0</v>
      </c>
      <c r="L220">
        <v>0</v>
      </c>
      <c r="N220">
        <v>0</v>
      </c>
      <c r="P220">
        <v>50</v>
      </c>
      <c r="R220">
        <v>0</v>
      </c>
    </row>
    <row r="221" spans="1:18" x14ac:dyDescent="0.3">
      <c r="A221" t="s">
        <v>1006</v>
      </c>
      <c r="B221" t="s">
        <v>864</v>
      </c>
      <c r="C221" s="3" t="s">
        <v>1029</v>
      </c>
      <c r="D221">
        <v>1000059</v>
      </c>
      <c r="E221" t="s">
        <v>30</v>
      </c>
      <c r="F221" t="s">
        <v>34</v>
      </c>
      <c r="H221" s="3">
        <v>0</v>
      </c>
      <c r="J221" s="3">
        <v>50000</v>
      </c>
      <c r="L221">
        <v>0</v>
      </c>
      <c r="N221">
        <v>0</v>
      </c>
      <c r="P221">
        <v>0</v>
      </c>
      <c r="R221">
        <v>0</v>
      </c>
    </row>
    <row r="222" spans="1:18" x14ac:dyDescent="0.3">
      <c r="A222" t="s">
        <v>1006</v>
      </c>
      <c r="B222" t="s">
        <v>864</v>
      </c>
      <c r="C222" s="3" t="s">
        <v>1029</v>
      </c>
      <c r="D222">
        <v>1000068</v>
      </c>
      <c r="E222" t="s">
        <v>52</v>
      </c>
      <c r="F222" t="s">
        <v>34</v>
      </c>
      <c r="H222" s="3">
        <v>0</v>
      </c>
      <c r="J222" s="3">
        <v>0</v>
      </c>
      <c r="L222">
        <v>300000</v>
      </c>
      <c r="N222">
        <v>0</v>
      </c>
      <c r="P222">
        <v>0</v>
      </c>
      <c r="R222">
        <v>0</v>
      </c>
    </row>
    <row r="223" spans="1:18" x14ac:dyDescent="0.3">
      <c r="A223" t="s">
        <v>1006</v>
      </c>
      <c r="B223" t="s">
        <v>864</v>
      </c>
      <c r="C223" s="3" t="s">
        <v>1029</v>
      </c>
      <c r="D223">
        <v>1000072</v>
      </c>
      <c r="E223" t="s">
        <v>872</v>
      </c>
      <c r="F223" t="s">
        <v>34</v>
      </c>
      <c r="H223" s="3">
        <v>0</v>
      </c>
      <c r="J223" s="3">
        <v>0</v>
      </c>
      <c r="L223">
        <v>1000000</v>
      </c>
      <c r="N223">
        <v>0</v>
      </c>
      <c r="P223">
        <v>0</v>
      </c>
      <c r="R223">
        <v>0</v>
      </c>
    </row>
    <row r="224" spans="1:18" x14ac:dyDescent="0.3">
      <c r="A224" t="s">
        <v>1006</v>
      </c>
      <c r="B224" t="s">
        <v>864</v>
      </c>
      <c r="C224" s="3" t="s">
        <v>1029</v>
      </c>
      <c r="D224">
        <v>1000073</v>
      </c>
      <c r="E224" t="s">
        <v>43</v>
      </c>
      <c r="F224" t="s">
        <v>33</v>
      </c>
      <c r="H224" s="3">
        <v>0</v>
      </c>
      <c r="J224" s="3">
        <v>0</v>
      </c>
      <c r="L224">
        <v>150</v>
      </c>
      <c r="N224">
        <v>0</v>
      </c>
      <c r="P224">
        <v>80</v>
      </c>
      <c r="R224">
        <v>0</v>
      </c>
    </row>
    <row r="225" spans="1:18" x14ac:dyDescent="0.3">
      <c r="A225" t="s">
        <v>1006</v>
      </c>
      <c r="B225" t="s">
        <v>864</v>
      </c>
      <c r="C225" s="3" t="s">
        <v>1029</v>
      </c>
      <c r="D225">
        <v>1000076</v>
      </c>
      <c r="E225" t="s">
        <v>59</v>
      </c>
      <c r="F225" t="s">
        <v>33</v>
      </c>
      <c r="H225" s="3">
        <v>400</v>
      </c>
      <c r="J225" s="3">
        <v>0</v>
      </c>
      <c r="L225">
        <v>0</v>
      </c>
      <c r="N225">
        <v>400</v>
      </c>
      <c r="P225">
        <v>0</v>
      </c>
      <c r="R225">
        <v>0</v>
      </c>
    </row>
    <row r="226" spans="1:18" x14ac:dyDescent="0.3">
      <c r="A226" t="s">
        <v>1006</v>
      </c>
      <c r="B226" t="s">
        <v>864</v>
      </c>
      <c r="C226" s="3" t="s">
        <v>1029</v>
      </c>
      <c r="D226">
        <v>1000080</v>
      </c>
      <c r="E226" t="s">
        <v>21</v>
      </c>
      <c r="F226" t="s">
        <v>34</v>
      </c>
      <c r="H226" s="3">
        <v>0</v>
      </c>
      <c r="J226" s="3">
        <v>1000000</v>
      </c>
      <c r="L226">
        <v>0</v>
      </c>
      <c r="N226">
        <v>0</v>
      </c>
      <c r="P226">
        <v>1000000</v>
      </c>
      <c r="R226">
        <v>0</v>
      </c>
    </row>
    <row r="227" spans="1:18" x14ac:dyDescent="0.3">
      <c r="A227" t="s">
        <v>1006</v>
      </c>
      <c r="B227" t="s">
        <v>864</v>
      </c>
      <c r="C227" s="3" t="s">
        <v>1029</v>
      </c>
      <c r="D227">
        <v>1000088</v>
      </c>
      <c r="E227" t="s">
        <v>68</v>
      </c>
      <c r="F227" t="s">
        <v>33</v>
      </c>
      <c r="H227" s="3">
        <v>0</v>
      </c>
      <c r="J227" s="3">
        <v>5500</v>
      </c>
      <c r="L227">
        <v>5500</v>
      </c>
      <c r="N227">
        <v>5800</v>
      </c>
      <c r="P227">
        <v>5800</v>
      </c>
      <c r="R227">
        <v>0</v>
      </c>
    </row>
    <row r="228" spans="1:18" x14ac:dyDescent="0.3">
      <c r="A228" t="s">
        <v>1006</v>
      </c>
      <c r="B228" t="s">
        <v>864</v>
      </c>
      <c r="C228" s="3" t="s">
        <v>1029</v>
      </c>
      <c r="D228">
        <v>1000092</v>
      </c>
      <c r="E228" t="s">
        <v>41</v>
      </c>
      <c r="F228" t="s">
        <v>3</v>
      </c>
      <c r="H228" s="3">
        <v>8400000</v>
      </c>
      <c r="J228" s="3">
        <v>0</v>
      </c>
      <c r="L228">
        <v>10000000</v>
      </c>
      <c r="N228">
        <v>12000000</v>
      </c>
      <c r="P228">
        <v>16500000</v>
      </c>
      <c r="R228">
        <v>0</v>
      </c>
    </row>
    <row r="229" spans="1:18" x14ac:dyDescent="0.3">
      <c r="A229" t="s">
        <v>1006</v>
      </c>
      <c r="B229" t="s">
        <v>864</v>
      </c>
      <c r="C229" s="3" t="s">
        <v>1029</v>
      </c>
      <c r="D229">
        <v>1000094</v>
      </c>
      <c r="E229" t="s">
        <v>65</v>
      </c>
      <c r="F229" t="s">
        <v>33</v>
      </c>
      <c r="H229" s="3">
        <v>0</v>
      </c>
      <c r="J229" s="3">
        <v>0</v>
      </c>
      <c r="L229">
        <v>700</v>
      </c>
      <c r="N229">
        <v>0</v>
      </c>
      <c r="P229">
        <v>0</v>
      </c>
      <c r="R229">
        <v>0</v>
      </c>
    </row>
    <row r="230" spans="1:18" x14ac:dyDescent="0.3">
      <c r="A230" t="s">
        <v>1006</v>
      </c>
      <c r="B230" t="s">
        <v>864</v>
      </c>
      <c r="C230" s="3" t="s">
        <v>1029</v>
      </c>
      <c r="D230">
        <v>1000101</v>
      </c>
      <c r="E230" t="s">
        <v>53</v>
      </c>
      <c r="F230" t="s">
        <v>33</v>
      </c>
      <c r="H230" s="3">
        <v>0</v>
      </c>
      <c r="J230" s="3">
        <v>0</v>
      </c>
      <c r="L230">
        <v>20</v>
      </c>
      <c r="N230">
        <v>0</v>
      </c>
      <c r="P230">
        <v>0</v>
      </c>
      <c r="R230">
        <v>0</v>
      </c>
    </row>
    <row r="231" spans="1:18" x14ac:dyDescent="0.3">
      <c r="A231" t="s">
        <v>1006</v>
      </c>
      <c r="B231" t="s">
        <v>864</v>
      </c>
      <c r="C231" s="3" t="s">
        <v>1029</v>
      </c>
      <c r="D231">
        <v>1000110</v>
      </c>
      <c r="E231" t="s">
        <v>873</v>
      </c>
      <c r="F231" t="s">
        <v>34</v>
      </c>
      <c r="H231" s="3">
        <v>528000</v>
      </c>
      <c r="J231" s="3">
        <v>0</v>
      </c>
      <c r="L231">
        <v>0</v>
      </c>
      <c r="N231">
        <v>0</v>
      </c>
      <c r="P231">
        <v>0</v>
      </c>
      <c r="R231">
        <v>0</v>
      </c>
    </row>
    <row r="232" spans="1:18" x14ac:dyDescent="0.3">
      <c r="A232" t="s">
        <v>1006</v>
      </c>
      <c r="B232" t="s">
        <v>864</v>
      </c>
      <c r="C232" s="3" t="s">
        <v>1029</v>
      </c>
      <c r="D232">
        <v>1000116</v>
      </c>
      <c r="E232" t="s">
        <v>51</v>
      </c>
      <c r="F232" t="s">
        <v>33</v>
      </c>
      <c r="H232" s="3">
        <v>0</v>
      </c>
      <c r="J232" s="3">
        <v>0</v>
      </c>
      <c r="L232">
        <v>0</v>
      </c>
      <c r="N232">
        <v>80</v>
      </c>
      <c r="P232">
        <v>0</v>
      </c>
      <c r="R232">
        <v>0</v>
      </c>
    </row>
    <row r="233" spans="1:18" x14ac:dyDescent="0.3">
      <c r="A233" t="s">
        <v>1006</v>
      </c>
      <c r="B233" t="s">
        <v>864</v>
      </c>
      <c r="C233" s="3" t="s">
        <v>1029</v>
      </c>
      <c r="D233">
        <v>1000124</v>
      </c>
      <c r="E233" t="s">
        <v>874</v>
      </c>
      <c r="F233" t="s">
        <v>34</v>
      </c>
      <c r="H233" s="3">
        <v>0</v>
      </c>
      <c r="J233" s="3">
        <v>0</v>
      </c>
      <c r="L233">
        <v>15000</v>
      </c>
      <c r="N233">
        <v>0</v>
      </c>
      <c r="P233">
        <v>0</v>
      </c>
      <c r="R233">
        <v>0</v>
      </c>
    </row>
    <row r="234" spans="1:18" x14ac:dyDescent="0.3">
      <c r="A234" t="s">
        <v>1006</v>
      </c>
      <c r="B234" t="s">
        <v>864</v>
      </c>
      <c r="C234" s="3" t="s">
        <v>1029</v>
      </c>
      <c r="D234">
        <v>1000129</v>
      </c>
      <c r="E234" t="s">
        <v>875</v>
      </c>
      <c r="F234" t="s">
        <v>34</v>
      </c>
      <c r="H234" s="3">
        <v>100000</v>
      </c>
      <c r="J234" s="3">
        <v>0</v>
      </c>
      <c r="L234">
        <v>0</v>
      </c>
      <c r="N234">
        <v>0</v>
      </c>
      <c r="P234">
        <v>100000</v>
      </c>
      <c r="R234">
        <v>0</v>
      </c>
    </row>
    <row r="235" spans="1:18" x14ac:dyDescent="0.3">
      <c r="A235" t="s">
        <v>1006</v>
      </c>
      <c r="B235" t="s">
        <v>864</v>
      </c>
      <c r="C235" s="3" t="s">
        <v>1029</v>
      </c>
      <c r="D235">
        <v>1000146</v>
      </c>
      <c r="E235" t="s">
        <v>876</v>
      </c>
      <c r="F235" t="s">
        <v>33</v>
      </c>
      <c r="H235" s="3">
        <v>37570</v>
      </c>
      <c r="J235" s="3">
        <v>0</v>
      </c>
      <c r="L235">
        <v>0</v>
      </c>
      <c r="N235">
        <v>0</v>
      </c>
      <c r="P235">
        <v>0</v>
      </c>
      <c r="R235">
        <v>0</v>
      </c>
    </row>
    <row r="236" spans="1:18" x14ac:dyDescent="0.3">
      <c r="A236" t="s">
        <v>1006</v>
      </c>
      <c r="B236" t="s">
        <v>864</v>
      </c>
      <c r="C236" s="3" t="s">
        <v>1029</v>
      </c>
      <c r="D236">
        <v>1000152</v>
      </c>
      <c r="E236" t="s">
        <v>877</v>
      </c>
      <c r="F236" t="s">
        <v>33</v>
      </c>
      <c r="H236" s="3">
        <v>0</v>
      </c>
      <c r="J236" s="3">
        <v>0</v>
      </c>
      <c r="L236">
        <v>0</v>
      </c>
      <c r="N236">
        <v>200</v>
      </c>
      <c r="P236">
        <v>0</v>
      </c>
      <c r="R236">
        <v>0</v>
      </c>
    </row>
    <row r="237" spans="1:18" x14ac:dyDescent="0.3">
      <c r="A237" t="s">
        <v>1006</v>
      </c>
      <c r="B237" t="s">
        <v>864</v>
      </c>
      <c r="C237" s="3" t="s">
        <v>1029</v>
      </c>
      <c r="D237">
        <v>1000161</v>
      </c>
      <c r="E237" t="s">
        <v>50</v>
      </c>
      <c r="F237" t="s">
        <v>33</v>
      </c>
      <c r="H237" s="3">
        <v>0</v>
      </c>
      <c r="J237" s="3">
        <v>20</v>
      </c>
      <c r="L237">
        <v>0</v>
      </c>
      <c r="N237">
        <v>0</v>
      </c>
      <c r="P237">
        <v>0</v>
      </c>
      <c r="R237">
        <v>0</v>
      </c>
    </row>
    <row r="238" spans="1:18" x14ac:dyDescent="0.3">
      <c r="A238" t="s">
        <v>1006</v>
      </c>
      <c r="B238" t="s">
        <v>864</v>
      </c>
      <c r="C238" s="3" t="s">
        <v>1029</v>
      </c>
      <c r="D238">
        <v>1000164</v>
      </c>
      <c r="E238" t="s">
        <v>878</v>
      </c>
      <c r="F238" t="s">
        <v>1007</v>
      </c>
      <c r="H238" s="3">
        <v>0</v>
      </c>
      <c r="J238" s="3">
        <v>0</v>
      </c>
      <c r="L238">
        <v>20</v>
      </c>
      <c r="N238">
        <v>0</v>
      </c>
      <c r="P238">
        <v>0</v>
      </c>
      <c r="R238">
        <v>0</v>
      </c>
    </row>
    <row r="239" spans="1:18" x14ac:dyDescent="0.3">
      <c r="A239" t="s">
        <v>1006</v>
      </c>
      <c r="B239" t="s">
        <v>864</v>
      </c>
      <c r="C239" s="3" t="s">
        <v>1029</v>
      </c>
      <c r="D239">
        <v>1000170</v>
      </c>
      <c r="E239" t="s">
        <v>879</v>
      </c>
      <c r="F239" t="s">
        <v>34</v>
      </c>
      <c r="H239" s="3">
        <v>0</v>
      </c>
      <c r="J239" s="3">
        <v>0</v>
      </c>
      <c r="L239">
        <v>10000</v>
      </c>
      <c r="N239">
        <v>0</v>
      </c>
      <c r="P239">
        <v>10000</v>
      </c>
      <c r="R239">
        <v>0</v>
      </c>
    </row>
    <row r="240" spans="1:18" x14ac:dyDescent="0.3">
      <c r="A240" t="s">
        <v>1006</v>
      </c>
      <c r="B240" t="s">
        <v>864</v>
      </c>
      <c r="C240" s="3" t="s">
        <v>1029</v>
      </c>
      <c r="D240">
        <v>1000176</v>
      </c>
      <c r="E240" t="s">
        <v>880</v>
      </c>
      <c r="F240" t="s">
        <v>33</v>
      </c>
      <c r="H240" s="3">
        <v>0</v>
      </c>
      <c r="J240" s="3">
        <v>0</v>
      </c>
      <c r="L240">
        <v>0</v>
      </c>
      <c r="N240">
        <v>0</v>
      </c>
      <c r="P240">
        <v>25</v>
      </c>
      <c r="R240">
        <v>0</v>
      </c>
    </row>
    <row r="241" spans="1:18" x14ac:dyDescent="0.3">
      <c r="A241" t="s">
        <v>1006</v>
      </c>
      <c r="B241" t="s">
        <v>864</v>
      </c>
      <c r="C241" s="3" t="s">
        <v>1029</v>
      </c>
      <c r="D241">
        <v>1000179</v>
      </c>
      <c r="E241" t="s">
        <v>881</v>
      </c>
      <c r="F241" t="s">
        <v>33</v>
      </c>
      <c r="H241" s="3">
        <v>0</v>
      </c>
      <c r="J241" s="3">
        <v>0</v>
      </c>
      <c r="L241">
        <v>1210</v>
      </c>
      <c r="N241">
        <v>0</v>
      </c>
      <c r="P241">
        <v>0</v>
      </c>
      <c r="R241">
        <v>0</v>
      </c>
    </row>
    <row r="242" spans="1:18" x14ac:dyDescent="0.3">
      <c r="A242" t="s">
        <v>1006</v>
      </c>
      <c r="B242" t="s">
        <v>864</v>
      </c>
      <c r="C242" s="3" t="s">
        <v>1029</v>
      </c>
      <c r="D242">
        <v>1000183</v>
      </c>
      <c r="E242" t="s">
        <v>882</v>
      </c>
      <c r="F242" t="s">
        <v>33</v>
      </c>
      <c r="H242" s="3">
        <v>0</v>
      </c>
      <c r="J242" s="3">
        <v>0</v>
      </c>
      <c r="L242">
        <v>0</v>
      </c>
      <c r="N242">
        <v>125</v>
      </c>
      <c r="P242">
        <v>0</v>
      </c>
      <c r="R242">
        <v>0</v>
      </c>
    </row>
    <row r="243" spans="1:18" x14ac:dyDescent="0.3">
      <c r="A243" t="s">
        <v>1006</v>
      </c>
      <c r="B243" t="s">
        <v>864</v>
      </c>
      <c r="C243" s="3" t="s">
        <v>1029</v>
      </c>
      <c r="D243">
        <v>1000186</v>
      </c>
      <c r="E243" t="s">
        <v>883</v>
      </c>
      <c r="F243" t="s">
        <v>34</v>
      </c>
      <c r="H243" s="3">
        <v>0</v>
      </c>
      <c r="J243" s="3">
        <v>0</v>
      </c>
      <c r="L243">
        <v>100000</v>
      </c>
      <c r="N243">
        <v>0</v>
      </c>
      <c r="P243">
        <v>0</v>
      </c>
      <c r="R243">
        <v>0</v>
      </c>
    </row>
    <row r="244" spans="1:18" x14ac:dyDescent="0.3">
      <c r="A244" t="s">
        <v>1006</v>
      </c>
      <c r="B244" t="s">
        <v>864</v>
      </c>
      <c r="C244" s="3" t="s">
        <v>1029</v>
      </c>
      <c r="D244">
        <v>1000190</v>
      </c>
      <c r="E244" t="s">
        <v>884</v>
      </c>
      <c r="F244" t="s">
        <v>33</v>
      </c>
      <c r="H244" s="3">
        <v>0</v>
      </c>
      <c r="J244" s="3">
        <v>0</v>
      </c>
      <c r="L244">
        <v>0</v>
      </c>
      <c r="N244">
        <v>50</v>
      </c>
      <c r="P244">
        <v>0</v>
      </c>
      <c r="R244">
        <v>0</v>
      </c>
    </row>
    <row r="245" spans="1:18" x14ac:dyDescent="0.3">
      <c r="A245" t="s">
        <v>1006</v>
      </c>
      <c r="B245" t="s">
        <v>864</v>
      </c>
      <c r="C245" s="3" t="s">
        <v>1029</v>
      </c>
      <c r="D245">
        <v>1000193</v>
      </c>
      <c r="E245" t="s">
        <v>885</v>
      </c>
      <c r="F245" t="s">
        <v>33</v>
      </c>
      <c r="H245" s="3">
        <v>0</v>
      </c>
      <c r="J245" s="3">
        <v>0</v>
      </c>
      <c r="L245">
        <v>1000</v>
      </c>
      <c r="N245">
        <v>0</v>
      </c>
      <c r="P245">
        <v>1000</v>
      </c>
      <c r="R245">
        <v>0</v>
      </c>
    </row>
    <row r="246" spans="1:18" x14ac:dyDescent="0.3">
      <c r="A246" t="s">
        <v>1006</v>
      </c>
      <c r="B246" t="s">
        <v>864</v>
      </c>
      <c r="C246" s="3" t="s">
        <v>1029</v>
      </c>
      <c r="D246">
        <v>1000196</v>
      </c>
      <c r="E246" t="s">
        <v>886</v>
      </c>
      <c r="F246" t="s">
        <v>34</v>
      </c>
      <c r="H246" s="3">
        <v>0</v>
      </c>
      <c r="J246" s="3">
        <v>0</v>
      </c>
      <c r="L246">
        <v>0</v>
      </c>
      <c r="N246">
        <v>250000</v>
      </c>
      <c r="P246">
        <v>0</v>
      </c>
      <c r="R246">
        <v>0</v>
      </c>
    </row>
    <row r="247" spans="1:18" x14ac:dyDescent="0.3">
      <c r="A247" t="s">
        <v>1006</v>
      </c>
      <c r="B247" t="s">
        <v>864</v>
      </c>
      <c r="C247" s="3" t="s">
        <v>1029</v>
      </c>
      <c r="D247">
        <v>1000198</v>
      </c>
      <c r="E247" t="s">
        <v>887</v>
      </c>
      <c r="F247" t="s">
        <v>33</v>
      </c>
      <c r="H247" s="3">
        <v>0</v>
      </c>
      <c r="J247" s="3">
        <v>0</v>
      </c>
      <c r="L247">
        <v>599.79999999999995</v>
      </c>
      <c r="N247">
        <v>0</v>
      </c>
      <c r="P247">
        <v>0</v>
      </c>
      <c r="R247">
        <v>0</v>
      </c>
    </row>
    <row r="248" spans="1:18" x14ac:dyDescent="0.3">
      <c r="A248" t="s">
        <v>1006</v>
      </c>
      <c r="B248" t="s">
        <v>864</v>
      </c>
      <c r="C248" s="3" t="s">
        <v>1029</v>
      </c>
      <c r="D248">
        <v>1000202</v>
      </c>
      <c r="E248" t="s">
        <v>888</v>
      </c>
      <c r="F248" t="s">
        <v>33</v>
      </c>
      <c r="H248" s="3">
        <v>0</v>
      </c>
      <c r="J248" s="3">
        <v>0</v>
      </c>
      <c r="L248">
        <v>0</v>
      </c>
      <c r="N248">
        <v>0</v>
      </c>
      <c r="P248">
        <v>350</v>
      </c>
      <c r="R248">
        <v>0</v>
      </c>
    </row>
    <row r="249" spans="1:18" x14ac:dyDescent="0.3">
      <c r="A249" t="s">
        <v>1006</v>
      </c>
      <c r="B249" t="s">
        <v>864</v>
      </c>
      <c r="C249" s="3" t="s">
        <v>1029</v>
      </c>
      <c r="D249">
        <v>1000203</v>
      </c>
      <c r="E249" t="s">
        <v>889</v>
      </c>
      <c r="F249" t="s">
        <v>33</v>
      </c>
      <c r="H249" s="3">
        <v>0</v>
      </c>
      <c r="J249" s="3">
        <v>0</v>
      </c>
      <c r="L249">
        <v>0</v>
      </c>
      <c r="N249">
        <v>80</v>
      </c>
      <c r="P249">
        <v>0</v>
      </c>
      <c r="R249">
        <v>0</v>
      </c>
    </row>
    <row r="250" spans="1:18" x14ac:dyDescent="0.3">
      <c r="A250" t="s">
        <v>1006</v>
      </c>
      <c r="B250" t="s">
        <v>864</v>
      </c>
      <c r="C250" s="3" t="s">
        <v>1029</v>
      </c>
      <c r="D250">
        <v>1000204</v>
      </c>
      <c r="E250" t="s">
        <v>890</v>
      </c>
      <c r="F250" t="s">
        <v>33</v>
      </c>
      <c r="H250" s="3">
        <v>0</v>
      </c>
      <c r="J250" s="3">
        <v>0</v>
      </c>
      <c r="L250">
        <v>1440</v>
      </c>
      <c r="N250">
        <v>0</v>
      </c>
      <c r="P250">
        <v>0</v>
      </c>
      <c r="R250">
        <v>0</v>
      </c>
    </row>
    <row r="251" spans="1:18" x14ac:dyDescent="0.3">
      <c r="A251" t="s">
        <v>1006</v>
      </c>
      <c r="B251" t="s">
        <v>864</v>
      </c>
      <c r="C251" s="3" t="s">
        <v>1029</v>
      </c>
      <c r="D251">
        <v>1000205</v>
      </c>
      <c r="E251" t="s">
        <v>891</v>
      </c>
      <c r="F251" t="s">
        <v>33</v>
      </c>
      <c r="H251" s="3">
        <v>25</v>
      </c>
      <c r="J251" s="3">
        <v>0</v>
      </c>
      <c r="L251">
        <v>0</v>
      </c>
      <c r="N251">
        <v>0</v>
      </c>
      <c r="P251">
        <v>0</v>
      </c>
      <c r="R251">
        <v>0</v>
      </c>
    </row>
    <row r="252" spans="1:18" x14ac:dyDescent="0.3">
      <c r="A252" t="s">
        <v>1006</v>
      </c>
      <c r="B252" t="s">
        <v>864</v>
      </c>
      <c r="C252" s="3" t="s">
        <v>1029</v>
      </c>
      <c r="D252">
        <v>1000206</v>
      </c>
      <c r="E252" t="s">
        <v>892</v>
      </c>
      <c r="F252" t="s">
        <v>33</v>
      </c>
      <c r="H252" s="3">
        <v>200</v>
      </c>
      <c r="J252" s="3">
        <v>0</v>
      </c>
      <c r="L252">
        <v>0</v>
      </c>
      <c r="N252">
        <v>0</v>
      </c>
      <c r="P252">
        <v>0</v>
      </c>
      <c r="R252">
        <v>0</v>
      </c>
    </row>
    <row r="253" spans="1:18" x14ac:dyDescent="0.3">
      <c r="A253" t="s">
        <v>1006</v>
      </c>
      <c r="B253" t="s">
        <v>864</v>
      </c>
      <c r="C253" s="3" t="s">
        <v>1029</v>
      </c>
      <c r="D253">
        <v>1000211</v>
      </c>
      <c r="E253" t="s">
        <v>893</v>
      </c>
      <c r="F253" t="s">
        <v>33</v>
      </c>
      <c r="H253" s="3">
        <v>0</v>
      </c>
      <c r="J253" s="3">
        <v>0</v>
      </c>
      <c r="L253">
        <v>0</v>
      </c>
      <c r="N253">
        <v>600</v>
      </c>
      <c r="P253">
        <v>0</v>
      </c>
      <c r="R253">
        <v>0</v>
      </c>
    </row>
    <row r="254" spans="1:18" x14ac:dyDescent="0.3">
      <c r="A254" t="s">
        <v>1006</v>
      </c>
      <c r="B254" t="s">
        <v>864</v>
      </c>
      <c r="C254" s="3" t="s">
        <v>1029</v>
      </c>
      <c r="D254">
        <v>1000219</v>
      </c>
      <c r="E254" t="s">
        <v>894</v>
      </c>
      <c r="F254" t="s">
        <v>33</v>
      </c>
      <c r="H254" s="3">
        <v>10000</v>
      </c>
      <c r="J254" s="3">
        <v>10000</v>
      </c>
      <c r="L254">
        <v>0</v>
      </c>
      <c r="N254">
        <v>0</v>
      </c>
      <c r="P254">
        <v>0</v>
      </c>
      <c r="R254">
        <v>0</v>
      </c>
    </row>
    <row r="255" spans="1:18" x14ac:dyDescent="0.3">
      <c r="A255" t="s">
        <v>1006</v>
      </c>
      <c r="B255" t="s">
        <v>864</v>
      </c>
      <c r="C255" s="3" t="s">
        <v>1029</v>
      </c>
      <c r="D255">
        <v>1000223</v>
      </c>
      <c r="E255" t="s">
        <v>895</v>
      </c>
      <c r="F255" t="s">
        <v>34</v>
      </c>
      <c r="H255" s="3">
        <v>0</v>
      </c>
      <c r="J255" s="3">
        <v>75000</v>
      </c>
      <c r="L255">
        <v>0</v>
      </c>
      <c r="N255">
        <v>0</v>
      </c>
      <c r="P255">
        <v>0</v>
      </c>
      <c r="R255">
        <v>0</v>
      </c>
    </row>
    <row r="256" spans="1:18" x14ac:dyDescent="0.3">
      <c r="A256" t="s">
        <v>1006</v>
      </c>
      <c r="B256" t="s">
        <v>864</v>
      </c>
      <c r="C256" s="3" t="s">
        <v>1029</v>
      </c>
      <c r="D256">
        <v>1000228</v>
      </c>
      <c r="E256" t="s">
        <v>896</v>
      </c>
      <c r="F256" t="s">
        <v>33</v>
      </c>
      <c r="H256" s="3">
        <v>0</v>
      </c>
      <c r="J256" s="3">
        <v>150</v>
      </c>
      <c r="L256">
        <v>0</v>
      </c>
      <c r="N256">
        <v>0</v>
      </c>
      <c r="P256">
        <v>0</v>
      </c>
      <c r="R256">
        <v>0</v>
      </c>
    </row>
    <row r="257" spans="1:18" x14ac:dyDescent="0.3">
      <c r="A257" t="s">
        <v>1006</v>
      </c>
      <c r="B257" t="s">
        <v>864</v>
      </c>
      <c r="C257" s="3" t="s">
        <v>1029</v>
      </c>
      <c r="D257">
        <v>1000229</v>
      </c>
      <c r="E257" t="s">
        <v>897</v>
      </c>
      <c r="F257" t="s">
        <v>33</v>
      </c>
      <c r="H257" s="3">
        <v>6390</v>
      </c>
      <c r="J257" s="3">
        <v>6390</v>
      </c>
      <c r="L257">
        <v>0</v>
      </c>
      <c r="N257">
        <v>6390</v>
      </c>
      <c r="P257">
        <v>0</v>
      </c>
      <c r="R257">
        <v>0</v>
      </c>
    </row>
    <row r="258" spans="1:18" x14ac:dyDescent="0.3">
      <c r="A258" t="s">
        <v>1006</v>
      </c>
      <c r="B258" t="s">
        <v>864</v>
      </c>
      <c r="C258" s="3" t="s">
        <v>1029</v>
      </c>
      <c r="D258">
        <v>1000238</v>
      </c>
      <c r="E258" t="s">
        <v>898</v>
      </c>
      <c r="F258" t="s">
        <v>33</v>
      </c>
      <c r="H258" s="3">
        <v>0</v>
      </c>
      <c r="J258" s="3">
        <v>1000</v>
      </c>
      <c r="L258">
        <v>0</v>
      </c>
      <c r="N258">
        <v>0</v>
      </c>
      <c r="P258">
        <v>0</v>
      </c>
      <c r="R258">
        <v>0</v>
      </c>
    </row>
    <row r="259" spans="1:18" x14ac:dyDescent="0.3">
      <c r="A259" t="s">
        <v>1006</v>
      </c>
      <c r="B259" t="s">
        <v>864</v>
      </c>
      <c r="C259" s="3" t="s">
        <v>1029</v>
      </c>
      <c r="D259">
        <v>1000244</v>
      </c>
      <c r="E259" t="s">
        <v>899</v>
      </c>
      <c r="F259" t="s">
        <v>34</v>
      </c>
      <c r="H259" s="3">
        <v>600</v>
      </c>
      <c r="J259" s="3">
        <v>0</v>
      </c>
      <c r="L259">
        <v>0</v>
      </c>
      <c r="N259">
        <v>0</v>
      </c>
      <c r="P259">
        <v>0</v>
      </c>
      <c r="R259">
        <v>0</v>
      </c>
    </row>
    <row r="260" spans="1:18" x14ac:dyDescent="0.3">
      <c r="A260" t="s">
        <v>1006</v>
      </c>
      <c r="B260" t="s">
        <v>864</v>
      </c>
      <c r="C260" s="3" t="s">
        <v>1029</v>
      </c>
      <c r="D260">
        <v>1000258</v>
      </c>
      <c r="E260" t="s">
        <v>900</v>
      </c>
      <c r="F260" t="s">
        <v>34</v>
      </c>
      <c r="H260" s="3">
        <v>0</v>
      </c>
      <c r="J260" s="3">
        <v>2000</v>
      </c>
      <c r="L260">
        <v>0</v>
      </c>
      <c r="N260">
        <v>0</v>
      </c>
      <c r="P260">
        <v>0</v>
      </c>
      <c r="R260">
        <v>0</v>
      </c>
    </row>
    <row r="261" spans="1:18" x14ac:dyDescent="0.3">
      <c r="A261" t="s">
        <v>1006</v>
      </c>
      <c r="B261" t="s">
        <v>864</v>
      </c>
      <c r="C261" s="3" t="s">
        <v>1029</v>
      </c>
      <c r="D261">
        <v>1000263</v>
      </c>
      <c r="E261" t="s">
        <v>901</v>
      </c>
      <c r="F261" t="s">
        <v>33</v>
      </c>
      <c r="H261" s="3">
        <v>0</v>
      </c>
      <c r="J261" s="3">
        <v>0</v>
      </c>
      <c r="L261">
        <v>15</v>
      </c>
      <c r="N261">
        <v>0</v>
      </c>
      <c r="P261">
        <v>0</v>
      </c>
      <c r="R261">
        <v>0</v>
      </c>
    </row>
    <row r="262" spans="1:18" x14ac:dyDescent="0.3">
      <c r="A262" t="s">
        <v>1006</v>
      </c>
      <c r="B262" t="s">
        <v>864</v>
      </c>
      <c r="C262" s="3" t="s">
        <v>1029</v>
      </c>
      <c r="D262">
        <v>1000265</v>
      </c>
      <c r="E262" t="s">
        <v>902</v>
      </c>
      <c r="F262" t="s">
        <v>33</v>
      </c>
      <c r="H262" s="3">
        <v>0</v>
      </c>
      <c r="J262" s="3">
        <v>0</v>
      </c>
      <c r="L262">
        <v>25</v>
      </c>
      <c r="N262">
        <v>0</v>
      </c>
      <c r="P262">
        <v>0</v>
      </c>
      <c r="R262">
        <v>0</v>
      </c>
    </row>
    <row r="263" spans="1:18" x14ac:dyDescent="0.3">
      <c r="A263" t="s">
        <v>1006</v>
      </c>
      <c r="B263" t="s">
        <v>864</v>
      </c>
      <c r="C263" s="3" t="s">
        <v>1029</v>
      </c>
      <c r="D263">
        <v>1000271</v>
      </c>
      <c r="E263" t="s">
        <v>903</v>
      </c>
      <c r="F263" t="s">
        <v>33</v>
      </c>
      <c r="H263" s="3">
        <v>5000</v>
      </c>
      <c r="J263" s="3">
        <v>0</v>
      </c>
      <c r="L263">
        <v>0</v>
      </c>
      <c r="N263">
        <v>0</v>
      </c>
      <c r="P263">
        <v>0</v>
      </c>
      <c r="R263">
        <v>0</v>
      </c>
    </row>
    <row r="264" spans="1:18" x14ac:dyDescent="0.3">
      <c r="A264" t="s">
        <v>1006</v>
      </c>
      <c r="B264" t="s">
        <v>864</v>
      </c>
      <c r="C264" s="3" t="s">
        <v>1029</v>
      </c>
      <c r="D264">
        <v>1000278</v>
      </c>
      <c r="E264" t="s">
        <v>904</v>
      </c>
      <c r="F264" t="s">
        <v>33</v>
      </c>
      <c r="H264" s="3">
        <v>600</v>
      </c>
      <c r="J264" s="3">
        <v>200</v>
      </c>
      <c r="L264">
        <v>0</v>
      </c>
      <c r="N264">
        <v>0</v>
      </c>
      <c r="P264">
        <v>0</v>
      </c>
      <c r="R264">
        <v>0</v>
      </c>
    </row>
    <row r="265" spans="1:18" x14ac:dyDescent="0.3">
      <c r="A265" t="s">
        <v>1006</v>
      </c>
      <c r="B265" t="s">
        <v>864</v>
      </c>
      <c r="C265" s="3" t="s">
        <v>1029</v>
      </c>
      <c r="D265">
        <v>1000279</v>
      </c>
      <c r="E265" t="s">
        <v>905</v>
      </c>
      <c r="F265" t="s">
        <v>33</v>
      </c>
      <c r="H265" s="3">
        <v>0</v>
      </c>
      <c r="J265" s="3">
        <v>0</v>
      </c>
      <c r="L265">
        <v>1000</v>
      </c>
      <c r="N265">
        <v>0</v>
      </c>
      <c r="P265">
        <v>0</v>
      </c>
      <c r="R265">
        <v>0</v>
      </c>
    </row>
    <row r="266" spans="1:18" x14ac:dyDescent="0.3">
      <c r="A266" t="s">
        <v>1006</v>
      </c>
      <c r="B266" t="s">
        <v>864</v>
      </c>
      <c r="C266" s="3" t="s">
        <v>1029</v>
      </c>
      <c r="D266">
        <v>1000285</v>
      </c>
      <c r="E266" t="s">
        <v>906</v>
      </c>
      <c r="F266" t="s">
        <v>33</v>
      </c>
      <c r="H266" s="3">
        <v>0</v>
      </c>
      <c r="J266" s="3">
        <v>1315.4</v>
      </c>
      <c r="L266">
        <v>0</v>
      </c>
      <c r="N266">
        <v>0</v>
      </c>
      <c r="P266">
        <v>1315.4</v>
      </c>
      <c r="R266">
        <v>0</v>
      </c>
    </row>
    <row r="267" spans="1:18" x14ac:dyDescent="0.3">
      <c r="A267" t="s">
        <v>1006</v>
      </c>
      <c r="B267" t="s">
        <v>864</v>
      </c>
      <c r="C267" s="3" t="s">
        <v>1029</v>
      </c>
      <c r="D267">
        <v>1000286</v>
      </c>
      <c r="E267" t="s">
        <v>55</v>
      </c>
      <c r="F267" t="s">
        <v>33</v>
      </c>
      <c r="H267" s="3">
        <v>0</v>
      </c>
      <c r="J267" s="3">
        <v>0</v>
      </c>
      <c r="L267">
        <v>0</v>
      </c>
      <c r="N267">
        <v>20</v>
      </c>
      <c r="P267">
        <v>0</v>
      </c>
      <c r="R267">
        <v>0</v>
      </c>
    </row>
    <row r="268" spans="1:18" x14ac:dyDescent="0.3">
      <c r="A268" t="s">
        <v>1006</v>
      </c>
      <c r="B268" t="s">
        <v>864</v>
      </c>
      <c r="C268" s="3" t="s">
        <v>1029</v>
      </c>
      <c r="D268">
        <v>1000290</v>
      </c>
      <c r="E268" t="s">
        <v>907</v>
      </c>
      <c r="F268" t="s">
        <v>33</v>
      </c>
      <c r="H268" s="3">
        <v>0</v>
      </c>
      <c r="J268" s="3">
        <v>0</v>
      </c>
      <c r="L268">
        <v>0</v>
      </c>
      <c r="N268">
        <v>0</v>
      </c>
      <c r="P268">
        <v>2000</v>
      </c>
      <c r="R268">
        <v>0</v>
      </c>
    </row>
    <row r="269" spans="1:18" x14ac:dyDescent="0.3">
      <c r="A269" t="s">
        <v>1006</v>
      </c>
      <c r="B269" t="s">
        <v>864</v>
      </c>
      <c r="C269" s="3" t="s">
        <v>1029</v>
      </c>
      <c r="D269">
        <v>1000304</v>
      </c>
      <c r="E269" t="s">
        <v>908</v>
      </c>
      <c r="F269" t="s">
        <v>34</v>
      </c>
      <c r="H269" s="3">
        <v>0</v>
      </c>
      <c r="J269" s="3">
        <v>1000</v>
      </c>
      <c r="L269">
        <v>0</v>
      </c>
      <c r="N269">
        <v>0</v>
      </c>
      <c r="P269">
        <v>0</v>
      </c>
      <c r="R269">
        <v>0</v>
      </c>
    </row>
    <row r="270" spans="1:18" x14ac:dyDescent="0.3">
      <c r="A270" t="s">
        <v>1006</v>
      </c>
      <c r="B270" t="s">
        <v>864</v>
      </c>
      <c r="C270" s="3" t="s">
        <v>1029</v>
      </c>
      <c r="D270">
        <v>1000314</v>
      </c>
      <c r="E270" t="s">
        <v>909</v>
      </c>
      <c r="F270" t="s">
        <v>33</v>
      </c>
      <c r="H270" s="3">
        <v>0</v>
      </c>
      <c r="J270" s="3">
        <v>0</v>
      </c>
      <c r="L270">
        <v>100</v>
      </c>
      <c r="N270">
        <v>0</v>
      </c>
      <c r="P270">
        <v>0</v>
      </c>
      <c r="R270">
        <v>0</v>
      </c>
    </row>
    <row r="271" spans="1:18" x14ac:dyDescent="0.3">
      <c r="A271" t="s">
        <v>1006</v>
      </c>
      <c r="B271" t="s">
        <v>864</v>
      </c>
      <c r="C271" s="3" t="s">
        <v>1029</v>
      </c>
      <c r="D271">
        <v>1000333</v>
      </c>
      <c r="E271" t="s">
        <v>64</v>
      </c>
      <c r="F271" t="s">
        <v>33</v>
      </c>
      <c r="H271" s="3">
        <v>0</v>
      </c>
      <c r="J271" s="3">
        <v>0</v>
      </c>
      <c r="L271">
        <v>0</v>
      </c>
      <c r="N271">
        <v>200</v>
      </c>
      <c r="P271">
        <v>0</v>
      </c>
      <c r="R271">
        <v>0</v>
      </c>
    </row>
    <row r="272" spans="1:18" x14ac:dyDescent="0.3">
      <c r="A272" t="s">
        <v>1006</v>
      </c>
      <c r="B272" t="s">
        <v>864</v>
      </c>
      <c r="C272" s="3" t="s">
        <v>1029</v>
      </c>
      <c r="D272">
        <v>1000349</v>
      </c>
      <c r="E272" t="s">
        <v>910</v>
      </c>
      <c r="F272" t="s">
        <v>33</v>
      </c>
      <c r="H272" s="3">
        <v>1000</v>
      </c>
      <c r="J272" s="3">
        <v>0</v>
      </c>
      <c r="L272">
        <v>0</v>
      </c>
      <c r="N272">
        <v>1000</v>
      </c>
      <c r="P272">
        <v>0</v>
      </c>
      <c r="R272">
        <v>0</v>
      </c>
    </row>
    <row r="273" spans="1:18" x14ac:dyDescent="0.3">
      <c r="A273" t="s">
        <v>1006</v>
      </c>
      <c r="B273" t="s">
        <v>864</v>
      </c>
      <c r="C273" s="3" t="s">
        <v>1029</v>
      </c>
      <c r="D273">
        <v>1000352</v>
      </c>
      <c r="E273" t="s">
        <v>911</v>
      </c>
      <c r="F273" t="s">
        <v>33</v>
      </c>
      <c r="H273" s="3">
        <v>0</v>
      </c>
      <c r="J273" s="3">
        <v>1000</v>
      </c>
      <c r="L273">
        <v>0</v>
      </c>
      <c r="N273">
        <v>1000</v>
      </c>
      <c r="P273">
        <v>0</v>
      </c>
      <c r="R273">
        <v>0</v>
      </c>
    </row>
    <row r="274" spans="1:18" x14ac:dyDescent="0.3">
      <c r="A274" t="s">
        <v>1006</v>
      </c>
      <c r="B274" t="s">
        <v>864</v>
      </c>
      <c r="C274" s="3" t="s">
        <v>1029</v>
      </c>
      <c r="D274">
        <v>1000358</v>
      </c>
      <c r="E274" t="s">
        <v>912</v>
      </c>
      <c r="F274" t="s">
        <v>33</v>
      </c>
      <c r="H274" s="3">
        <v>0</v>
      </c>
      <c r="J274" s="3">
        <v>25</v>
      </c>
      <c r="L274">
        <v>0</v>
      </c>
      <c r="N274">
        <v>0</v>
      </c>
      <c r="P274">
        <v>25</v>
      </c>
      <c r="R274">
        <v>0</v>
      </c>
    </row>
    <row r="275" spans="1:18" x14ac:dyDescent="0.3">
      <c r="A275" t="s">
        <v>1006</v>
      </c>
      <c r="B275" t="s">
        <v>864</v>
      </c>
      <c r="C275" s="3" t="s">
        <v>1029</v>
      </c>
      <c r="D275">
        <v>1000362</v>
      </c>
      <c r="E275" t="s">
        <v>913</v>
      </c>
      <c r="F275" t="s">
        <v>33</v>
      </c>
      <c r="H275" s="3">
        <v>0</v>
      </c>
      <c r="J275" s="3">
        <v>0</v>
      </c>
      <c r="L275">
        <v>200</v>
      </c>
      <c r="N275">
        <v>0</v>
      </c>
      <c r="P275">
        <v>0</v>
      </c>
      <c r="R275">
        <v>0</v>
      </c>
    </row>
    <row r="276" spans="1:18" x14ac:dyDescent="0.3">
      <c r="A276" t="s">
        <v>1006</v>
      </c>
      <c r="B276" t="s">
        <v>864</v>
      </c>
      <c r="C276" s="3" t="s">
        <v>1029</v>
      </c>
      <c r="D276">
        <v>1000368</v>
      </c>
      <c r="E276" t="s">
        <v>914</v>
      </c>
      <c r="F276" t="s">
        <v>33</v>
      </c>
      <c r="H276" s="3">
        <v>0</v>
      </c>
      <c r="J276" s="3">
        <v>25</v>
      </c>
      <c r="L276">
        <v>0</v>
      </c>
      <c r="N276">
        <v>0</v>
      </c>
      <c r="P276">
        <v>0</v>
      </c>
      <c r="R276">
        <v>0</v>
      </c>
    </row>
    <row r="277" spans="1:18" x14ac:dyDescent="0.3">
      <c r="A277" t="s">
        <v>1006</v>
      </c>
      <c r="B277" t="s">
        <v>864</v>
      </c>
      <c r="C277" s="3" t="s">
        <v>1029</v>
      </c>
      <c r="D277">
        <v>1000377</v>
      </c>
      <c r="E277" t="s">
        <v>915</v>
      </c>
      <c r="F277" t="s">
        <v>33</v>
      </c>
      <c r="H277" s="3">
        <v>0</v>
      </c>
      <c r="J277" s="3">
        <v>0</v>
      </c>
      <c r="L277">
        <v>0</v>
      </c>
      <c r="N277">
        <v>75</v>
      </c>
      <c r="P277">
        <v>0</v>
      </c>
      <c r="R277">
        <v>0</v>
      </c>
    </row>
    <row r="278" spans="1:18" x14ac:dyDescent="0.3">
      <c r="A278" t="s">
        <v>1006</v>
      </c>
      <c r="B278" t="s">
        <v>864</v>
      </c>
      <c r="C278" s="3" t="s">
        <v>1029</v>
      </c>
      <c r="D278">
        <v>1000379</v>
      </c>
      <c r="E278" t="s">
        <v>916</v>
      </c>
      <c r="F278" t="s">
        <v>33</v>
      </c>
      <c r="H278" s="3">
        <v>0</v>
      </c>
      <c r="J278" s="3">
        <v>0</v>
      </c>
      <c r="L278">
        <v>25</v>
      </c>
      <c r="N278">
        <v>0</v>
      </c>
      <c r="P278">
        <v>0</v>
      </c>
      <c r="R278">
        <v>0</v>
      </c>
    </row>
    <row r="279" spans="1:18" x14ac:dyDescent="0.3">
      <c r="A279" t="s">
        <v>1006</v>
      </c>
      <c r="B279" t="s">
        <v>864</v>
      </c>
      <c r="C279" s="3" t="s">
        <v>1029</v>
      </c>
      <c r="D279">
        <v>1000380</v>
      </c>
      <c r="E279" t="s">
        <v>917</v>
      </c>
      <c r="F279" t="s">
        <v>33</v>
      </c>
      <c r="H279" s="3">
        <v>0</v>
      </c>
      <c r="J279" s="3">
        <v>0</v>
      </c>
      <c r="L279">
        <v>0</v>
      </c>
      <c r="N279">
        <v>0</v>
      </c>
      <c r="P279">
        <v>15</v>
      </c>
      <c r="R279">
        <v>0</v>
      </c>
    </row>
    <row r="280" spans="1:18" x14ac:dyDescent="0.3">
      <c r="A280" t="s">
        <v>1006</v>
      </c>
      <c r="B280" t="s">
        <v>864</v>
      </c>
      <c r="C280" s="3" t="s">
        <v>1029</v>
      </c>
      <c r="D280">
        <v>1000394</v>
      </c>
      <c r="E280" t="s">
        <v>918</v>
      </c>
      <c r="F280" t="s">
        <v>33</v>
      </c>
      <c r="H280" s="3">
        <v>0</v>
      </c>
      <c r="J280" s="3">
        <v>400</v>
      </c>
      <c r="L280">
        <v>0</v>
      </c>
      <c r="N280">
        <v>0</v>
      </c>
      <c r="P280">
        <v>0</v>
      </c>
      <c r="R280">
        <v>0</v>
      </c>
    </row>
    <row r="281" spans="1:18" x14ac:dyDescent="0.3">
      <c r="A281" t="s">
        <v>1006</v>
      </c>
      <c r="B281" t="s">
        <v>864</v>
      </c>
      <c r="C281" s="3" t="s">
        <v>1029</v>
      </c>
      <c r="D281">
        <v>1000395</v>
      </c>
      <c r="E281" t="s">
        <v>919</v>
      </c>
      <c r="F281" t="s">
        <v>33</v>
      </c>
      <c r="H281" s="3">
        <v>0</v>
      </c>
      <c r="J281" s="3">
        <v>300</v>
      </c>
      <c r="L281">
        <v>0</v>
      </c>
      <c r="N281">
        <v>0</v>
      </c>
      <c r="P281">
        <v>0</v>
      </c>
      <c r="R281">
        <v>0</v>
      </c>
    </row>
    <row r="282" spans="1:18" x14ac:dyDescent="0.3">
      <c r="A282" t="s">
        <v>1006</v>
      </c>
      <c r="B282" t="s">
        <v>864</v>
      </c>
      <c r="C282" s="3" t="s">
        <v>1029</v>
      </c>
      <c r="D282">
        <v>1000400</v>
      </c>
      <c r="E282" t="s">
        <v>66</v>
      </c>
      <c r="F282" t="s">
        <v>33</v>
      </c>
      <c r="H282" s="3">
        <v>0</v>
      </c>
      <c r="J282" s="3">
        <v>0</v>
      </c>
      <c r="L282">
        <v>0</v>
      </c>
      <c r="N282">
        <v>300</v>
      </c>
      <c r="P282">
        <v>0</v>
      </c>
      <c r="R282">
        <v>0</v>
      </c>
    </row>
    <row r="283" spans="1:18" x14ac:dyDescent="0.3">
      <c r="A283" t="s">
        <v>1006</v>
      </c>
      <c r="B283" t="s">
        <v>864</v>
      </c>
      <c r="C283" s="3" t="s">
        <v>1029</v>
      </c>
      <c r="D283">
        <v>1000403</v>
      </c>
      <c r="E283" t="s">
        <v>920</v>
      </c>
      <c r="F283" t="s">
        <v>33</v>
      </c>
      <c r="H283" s="3">
        <v>0</v>
      </c>
      <c r="J283" s="3">
        <v>50</v>
      </c>
      <c r="L283">
        <v>0</v>
      </c>
      <c r="N283">
        <v>0</v>
      </c>
      <c r="P283">
        <v>0</v>
      </c>
      <c r="R283">
        <v>0</v>
      </c>
    </row>
    <row r="284" spans="1:18" x14ac:dyDescent="0.3">
      <c r="A284" t="s">
        <v>1006</v>
      </c>
      <c r="B284" t="s">
        <v>864</v>
      </c>
      <c r="C284" s="3" t="s">
        <v>1029</v>
      </c>
      <c r="D284">
        <v>1000409</v>
      </c>
      <c r="E284" t="s">
        <v>921</v>
      </c>
      <c r="F284" t="s">
        <v>33</v>
      </c>
      <c r="H284" s="3">
        <v>0</v>
      </c>
      <c r="J284" s="3">
        <v>125</v>
      </c>
      <c r="L284">
        <v>0</v>
      </c>
      <c r="N284">
        <v>0</v>
      </c>
      <c r="P284">
        <v>0</v>
      </c>
      <c r="R284">
        <v>0</v>
      </c>
    </row>
    <row r="285" spans="1:18" x14ac:dyDescent="0.3">
      <c r="A285" t="s">
        <v>1006</v>
      </c>
      <c r="B285" t="s">
        <v>864</v>
      </c>
      <c r="C285" s="3" t="s">
        <v>1029</v>
      </c>
      <c r="D285">
        <v>1000420</v>
      </c>
      <c r="E285" t="s">
        <v>922</v>
      </c>
      <c r="F285" t="s">
        <v>33</v>
      </c>
      <c r="H285" s="3">
        <v>0</v>
      </c>
      <c r="J285" s="3">
        <v>200</v>
      </c>
      <c r="L285">
        <v>0</v>
      </c>
      <c r="N285">
        <v>0</v>
      </c>
      <c r="P285">
        <v>0</v>
      </c>
      <c r="R285">
        <v>0</v>
      </c>
    </row>
    <row r="286" spans="1:18" x14ac:dyDescent="0.3">
      <c r="A286" t="s">
        <v>1006</v>
      </c>
      <c r="B286" t="s">
        <v>864</v>
      </c>
      <c r="C286" s="3" t="s">
        <v>1029</v>
      </c>
      <c r="D286">
        <v>1000421</v>
      </c>
      <c r="E286" t="s">
        <v>18</v>
      </c>
      <c r="F286" t="s">
        <v>33</v>
      </c>
      <c r="H286" s="3">
        <v>0</v>
      </c>
      <c r="J286" s="3">
        <v>0</v>
      </c>
      <c r="L286">
        <v>0</v>
      </c>
      <c r="N286">
        <v>2600</v>
      </c>
      <c r="P286">
        <v>0</v>
      </c>
      <c r="R286">
        <v>1200</v>
      </c>
    </row>
    <row r="287" spans="1:18" x14ac:dyDescent="0.3">
      <c r="A287" t="s">
        <v>1006</v>
      </c>
      <c r="B287" t="s">
        <v>864</v>
      </c>
      <c r="C287" s="3" t="s">
        <v>1029</v>
      </c>
      <c r="D287">
        <v>1000422</v>
      </c>
      <c r="E287" t="s">
        <v>923</v>
      </c>
      <c r="F287" t="s">
        <v>33</v>
      </c>
      <c r="H287" s="3">
        <v>200</v>
      </c>
      <c r="J287" s="3">
        <v>0</v>
      </c>
      <c r="L287">
        <v>0</v>
      </c>
      <c r="N287">
        <v>0</v>
      </c>
      <c r="P287">
        <v>0</v>
      </c>
      <c r="R287">
        <v>0</v>
      </c>
    </row>
    <row r="288" spans="1:18" x14ac:dyDescent="0.3">
      <c r="A288" t="s">
        <v>1006</v>
      </c>
      <c r="B288" t="s">
        <v>864</v>
      </c>
      <c r="C288" s="3" t="s">
        <v>1029</v>
      </c>
      <c r="D288">
        <v>1000424</v>
      </c>
      <c r="E288" t="s">
        <v>924</v>
      </c>
      <c r="F288" t="s">
        <v>33</v>
      </c>
      <c r="H288" s="3">
        <v>0</v>
      </c>
      <c r="J288" s="3">
        <v>0</v>
      </c>
      <c r="L288">
        <v>4150</v>
      </c>
      <c r="N288">
        <v>0</v>
      </c>
      <c r="P288">
        <v>0</v>
      </c>
      <c r="R288">
        <v>0</v>
      </c>
    </row>
    <row r="289" spans="1:18" x14ac:dyDescent="0.3">
      <c r="A289" t="s">
        <v>1006</v>
      </c>
      <c r="B289" t="s">
        <v>864</v>
      </c>
      <c r="C289" s="3" t="s">
        <v>1029</v>
      </c>
      <c r="D289">
        <v>1000425</v>
      </c>
      <c r="E289" t="s">
        <v>925</v>
      </c>
      <c r="F289" t="s">
        <v>33</v>
      </c>
      <c r="H289" s="3">
        <v>0</v>
      </c>
      <c r="J289" s="3">
        <v>1400</v>
      </c>
      <c r="L289">
        <v>0</v>
      </c>
      <c r="N289">
        <v>0</v>
      </c>
      <c r="P289">
        <v>1400</v>
      </c>
      <c r="R289">
        <v>0</v>
      </c>
    </row>
    <row r="290" spans="1:18" x14ac:dyDescent="0.3">
      <c r="A290" t="s">
        <v>1006</v>
      </c>
      <c r="B290" t="s">
        <v>864</v>
      </c>
      <c r="C290" s="3" t="s">
        <v>1029</v>
      </c>
      <c r="D290">
        <v>1000426</v>
      </c>
      <c r="E290" t="s">
        <v>926</v>
      </c>
      <c r="F290" t="s">
        <v>33</v>
      </c>
      <c r="H290" s="3">
        <v>0</v>
      </c>
      <c r="J290" s="3">
        <v>0</v>
      </c>
      <c r="L290">
        <v>40</v>
      </c>
      <c r="N290">
        <v>0</v>
      </c>
      <c r="P290">
        <v>0</v>
      </c>
      <c r="R290">
        <v>0</v>
      </c>
    </row>
    <row r="291" spans="1:18" x14ac:dyDescent="0.3">
      <c r="A291" t="s">
        <v>1006</v>
      </c>
      <c r="B291" t="s">
        <v>864</v>
      </c>
      <c r="C291" s="3" t="s">
        <v>1030</v>
      </c>
      <c r="D291">
        <v>1000428</v>
      </c>
      <c r="E291" t="s">
        <v>927</v>
      </c>
      <c r="F291" t="s">
        <v>33</v>
      </c>
      <c r="H291" s="3">
        <v>0.25</v>
      </c>
      <c r="J291" s="3">
        <v>0</v>
      </c>
      <c r="L291">
        <v>0</v>
      </c>
      <c r="N291">
        <v>0</v>
      </c>
      <c r="P291">
        <v>0</v>
      </c>
      <c r="R291">
        <v>0</v>
      </c>
    </row>
    <row r="292" spans="1:18" x14ac:dyDescent="0.3">
      <c r="A292" t="s">
        <v>1006</v>
      </c>
      <c r="B292" t="s">
        <v>864</v>
      </c>
      <c r="C292" s="3" t="s">
        <v>1029</v>
      </c>
      <c r="D292">
        <v>1000429</v>
      </c>
      <c r="E292" t="s">
        <v>928</v>
      </c>
      <c r="F292" t="s">
        <v>34</v>
      </c>
      <c r="H292" s="3">
        <v>45125</v>
      </c>
      <c r="J292" s="3">
        <v>0</v>
      </c>
      <c r="L292">
        <v>0</v>
      </c>
      <c r="N292">
        <v>0</v>
      </c>
      <c r="P292">
        <v>0</v>
      </c>
      <c r="R292">
        <v>0</v>
      </c>
    </row>
    <row r="293" spans="1:18" x14ac:dyDescent="0.3">
      <c r="A293" t="s">
        <v>1006</v>
      </c>
      <c r="B293" t="s">
        <v>864</v>
      </c>
      <c r="C293" s="3" t="s">
        <v>1029</v>
      </c>
      <c r="D293">
        <v>1000432</v>
      </c>
      <c r="E293" t="s">
        <v>929</v>
      </c>
      <c r="F293" t="s">
        <v>34</v>
      </c>
      <c r="H293" s="3">
        <v>700</v>
      </c>
      <c r="J293" s="3">
        <v>0</v>
      </c>
      <c r="L293">
        <v>0</v>
      </c>
      <c r="N293">
        <v>700</v>
      </c>
      <c r="P293">
        <v>0</v>
      </c>
      <c r="R293">
        <v>0</v>
      </c>
    </row>
    <row r="294" spans="1:18" x14ac:dyDescent="0.3">
      <c r="A294" t="s">
        <v>1006</v>
      </c>
      <c r="B294" t="s">
        <v>864</v>
      </c>
      <c r="C294" s="3" t="s">
        <v>1029</v>
      </c>
      <c r="D294">
        <v>1000444</v>
      </c>
      <c r="E294" t="s">
        <v>930</v>
      </c>
      <c r="F294" t="s">
        <v>34</v>
      </c>
      <c r="H294" s="3">
        <v>10000</v>
      </c>
      <c r="J294" s="3">
        <v>0</v>
      </c>
      <c r="L294">
        <v>0</v>
      </c>
      <c r="N294">
        <v>0</v>
      </c>
      <c r="P294">
        <v>0</v>
      </c>
      <c r="R294">
        <v>0</v>
      </c>
    </row>
    <row r="295" spans="1:18" x14ac:dyDescent="0.3">
      <c r="A295" t="s">
        <v>1006</v>
      </c>
      <c r="B295" t="s">
        <v>864</v>
      </c>
      <c r="C295" s="3" t="s">
        <v>1029</v>
      </c>
      <c r="D295">
        <v>1000452</v>
      </c>
      <c r="E295" t="s">
        <v>931</v>
      </c>
      <c r="F295" t="s">
        <v>33</v>
      </c>
      <c r="H295" s="3">
        <v>0</v>
      </c>
      <c r="J295" s="3">
        <v>1500</v>
      </c>
      <c r="L295">
        <v>0</v>
      </c>
      <c r="N295">
        <v>0</v>
      </c>
      <c r="P295">
        <v>0</v>
      </c>
      <c r="R295">
        <v>0</v>
      </c>
    </row>
    <row r="296" spans="1:18" x14ac:dyDescent="0.3">
      <c r="A296" t="s">
        <v>1006</v>
      </c>
      <c r="B296" t="s">
        <v>864</v>
      </c>
      <c r="C296" s="3" t="s">
        <v>1029</v>
      </c>
      <c r="D296">
        <v>1000462</v>
      </c>
      <c r="E296" t="s">
        <v>932</v>
      </c>
      <c r="F296" t="s">
        <v>33</v>
      </c>
      <c r="H296" s="3">
        <v>0</v>
      </c>
      <c r="J296" s="3">
        <v>0</v>
      </c>
      <c r="L296">
        <v>504</v>
      </c>
      <c r="N296">
        <v>720</v>
      </c>
      <c r="P296">
        <v>1044</v>
      </c>
      <c r="R296">
        <v>0</v>
      </c>
    </row>
    <row r="297" spans="1:18" x14ac:dyDescent="0.3">
      <c r="A297" t="s">
        <v>1006</v>
      </c>
      <c r="B297" t="s">
        <v>864</v>
      </c>
      <c r="C297" s="3" t="s">
        <v>1029</v>
      </c>
      <c r="D297">
        <v>1000470</v>
      </c>
      <c r="E297" t="s">
        <v>933</v>
      </c>
      <c r="F297" t="s">
        <v>33</v>
      </c>
      <c r="H297" s="3">
        <v>0</v>
      </c>
      <c r="J297" s="3">
        <v>0</v>
      </c>
      <c r="L297">
        <v>350</v>
      </c>
      <c r="N297">
        <v>0</v>
      </c>
      <c r="P297">
        <v>0</v>
      </c>
      <c r="R297">
        <v>0</v>
      </c>
    </row>
    <row r="298" spans="1:18" x14ac:dyDescent="0.3">
      <c r="A298" t="s">
        <v>1006</v>
      </c>
      <c r="B298" t="s">
        <v>864</v>
      </c>
      <c r="C298" s="3" t="s">
        <v>1029</v>
      </c>
      <c r="D298">
        <v>1000498</v>
      </c>
      <c r="E298" t="s">
        <v>934</v>
      </c>
      <c r="F298" t="s">
        <v>34</v>
      </c>
      <c r="H298" s="3">
        <v>0</v>
      </c>
      <c r="J298" s="3">
        <v>0</v>
      </c>
      <c r="L298">
        <v>0</v>
      </c>
      <c r="N298">
        <v>4000</v>
      </c>
      <c r="P298">
        <v>0</v>
      </c>
      <c r="R298">
        <v>0</v>
      </c>
    </row>
    <row r="299" spans="1:18" x14ac:dyDescent="0.3">
      <c r="A299" t="s">
        <v>1006</v>
      </c>
      <c r="B299" t="s">
        <v>864</v>
      </c>
      <c r="C299" s="3" t="s">
        <v>1029</v>
      </c>
      <c r="D299">
        <v>1000534</v>
      </c>
      <c r="E299" t="s">
        <v>935</v>
      </c>
      <c r="F299" t="s">
        <v>34</v>
      </c>
      <c r="H299" s="3">
        <v>0</v>
      </c>
      <c r="J299" s="3">
        <v>100</v>
      </c>
      <c r="L299">
        <v>0</v>
      </c>
      <c r="N299">
        <v>0</v>
      </c>
      <c r="P299">
        <v>0</v>
      </c>
      <c r="R299">
        <v>0</v>
      </c>
    </row>
    <row r="300" spans="1:18" x14ac:dyDescent="0.3">
      <c r="A300" t="s">
        <v>1006</v>
      </c>
      <c r="B300" t="s">
        <v>864</v>
      </c>
      <c r="C300" s="3" t="s">
        <v>1029</v>
      </c>
      <c r="D300">
        <v>1000538</v>
      </c>
      <c r="E300" t="s">
        <v>936</v>
      </c>
      <c r="F300" t="s">
        <v>33</v>
      </c>
      <c r="H300" s="3">
        <v>0</v>
      </c>
      <c r="J300" s="3">
        <v>100</v>
      </c>
      <c r="L300">
        <v>0</v>
      </c>
      <c r="N300">
        <v>0</v>
      </c>
      <c r="P300">
        <v>0</v>
      </c>
      <c r="R300">
        <v>0</v>
      </c>
    </row>
    <row r="301" spans="1:18" x14ac:dyDescent="0.3">
      <c r="A301" t="s">
        <v>1006</v>
      </c>
      <c r="B301" t="s">
        <v>864</v>
      </c>
      <c r="C301" s="3" t="s">
        <v>1029</v>
      </c>
      <c r="D301">
        <v>1000541</v>
      </c>
      <c r="E301" t="s">
        <v>937</v>
      </c>
      <c r="F301" t="s">
        <v>33</v>
      </c>
      <c r="H301" s="3">
        <v>0</v>
      </c>
      <c r="J301" s="3">
        <v>800</v>
      </c>
      <c r="L301">
        <v>0</v>
      </c>
      <c r="N301">
        <v>400</v>
      </c>
      <c r="P301">
        <v>500</v>
      </c>
      <c r="R301">
        <v>0</v>
      </c>
    </row>
    <row r="302" spans="1:18" x14ac:dyDescent="0.3">
      <c r="A302" t="s">
        <v>1006</v>
      </c>
      <c r="B302" t="s">
        <v>864</v>
      </c>
      <c r="C302" s="3" t="s">
        <v>1029</v>
      </c>
      <c r="D302">
        <v>1000546</v>
      </c>
      <c r="E302" t="s">
        <v>938</v>
      </c>
      <c r="F302" t="s">
        <v>33</v>
      </c>
      <c r="H302" s="3">
        <v>0</v>
      </c>
      <c r="J302" s="3">
        <v>0</v>
      </c>
      <c r="L302">
        <v>0</v>
      </c>
      <c r="N302">
        <v>350</v>
      </c>
      <c r="P302">
        <v>0</v>
      </c>
      <c r="R302">
        <v>0</v>
      </c>
    </row>
    <row r="303" spans="1:18" x14ac:dyDescent="0.3">
      <c r="A303" t="s">
        <v>1006</v>
      </c>
      <c r="B303" t="s">
        <v>864</v>
      </c>
      <c r="C303" s="3" t="s">
        <v>1029</v>
      </c>
      <c r="D303">
        <v>1000548</v>
      </c>
      <c r="E303" t="s">
        <v>939</v>
      </c>
      <c r="F303" t="s">
        <v>33</v>
      </c>
      <c r="H303" s="3">
        <v>0</v>
      </c>
      <c r="J303" s="3">
        <v>0</v>
      </c>
      <c r="L303">
        <v>0</v>
      </c>
      <c r="N303">
        <v>742</v>
      </c>
      <c r="P303">
        <v>0</v>
      </c>
      <c r="R303">
        <v>0</v>
      </c>
    </row>
    <row r="304" spans="1:18" x14ac:dyDescent="0.3">
      <c r="A304" t="s">
        <v>1006</v>
      </c>
      <c r="B304" t="s">
        <v>864</v>
      </c>
      <c r="C304" s="3" t="s">
        <v>1029</v>
      </c>
      <c r="D304">
        <v>1000549</v>
      </c>
      <c r="E304" t="s">
        <v>940</v>
      </c>
      <c r="F304" t="s">
        <v>33</v>
      </c>
      <c r="H304" s="3">
        <v>0</v>
      </c>
      <c r="J304" s="3">
        <v>0</v>
      </c>
      <c r="L304">
        <v>170</v>
      </c>
      <c r="N304">
        <v>0</v>
      </c>
      <c r="P304">
        <v>0</v>
      </c>
      <c r="R304">
        <v>0</v>
      </c>
    </row>
    <row r="305" spans="1:18" x14ac:dyDescent="0.3">
      <c r="A305" t="s">
        <v>1006</v>
      </c>
      <c r="B305" t="s">
        <v>864</v>
      </c>
      <c r="C305" s="3" t="s">
        <v>1029</v>
      </c>
      <c r="D305">
        <v>1000557</v>
      </c>
      <c r="E305" t="s">
        <v>941</v>
      </c>
      <c r="F305" t="s">
        <v>33</v>
      </c>
      <c r="H305" s="3">
        <v>0</v>
      </c>
      <c r="J305" s="3">
        <v>0</v>
      </c>
      <c r="L305">
        <v>1000</v>
      </c>
      <c r="N305">
        <v>0</v>
      </c>
      <c r="P305">
        <v>0</v>
      </c>
      <c r="R305">
        <v>0</v>
      </c>
    </row>
    <row r="306" spans="1:18" x14ac:dyDescent="0.3">
      <c r="A306" t="s">
        <v>1006</v>
      </c>
      <c r="B306" t="s">
        <v>864</v>
      </c>
      <c r="C306" s="3" t="s">
        <v>1029</v>
      </c>
      <c r="D306">
        <v>1000558</v>
      </c>
      <c r="E306" t="s">
        <v>942</v>
      </c>
      <c r="F306" t="s">
        <v>1008</v>
      </c>
      <c r="H306" s="3">
        <v>0</v>
      </c>
      <c r="J306" s="3">
        <v>0</v>
      </c>
      <c r="L306">
        <v>1000</v>
      </c>
      <c r="N306">
        <v>0</v>
      </c>
      <c r="P306">
        <v>0</v>
      </c>
      <c r="R306">
        <v>0</v>
      </c>
    </row>
    <row r="307" spans="1:18" x14ac:dyDescent="0.3">
      <c r="A307" t="s">
        <v>1006</v>
      </c>
      <c r="B307" t="s">
        <v>864</v>
      </c>
      <c r="C307" s="3" t="s">
        <v>1029</v>
      </c>
      <c r="D307">
        <v>1000559</v>
      </c>
      <c r="E307" t="s">
        <v>943</v>
      </c>
      <c r="F307" t="s">
        <v>3</v>
      </c>
      <c r="H307" s="3">
        <v>2800000</v>
      </c>
      <c r="J307" s="3">
        <v>0</v>
      </c>
      <c r="L307">
        <v>2000000</v>
      </c>
      <c r="N307">
        <v>4000000</v>
      </c>
      <c r="P307">
        <v>0</v>
      </c>
      <c r="R307">
        <v>0</v>
      </c>
    </row>
    <row r="308" spans="1:18" x14ac:dyDescent="0.3">
      <c r="A308" t="s">
        <v>1006</v>
      </c>
      <c r="B308" t="s">
        <v>864</v>
      </c>
      <c r="C308" s="3" t="s">
        <v>1029</v>
      </c>
      <c r="D308">
        <v>1000566</v>
      </c>
      <c r="E308" t="s">
        <v>944</v>
      </c>
      <c r="F308" t="s">
        <v>3</v>
      </c>
      <c r="H308" s="3">
        <v>600000</v>
      </c>
      <c r="J308" s="3">
        <v>0</v>
      </c>
      <c r="L308">
        <v>0</v>
      </c>
      <c r="N308">
        <v>0</v>
      </c>
      <c r="P308">
        <v>0</v>
      </c>
      <c r="R308">
        <v>0</v>
      </c>
    </row>
    <row r="309" spans="1:18" x14ac:dyDescent="0.3">
      <c r="A309" t="s">
        <v>1006</v>
      </c>
      <c r="B309" t="s">
        <v>864</v>
      </c>
      <c r="C309" s="3" t="s">
        <v>1029</v>
      </c>
      <c r="D309">
        <v>1000567</v>
      </c>
      <c r="E309" t="s">
        <v>945</v>
      </c>
      <c r="F309" t="s">
        <v>3</v>
      </c>
      <c r="H309" s="3">
        <v>0</v>
      </c>
      <c r="J309" s="3">
        <v>3000000</v>
      </c>
      <c r="L309">
        <v>0</v>
      </c>
      <c r="N309">
        <v>0</v>
      </c>
      <c r="P309">
        <v>0</v>
      </c>
      <c r="R309">
        <v>0</v>
      </c>
    </row>
    <row r="310" spans="1:18" x14ac:dyDescent="0.3">
      <c r="A310" t="s">
        <v>1006</v>
      </c>
      <c r="B310" t="s">
        <v>864</v>
      </c>
      <c r="C310" s="3" t="s">
        <v>1029</v>
      </c>
      <c r="D310">
        <v>1000570</v>
      </c>
      <c r="E310" t="s">
        <v>946</v>
      </c>
      <c r="F310" t="s">
        <v>3</v>
      </c>
      <c r="H310" s="3">
        <v>0</v>
      </c>
      <c r="J310" s="3">
        <v>0</v>
      </c>
      <c r="L310">
        <v>0</v>
      </c>
      <c r="N310">
        <v>0</v>
      </c>
      <c r="P310">
        <v>400000</v>
      </c>
      <c r="R310">
        <v>0</v>
      </c>
    </row>
    <row r="311" spans="1:18" x14ac:dyDescent="0.3">
      <c r="A311" t="s">
        <v>1006</v>
      </c>
      <c r="B311" t="s">
        <v>864</v>
      </c>
      <c r="C311" s="3" t="s">
        <v>1029</v>
      </c>
      <c r="D311">
        <v>1000575</v>
      </c>
      <c r="E311" t="s">
        <v>947</v>
      </c>
      <c r="F311" t="s">
        <v>3</v>
      </c>
      <c r="H311" s="3">
        <v>0</v>
      </c>
      <c r="J311" s="3">
        <v>0</v>
      </c>
      <c r="L311">
        <v>0</v>
      </c>
      <c r="N311">
        <v>0</v>
      </c>
      <c r="P311">
        <v>3600000</v>
      </c>
      <c r="R311">
        <v>0</v>
      </c>
    </row>
    <row r="312" spans="1:18" x14ac:dyDescent="0.3">
      <c r="A312" t="s">
        <v>1006</v>
      </c>
      <c r="B312" t="s">
        <v>864</v>
      </c>
      <c r="C312" s="3" t="s">
        <v>1029</v>
      </c>
      <c r="D312">
        <v>1000578</v>
      </c>
      <c r="E312" t="s">
        <v>948</v>
      </c>
      <c r="F312" t="s">
        <v>3</v>
      </c>
      <c r="H312" s="3">
        <v>0</v>
      </c>
      <c r="J312" s="3">
        <v>600000</v>
      </c>
      <c r="L312">
        <v>0</v>
      </c>
      <c r="N312">
        <v>0</v>
      </c>
      <c r="P312">
        <v>0</v>
      </c>
      <c r="R312">
        <v>0</v>
      </c>
    </row>
    <row r="313" spans="1:18" x14ac:dyDescent="0.3">
      <c r="A313" t="s">
        <v>1006</v>
      </c>
      <c r="B313" t="s">
        <v>864</v>
      </c>
      <c r="C313" s="3" t="s">
        <v>1029</v>
      </c>
      <c r="D313">
        <v>1000583</v>
      </c>
      <c r="E313" t="s">
        <v>949</v>
      </c>
      <c r="F313" t="s">
        <v>3</v>
      </c>
      <c r="H313" s="3">
        <v>0</v>
      </c>
      <c r="J313" s="3">
        <v>0</v>
      </c>
      <c r="L313">
        <v>7600000</v>
      </c>
      <c r="N313">
        <v>0</v>
      </c>
      <c r="P313">
        <v>7600000</v>
      </c>
      <c r="R313">
        <v>0</v>
      </c>
    </row>
    <row r="314" spans="1:18" x14ac:dyDescent="0.3">
      <c r="A314" t="s">
        <v>1006</v>
      </c>
      <c r="B314" t="s">
        <v>864</v>
      </c>
      <c r="C314" s="3" t="s">
        <v>1029</v>
      </c>
      <c r="D314">
        <v>1000589</v>
      </c>
      <c r="E314" t="s">
        <v>950</v>
      </c>
      <c r="F314" t="s">
        <v>34</v>
      </c>
      <c r="H314" s="3">
        <v>0</v>
      </c>
      <c r="J314" s="3">
        <v>2000</v>
      </c>
      <c r="L314">
        <v>0</v>
      </c>
      <c r="N314">
        <v>3000</v>
      </c>
      <c r="P314">
        <v>0</v>
      </c>
      <c r="R314">
        <v>0</v>
      </c>
    </row>
    <row r="315" spans="1:18" x14ac:dyDescent="0.3">
      <c r="A315" t="s">
        <v>1006</v>
      </c>
      <c r="B315" t="s">
        <v>864</v>
      </c>
      <c r="C315" s="3" t="s">
        <v>1029</v>
      </c>
      <c r="D315">
        <v>1000590</v>
      </c>
      <c r="E315" t="s">
        <v>951</v>
      </c>
      <c r="F315" t="s">
        <v>34</v>
      </c>
      <c r="H315" s="3">
        <v>0</v>
      </c>
      <c r="J315" s="3">
        <v>0</v>
      </c>
      <c r="L315">
        <v>2000</v>
      </c>
      <c r="N315">
        <v>0</v>
      </c>
      <c r="P315">
        <v>0</v>
      </c>
      <c r="R315">
        <v>0</v>
      </c>
    </row>
    <row r="316" spans="1:18" x14ac:dyDescent="0.3">
      <c r="A316" t="s">
        <v>1006</v>
      </c>
      <c r="B316" t="s">
        <v>864</v>
      </c>
      <c r="C316" s="3" t="s">
        <v>1029</v>
      </c>
      <c r="D316">
        <v>1000606</v>
      </c>
      <c r="E316" t="s">
        <v>952</v>
      </c>
      <c r="F316" t="s">
        <v>34</v>
      </c>
      <c r="H316" s="3">
        <v>0</v>
      </c>
      <c r="J316" s="3">
        <v>0</v>
      </c>
      <c r="L316">
        <v>100000</v>
      </c>
      <c r="N316">
        <v>0</v>
      </c>
      <c r="P316">
        <v>0</v>
      </c>
      <c r="R316">
        <v>0</v>
      </c>
    </row>
    <row r="317" spans="1:18" x14ac:dyDescent="0.3">
      <c r="A317" t="s">
        <v>1006</v>
      </c>
      <c r="B317" t="s">
        <v>864</v>
      </c>
      <c r="C317" s="3" t="s">
        <v>1029</v>
      </c>
      <c r="D317">
        <v>1001215</v>
      </c>
      <c r="E317" t="s">
        <v>953</v>
      </c>
      <c r="F317" t="s">
        <v>33</v>
      </c>
      <c r="H317" s="3">
        <v>0</v>
      </c>
      <c r="J317" s="3">
        <v>0</v>
      </c>
      <c r="L317">
        <v>0</v>
      </c>
      <c r="N317">
        <v>600</v>
      </c>
      <c r="P317">
        <v>0</v>
      </c>
      <c r="R317">
        <v>0</v>
      </c>
    </row>
    <row r="318" spans="1:18" x14ac:dyDescent="0.3">
      <c r="A318" t="s">
        <v>1006</v>
      </c>
      <c r="B318" t="s">
        <v>864</v>
      </c>
      <c r="C318" s="3" t="s">
        <v>1029</v>
      </c>
      <c r="D318">
        <v>1001246</v>
      </c>
      <c r="E318" t="s">
        <v>954</v>
      </c>
      <c r="F318" t="s">
        <v>33</v>
      </c>
      <c r="H318" s="3">
        <v>400</v>
      </c>
      <c r="J318" s="3">
        <v>0</v>
      </c>
      <c r="L318">
        <v>0</v>
      </c>
      <c r="N318">
        <v>0</v>
      </c>
      <c r="P318">
        <v>0</v>
      </c>
      <c r="R318">
        <v>0</v>
      </c>
    </row>
    <row r="319" spans="1:18" x14ac:dyDescent="0.3">
      <c r="A319" t="s">
        <v>1006</v>
      </c>
      <c r="B319" t="s">
        <v>864</v>
      </c>
      <c r="C319" s="3" t="s">
        <v>1029</v>
      </c>
      <c r="D319">
        <v>1001308</v>
      </c>
      <c r="E319" t="s">
        <v>955</v>
      </c>
      <c r="F319" t="s">
        <v>33</v>
      </c>
      <c r="H319" s="3">
        <v>236</v>
      </c>
      <c r="J319" s="3">
        <v>0</v>
      </c>
      <c r="L319">
        <v>0</v>
      </c>
      <c r="N319">
        <v>0</v>
      </c>
      <c r="P319">
        <v>0</v>
      </c>
      <c r="R319">
        <v>0</v>
      </c>
    </row>
    <row r="320" spans="1:18" x14ac:dyDescent="0.3">
      <c r="A320" t="s">
        <v>1006</v>
      </c>
      <c r="B320" t="s">
        <v>864</v>
      </c>
      <c r="C320" s="3" t="s">
        <v>1029</v>
      </c>
      <c r="D320">
        <v>1300142</v>
      </c>
      <c r="E320" t="s">
        <v>956</v>
      </c>
      <c r="F320" t="s">
        <v>34</v>
      </c>
      <c r="H320" s="3">
        <v>0</v>
      </c>
      <c r="J320" s="3">
        <v>0</v>
      </c>
      <c r="L320">
        <v>150000</v>
      </c>
      <c r="N320">
        <v>0</v>
      </c>
      <c r="P320">
        <v>0</v>
      </c>
      <c r="R320">
        <v>0</v>
      </c>
    </row>
    <row r="321" spans="1:18" x14ac:dyDescent="0.3">
      <c r="A321" t="s">
        <v>1006</v>
      </c>
      <c r="B321" t="s">
        <v>864</v>
      </c>
      <c r="C321" s="3" t="s">
        <v>1029</v>
      </c>
      <c r="D321">
        <v>1300173</v>
      </c>
      <c r="E321" t="s">
        <v>45</v>
      </c>
      <c r="F321" t="s">
        <v>33</v>
      </c>
      <c r="H321" s="3">
        <v>25</v>
      </c>
      <c r="J321" s="3">
        <v>0</v>
      </c>
      <c r="L321">
        <v>0</v>
      </c>
      <c r="N321">
        <v>25</v>
      </c>
      <c r="P321">
        <v>0</v>
      </c>
      <c r="R321">
        <v>0</v>
      </c>
    </row>
    <row r="322" spans="1:18" x14ac:dyDescent="0.3">
      <c r="A322" t="s">
        <v>1006</v>
      </c>
      <c r="B322" t="s">
        <v>864</v>
      </c>
      <c r="C322" s="3" t="s">
        <v>1029</v>
      </c>
      <c r="D322">
        <v>1300184</v>
      </c>
      <c r="E322" t="s">
        <v>314</v>
      </c>
      <c r="F322" t="s">
        <v>33</v>
      </c>
      <c r="H322" s="3">
        <v>0</v>
      </c>
      <c r="J322" s="3">
        <v>15</v>
      </c>
      <c r="L322">
        <v>0</v>
      </c>
      <c r="N322">
        <v>0</v>
      </c>
      <c r="P322">
        <v>0</v>
      </c>
      <c r="R322">
        <v>0</v>
      </c>
    </row>
    <row r="323" spans="1:18" x14ac:dyDescent="0.3">
      <c r="A323" t="s">
        <v>1006</v>
      </c>
      <c r="B323" t="s">
        <v>864</v>
      </c>
      <c r="C323" s="3" t="s">
        <v>1029</v>
      </c>
      <c r="D323">
        <v>1300196</v>
      </c>
      <c r="E323" t="s">
        <v>957</v>
      </c>
      <c r="F323" t="s">
        <v>33</v>
      </c>
      <c r="H323" s="3">
        <v>0</v>
      </c>
      <c r="J323" s="3">
        <v>0</v>
      </c>
      <c r="L323">
        <v>0</v>
      </c>
      <c r="N323">
        <v>75</v>
      </c>
      <c r="P323">
        <v>0</v>
      </c>
      <c r="R323">
        <v>0</v>
      </c>
    </row>
    <row r="324" spans="1:18" x14ac:dyDescent="0.3">
      <c r="A324" t="s">
        <v>1006</v>
      </c>
      <c r="B324" t="s">
        <v>864</v>
      </c>
      <c r="C324" s="3" t="s">
        <v>1029</v>
      </c>
      <c r="D324">
        <v>1300210</v>
      </c>
      <c r="E324" t="s">
        <v>958</v>
      </c>
      <c r="F324" t="s">
        <v>33</v>
      </c>
      <c r="H324" s="3">
        <v>0</v>
      </c>
      <c r="J324" s="3">
        <v>25</v>
      </c>
      <c r="L324">
        <v>0</v>
      </c>
      <c r="N324">
        <v>25</v>
      </c>
      <c r="P324">
        <v>0</v>
      </c>
      <c r="R324">
        <v>0</v>
      </c>
    </row>
    <row r="325" spans="1:18" x14ac:dyDescent="0.3">
      <c r="A325" t="s">
        <v>1006</v>
      </c>
      <c r="B325" t="s">
        <v>864</v>
      </c>
      <c r="C325" s="3" t="s">
        <v>1029</v>
      </c>
      <c r="D325">
        <v>1300227</v>
      </c>
      <c r="E325" t="s">
        <v>959</v>
      </c>
      <c r="F325" t="s">
        <v>1007</v>
      </c>
      <c r="H325" s="3">
        <v>0</v>
      </c>
      <c r="J325" s="3">
        <v>10</v>
      </c>
      <c r="L325">
        <v>0</v>
      </c>
      <c r="N325">
        <v>0</v>
      </c>
      <c r="P325">
        <v>0</v>
      </c>
      <c r="R325">
        <v>0</v>
      </c>
    </row>
    <row r="326" spans="1:18" x14ac:dyDescent="0.3">
      <c r="A326" t="s">
        <v>1006</v>
      </c>
      <c r="B326" t="s">
        <v>864</v>
      </c>
      <c r="C326" s="3" t="s">
        <v>1029</v>
      </c>
      <c r="D326">
        <v>1300261</v>
      </c>
      <c r="E326" t="s">
        <v>960</v>
      </c>
      <c r="F326" t="s">
        <v>33</v>
      </c>
      <c r="H326" s="3">
        <v>700</v>
      </c>
      <c r="J326" s="3">
        <v>0</v>
      </c>
      <c r="L326">
        <v>700</v>
      </c>
      <c r="N326">
        <v>0</v>
      </c>
      <c r="P326">
        <v>0</v>
      </c>
      <c r="R326">
        <v>0</v>
      </c>
    </row>
    <row r="327" spans="1:18" x14ac:dyDescent="0.3">
      <c r="A327" t="s">
        <v>1006</v>
      </c>
      <c r="B327" t="s">
        <v>864</v>
      </c>
      <c r="C327" s="3" t="s">
        <v>1029</v>
      </c>
      <c r="D327">
        <v>1300295</v>
      </c>
      <c r="E327" t="s">
        <v>961</v>
      </c>
      <c r="F327" t="s">
        <v>34</v>
      </c>
      <c r="H327" s="3">
        <v>0</v>
      </c>
      <c r="J327" s="3">
        <v>100</v>
      </c>
      <c r="L327">
        <v>0</v>
      </c>
      <c r="N327">
        <v>0</v>
      </c>
      <c r="P327">
        <v>0</v>
      </c>
      <c r="R327">
        <v>0</v>
      </c>
    </row>
    <row r="328" spans="1:18" x14ac:dyDescent="0.3">
      <c r="A328" t="s">
        <v>1006</v>
      </c>
      <c r="B328" t="s">
        <v>864</v>
      </c>
      <c r="C328" s="3" t="s">
        <v>1029</v>
      </c>
      <c r="D328">
        <v>1300297</v>
      </c>
      <c r="E328" t="s">
        <v>962</v>
      </c>
      <c r="F328" t="s">
        <v>33</v>
      </c>
      <c r="H328" s="3">
        <v>0</v>
      </c>
      <c r="J328" s="3">
        <v>10</v>
      </c>
      <c r="L328">
        <v>0</v>
      </c>
      <c r="N328">
        <v>0</v>
      </c>
      <c r="P328">
        <v>0</v>
      </c>
      <c r="R328">
        <v>0</v>
      </c>
    </row>
    <row r="329" spans="1:18" x14ac:dyDescent="0.3">
      <c r="A329" t="s">
        <v>1006</v>
      </c>
      <c r="B329" t="s">
        <v>864</v>
      </c>
      <c r="C329" s="3" t="s">
        <v>1029</v>
      </c>
      <c r="D329">
        <v>1300312</v>
      </c>
      <c r="E329" t="s">
        <v>963</v>
      </c>
      <c r="F329" t="s">
        <v>33</v>
      </c>
      <c r="H329" s="3">
        <v>0</v>
      </c>
      <c r="J329" s="3">
        <v>0</v>
      </c>
      <c r="L329">
        <v>30</v>
      </c>
      <c r="N329">
        <v>0</v>
      </c>
      <c r="P329">
        <v>0</v>
      </c>
      <c r="R329">
        <v>0</v>
      </c>
    </row>
    <row r="330" spans="1:18" x14ac:dyDescent="0.3">
      <c r="A330" t="s">
        <v>1006</v>
      </c>
      <c r="B330" t="s">
        <v>864</v>
      </c>
      <c r="C330" s="3" t="s">
        <v>1029</v>
      </c>
      <c r="D330">
        <v>1300349</v>
      </c>
      <c r="E330" t="s">
        <v>964</v>
      </c>
      <c r="F330" t="s">
        <v>3</v>
      </c>
      <c r="H330" s="3">
        <v>0</v>
      </c>
      <c r="J330" s="3">
        <v>2200000</v>
      </c>
      <c r="L330">
        <v>0</v>
      </c>
      <c r="N330">
        <v>12000000</v>
      </c>
      <c r="P330">
        <v>0</v>
      </c>
      <c r="R330">
        <v>0</v>
      </c>
    </row>
    <row r="331" spans="1:18" x14ac:dyDescent="0.3">
      <c r="A331" t="s">
        <v>1006</v>
      </c>
      <c r="B331" t="s">
        <v>864</v>
      </c>
      <c r="C331" s="3" t="s">
        <v>1029</v>
      </c>
      <c r="D331">
        <v>1300350</v>
      </c>
      <c r="E331" t="s">
        <v>965</v>
      </c>
      <c r="F331" t="s">
        <v>33</v>
      </c>
      <c r="H331" s="3">
        <v>0</v>
      </c>
      <c r="J331" s="3">
        <v>140</v>
      </c>
      <c r="L331">
        <v>0</v>
      </c>
      <c r="N331">
        <v>200</v>
      </c>
      <c r="P331">
        <v>0</v>
      </c>
      <c r="R331">
        <v>0</v>
      </c>
    </row>
    <row r="332" spans="1:18" x14ac:dyDescent="0.3">
      <c r="A332" t="s">
        <v>1006</v>
      </c>
      <c r="B332" t="s">
        <v>864</v>
      </c>
      <c r="C332" s="3" t="s">
        <v>1029</v>
      </c>
      <c r="D332">
        <v>1300487</v>
      </c>
      <c r="E332" t="s">
        <v>966</v>
      </c>
      <c r="F332" t="s">
        <v>1009</v>
      </c>
      <c r="H332" s="3">
        <v>0</v>
      </c>
      <c r="J332" s="3">
        <v>20000</v>
      </c>
      <c r="L332">
        <v>20000</v>
      </c>
      <c r="N332">
        <v>20000</v>
      </c>
      <c r="P332">
        <v>0</v>
      </c>
      <c r="R332">
        <v>20000</v>
      </c>
    </row>
    <row r="333" spans="1:18" x14ac:dyDescent="0.3">
      <c r="A333" t="s">
        <v>1006</v>
      </c>
      <c r="B333" t="s">
        <v>864</v>
      </c>
      <c r="C333" s="3" t="s">
        <v>1029</v>
      </c>
      <c r="D333">
        <v>1300498</v>
      </c>
      <c r="E333" t="s">
        <v>967</v>
      </c>
      <c r="F333" t="s">
        <v>33</v>
      </c>
      <c r="H333" s="3">
        <v>0</v>
      </c>
      <c r="J333" s="3">
        <v>400</v>
      </c>
      <c r="L333">
        <v>0</v>
      </c>
      <c r="N333">
        <v>0</v>
      </c>
      <c r="P333">
        <v>0</v>
      </c>
      <c r="R333">
        <v>0</v>
      </c>
    </row>
    <row r="334" spans="1:18" x14ac:dyDescent="0.3">
      <c r="A334" t="s">
        <v>1006</v>
      </c>
      <c r="B334" t="s">
        <v>864</v>
      </c>
      <c r="C334" s="3" t="s">
        <v>1029</v>
      </c>
      <c r="D334">
        <v>1300501</v>
      </c>
      <c r="E334" t="s">
        <v>968</v>
      </c>
      <c r="F334" t="s">
        <v>33</v>
      </c>
      <c r="H334" s="3">
        <v>3186</v>
      </c>
      <c r="J334" s="3">
        <v>0</v>
      </c>
      <c r="L334">
        <v>0</v>
      </c>
      <c r="N334">
        <v>0</v>
      </c>
      <c r="P334">
        <v>0</v>
      </c>
      <c r="R334">
        <v>0</v>
      </c>
    </row>
    <row r="335" spans="1:18" x14ac:dyDescent="0.3">
      <c r="A335" t="s">
        <v>1006</v>
      </c>
      <c r="B335" t="s">
        <v>864</v>
      </c>
      <c r="C335" s="3" t="s">
        <v>1029</v>
      </c>
      <c r="D335">
        <v>1300547</v>
      </c>
      <c r="E335" t="s">
        <v>969</v>
      </c>
      <c r="F335" t="s">
        <v>33</v>
      </c>
      <c r="H335" s="3">
        <v>0</v>
      </c>
      <c r="J335" s="3">
        <v>600</v>
      </c>
      <c r="L335">
        <v>0</v>
      </c>
      <c r="N335">
        <v>600</v>
      </c>
      <c r="P335">
        <v>0</v>
      </c>
      <c r="R335">
        <v>0</v>
      </c>
    </row>
    <row r="336" spans="1:18" x14ac:dyDescent="0.3">
      <c r="A336" t="s">
        <v>1006</v>
      </c>
      <c r="B336" t="s">
        <v>864</v>
      </c>
      <c r="C336" s="3" t="s">
        <v>1029</v>
      </c>
      <c r="D336">
        <v>1300569</v>
      </c>
      <c r="E336" t="s">
        <v>970</v>
      </c>
      <c r="F336" t="s">
        <v>33</v>
      </c>
      <c r="H336" s="3">
        <v>0</v>
      </c>
      <c r="J336" s="3">
        <v>0</v>
      </c>
      <c r="L336">
        <v>148</v>
      </c>
      <c r="N336">
        <v>0</v>
      </c>
      <c r="P336">
        <v>0</v>
      </c>
      <c r="R336">
        <v>0</v>
      </c>
    </row>
    <row r="337" spans="1:18" x14ac:dyDescent="0.3">
      <c r="A337" t="s">
        <v>1006</v>
      </c>
      <c r="B337" t="s">
        <v>864</v>
      </c>
      <c r="C337" s="3" t="s">
        <v>1029</v>
      </c>
      <c r="D337">
        <v>1300570</v>
      </c>
      <c r="E337" t="s">
        <v>971</v>
      </c>
      <c r="F337" t="s">
        <v>33</v>
      </c>
      <c r="H337" s="3">
        <v>0</v>
      </c>
      <c r="J337" s="3">
        <v>0</v>
      </c>
      <c r="L337">
        <v>0</v>
      </c>
      <c r="N337">
        <v>600</v>
      </c>
      <c r="P337">
        <v>0</v>
      </c>
      <c r="R337">
        <v>0</v>
      </c>
    </row>
    <row r="338" spans="1:18" x14ac:dyDescent="0.3">
      <c r="A338" t="s">
        <v>1006</v>
      </c>
      <c r="B338" t="s">
        <v>864</v>
      </c>
      <c r="C338" s="3" t="s">
        <v>1029</v>
      </c>
      <c r="D338">
        <v>1300625</v>
      </c>
      <c r="E338" t="s">
        <v>972</v>
      </c>
      <c r="F338" t="s">
        <v>33</v>
      </c>
      <c r="H338" s="3">
        <v>0</v>
      </c>
      <c r="J338" s="3">
        <v>1000</v>
      </c>
      <c r="L338">
        <v>0</v>
      </c>
      <c r="N338">
        <v>0</v>
      </c>
      <c r="P338">
        <v>0</v>
      </c>
      <c r="R338">
        <v>0</v>
      </c>
    </row>
    <row r="339" spans="1:18" x14ac:dyDescent="0.3">
      <c r="A339" t="s">
        <v>1006</v>
      </c>
      <c r="B339" t="s">
        <v>864</v>
      </c>
      <c r="C339" s="3" t="s">
        <v>1029</v>
      </c>
      <c r="D339">
        <v>1300660</v>
      </c>
      <c r="E339" t="s">
        <v>973</v>
      </c>
      <c r="F339" t="s">
        <v>33</v>
      </c>
      <c r="H339" s="3">
        <v>0</v>
      </c>
      <c r="J339" s="3">
        <v>150</v>
      </c>
      <c r="L339">
        <v>0</v>
      </c>
      <c r="N339">
        <v>0</v>
      </c>
      <c r="P339">
        <v>0</v>
      </c>
      <c r="R339">
        <v>0</v>
      </c>
    </row>
    <row r="340" spans="1:18" x14ac:dyDescent="0.3">
      <c r="A340" t="s">
        <v>1006</v>
      </c>
      <c r="B340" t="s">
        <v>864</v>
      </c>
      <c r="C340" s="3" t="s">
        <v>1029</v>
      </c>
      <c r="D340">
        <v>1300670</v>
      </c>
      <c r="E340" t="s">
        <v>974</v>
      </c>
      <c r="F340" t="s">
        <v>33</v>
      </c>
      <c r="H340" s="3">
        <v>0</v>
      </c>
      <c r="J340" s="3">
        <v>0</v>
      </c>
      <c r="L340">
        <v>1200</v>
      </c>
      <c r="N340">
        <v>0</v>
      </c>
      <c r="P340">
        <v>0</v>
      </c>
      <c r="R340">
        <v>0</v>
      </c>
    </row>
    <row r="341" spans="1:18" x14ac:dyDescent="0.3">
      <c r="A341" t="s">
        <v>1006</v>
      </c>
      <c r="B341" t="s">
        <v>864</v>
      </c>
      <c r="C341" s="3" t="s">
        <v>1029</v>
      </c>
      <c r="D341">
        <v>1300671</v>
      </c>
      <c r="E341" t="s">
        <v>975</v>
      </c>
      <c r="F341" t="s">
        <v>33</v>
      </c>
      <c r="H341" s="3">
        <v>1625</v>
      </c>
      <c r="J341" s="3">
        <v>0</v>
      </c>
      <c r="L341">
        <v>0</v>
      </c>
      <c r="N341">
        <v>0</v>
      </c>
      <c r="P341">
        <v>1300</v>
      </c>
      <c r="R341">
        <v>0</v>
      </c>
    </row>
    <row r="342" spans="1:18" x14ac:dyDescent="0.3">
      <c r="A342" t="s">
        <v>1006</v>
      </c>
      <c r="B342" t="s">
        <v>864</v>
      </c>
      <c r="C342" s="3" t="s">
        <v>1029</v>
      </c>
      <c r="D342">
        <v>1300721</v>
      </c>
      <c r="E342" t="s">
        <v>976</v>
      </c>
      <c r="F342" t="s">
        <v>33</v>
      </c>
      <c r="H342" s="3">
        <v>0</v>
      </c>
      <c r="J342" s="3">
        <v>0</v>
      </c>
      <c r="L342">
        <v>0</v>
      </c>
      <c r="N342">
        <v>0</v>
      </c>
      <c r="P342">
        <v>300</v>
      </c>
      <c r="R342">
        <v>0</v>
      </c>
    </row>
    <row r="343" spans="1:18" x14ac:dyDescent="0.3">
      <c r="A343" t="s">
        <v>1006</v>
      </c>
      <c r="B343" t="s">
        <v>864</v>
      </c>
      <c r="C343" s="3" t="s">
        <v>1029</v>
      </c>
      <c r="D343">
        <v>1300723</v>
      </c>
      <c r="E343" t="s">
        <v>977</v>
      </c>
      <c r="F343" t="s">
        <v>33</v>
      </c>
      <c r="H343" s="3">
        <v>0</v>
      </c>
      <c r="J343" s="3">
        <v>0</v>
      </c>
      <c r="L343">
        <v>10</v>
      </c>
      <c r="N343">
        <v>0</v>
      </c>
      <c r="P343">
        <v>0</v>
      </c>
      <c r="R343">
        <v>0</v>
      </c>
    </row>
    <row r="344" spans="1:18" x14ac:dyDescent="0.3">
      <c r="A344" t="s">
        <v>1006</v>
      </c>
      <c r="B344" t="s">
        <v>864</v>
      </c>
      <c r="C344" s="3" t="s">
        <v>1029</v>
      </c>
      <c r="D344">
        <v>1300816</v>
      </c>
      <c r="E344" t="s">
        <v>978</v>
      </c>
      <c r="F344" t="s">
        <v>33</v>
      </c>
      <c r="H344" s="3">
        <v>0</v>
      </c>
      <c r="J344" s="3">
        <v>200</v>
      </c>
      <c r="L344">
        <v>0</v>
      </c>
      <c r="N344">
        <v>0</v>
      </c>
      <c r="P344">
        <v>0</v>
      </c>
      <c r="R344">
        <v>0</v>
      </c>
    </row>
    <row r="345" spans="1:18" x14ac:dyDescent="0.3">
      <c r="A345" t="s">
        <v>1006</v>
      </c>
      <c r="B345" t="s">
        <v>864</v>
      </c>
      <c r="C345" s="3" t="s">
        <v>1029</v>
      </c>
      <c r="D345">
        <v>1300916</v>
      </c>
      <c r="E345" t="s">
        <v>979</v>
      </c>
      <c r="F345" t="s">
        <v>33</v>
      </c>
      <c r="H345" s="3">
        <v>0</v>
      </c>
      <c r="J345" s="3">
        <v>20</v>
      </c>
      <c r="L345">
        <v>0</v>
      </c>
      <c r="N345">
        <v>0</v>
      </c>
      <c r="P345">
        <v>0</v>
      </c>
      <c r="R345">
        <v>0</v>
      </c>
    </row>
    <row r="346" spans="1:18" x14ac:dyDescent="0.3">
      <c r="A346" t="s">
        <v>1006</v>
      </c>
      <c r="B346" t="s">
        <v>864</v>
      </c>
      <c r="C346" s="3" t="s">
        <v>1029</v>
      </c>
      <c r="D346">
        <v>1300937</v>
      </c>
      <c r="E346" t="s">
        <v>980</v>
      </c>
      <c r="F346" t="s">
        <v>33</v>
      </c>
      <c r="H346" s="3">
        <v>0</v>
      </c>
      <c r="J346" s="3">
        <v>0</v>
      </c>
      <c r="L346">
        <v>600</v>
      </c>
      <c r="N346">
        <v>0</v>
      </c>
      <c r="P346">
        <v>0</v>
      </c>
      <c r="R346">
        <v>0</v>
      </c>
    </row>
    <row r="347" spans="1:18" x14ac:dyDescent="0.3">
      <c r="A347" t="s">
        <v>1006</v>
      </c>
      <c r="B347" t="s">
        <v>864</v>
      </c>
      <c r="C347" s="3" t="s">
        <v>1029</v>
      </c>
      <c r="D347">
        <v>1300938</v>
      </c>
      <c r="E347" t="s">
        <v>981</v>
      </c>
      <c r="F347" t="s">
        <v>33</v>
      </c>
      <c r="H347" s="3">
        <v>0</v>
      </c>
      <c r="J347" s="3">
        <v>0</v>
      </c>
      <c r="L347">
        <v>500</v>
      </c>
      <c r="N347">
        <v>0</v>
      </c>
      <c r="P347">
        <v>0</v>
      </c>
      <c r="R347">
        <v>0</v>
      </c>
    </row>
    <row r="348" spans="1:18" x14ac:dyDescent="0.3">
      <c r="A348" t="s">
        <v>1006</v>
      </c>
      <c r="B348" t="s">
        <v>864</v>
      </c>
      <c r="C348" s="3" t="s">
        <v>1029</v>
      </c>
      <c r="D348">
        <v>1300939</v>
      </c>
      <c r="E348" t="s">
        <v>982</v>
      </c>
      <c r="F348" t="s">
        <v>33</v>
      </c>
      <c r="H348" s="3">
        <v>0</v>
      </c>
      <c r="J348" s="3">
        <v>0</v>
      </c>
      <c r="L348">
        <v>7500</v>
      </c>
      <c r="N348">
        <v>0</v>
      </c>
      <c r="P348">
        <v>0</v>
      </c>
      <c r="R348">
        <v>0</v>
      </c>
    </row>
    <row r="349" spans="1:18" x14ac:dyDescent="0.3">
      <c r="A349" t="s">
        <v>1006</v>
      </c>
      <c r="B349" t="s">
        <v>864</v>
      </c>
      <c r="C349" s="3" t="s">
        <v>1029</v>
      </c>
      <c r="D349">
        <v>1300955</v>
      </c>
      <c r="E349" t="s">
        <v>983</v>
      </c>
      <c r="F349" t="s">
        <v>33</v>
      </c>
      <c r="H349" s="3">
        <v>0</v>
      </c>
      <c r="J349" s="3">
        <v>0</v>
      </c>
      <c r="L349">
        <v>0</v>
      </c>
      <c r="N349">
        <v>100</v>
      </c>
      <c r="P349">
        <v>0</v>
      </c>
      <c r="R349">
        <v>0</v>
      </c>
    </row>
    <row r="350" spans="1:18" x14ac:dyDescent="0.3">
      <c r="A350" t="s">
        <v>1006</v>
      </c>
      <c r="B350" t="s">
        <v>864</v>
      </c>
      <c r="C350" s="3" t="s">
        <v>1029</v>
      </c>
      <c r="D350">
        <v>1300969</v>
      </c>
      <c r="E350" t="s">
        <v>984</v>
      </c>
      <c r="F350" t="s">
        <v>33</v>
      </c>
      <c r="H350" s="3">
        <v>0</v>
      </c>
      <c r="J350" s="3">
        <v>25</v>
      </c>
      <c r="L350">
        <v>0</v>
      </c>
      <c r="N350">
        <v>0</v>
      </c>
      <c r="P350">
        <v>0</v>
      </c>
      <c r="R350">
        <v>0</v>
      </c>
    </row>
    <row r="351" spans="1:18" x14ac:dyDescent="0.3">
      <c r="A351" t="s">
        <v>1006</v>
      </c>
      <c r="B351" t="s">
        <v>864</v>
      </c>
      <c r="C351" s="3" t="s">
        <v>1029</v>
      </c>
      <c r="D351">
        <v>1300985</v>
      </c>
      <c r="E351" t="s">
        <v>985</v>
      </c>
      <c r="F351" t="s">
        <v>33</v>
      </c>
      <c r="H351" s="3">
        <v>0</v>
      </c>
      <c r="J351" s="3">
        <v>50</v>
      </c>
      <c r="L351">
        <v>0</v>
      </c>
      <c r="N351">
        <v>0</v>
      </c>
      <c r="P351">
        <v>0</v>
      </c>
      <c r="R351">
        <v>0</v>
      </c>
    </row>
    <row r="352" spans="1:18" x14ac:dyDescent="0.3">
      <c r="A352" t="s">
        <v>1006</v>
      </c>
      <c r="B352" t="s">
        <v>864</v>
      </c>
      <c r="C352" s="3" t="s">
        <v>1029</v>
      </c>
      <c r="D352">
        <v>1301176</v>
      </c>
      <c r="E352" t="s">
        <v>986</v>
      </c>
      <c r="F352" t="s">
        <v>33</v>
      </c>
      <c r="H352" s="3">
        <v>0</v>
      </c>
      <c r="J352" s="3">
        <v>0</v>
      </c>
      <c r="L352">
        <v>500</v>
      </c>
      <c r="N352">
        <v>0</v>
      </c>
      <c r="P352">
        <v>0</v>
      </c>
      <c r="R352">
        <v>0</v>
      </c>
    </row>
    <row r="353" spans="1:18" x14ac:dyDescent="0.3">
      <c r="A353" t="s">
        <v>1006</v>
      </c>
      <c r="B353" t="s">
        <v>864</v>
      </c>
      <c r="C353" s="3" t="s">
        <v>1029</v>
      </c>
      <c r="D353">
        <v>1301246</v>
      </c>
      <c r="E353" t="s">
        <v>987</v>
      </c>
      <c r="F353" t="s">
        <v>33</v>
      </c>
      <c r="H353" s="3">
        <v>0</v>
      </c>
      <c r="J353" s="3">
        <v>0</v>
      </c>
      <c r="L353">
        <v>10</v>
      </c>
      <c r="N353">
        <v>0</v>
      </c>
      <c r="P353">
        <v>0</v>
      </c>
      <c r="R353">
        <v>0</v>
      </c>
    </row>
    <row r="354" spans="1:18" x14ac:dyDescent="0.3">
      <c r="A354" t="s">
        <v>1006</v>
      </c>
      <c r="B354" t="s">
        <v>864</v>
      </c>
      <c r="C354" s="3" t="s">
        <v>1029</v>
      </c>
      <c r="D354">
        <v>1301349</v>
      </c>
      <c r="E354" t="s">
        <v>988</v>
      </c>
      <c r="F354" t="s">
        <v>33</v>
      </c>
      <c r="H354" s="3">
        <v>0</v>
      </c>
      <c r="J354" s="3">
        <v>0</v>
      </c>
      <c r="L354">
        <v>1200</v>
      </c>
      <c r="N354">
        <v>0</v>
      </c>
      <c r="P354">
        <v>0</v>
      </c>
      <c r="R354">
        <v>0</v>
      </c>
    </row>
    <row r="355" spans="1:18" x14ac:dyDescent="0.3">
      <c r="A355" t="s">
        <v>1006</v>
      </c>
      <c r="B355" t="s">
        <v>864</v>
      </c>
      <c r="C355" s="3" t="s">
        <v>1029</v>
      </c>
      <c r="D355">
        <v>1301368</v>
      </c>
      <c r="E355" t="s">
        <v>989</v>
      </c>
      <c r="F355" t="s">
        <v>33</v>
      </c>
      <c r="H355" s="3">
        <v>0</v>
      </c>
      <c r="J355" s="3">
        <v>0</v>
      </c>
      <c r="L355">
        <v>0</v>
      </c>
      <c r="N355">
        <v>20</v>
      </c>
      <c r="P355">
        <v>0</v>
      </c>
      <c r="R355">
        <v>0</v>
      </c>
    </row>
    <row r="356" spans="1:18" x14ac:dyDescent="0.3">
      <c r="A356" t="s">
        <v>1006</v>
      </c>
      <c r="B356" t="s">
        <v>864</v>
      </c>
      <c r="C356" s="3" t="s">
        <v>1029</v>
      </c>
      <c r="D356">
        <v>1301370</v>
      </c>
      <c r="E356" t="s">
        <v>990</v>
      </c>
      <c r="F356" t="s">
        <v>33</v>
      </c>
      <c r="H356" s="3">
        <v>0</v>
      </c>
      <c r="J356" s="3">
        <v>0</v>
      </c>
      <c r="L356">
        <v>0</v>
      </c>
      <c r="N356">
        <v>40</v>
      </c>
      <c r="P356">
        <v>0</v>
      </c>
      <c r="R356">
        <v>0</v>
      </c>
    </row>
    <row r="357" spans="1:18" x14ac:dyDescent="0.3">
      <c r="A357" t="s">
        <v>1006</v>
      </c>
      <c r="B357" t="s">
        <v>864</v>
      </c>
      <c r="C357" s="3" t="s">
        <v>1029</v>
      </c>
      <c r="D357">
        <v>1301408</v>
      </c>
      <c r="E357" t="s">
        <v>991</v>
      </c>
      <c r="F357" t="s">
        <v>34</v>
      </c>
      <c r="H357" s="3">
        <v>0</v>
      </c>
      <c r="J357" s="3">
        <v>0</v>
      </c>
      <c r="L357">
        <v>0</v>
      </c>
      <c r="N357">
        <v>100000</v>
      </c>
      <c r="P357">
        <v>0</v>
      </c>
      <c r="R357">
        <v>0</v>
      </c>
    </row>
    <row r="358" spans="1:18" x14ac:dyDescent="0.3">
      <c r="A358" t="s">
        <v>1006</v>
      </c>
      <c r="B358" t="s">
        <v>864</v>
      </c>
      <c r="C358" s="3" t="s">
        <v>1029</v>
      </c>
      <c r="D358">
        <v>1301418</v>
      </c>
      <c r="E358" t="s">
        <v>992</v>
      </c>
      <c r="F358" t="s">
        <v>34</v>
      </c>
      <c r="H358" s="3">
        <v>0</v>
      </c>
      <c r="J358" s="3">
        <v>0</v>
      </c>
      <c r="L358">
        <v>0</v>
      </c>
      <c r="N358">
        <v>0</v>
      </c>
      <c r="P358">
        <v>5000</v>
      </c>
      <c r="R358">
        <v>0</v>
      </c>
    </row>
    <row r="359" spans="1:18" x14ac:dyDescent="0.3">
      <c r="A359" t="s">
        <v>1006</v>
      </c>
      <c r="B359" t="s">
        <v>864</v>
      </c>
      <c r="C359" s="3" t="s">
        <v>1029</v>
      </c>
      <c r="D359">
        <v>1301430</v>
      </c>
      <c r="E359" t="s">
        <v>39</v>
      </c>
      <c r="F359" t="s">
        <v>34</v>
      </c>
      <c r="H359" s="3">
        <v>0</v>
      </c>
      <c r="J359" s="3">
        <v>219530</v>
      </c>
      <c r="L359">
        <v>244990</v>
      </c>
      <c r="N359">
        <v>0</v>
      </c>
      <c r="P359">
        <v>0</v>
      </c>
      <c r="R359">
        <v>230</v>
      </c>
    </row>
    <row r="360" spans="1:18" x14ac:dyDescent="0.3">
      <c r="A360" t="s">
        <v>1006</v>
      </c>
      <c r="B360" t="s">
        <v>864</v>
      </c>
      <c r="C360" s="3" t="s">
        <v>1029</v>
      </c>
      <c r="D360">
        <v>1301431</v>
      </c>
      <c r="E360" t="s">
        <v>993</v>
      </c>
      <c r="F360" t="s">
        <v>34</v>
      </c>
      <c r="H360" s="3">
        <v>0</v>
      </c>
      <c r="J360" s="3">
        <v>300</v>
      </c>
      <c r="L360">
        <v>0</v>
      </c>
      <c r="N360">
        <v>0</v>
      </c>
      <c r="P360">
        <v>0</v>
      </c>
      <c r="R360">
        <v>0</v>
      </c>
    </row>
    <row r="361" spans="1:18" x14ac:dyDescent="0.3">
      <c r="A361" t="s">
        <v>1006</v>
      </c>
      <c r="B361" t="s">
        <v>864</v>
      </c>
      <c r="C361" s="3" t="s">
        <v>1029</v>
      </c>
      <c r="D361">
        <v>1301557</v>
      </c>
      <c r="E361" t="s">
        <v>994</v>
      </c>
      <c r="F361" t="s">
        <v>34</v>
      </c>
      <c r="H361" s="3">
        <v>0</v>
      </c>
      <c r="J361" s="3">
        <v>0</v>
      </c>
      <c r="L361">
        <v>1200</v>
      </c>
      <c r="N361">
        <v>0</v>
      </c>
      <c r="P361">
        <v>0</v>
      </c>
      <c r="R361">
        <v>0</v>
      </c>
    </row>
    <row r="362" spans="1:18" x14ac:dyDescent="0.3">
      <c r="A362" t="s">
        <v>1006</v>
      </c>
      <c r="B362" t="s">
        <v>864</v>
      </c>
      <c r="C362" s="3" t="s">
        <v>1029</v>
      </c>
      <c r="D362">
        <v>1301738</v>
      </c>
      <c r="E362" t="s">
        <v>995</v>
      </c>
      <c r="F362" t="s">
        <v>33</v>
      </c>
      <c r="H362" s="3">
        <v>800</v>
      </c>
      <c r="J362" s="3">
        <v>0</v>
      </c>
      <c r="L362">
        <v>0</v>
      </c>
      <c r="N362">
        <v>0</v>
      </c>
      <c r="P362">
        <v>0</v>
      </c>
      <c r="R362">
        <v>0</v>
      </c>
    </row>
    <row r="363" spans="1:18" x14ac:dyDescent="0.3">
      <c r="A363" t="s">
        <v>1006</v>
      </c>
      <c r="B363" t="s">
        <v>864</v>
      </c>
      <c r="C363" s="3" t="s">
        <v>1029</v>
      </c>
      <c r="D363">
        <v>1301739</v>
      </c>
      <c r="E363" t="s">
        <v>996</v>
      </c>
      <c r="F363" t="s">
        <v>33</v>
      </c>
      <c r="H363" s="3">
        <v>0</v>
      </c>
      <c r="J363" s="3">
        <v>0</v>
      </c>
      <c r="L363">
        <v>0</v>
      </c>
      <c r="N363">
        <v>6000</v>
      </c>
      <c r="P363">
        <v>0</v>
      </c>
      <c r="R363">
        <v>0</v>
      </c>
    </row>
    <row r="364" spans="1:18" x14ac:dyDescent="0.3">
      <c r="A364" t="s">
        <v>1006</v>
      </c>
      <c r="B364" t="s">
        <v>864</v>
      </c>
      <c r="C364" s="3" t="s">
        <v>1029</v>
      </c>
      <c r="D364">
        <v>1301740</v>
      </c>
      <c r="E364" t="s">
        <v>997</v>
      </c>
      <c r="F364" t="s">
        <v>33</v>
      </c>
      <c r="H364" s="3">
        <v>0</v>
      </c>
      <c r="J364" s="3">
        <v>0</v>
      </c>
      <c r="L364">
        <v>120</v>
      </c>
      <c r="N364">
        <v>0</v>
      </c>
      <c r="P364">
        <v>0</v>
      </c>
      <c r="R364">
        <v>0</v>
      </c>
    </row>
    <row r="365" spans="1:18" x14ac:dyDescent="0.3">
      <c r="A365" t="s">
        <v>1006</v>
      </c>
      <c r="B365" t="s">
        <v>864</v>
      </c>
      <c r="C365" s="3" t="s">
        <v>1029</v>
      </c>
      <c r="D365">
        <v>1301752</v>
      </c>
      <c r="E365" t="s">
        <v>998</v>
      </c>
      <c r="F365" t="s">
        <v>33</v>
      </c>
      <c r="H365" s="3">
        <v>0</v>
      </c>
      <c r="J365" s="3">
        <v>0</v>
      </c>
      <c r="L365">
        <v>15</v>
      </c>
      <c r="N365">
        <v>0</v>
      </c>
      <c r="P365">
        <v>0</v>
      </c>
      <c r="R365">
        <v>0</v>
      </c>
    </row>
    <row r="366" spans="1:18" x14ac:dyDescent="0.3">
      <c r="A366" t="s">
        <v>1006</v>
      </c>
      <c r="B366" t="s">
        <v>864</v>
      </c>
      <c r="C366" s="3" t="s">
        <v>1029</v>
      </c>
      <c r="D366">
        <v>1301755</v>
      </c>
      <c r="E366" t="s">
        <v>999</v>
      </c>
      <c r="F366" t="s">
        <v>33</v>
      </c>
      <c r="H366" s="3">
        <v>0</v>
      </c>
      <c r="J366" s="3">
        <v>0</v>
      </c>
      <c r="L366">
        <v>100</v>
      </c>
      <c r="N366">
        <v>0</v>
      </c>
      <c r="P366">
        <v>0</v>
      </c>
      <c r="R366">
        <v>0</v>
      </c>
    </row>
    <row r="367" spans="1:18" x14ac:dyDescent="0.3">
      <c r="A367" t="s">
        <v>1006</v>
      </c>
      <c r="B367" t="s">
        <v>864</v>
      </c>
      <c r="C367" s="3" t="s">
        <v>1029</v>
      </c>
      <c r="D367">
        <v>1301756</v>
      </c>
      <c r="E367" t="s">
        <v>1000</v>
      </c>
      <c r="F367" t="s">
        <v>34</v>
      </c>
      <c r="H367" s="3">
        <v>10000</v>
      </c>
      <c r="J367" s="3">
        <v>0</v>
      </c>
      <c r="L367">
        <v>0</v>
      </c>
      <c r="N367">
        <v>0</v>
      </c>
      <c r="P367">
        <v>0</v>
      </c>
      <c r="R367">
        <v>0</v>
      </c>
    </row>
    <row r="368" spans="1:18" x14ac:dyDescent="0.3">
      <c r="A368" t="s">
        <v>1006</v>
      </c>
      <c r="B368" t="s">
        <v>864</v>
      </c>
      <c r="C368" s="3" t="s">
        <v>1029</v>
      </c>
      <c r="D368">
        <v>1301784</v>
      </c>
      <c r="E368" t="s">
        <v>1001</v>
      </c>
      <c r="F368" t="s">
        <v>33</v>
      </c>
      <c r="H368" s="3">
        <v>1040</v>
      </c>
      <c r="J368" s="3">
        <v>0</v>
      </c>
      <c r="L368">
        <v>0</v>
      </c>
      <c r="N368">
        <v>0</v>
      </c>
      <c r="P368">
        <v>120</v>
      </c>
      <c r="R368">
        <v>0</v>
      </c>
    </row>
    <row r="369" spans="1:18" x14ac:dyDescent="0.3">
      <c r="A369" t="s">
        <v>1006</v>
      </c>
      <c r="B369" t="s">
        <v>864</v>
      </c>
      <c r="C369" s="3" t="s">
        <v>1029</v>
      </c>
      <c r="D369">
        <v>1301792</v>
      </c>
      <c r="E369" t="s">
        <v>1002</v>
      </c>
      <c r="F369" t="s">
        <v>33</v>
      </c>
      <c r="H369" s="3">
        <v>720</v>
      </c>
      <c r="J369" s="3">
        <v>0</v>
      </c>
      <c r="L369">
        <v>0</v>
      </c>
      <c r="N369">
        <v>400</v>
      </c>
      <c r="P369">
        <v>0</v>
      </c>
      <c r="R369">
        <v>0</v>
      </c>
    </row>
    <row r="370" spans="1:18" x14ac:dyDescent="0.3">
      <c r="A370" t="s">
        <v>1006</v>
      </c>
      <c r="B370" t="s">
        <v>864</v>
      </c>
      <c r="C370" s="3" t="s">
        <v>1029</v>
      </c>
      <c r="D370">
        <v>1301793</v>
      </c>
      <c r="E370" t="s">
        <v>1003</v>
      </c>
      <c r="F370" t="s">
        <v>33</v>
      </c>
      <c r="H370" s="3">
        <v>300</v>
      </c>
      <c r="J370" s="3">
        <v>0</v>
      </c>
      <c r="L370">
        <v>200</v>
      </c>
      <c r="N370">
        <v>0</v>
      </c>
      <c r="P370">
        <v>0</v>
      </c>
      <c r="R370">
        <v>0</v>
      </c>
    </row>
    <row r="371" spans="1:18" x14ac:dyDescent="0.3">
      <c r="A371" t="s">
        <v>1006</v>
      </c>
      <c r="B371" t="s">
        <v>864</v>
      </c>
      <c r="C371" s="3" t="s">
        <v>1029</v>
      </c>
      <c r="D371">
        <v>1301794</v>
      </c>
      <c r="E371" t="s">
        <v>1004</v>
      </c>
      <c r="F371" t="s">
        <v>33</v>
      </c>
      <c r="H371" s="3">
        <v>100</v>
      </c>
      <c r="J371" s="3">
        <v>0</v>
      </c>
      <c r="L371">
        <v>0</v>
      </c>
      <c r="N371">
        <v>0</v>
      </c>
      <c r="P371">
        <v>0</v>
      </c>
      <c r="R371">
        <v>0</v>
      </c>
    </row>
    <row r="372" spans="1:18" x14ac:dyDescent="0.3">
      <c r="A372" t="s">
        <v>1006</v>
      </c>
      <c r="B372" t="s">
        <v>864</v>
      </c>
      <c r="C372" s="3" t="s">
        <v>1029</v>
      </c>
      <c r="D372">
        <v>1301795</v>
      </c>
      <c r="E372" t="s">
        <v>1005</v>
      </c>
      <c r="F372" t="s">
        <v>33</v>
      </c>
      <c r="H372" s="3">
        <v>120</v>
      </c>
      <c r="J372" s="3">
        <v>0</v>
      </c>
      <c r="L372">
        <v>0</v>
      </c>
      <c r="N372">
        <v>120</v>
      </c>
      <c r="P372">
        <v>0</v>
      </c>
      <c r="R372">
        <v>0</v>
      </c>
    </row>
  </sheetData>
  <autoFilter ref="A3:U372"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완제품상품</vt:lpstr>
      <vt:lpstr>원부자재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2026-07-09T17:48:34Z</dcterms:modified>
</cp:coreProperties>
</file>